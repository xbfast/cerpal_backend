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rpal-my.sharepoint.com/personal/vcervera_cerpal_es/Documents/Escritorio/"/>
    </mc:Choice>
  </mc:AlternateContent>
  <xr:revisionPtr revIDLastSave="0" documentId="8_{E336577D-9F1A-4CD4-96A1-220B0FA2411A}" xr6:coauthVersionLast="47" xr6:coauthVersionMax="47" xr10:uidLastSave="{00000000-0000-0000-0000-000000000000}"/>
  <bookViews>
    <workbookView xWindow="-120" yWindow="-120" windowWidth="29040" windowHeight="15720" xr2:uid="{CD5F9750-DEC9-4E69-AE4E-7795FCBA0108}"/>
  </bookViews>
  <sheets>
    <sheet name="Articulos Precio" sheetId="3" r:id="rId1"/>
    <sheet name="Atributos Valores" sheetId="2" r:id="rId2"/>
    <sheet name="Atributos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01" i="3" l="1"/>
  <c r="F748" i="2"/>
  <c r="B748" i="2"/>
  <c r="F739" i="2"/>
  <c r="B739" i="2"/>
  <c r="F738" i="2"/>
  <c r="B738" i="2"/>
  <c r="F737" i="2"/>
  <c r="B737" i="2"/>
  <c r="F736" i="2"/>
  <c r="B736" i="2"/>
  <c r="F735" i="2"/>
  <c r="B735" i="2"/>
  <c r="F734" i="2"/>
  <c r="B734" i="2"/>
  <c r="F733" i="2"/>
  <c r="B733" i="2"/>
  <c r="F732" i="2"/>
  <c r="B732" i="2"/>
  <c r="F731" i="2"/>
  <c r="B731" i="2"/>
  <c r="F730" i="2"/>
  <c r="B730" i="2"/>
  <c r="F729" i="2"/>
  <c r="B729" i="2"/>
  <c r="F728" i="2"/>
  <c r="B728" i="2"/>
  <c r="F727" i="2"/>
  <c r="B727" i="2"/>
  <c r="F726" i="2"/>
  <c r="B726" i="2"/>
  <c r="F725" i="2"/>
  <c r="B725" i="2"/>
  <c r="F724" i="2"/>
  <c r="B724" i="2"/>
  <c r="F723" i="2"/>
  <c r="B723" i="2"/>
  <c r="F722" i="2"/>
  <c r="B722" i="2"/>
  <c r="F721" i="2"/>
  <c r="B721" i="2"/>
  <c r="F720" i="2"/>
  <c r="B720" i="2"/>
  <c r="F719" i="2"/>
  <c r="B719" i="2"/>
  <c r="F718" i="2"/>
  <c r="B718" i="2"/>
  <c r="F717" i="2"/>
  <c r="B717" i="2"/>
  <c r="F716" i="2"/>
  <c r="B716" i="2"/>
  <c r="F715" i="2"/>
  <c r="B715" i="2"/>
  <c r="F714" i="2"/>
  <c r="B714" i="2"/>
  <c r="F713" i="2"/>
  <c r="B713" i="2"/>
  <c r="F712" i="2"/>
  <c r="B712" i="2"/>
  <c r="F711" i="2"/>
  <c r="B711" i="2"/>
  <c r="F710" i="2"/>
  <c r="B710" i="2"/>
  <c r="F709" i="2"/>
  <c r="B709" i="2"/>
  <c r="F708" i="2"/>
  <c r="B708" i="2"/>
  <c r="F707" i="2"/>
  <c r="B707" i="2"/>
  <c r="F706" i="2"/>
  <c r="B706" i="2"/>
  <c r="F705" i="2"/>
  <c r="B705" i="2"/>
  <c r="F704" i="2"/>
  <c r="B704" i="2"/>
  <c r="F703" i="2"/>
  <c r="B703" i="2"/>
  <c r="F702" i="2"/>
  <c r="B702" i="2"/>
  <c r="F701" i="2"/>
  <c r="B701" i="2"/>
  <c r="F700" i="2"/>
  <c r="B700" i="2"/>
  <c r="F699" i="2"/>
  <c r="B699" i="2"/>
  <c r="F698" i="2"/>
  <c r="B698" i="2"/>
  <c r="F697" i="2"/>
  <c r="B697" i="2"/>
  <c r="F696" i="2"/>
  <c r="B696" i="2"/>
  <c r="F695" i="2"/>
  <c r="B695" i="2"/>
  <c r="F694" i="2"/>
  <c r="B694" i="2"/>
  <c r="F693" i="2"/>
  <c r="B693" i="2"/>
  <c r="F692" i="2"/>
  <c r="B692" i="2"/>
  <c r="F691" i="2"/>
  <c r="B691" i="2"/>
  <c r="F690" i="2"/>
  <c r="B690" i="2"/>
  <c r="F689" i="2"/>
  <c r="B689" i="2"/>
  <c r="F688" i="2"/>
  <c r="B688" i="2"/>
  <c r="F687" i="2"/>
  <c r="B687" i="2"/>
  <c r="F686" i="2"/>
  <c r="B686" i="2"/>
  <c r="F685" i="2"/>
  <c r="B685" i="2"/>
  <c r="F684" i="2"/>
  <c r="B684" i="2"/>
  <c r="F683" i="2"/>
  <c r="B683" i="2"/>
  <c r="F682" i="2"/>
  <c r="B682" i="2"/>
  <c r="F681" i="2"/>
  <c r="B681" i="2"/>
  <c r="F680" i="2"/>
  <c r="B680" i="2"/>
  <c r="F679" i="2"/>
  <c r="B679" i="2"/>
  <c r="F678" i="2"/>
  <c r="B678" i="2"/>
  <c r="F677" i="2"/>
  <c r="B677" i="2"/>
  <c r="F676" i="2"/>
  <c r="B676" i="2"/>
  <c r="F675" i="2"/>
  <c r="B675" i="2"/>
  <c r="F674" i="2"/>
  <c r="B674" i="2"/>
  <c r="F673" i="2"/>
  <c r="B673" i="2"/>
  <c r="F672" i="2"/>
  <c r="B672" i="2"/>
  <c r="F671" i="2"/>
  <c r="B671" i="2"/>
  <c r="F670" i="2"/>
  <c r="B670" i="2"/>
  <c r="F669" i="2"/>
  <c r="B669" i="2"/>
  <c r="F668" i="2"/>
  <c r="B668" i="2"/>
  <c r="F667" i="2"/>
  <c r="B667" i="2"/>
  <c r="F666" i="2"/>
  <c r="B666" i="2"/>
  <c r="F665" i="2"/>
  <c r="B665" i="2"/>
  <c r="F664" i="2"/>
  <c r="B664" i="2"/>
  <c r="F663" i="2"/>
  <c r="B663" i="2"/>
  <c r="F662" i="2"/>
  <c r="B662" i="2"/>
  <c r="F661" i="2"/>
  <c r="B661" i="2"/>
  <c r="F660" i="2"/>
  <c r="B660" i="2"/>
  <c r="F659" i="2"/>
  <c r="B659" i="2"/>
  <c r="F658" i="2"/>
  <c r="B658" i="2"/>
  <c r="F657" i="2"/>
  <c r="B657" i="2"/>
  <c r="F656" i="2"/>
  <c r="B656" i="2"/>
  <c r="F655" i="2"/>
  <c r="B655" i="2"/>
  <c r="F654" i="2"/>
  <c r="B654" i="2"/>
  <c r="F653" i="2"/>
  <c r="B653" i="2"/>
  <c r="F652" i="2"/>
  <c r="B652" i="2"/>
  <c r="F651" i="2"/>
  <c r="B651" i="2"/>
  <c r="F650" i="2"/>
  <c r="B650" i="2"/>
  <c r="F649" i="2"/>
  <c r="B649" i="2"/>
  <c r="F648" i="2"/>
  <c r="B648" i="2"/>
  <c r="F647" i="2"/>
  <c r="B647" i="2"/>
  <c r="F646" i="2"/>
  <c r="B646" i="2"/>
  <c r="F645" i="2"/>
  <c r="B645" i="2"/>
  <c r="F644" i="2"/>
  <c r="B644" i="2"/>
  <c r="F643" i="2"/>
  <c r="B643" i="2"/>
  <c r="F642" i="2"/>
  <c r="B642" i="2"/>
  <c r="F641" i="2"/>
  <c r="B641" i="2"/>
  <c r="F640" i="2"/>
  <c r="B640" i="2"/>
  <c r="F639" i="2"/>
  <c r="B639" i="2"/>
  <c r="F638" i="2"/>
  <c r="B638" i="2"/>
  <c r="F637" i="2"/>
  <c r="B637" i="2"/>
  <c r="F636" i="2"/>
  <c r="B636" i="2"/>
  <c r="F635" i="2"/>
  <c r="B635" i="2"/>
  <c r="F634" i="2"/>
  <c r="B634" i="2"/>
  <c r="F633" i="2"/>
  <c r="B633" i="2"/>
  <c r="F632" i="2"/>
  <c r="B632" i="2"/>
  <c r="F631" i="2"/>
  <c r="B631" i="2"/>
  <c r="F630" i="2"/>
  <c r="B630" i="2"/>
  <c r="F629" i="2"/>
  <c r="B629" i="2"/>
  <c r="F628" i="2"/>
  <c r="B628" i="2"/>
  <c r="F627" i="2"/>
  <c r="B627" i="2"/>
  <c r="F626" i="2"/>
  <c r="B626" i="2"/>
  <c r="F625" i="2"/>
  <c r="B625" i="2"/>
  <c r="F624" i="2"/>
  <c r="B624" i="2"/>
  <c r="F623" i="2"/>
  <c r="B623" i="2"/>
  <c r="F622" i="2"/>
  <c r="B622" i="2"/>
  <c r="F621" i="2"/>
  <c r="B621" i="2"/>
  <c r="F620" i="2"/>
  <c r="B620" i="2"/>
  <c r="F619" i="2"/>
  <c r="B619" i="2"/>
  <c r="F618" i="2"/>
  <c r="B618" i="2"/>
  <c r="F617" i="2"/>
  <c r="B617" i="2"/>
  <c r="F616" i="2"/>
  <c r="B616" i="2"/>
  <c r="F615" i="2"/>
  <c r="B615" i="2"/>
  <c r="F614" i="2"/>
  <c r="B614" i="2"/>
  <c r="F613" i="2"/>
  <c r="B613" i="2"/>
  <c r="F612" i="2"/>
  <c r="B612" i="2"/>
  <c r="F611" i="2"/>
  <c r="B611" i="2"/>
  <c r="F610" i="2"/>
  <c r="B610" i="2"/>
  <c r="F609" i="2"/>
  <c r="B609" i="2"/>
  <c r="F608" i="2"/>
  <c r="B608" i="2"/>
  <c r="F607" i="2"/>
  <c r="B607" i="2"/>
  <c r="F606" i="2"/>
  <c r="B606" i="2"/>
  <c r="F605" i="2"/>
  <c r="B605" i="2"/>
  <c r="F604" i="2"/>
  <c r="B604" i="2"/>
  <c r="F603" i="2"/>
  <c r="B603" i="2"/>
  <c r="F602" i="2"/>
  <c r="B602" i="2"/>
  <c r="F601" i="2"/>
  <c r="B601" i="2"/>
  <c r="F600" i="2"/>
  <c r="B600" i="2"/>
  <c r="F599" i="2"/>
  <c r="B599" i="2"/>
  <c r="F598" i="2"/>
  <c r="B598" i="2"/>
  <c r="F597" i="2"/>
  <c r="B597" i="2"/>
  <c r="F596" i="2"/>
  <c r="B596" i="2"/>
  <c r="F595" i="2"/>
  <c r="B595" i="2"/>
  <c r="F594" i="2"/>
  <c r="B594" i="2"/>
  <c r="F593" i="2"/>
  <c r="B593" i="2"/>
  <c r="F592" i="2"/>
  <c r="B592" i="2"/>
  <c r="F591" i="2"/>
  <c r="B591" i="2"/>
  <c r="F590" i="2"/>
  <c r="B590" i="2"/>
  <c r="F589" i="2"/>
  <c r="B589" i="2"/>
  <c r="F588" i="2"/>
  <c r="B588" i="2"/>
  <c r="F587" i="2"/>
  <c r="B587" i="2"/>
  <c r="F586" i="2"/>
  <c r="B586" i="2"/>
  <c r="F585" i="2"/>
  <c r="B585" i="2"/>
  <c r="F584" i="2"/>
  <c r="B584" i="2"/>
  <c r="F583" i="2"/>
  <c r="B583" i="2"/>
  <c r="F582" i="2"/>
  <c r="B582" i="2"/>
  <c r="F581" i="2"/>
  <c r="B581" i="2"/>
  <c r="F580" i="2"/>
  <c r="B580" i="2"/>
  <c r="F579" i="2"/>
  <c r="B579" i="2"/>
  <c r="F578" i="2"/>
  <c r="B578" i="2"/>
  <c r="F577" i="2"/>
  <c r="B577" i="2"/>
  <c r="F576" i="2"/>
  <c r="B576" i="2"/>
  <c r="F575" i="2"/>
  <c r="B575" i="2"/>
  <c r="F574" i="2"/>
  <c r="B574" i="2"/>
  <c r="F573" i="2"/>
  <c r="B573" i="2"/>
  <c r="F572" i="2"/>
  <c r="B572" i="2"/>
  <c r="F571" i="2"/>
  <c r="B571" i="2"/>
  <c r="F570" i="2"/>
  <c r="B570" i="2"/>
  <c r="F569" i="2"/>
  <c r="B569" i="2"/>
  <c r="F568" i="2"/>
  <c r="B568" i="2"/>
  <c r="F567" i="2"/>
  <c r="B567" i="2"/>
  <c r="F566" i="2"/>
  <c r="B566" i="2"/>
  <c r="F565" i="2"/>
  <c r="B565" i="2"/>
  <c r="F564" i="2"/>
  <c r="B564" i="2"/>
  <c r="F563" i="2"/>
  <c r="B563" i="2"/>
  <c r="F562" i="2"/>
  <c r="B562" i="2"/>
  <c r="F561" i="2"/>
  <c r="B561" i="2"/>
  <c r="F560" i="2"/>
  <c r="B560" i="2"/>
  <c r="F559" i="2"/>
  <c r="B559" i="2"/>
  <c r="F558" i="2"/>
  <c r="B558" i="2"/>
  <c r="F557" i="2"/>
  <c r="B557" i="2"/>
  <c r="F556" i="2"/>
  <c r="B556" i="2"/>
  <c r="F555" i="2"/>
  <c r="B555" i="2"/>
  <c r="F554" i="2"/>
  <c r="B554" i="2"/>
  <c r="F553" i="2"/>
  <c r="B553" i="2"/>
  <c r="F552" i="2"/>
  <c r="B552" i="2"/>
  <c r="F551" i="2"/>
  <c r="B551" i="2"/>
  <c r="F550" i="2"/>
  <c r="B550" i="2"/>
  <c r="F549" i="2"/>
  <c r="B549" i="2"/>
  <c r="F548" i="2"/>
  <c r="B548" i="2"/>
  <c r="F547" i="2"/>
  <c r="B547" i="2"/>
  <c r="F546" i="2"/>
  <c r="B546" i="2"/>
  <c r="F545" i="2"/>
  <c r="B545" i="2"/>
  <c r="F544" i="2"/>
  <c r="B544" i="2"/>
  <c r="F543" i="2"/>
  <c r="B543" i="2"/>
  <c r="F542" i="2"/>
  <c r="B542" i="2"/>
  <c r="F541" i="2"/>
  <c r="B541" i="2"/>
  <c r="F540" i="2"/>
  <c r="B540" i="2"/>
  <c r="F539" i="2"/>
  <c r="B539" i="2"/>
  <c r="F538" i="2"/>
  <c r="B538" i="2"/>
  <c r="F537" i="2"/>
  <c r="B537" i="2"/>
  <c r="F536" i="2"/>
  <c r="B536" i="2"/>
  <c r="F535" i="2"/>
  <c r="B535" i="2"/>
  <c r="F534" i="2"/>
  <c r="B534" i="2"/>
  <c r="F533" i="2"/>
  <c r="B533" i="2"/>
  <c r="F532" i="2"/>
  <c r="B532" i="2"/>
  <c r="F531" i="2"/>
  <c r="B531" i="2"/>
  <c r="F530" i="2"/>
  <c r="B530" i="2"/>
  <c r="F529" i="2"/>
  <c r="B529" i="2"/>
  <c r="F528" i="2"/>
  <c r="B528" i="2"/>
  <c r="F527" i="2"/>
  <c r="B527" i="2"/>
  <c r="F526" i="2"/>
  <c r="B526" i="2"/>
  <c r="F525" i="2"/>
  <c r="B525" i="2"/>
  <c r="F524" i="2"/>
  <c r="B524" i="2"/>
  <c r="F523" i="2"/>
  <c r="B523" i="2"/>
  <c r="F522" i="2"/>
  <c r="B522" i="2"/>
  <c r="F521" i="2"/>
  <c r="B521" i="2"/>
  <c r="F520" i="2"/>
  <c r="B520" i="2"/>
  <c r="F519" i="2"/>
  <c r="B519" i="2"/>
  <c r="F518" i="2"/>
  <c r="B518" i="2"/>
  <c r="F517" i="2"/>
  <c r="B517" i="2"/>
  <c r="F516" i="2"/>
  <c r="B516" i="2"/>
  <c r="F515" i="2"/>
  <c r="B515" i="2"/>
  <c r="F514" i="2"/>
  <c r="B514" i="2"/>
  <c r="F513" i="2"/>
  <c r="B513" i="2"/>
  <c r="F512" i="2"/>
  <c r="B512" i="2"/>
  <c r="F511" i="2"/>
  <c r="B511" i="2"/>
  <c r="F510" i="2"/>
  <c r="B510" i="2"/>
  <c r="F509" i="2"/>
  <c r="B509" i="2"/>
  <c r="F508" i="2"/>
  <c r="B508" i="2"/>
  <c r="F507" i="2"/>
  <c r="B507" i="2"/>
  <c r="F506" i="2"/>
  <c r="B506" i="2"/>
  <c r="F505" i="2"/>
  <c r="B505" i="2"/>
  <c r="F504" i="2"/>
  <c r="B504" i="2"/>
  <c r="F503" i="2"/>
  <c r="B503" i="2"/>
  <c r="F502" i="2"/>
  <c r="B502" i="2"/>
  <c r="F501" i="2"/>
  <c r="B501" i="2"/>
  <c r="F500" i="2"/>
  <c r="B500" i="2"/>
  <c r="F499" i="2"/>
  <c r="B499" i="2"/>
  <c r="F498" i="2"/>
  <c r="B498" i="2"/>
  <c r="F497" i="2"/>
  <c r="B497" i="2"/>
  <c r="F496" i="2"/>
  <c r="B496" i="2"/>
  <c r="F495" i="2"/>
  <c r="B495" i="2"/>
  <c r="F494" i="2"/>
  <c r="B494" i="2"/>
  <c r="F493" i="2"/>
  <c r="B493" i="2"/>
  <c r="F492" i="2"/>
  <c r="B492" i="2"/>
  <c r="F491" i="2"/>
  <c r="B491" i="2"/>
  <c r="F490" i="2"/>
  <c r="B490" i="2"/>
  <c r="F489" i="2"/>
  <c r="B489" i="2"/>
  <c r="F488" i="2"/>
  <c r="B488" i="2"/>
  <c r="F487" i="2"/>
  <c r="B487" i="2"/>
  <c r="F486" i="2"/>
  <c r="B486" i="2"/>
  <c r="F485" i="2"/>
  <c r="B485" i="2"/>
  <c r="F484" i="2"/>
  <c r="B484" i="2"/>
  <c r="F483" i="2"/>
  <c r="B483" i="2"/>
  <c r="F482" i="2"/>
  <c r="B482" i="2"/>
  <c r="F481" i="2"/>
  <c r="B481" i="2"/>
  <c r="F480" i="2"/>
  <c r="B480" i="2"/>
  <c r="F479" i="2"/>
  <c r="B479" i="2"/>
  <c r="F478" i="2"/>
  <c r="B478" i="2"/>
  <c r="F477" i="2"/>
  <c r="B477" i="2"/>
  <c r="F476" i="2"/>
  <c r="B476" i="2"/>
  <c r="F475" i="2"/>
  <c r="B475" i="2"/>
  <c r="F474" i="2"/>
  <c r="B474" i="2"/>
  <c r="F473" i="2"/>
  <c r="B473" i="2"/>
  <c r="F472" i="2"/>
  <c r="B472" i="2"/>
  <c r="F471" i="2"/>
  <c r="B471" i="2"/>
  <c r="F470" i="2"/>
  <c r="B470" i="2"/>
  <c r="F469" i="2"/>
  <c r="B469" i="2"/>
  <c r="F468" i="2"/>
  <c r="B468" i="2"/>
  <c r="F467" i="2"/>
  <c r="B467" i="2"/>
  <c r="F466" i="2"/>
  <c r="B466" i="2"/>
  <c r="F465" i="2"/>
  <c r="B465" i="2"/>
  <c r="F464" i="2"/>
  <c r="B464" i="2"/>
  <c r="F463" i="2"/>
  <c r="B463" i="2"/>
  <c r="F462" i="2"/>
  <c r="B462" i="2"/>
  <c r="F461" i="2"/>
  <c r="B461" i="2"/>
  <c r="F460" i="2"/>
  <c r="B460" i="2"/>
  <c r="F459" i="2"/>
  <c r="B459" i="2"/>
  <c r="F458" i="2"/>
  <c r="B458" i="2"/>
  <c r="F457" i="2"/>
  <c r="B457" i="2"/>
  <c r="F456" i="2"/>
  <c r="B456" i="2"/>
  <c r="F455" i="2"/>
  <c r="B455" i="2"/>
  <c r="F454" i="2"/>
  <c r="B454" i="2"/>
  <c r="F453" i="2"/>
  <c r="B453" i="2"/>
  <c r="F452" i="2"/>
  <c r="B452" i="2"/>
  <c r="F451" i="2"/>
  <c r="B451" i="2"/>
  <c r="F450" i="2"/>
  <c r="B450" i="2"/>
  <c r="F449" i="2"/>
  <c r="B449" i="2"/>
  <c r="F448" i="2"/>
  <c r="B448" i="2"/>
  <c r="F447" i="2"/>
  <c r="B447" i="2"/>
  <c r="F446" i="2"/>
  <c r="B446" i="2"/>
  <c r="F445" i="2"/>
  <c r="B445" i="2"/>
  <c r="F444" i="2"/>
  <c r="B444" i="2"/>
  <c r="F443" i="2"/>
  <c r="B443" i="2"/>
  <c r="F442" i="2"/>
  <c r="B442" i="2"/>
  <c r="F441" i="2"/>
  <c r="B441" i="2"/>
  <c r="F440" i="2"/>
  <c r="B440" i="2"/>
  <c r="F439" i="2"/>
  <c r="B439" i="2"/>
  <c r="F438" i="2"/>
  <c r="B438" i="2"/>
  <c r="F437" i="2"/>
  <c r="B437" i="2"/>
  <c r="F436" i="2"/>
  <c r="B436" i="2"/>
  <c r="F435" i="2"/>
  <c r="B435" i="2"/>
  <c r="F434" i="2"/>
  <c r="B434" i="2"/>
  <c r="F433" i="2"/>
  <c r="B433" i="2"/>
  <c r="F432" i="2"/>
  <c r="B432" i="2"/>
  <c r="F431" i="2"/>
  <c r="B431" i="2"/>
  <c r="F430" i="2"/>
  <c r="B430" i="2"/>
  <c r="F429" i="2"/>
  <c r="B429" i="2"/>
  <c r="F428" i="2"/>
  <c r="B428" i="2"/>
  <c r="F427" i="2"/>
  <c r="B427" i="2"/>
  <c r="F426" i="2"/>
  <c r="B426" i="2"/>
  <c r="F425" i="2"/>
  <c r="B425" i="2"/>
  <c r="F424" i="2"/>
  <c r="B424" i="2"/>
  <c r="F423" i="2"/>
  <c r="B423" i="2"/>
  <c r="F422" i="2"/>
  <c r="B422" i="2"/>
  <c r="F421" i="2"/>
  <c r="B421" i="2"/>
  <c r="F420" i="2"/>
  <c r="B420" i="2"/>
  <c r="F419" i="2"/>
  <c r="B419" i="2"/>
  <c r="F418" i="2"/>
  <c r="B418" i="2"/>
  <c r="F417" i="2"/>
  <c r="B417" i="2"/>
  <c r="F416" i="2"/>
  <c r="B416" i="2"/>
  <c r="F415" i="2"/>
  <c r="B415" i="2"/>
  <c r="F414" i="2"/>
  <c r="B414" i="2"/>
  <c r="F413" i="2"/>
  <c r="B413" i="2"/>
  <c r="F412" i="2"/>
  <c r="B412" i="2"/>
  <c r="F411" i="2"/>
  <c r="B411" i="2"/>
  <c r="F410" i="2"/>
  <c r="B410" i="2"/>
  <c r="F409" i="2"/>
  <c r="B409" i="2"/>
  <c r="F408" i="2"/>
  <c r="B408" i="2"/>
  <c r="F407" i="2"/>
  <c r="B407" i="2"/>
  <c r="F406" i="2"/>
  <c r="B406" i="2"/>
  <c r="F405" i="2"/>
  <c r="B405" i="2"/>
  <c r="F404" i="2"/>
  <c r="B404" i="2"/>
  <c r="F403" i="2"/>
  <c r="B403" i="2"/>
  <c r="F402" i="2"/>
  <c r="B402" i="2"/>
  <c r="F401" i="2"/>
  <c r="B401" i="2"/>
  <c r="F400" i="2"/>
  <c r="B400" i="2"/>
  <c r="F399" i="2"/>
  <c r="B399" i="2"/>
  <c r="F398" i="2"/>
  <c r="B398" i="2"/>
  <c r="F397" i="2"/>
  <c r="B397" i="2"/>
  <c r="F396" i="2"/>
  <c r="B396" i="2"/>
  <c r="F395" i="2"/>
  <c r="B395" i="2"/>
  <c r="F394" i="2"/>
  <c r="B394" i="2"/>
  <c r="F393" i="2"/>
  <c r="B393" i="2"/>
  <c r="F392" i="2"/>
  <c r="B392" i="2"/>
  <c r="F391" i="2"/>
  <c r="B391" i="2"/>
  <c r="F390" i="2"/>
  <c r="B390" i="2"/>
  <c r="F389" i="2"/>
  <c r="B389" i="2"/>
  <c r="F388" i="2"/>
  <c r="B388" i="2"/>
  <c r="F387" i="2"/>
  <c r="B387" i="2"/>
  <c r="F386" i="2"/>
  <c r="B386" i="2"/>
  <c r="F385" i="2"/>
  <c r="B385" i="2"/>
  <c r="F384" i="2"/>
  <c r="B384" i="2"/>
  <c r="F383" i="2"/>
  <c r="B383" i="2"/>
  <c r="F382" i="2"/>
  <c r="B382" i="2"/>
  <c r="F381" i="2"/>
  <c r="B381" i="2"/>
  <c r="F380" i="2"/>
  <c r="B380" i="2"/>
  <c r="F379" i="2"/>
  <c r="B379" i="2"/>
  <c r="F378" i="2"/>
  <c r="B378" i="2"/>
  <c r="F377" i="2"/>
  <c r="B377" i="2"/>
  <c r="F376" i="2"/>
  <c r="B376" i="2"/>
  <c r="F375" i="2"/>
  <c r="B375" i="2"/>
  <c r="F374" i="2"/>
  <c r="B374" i="2"/>
  <c r="F373" i="2"/>
  <c r="B373" i="2"/>
  <c r="F372" i="2"/>
  <c r="B372" i="2"/>
  <c r="F371" i="2"/>
  <c r="B371" i="2"/>
  <c r="F370" i="2"/>
  <c r="B370" i="2"/>
  <c r="F369" i="2"/>
  <c r="B369" i="2"/>
  <c r="F368" i="2"/>
  <c r="B368" i="2"/>
  <c r="F367" i="2"/>
  <c r="B367" i="2"/>
  <c r="F366" i="2"/>
  <c r="B366" i="2"/>
  <c r="F365" i="2"/>
  <c r="B365" i="2"/>
  <c r="F364" i="2"/>
  <c r="B364" i="2"/>
  <c r="F363" i="2"/>
  <c r="B363" i="2"/>
  <c r="F362" i="2"/>
  <c r="B362" i="2"/>
  <c r="F361" i="2"/>
  <c r="B361" i="2"/>
  <c r="F360" i="2"/>
  <c r="B360" i="2"/>
  <c r="F359" i="2"/>
  <c r="B359" i="2"/>
  <c r="F358" i="2"/>
  <c r="B358" i="2"/>
  <c r="F357" i="2"/>
  <c r="B357" i="2"/>
  <c r="F356" i="2"/>
  <c r="B356" i="2"/>
  <c r="F355" i="2"/>
  <c r="B355" i="2"/>
  <c r="F354" i="2"/>
  <c r="B354" i="2"/>
  <c r="F353" i="2"/>
  <c r="B353" i="2"/>
  <c r="F352" i="2"/>
  <c r="B352" i="2"/>
  <c r="F351" i="2"/>
  <c r="B351" i="2"/>
  <c r="F350" i="2"/>
  <c r="B350" i="2"/>
  <c r="F349" i="2"/>
  <c r="B349" i="2"/>
  <c r="F348" i="2"/>
  <c r="B348" i="2"/>
  <c r="F347" i="2"/>
  <c r="B347" i="2"/>
  <c r="F346" i="2"/>
  <c r="B346" i="2"/>
  <c r="F345" i="2"/>
  <c r="B345" i="2"/>
  <c r="F344" i="2"/>
  <c r="B344" i="2"/>
  <c r="F343" i="2"/>
  <c r="B343" i="2"/>
  <c r="F342" i="2"/>
  <c r="B342" i="2"/>
  <c r="F341" i="2"/>
  <c r="B341" i="2"/>
  <c r="F340" i="2"/>
  <c r="B340" i="2"/>
  <c r="F339" i="2"/>
  <c r="B339" i="2"/>
  <c r="F338" i="2"/>
  <c r="B338" i="2"/>
  <c r="F337" i="2"/>
  <c r="B337" i="2"/>
  <c r="F336" i="2"/>
  <c r="B336" i="2"/>
  <c r="F335" i="2"/>
  <c r="B335" i="2"/>
  <c r="F334" i="2"/>
  <c r="B334" i="2"/>
  <c r="F333" i="2"/>
  <c r="B333" i="2"/>
  <c r="F332" i="2"/>
  <c r="B332" i="2"/>
  <c r="F331" i="2"/>
  <c r="B331" i="2"/>
  <c r="F330" i="2"/>
  <c r="B330" i="2"/>
  <c r="F329" i="2"/>
  <c r="B329" i="2"/>
  <c r="F328" i="2"/>
  <c r="B328" i="2"/>
  <c r="F327" i="2"/>
  <c r="B327" i="2"/>
  <c r="F326" i="2"/>
  <c r="B326" i="2"/>
  <c r="F325" i="2"/>
  <c r="B325" i="2"/>
  <c r="F324" i="2"/>
  <c r="B324" i="2"/>
  <c r="F323" i="2"/>
  <c r="B323" i="2"/>
  <c r="F322" i="2"/>
  <c r="B322" i="2"/>
  <c r="F321" i="2"/>
  <c r="B321" i="2"/>
  <c r="F320" i="2"/>
  <c r="B320" i="2"/>
  <c r="F319" i="2"/>
  <c r="B319" i="2"/>
  <c r="F318" i="2"/>
  <c r="B318" i="2"/>
  <c r="F317" i="2"/>
  <c r="B317" i="2"/>
  <c r="F316" i="2"/>
  <c r="B316" i="2"/>
  <c r="F315" i="2"/>
  <c r="B315" i="2"/>
  <c r="F314" i="2"/>
  <c r="B314" i="2"/>
  <c r="F313" i="2"/>
  <c r="B313" i="2"/>
  <c r="F312" i="2"/>
  <c r="B312" i="2"/>
  <c r="F311" i="2"/>
  <c r="B311" i="2"/>
  <c r="F310" i="2"/>
  <c r="B310" i="2"/>
  <c r="F309" i="2"/>
  <c r="B309" i="2"/>
  <c r="F308" i="2"/>
  <c r="B308" i="2"/>
  <c r="F307" i="2"/>
  <c r="B307" i="2"/>
  <c r="F306" i="2"/>
  <c r="B306" i="2"/>
  <c r="F305" i="2"/>
  <c r="B305" i="2"/>
  <c r="F304" i="2"/>
  <c r="B304" i="2"/>
  <c r="F303" i="2"/>
  <c r="B303" i="2"/>
  <c r="F302" i="2"/>
  <c r="B302" i="2"/>
  <c r="F301" i="2"/>
  <c r="B301" i="2"/>
  <c r="F300" i="2"/>
  <c r="B300" i="2"/>
  <c r="F299" i="2"/>
  <c r="B299" i="2"/>
  <c r="F298" i="2"/>
  <c r="B298" i="2"/>
  <c r="F297" i="2"/>
  <c r="B297" i="2"/>
  <c r="F296" i="2"/>
  <c r="B296" i="2"/>
  <c r="F295" i="2"/>
  <c r="B295" i="2"/>
  <c r="F294" i="2"/>
  <c r="B294" i="2"/>
  <c r="F293" i="2"/>
  <c r="B293" i="2"/>
  <c r="F292" i="2"/>
  <c r="B292" i="2"/>
  <c r="F291" i="2"/>
  <c r="B291" i="2"/>
  <c r="F290" i="2"/>
  <c r="B290" i="2"/>
  <c r="F289" i="2"/>
  <c r="B289" i="2"/>
  <c r="F288" i="2"/>
  <c r="B288" i="2"/>
  <c r="F287" i="2"/>
  <c r="B287" i="2"/>
  <c r="F286" i="2"/>
  <c r="B286" i="2"/>
  <c r="F285" i="2"/>
  <c r="B285" i="2"/>
  <c r="F284" i="2"/>
  <c r="B284" i="2"/>
  <c r="F283" i="2"/>
  <c r="B283" i="2"/>
  <c r="F282" i="2"/>
  <c r="B282" i="2"/>
  <c r="F281" i="2"/>
  <c r="B281" i="2"/>
  <c r="F280" i="2"/>
  <c r="B280" i="2"/>
  <c r="F279" i="2"/>
  <c r="B279" i="2"/>
  <c r="F278" i="2"/>
  <c r="B278" i="2"/>
  <c r="F277" i="2"/>
  <c r="B277" i="2"/>
  <c r="F276" i="2"/>
  <c r="B276" i="2"/>
  <c r="F275" i="2"/>
  <c r="B275" i="2"/>
  <c r="F274" i="2"/>
  <c r="B274" i="2"/>
  <c r="F273" i="2"/>
  <c r="B273" i="2"/>
  <c r="F272" i="2"/>
  <c r="B272" i="2"/>
  <c r="F271" i="2"/>
  <c r="B271" i="2"/>
  <c r="F270" i="2"/>
  <c r="B270" i="2"/>
  <c r="F269" i="2"/>
  <c r="B269" i="2"/>
  <c r="F268" i="2"/>
  <c r="B268" i="2"/>
  <c r="F267" i="2"/>
  <c r="B267" i="2"/>
  <c r="F266" i="2"/>
  <c r="B266" i="2"/>
  <c r="F265" i="2"/>
  <c r="B265" i="2"/>
  <c r="F264" i="2"/>
  <c r="B264" i="2"/>
  <c r="F263" i="2"/>
  <c r="B263" i="2"/>
  <c r="F262" i="2"/>
  <c r="B262" i="2"/>
  <c r="F261" i="2"/>
  <c r="B261" i="2"/>
  <c r="F260" i="2"/>
  <c r="B260" i="2"/>
  <c r="F259" i="2"/>
  <c r="B259" i="2"/>
  <c r="F258" i="2"/>
  <c r="B258" i="2"/>
  <c r="F257" i="2"/>
  <c r="B257" i="2"/>
  <c r="F256" i="2"/>
  <c r="B256" i="2"/>
  <c r="F255" i="2"/>
  <c r="B255" i="2"/>
  <c r="F254" i="2"/>
  <c r="B254" i="2"/>
  <c r="F253" i="2"/>
  <c r="B253" i="2"/>
  <c r="F252" i="2"/>
  <c r="B252" i="2"/>
  <c r="F251" i="2"/>
  <c r="B251" i="2"/>
  <c r="F250" i="2"/>
  <c r="B250" i="2"/>
  <c r="F249" i="2"/>
  <c r="B249" i="2"/>
  <c r="F248" i="2"/>
  <c r="B248" i="2"/>
  <c r="F247" i="2"/>
  <c r="B247" i="2"/>
  <c r="F246" i="2"/>
  <c r="B246" i="2"/>
  <c r="F245" i="2"/>
  <c r="B245" i="2"/>
  <c r="F244" i="2"/>
  <c r="B244" i="2"/>
  <c r="F243" i="2"/>
  <c r="B243" i="2"/>
  <c r="F242" i="2"/>
  <c r="B242" i="2"/>
  <c r="F241" i="2"/>
  <c r="B241" i="2"/>
  <c r="F240" i="2"/>
  <c r="B240" i="2"/>
  <c r="F239" i="2"/>
  <c r="B239" i="2"/>
  <c r="F238" i="2"/>
  <c r="B238" i="2"/>
  <c r="F237" i="2"/>
  <c r="B237" i="2"/>
  <c r="F236" i="2"/>
  <c r="B236" i="2"/>
  <c r="F235" i="2"/>
  <c r="B235" i="2"/>
  <c r="F234" i="2"/>
  <c r="B234" i="2"/>
  <c r="F233" i="2"/>
  <c r="B233" i="2"/>
  <c r="F232" i="2"/>
  <c r="B232" i="2"/>
  <c r="F231" i="2"/>
  <c r="B231" i="2"/>
  <c r="F230" i="2"/>
  <c r="B230" i="2"/>
  <c r="F229" i="2"/>
  <c r="B229" i="2"/>
  <c r="F228" i="2"/>
  <c r="B228" i="2"/>
  <c r="F227" i="2"/>
  <c r="B227" i="2"/>
  <c r="F226" i="2"/>
  <c r="B226" i="2"/>
  <c r="F225" i="2"/>
  <c r="B225" i="2"/>
  <c r="F224" i="2"/>
  <c r="B224" i="2"/>
  <c r="F223" i="2"/>
  <c r="B223" i="2"/>
  <c r="F222" i="2"/>
  <c r="B222" i="2"/>
  <c r="F221" i="2"/>
  <c r="B221" i="2"/>
  <c r="F220" i="2"/>
  <c r="B220" i="2"/>
  <c r="F219" i="2"/>
  <c r="B219" i="2"/>
  <c r="F218" i="2"/>
  <c r="B218" i="2"/>
  <c r="F217" i="2"/>
  <c r="B217" i="2"/>
  <c r="F216" i="2"/>
  <c r="B216" i="2"/>
  <c r="F215" i="2"/>
  <c r="B215" i="2"/>
  <c r="F214" i="2"/>
  <c r="B214" i="2"/>
  <c r="F213" i="2"/>
  <c r="B213" i="2"/>
  <c r="F212" i="2"/>
  <c r="B212" i="2"/>
  <c r="F211" i="2"/>
  <c r="B211" i="2"/>
  <c r="F210" i="2"/>
  <c r="B210" i="2"/>
  <c r="F209" i="2"/>
  <c r="B209" i="2"/>
  <c r="F208" i="2"/>
  <c r="B208" i="2"/>
  <c r="F207" i="2"/>
  <c r="B207" i="2"/>
  <c r="F206" i="2"/>
  <c r="B206" i="2"/>
  <c r="F205" i="2"/>
  <c r="B205" i="2"/>
  <c r="F204" i="2"/>
  <c r="B204" i="2"/>
  <c r="F203" i="2"/>
  <c r="B203" i="2"/>
  <c r="F202" i="2"/>
  <c r="B202" i="2"/>
  <c r="F201" i="2"/>
  <c r="B201" i="2"/>
  <c r="F200" i="2"/>
  <c r="B200" i="2"/>
  <c r="F199" i="2"/>
  <c r="B199" i="2"/>
  <c r="F198" i="2"/>
  <c r="B198" i="2"/>
  <c r="F197" i="2"/>
  <c r="B197" i="2"/>
  <c r="F196" i="2"/>
  <c r="B196" i="2"/>
  <c r="F195" i="2"/>
  <c r="B195" i="2"/>
  <c r="F194" i="2"/>
  <c r="B194" i="2"/>
  <c r="F193" i="2"/>
  <c r="B193" i="2"/>
  <c r="F192" i="2"/>
  <c r="B192" i="2"/>
  <c r="F191" i="2"/>
  <c r="B191" i="2"/>
  <c r="F190" i="2"/>
  <c r="B190" i="2"/>
  <c r="F189" i="2"/>
  <c r="B189" i="2"/>
  <c r="F188" i="2"/>
  <c r="B188" i="2"/>
  <c r="F187" i="2"/>
  <c r="B187" i="2"/>
  <c r="F186" i="2"/>
  <c r="B186" i="2"/>
  <c r="F185" i="2"/>
  <c r="B185" i="2"/>
  <c r="F184" i="2"/>
  <c r="B184" i="2"/>
  <c r="F183" i="2"/>
  <c r="B183" i="2"/>
  <c r="F182" i="2"/>
  <c r="B182" i="2"/>
  <c r="F181" i="2"/>
  <c r="B181" i="2"/>
  <c r="F180" i="2"/>
  <c r="B180" i="2"/>
  <c r="F179" i="2"/>
  <c r="B179" i="2"/>
  <c r="F178" i="2"/>
  <c r="B178" i="2"/>
  <c r="F177" i="2"/>
  <c r="B177" i="2"/>
  <c r="F176" i="2"/>
  <c r="B176" i="2"/>
  <c r="F175" i="2"/>
  <c r="B175" i="2"/>
  <c r="F174" i="2"/>
  <c r="B174" i="2"/>
  <c r="F173" i="2"/>
  <c r="B173" i="2"/>
  <c r="F172" i="2"/>
  <c r="B172" i="2"/>
  <c r="F171" i="2"/>
  <c r="B171" i="2"/>
  <c r="F170" i="2"/>
  <c r="B170" i="2"/>
  <c r="F169" i="2"/>
  <c r="B169" i="2"/>
  <c r="F168" i="2"/>
  <c r="B168" i="2"/>
  <c r="F167" i="2"/>
  <c r="B167" i="2"/>
  <c r="F166" i="2"/>
  <c r="B166" i="2"/>
  <c r="F165" i="2"/>
  <c r="B165" i="2"/>
  <c r="F164" i="2"/>
  <c r="B164" i="2"/>
  <c r="F163" i="2"/>
  <c r="B163" i="2"/>
  <c r="F162" i="2"/>
  <c r="B162" i="2"/>
  <c r="F161" i="2"/>
  <c r="B161" i="2"/>
  <c r="F160" i="2"/>
  <c r="B160" i="2"/>
  <c r="F159" i="2"/>
  <c r="B159" i="2"/>
  <c r="F158" i="2"/>
  <c r="B158" i="2"/>
  <c r="F157" i="2"/>
  <c r="B157" i="2"/>
  <c r="F156" i="2"/>
  <c r="B156" i="2"/>
  <c r="F155" i="2"/>
  <c r="B155" i="2"/>
  <c r="F154" i="2"/>
  <c r="B154" i="2"/>
  <c r="F153" i="2"/>
  <c r="B153" i="2"/>
  <c r="F152" i="2"/>
  <c r="B152" i="2"/>
  <c r="F151" i="2"/>
  <c r="B151" i="2"/>
  <c r="F150" i="2"/>
  <c r="B150" i="2"/>
  <c r="F149" i="2"/>
  <c r="B149" i="2"/>
  <c r="F148" i="2"/>
  <c r="B148" i="2"/>
  <c r="F147" i="2"/>
  <c r="B147" i="2"/>
  <c r="F146" i="2"/>
  <c r="B146" i="2"/>
  <c r="F145" i="2"/>
  <c r="B145" i="2"/>
  <c r="F144" i="2"/>
  <c r="B144" i="2"/>
  <c r="F143" i="2"/>
  <c r="B143" i="2"/>
  <c r="F142" i="2"/>
  <c r="B142" i="2"/>
  <c r="F141" i="2"/>
  <c r="B141" i="2"/>
  <c r="F140" i="2"/>
  <c r="B140" i="2"/>
  <c r="F139" i="2"/>
  <c r="B139" i="2"/>
  <c r="F138" i="2"/>
  <c r="B138" i="2"/>
  <c r="F137" i="2"/>
  <c r="B137" i="2"/>
  <c r="F136" i="2"/>
  <c r="B136" i="2"/>
  <c r="F135" i="2"/>
  <c r="B135" i="2"/>
  <c r="F134" i="2"/>
  <c r="B134" i="2"/>
  <c r="F133" i="2"/>
  <c r="B133" i="2"/>
  <c r="F132" i="2"/>
  <c r="B132" i="2"/>
  <c r="F131" i="2"/>
  <c r="B131" i="2"/>
  <c r="F130" i="2"/>
  <c r="B130" i="2"/>
  <c r="F129" i="2"/>
  <c r="B129" i="2"/>
  <c r="F128" i="2"/>
  <c r="B128" i="2"/>
  <c r="F127" i="2"/>
  <c r="B127" i="2"/>
  <c r="F126" i="2"/>
  <c r="B126" i="2"/>
  <c r="F125" i="2"/>
  <c r="B125" i="2"/>
  <c r="F124" i="2"/>
  <c r="B124" i="2"/>
  <c r="F123" i="2"/>
  <c r="B123" i="2"/>
  <c r="F122" i="2"/>
  <c r="B122" i="2"/>
  <c r="F121" i="2"/>
  <c r="B121" i="2"/>
  <c r="F120" i="2"/>
  <c r="B120" i="2"/>
  <c r="F119" i="2"/>
  <c r="B119" i="2"/>
  <c r="F118" i="2"/>
  <c r="B118" i="2"/>
  <c r="F117" i="2"/>
  <c r="B117" i="2"/>
  <c r="F116" i="2"/>
  <c r="B116" i="2"/>
  <c r="F115" i="2"/>
  <c r="B115" i="2"/>
  <c r="F114" i="2"/>
  <c r="B114" i="2"/>
  <c r="F113" i="2"/>
  <c r="B113" i="2"/>
  <c r="F112" i="2"/>
  <c r="B112" i="2"/>
  <c r="F111" i="2"/>
  <c r="B111" i="2"/>
  <c r="F110" i="2"/>
  <c r="B110" i="2"/>
  <c r="F109" i="2"/>
  <c r="B109" i="2"/>
  <c r="F108" i="2"/>
  <c r="B108" i="2"/>
  <c r="F107" i="2"/>
  <c r="B107" i="2"/>
  <c r="F106" i="2"/>
  <c r="B106" i="2"/>
  <c r="F105" i="2"/>
  <c r="B105" i="2"/>
  <c r="F104" i="2"/>
  <c r="B104" i="2"/>
  <c r="F103" i="2"/>
  <c r="B103" i="2"/>
  <c r="F102" i="2"/>
  <c r="B102" i="2"/>
  <c r="F101" i="2"/>
  <c r="B101" i="2"/>
  <c r="F100" i="2"/>
  <c r="B100" i="2"/>
  <c r="F99" i="2"/>
  <c r="B99" i="2"/>
  <c r="F98" i="2"/>
  <c r="B98" i="2"/>
  <c r="F97" i="2"/>
  <c r="B97" i="2"/>
  <c r="F96" i="2"/>
  <c r="B96" i="2"/>
  <c r="F95" i="2"/>
  <c r="B95" i="2"/>
  <c r="F94" i="2"/>
  <c r="B94" i="2"/>
  <c r="F93" i="2"/>
  <c r="B93" i="2"/>
  <c r="F92" i="2"/>
  <c r="B92" i="2"/>
  <c r="F91" i="2"/>
  <c r="B91" i="2"/>
  <c r="F90" i="2"/>
  <c r="B90" i="2"/>
  <c r="F89" i="2"/>
  <c r="B89" i="2"/>
  <c r="F88" i="2"/>
  <c r="B88" i="2"/>
  <c r="F87" i="2"/>
  <c r="B87" i="2"/>
  <c r="F86" i="2"/>
  <c r="B86" i="2"/>
  <c r="F85" i="2"/>
  <c r="B85" i="2"/>
  <c r="F84" i="2"/>
  <c r="B84" i="2"/>
  <c r="F83" i="2"/>
  <c r="B83" i="2"/>
  <c r="F82" i="2"/>
  <c r="B82" i="2"/>
  <c r="F81" i="2"/>
  <c r="B81" i="2"/>
  <c r="F80" i="2"/>
  <c r="B80" i="2"/>
  <c r="F79" i="2"/>
  <c r="B79" i="2"/>
  <c r="F78" i="2"/>
  <c r="B78" i="2"/>
  <c r="F77" i="2"/>
  <c r="B77" i="2"/>
  <c r="F76" i="2"/>
  <c r="B76" i="2"/>
  <c r="F75" i="2"/>
  <c r="B75" i="2"/>
  <c r="F74" i="2"/>
  <c r="B74" i="2"/>
  <c r="F73" i="2"/>
  <c r="B73" i="2"/>
  <c r="F72" i="2"/>
  <c r="B72" i="2"/>
  <c r="F71" i="2"/>
  <c r="B71" i="2"/>
  <c r="F70" i="2"/>
  <c r="B70" i="2"/>
  <c r="F69" i="2"/>
  <c r="B69" i="2"/>
  <c r="F68" i="2"/>
  <c r="B68" i="2"/>
  <c r="F67" i="2"/>
  <c r="B67" i="2"/>
  <c r="F66" i="2"/>
  <c r="B66" i="2"/>
  <c r="F65" i="2"/>
  <c r="B65" i="2"/>
  <c r="F64" i="2"/>
  <c r="B64" i="2"/>
  <c r="F63" i="2"/>
  <c r="B63" i="2"/>
  <c r="F62" i="2"/>
  <c r="B62" i="2"/>
  <c r="F61" i="2"/>
  <c r="B61" i="2"/>
  <c r="F60" i="2"/>
  <c r="B60" i="2"/>
  <c r="F59" i="2"/>
  <c r="B59" i="2"/>
  <c r="F58" i="2"/>
  <c r="B58" i="2"/>
  <c r="F57" i="2"/>
  <c r="B57" i="2"/>
  <c r="F56" i="2"/>
  <c r="B56" i="2"/>
  <c r="F55" i="2"/>
  <c r="B55" i="2"/>
  <c r="F54" i="2"/>
  <c r="B54" i="2"/>
  <c r="F53" i="2"/>
  <c r="B53" i="2"/>
  <c r="F52" i="2"/>
  <c r="B52" i="2"/>
  <c r="F51" i="2"/>
  <c r="B51" i="2"/>
  <c r="F50" i="2"/>
  <c r="B50" i="2"/>
  <c r="F49" i="2"/>
  <c r="B49" i="2"/>
  <c r="F48" i="2"/>
  <c r="B48" i="2"/>
  <c r="F47" i="2"/>
  <c r="B47" i="2"/>
  <c r="F46" i="2"/>
  <c r="B46" i="2"/>
  <c r="F45" i="2"/>
  <c r="B45" i="2"/>
  <c r="F44" i="2"/>
  <c r="B44" i="2"/>
  <c r="F43" i="2"/>
  <c r="B43" i="2"/>
  <c r="F42" i="2"/>
  <c r="B42" i="2"/>
  <c r="F41" i="2"/>
  <c r="B41" i="2"/>
  <c r="F40" i="2"/>
  <c r="B40" i="2"/>
  <c r="F39" i="2"/>
  <c r="B39" i="2"/>
  <c r="F38" i="2"/>
  <c r="B38" i="2"/>
  <c r="F37" i="2"/>
  <c r="B37" i="2"/>
  <c r="F36" i="2"/>
  <c r="B36" i="2"/>
  <c r="F35" i="2"/>
  <c r="B35" i="2"/>
  <c r="F34" i="2"/>
  <c r="B34" i="2"/>
  <c r="F33" i="2"/>
  <c r="B33" i="2"/>
  <c r="F32" i="2"/>
  <c r="B32" i="2"/>
  <c r="F31" i="2"/>
  <c r="B31" i="2"/>
  <c r="F30" i="2"/>
  <c r="B30" i="2"/>
  <c r="F29" i="2"/>
  <c r="B29" i="2"/>
  <c r="F28" i="2"/>
  <c r="B28" i="2"/>
  <c r="F27" i="2"/>
  <c r="B27" i="2"/>
  <c r="F26" i="2"/>
  <c r="B26" i="2"/>
  <c r="F25" i="2"/>
  <c r="B25" i="2"/>
  <c r="F24" i="2"/>
  <c r="B24" i="2"/>
  <c r="F23" i="2"/>
  <c r="B23" i="2"/>
  <c r="F22" i="2"/>
  <c r="B22" i="2"/>
  <c r="F21" i="2"/>
  <c r="B21" i="2"/>
  <c r="F20" i="2"/>
  <c r="B20" i="2"/>
  <c r="F19" i="2"/>
  <c r="B19" i="2"/>
  <c r="F18" i="2"/>
  <c r="B18" i="2"/>
  <c r="F17" i="2"/>
  <c r="B17" i="2"/>
  <c r="F16" i="2"/>
  <c r="B16" i="2"/>
  <c r="F15" i="2"/>
  <c r="B15" i="2"/>
  <c r="F14" i="2"/>
  <c r="B14" i="2"/>
  <c r="F13" i="2"/>
  <c r="B13" i="2"/>
  <c r="F12" i="2"/>
  <c r="B12" i="2"/>
  <c r="F11" i="2"/>
  <c r="B11" i="2"/>
  <c r="F10" i="2"/>
  <c r="B10" i="2"/>
  <c r="F9" i="2"/>
  <c r="B9" i="2"/>
  <c r="F8" i="2"/>
  <c r="B8" i="2"/>
  <c r="F7" i="2"/>
  <c r="B7" i="2"/>
  <c r="F6" i="2"/>
  <c r="B6" i="2"/>
  <c r="F5" i="2"/>
  <c r="B5" i="2"/>
  <c r="F4" i="2"/>
  <c r="B4" i="2"/>
  <c r="F3" i="2"/>
  <c r="B3" i="2"/>
  <c r="F2" i="2"/>
  <c r="B2" i="2"/>
  <c r="I3912" i="1"/>
  <c r="B3912" i="1"/>
  <c r="I3911" i="1"/>
  <c r="B3911" i="1"/>
  <c r="I3910" i="1"/>
  <c r="B3910" i="1"/>
  <c r="I3909" i="1"/>
  <c r="B3909" i="1"/>
  <c r="I3908" i="1"/>
  <c r="B3908" i="1"/>
  <c r="I3907" i="1"/>
  <c r="B3907" i="1"/>
  <c r="I3906" i="1"/>
  <c r="B3906" i="1"/>
  <c r="I3905" i="1"/>
  <c r="B3905" i="1"/>
  <c r="I3904" i="1"/>
  <c r="B3904" i="1"/>
  <c r="I3903" i="1"/>
  <c r="B3903" i="1"/>
  <c r="I3902" i="1"/>
  <c r="B3902" i="1"/>
  <c r="I3901" i="1"/>
  <c r="B3901" i="1"/>
  <c r="I3900" i="1"/>
  <c r="B3900" i="1"/>
  <c r="I3899" i="1"/>
  <c r="B3899" i="1"/>
  <c r="I3898" i="1"/>
  <c r="B3898" i="1"/>
  <c r="I3897" i="1"/>
  <c r="B3897" i="1"/>
  <c r="I3896" i="1"/>
  <c r="B3896" i="1"/>
  <c r="I3895" i="1"/>
  <c r="B3895" i="1"/>
  <c r="I3894" i="1"/>
  <c r="B3894" i="1"/>
  <c r="I3893" i="1"/>
  <c r="B3893" i="1"/>
  <c r="I3892" i="1"/>
  <c r="B3892" i="1"/>
  <c r="I3891" i="1"/>
  <c r="B3891" i="1"/>
  <c r="I3890" i="1"/>
  <c r="B3890" i="1"/>
  <c r="I3889" i="1"/>
  <c r="B3889" i="1"/>
  <c r="I3888" i="1"/>
  <c r="B3888" i="1"/>
  <c r="I3887" i="1"/>
  <c r="B3887" i="1"/>
  <c r="I3886" i="1"/>
  <c r="B3886" i="1"/>
  <c r="I3885" i="1"/>
  <c r="B3885" i="1"/>
  <c r="I3884" i="1"/>
  <c r="B3884" i="1"/>
  <c r="I3883" i="1"/>
  <c r="B3883" i="1"/>
  <c r="I3882" i="1"/>
  <c r="B3882" i="1"/>
  <c r="I3881" i="1"/>
  <c r="B3881" i="1"/>
  <c r="I3880" i="1"/>
  <c r="B3880" i="1"/>
  <c r="I3879" i="1"/>
  <c r="B3879" i="1"/>
  <c r="I3878" i="1"/>
  <c r="B3878" i="1"/>
  <c r="I3877" i="1"/>
  <c r="B3877" i="1"/>
  <c r="I3876" i="1"/>
  <c r="B3876" i="1"/>
  <c r="I3875" i="1"/>
  <c r="B3875" i="1"/>
  <c r="I3874" i="1"/>
  <c r="B3874" i="1"/>
  <c r="I3873" i="1"/>
  <c r="B3873" i="1"/>
  <c r="I3872" i="1"/>
  <c r="B3872" i="1"/>
  <c r="I3871" i="1"/>
  <c r="B3871" i="1"/>
  <c r="I3870" i="1"/>
  <c r="B3870" i="1"/>
  <c r="I3869" i="1"/>
  <c r="B3869" i="1"/>
  <c r="I3868" i="1"/>
  <c r="B3868" i="1"/>
  <c r="I3867" i="1"/>
  <c r="B3867" i="1"/>
  <c r="I3866" i="1"/>
  <c r="B3866" i="1"/>
  <c r="I3865" i="1"/>
  <c r="B3865" i="1"/>
  <c r="I3864" i="1"/>
  <c r="B3864" i="1"/>
  <c r="I3863" i="1"/>
  <c r="B3863" i="1"/>
  <c r="I3862" i="1"/>
  <c r="B3862" i="1"/>
  <c r="I3861" i="1"/>
  <c r="B3861" i="1"/>
  <c r="I3860" i="1"/>
  <c r="B3860" i="1"/>
  <c r="I3859" i="1"/>
  <c r="B3859" i="1"/>
  <c r="I3858" i="1"/>
  <c r="B3858" i="1"/>
  <c r="I3857" i="1"/>
  <c r="B3857" i="1"/>
  <c r="I3856" i="1"/>
  <c r="B3856" i="1"/>
  <c r="I3855" i="1"/>
  <c r="B3855" i="1"/>
  <c r="I3854" i="1"/>
  <c r="B3854" i="1"/>
  <c r="I3853" i="1"/>
  <c r="B3853" i="1"/>
  <c r="I3852" i="1"/>
  <c r="B3852" i="1"/>
  <c r="I3851" i="1"/>
  <c r="B3851" i="1"/>
  <c r="I3850" i="1"/>
  <c r="B3850" i="1"/>
  <c r="I3849" i="1"/>
  <c r="B3849" i="1"/>
  <c r="I3848" i="1"/>
  <c r="B3848" i="1"/>
  <c r="I3847" i="1"/>
  <c r="B3847" i="1"/>
  <c r="I3846" i="1"/>
  <c r="B3846" i="1"/>
  <c r="I3845" i="1"/>
  <c r="B3845" i="1"/>
  <c r="I3844" i="1"/>
  <c r="B3844" i="1"/>
  <c r="I3843" i="1"/>
  <c r="B3843" i="1"/>
  <c r="I3842" i="1"/>
  <c r="B3842" i="1"/>
  <c r="I3841" i="1"/>
  <c r="B3841" i="1"/>
  <c r="I3840" i="1"/>
  <c r="B3840" i="1"/>
  <c r="I3839" i="1"/>
  <c r="B3839" i="1"/>
  <c r="I3838" i="1"/>
  <c r="B3838" i="1"/>
  <c r="I3837" i="1"/>
  <c r="B3837" i="1"/>
  <c r="I3836" i="1"/>
  <c r="B3836" i="1"/>
  <c r="I3835" i="1"/>
  <c r="B3835" i="1"/>
  <c r="I3834" i="1"/>
  <c r="B3834" i="1"/>
  <c r="I3833" i="1"/>
  <c r="B3833" i="1"/>
  <c r="I3832" i="1"/>
  <c r="B3832" i="1"/>
  <c r="I3831" i="1"/>
  <c r="B3831" i="1"/>
  <c r="I3830" i="1"/>
  <c r="B3830" i="1"/>
  <c r="I3829" i="1"/>
  <c r="B3829" i="1"/>
  <c r="I3828" i="1"/>
  <c r="B3828" i="1"/>
  <c r="I3827" i="1"/>
  <c r="B3827" i="1"/>
  <c r="I3826" i="1"/>
  <c r="B3826" i="1"/>
  <c r="I3825" i="1"/>
  <c r="B3825" i="1"/>
  <c r="I3824" i="1"/>
  <c r="B3824" i="1"/>
  <c r="I3823" i="1"/>
  <c r="B3823" i="1"/>
  <c r="I3822" i="1"/>
  <c r="B3822" i="1"/>
  <c r="I3821" i="1"/>
  <c r="B3821" i="1"/>
  <c r="I3820" i="1"/>
  <c r="B3820" i="1"/>
  <c r="I3819" i="1"/>
  <c r="B3819" i="1"/>
  <c r="I3818" i="1"/>
  <c r="B3818" i="1"/>
  <c r="I3817" i="1"/>
  <c r="B3817" i="1"/>
  <c r="I3816" i="1"/>
  <c r="B3816" i="1"/>
  <c r="I3815" i="1"/>
  <c r="B3815" i="1"/>
  <c r="I3814" i="1"/>
  <c r="B3814" i="1"/>
  <c r="I3813" i="1"/>
  <c r="B3813" i="1"/>
  <c r="I3812" i="1"/>
  <c r="B3812" i="1"/>
  <c r="I3811" i="1"/>
  <c r="B3811" i="1"/>
  <c r="I3810" i="1"/>
  <c r="B3810" i="1"/>
  <c r="I3809" i="1"/>
  <c r="B3809" i="1"/>
  <c r="I3808" i="1"/>
  <c r="B3808" i="1"/>
  <c r="I3807" i="1"/>
  <c r="B3807" i="1"/>
  <c r="I3806" i="1"/>
  <c r="B3806" i="1"/>
  <c r="I3805" i="1"/>
  <c r="B3805" i="1"/>
  <c r="I3804" i="1"/>
  <c r="B3804" i="1"/>
  <c r="I3803" i="1"/>
  <c r="E3803" i="1"/>
  <c r="B3803" i="1"/>
  <c r="I3802" i="1"/>
  <c r="B3802" i="1"/>
  <c r="I3801" i="1"/>
  <c r="B3801" i="1"/>
  <c r="I3800" i="1"/>
  <c r="B3800" i="1"/>
  <c r="I3799" i="1"/>
  <c r="B3799" i="1"/>
  <c r="I3798" i="1"/>
  <c r="B3798" i="1"/>
  <c r="I3797" i="1"/>
  <c r="B3797" i="1"/>
  <c r="I3796" i="1"/>
  <c r="B3796" i="1"/>
  <c r="I3795" i="1"/>
  <c r="B3795" i="1"/>
  <c r="I3794" i="1"/>
  <c r="B3794" i="1"/>
  <c r="I3793" i="1"/>
  <c r="B3793" i="1"/>
  <c r="I3792" i="1"/>
  <c r="B3792" i="1"/>
  <c r="I3791" i="1"/>
  <c r="B3791" i="1"/>
  <c r="I3790" i="1"/>
  <c r="B3790" i="1"/>
  <c r="I3789" i="1"/>
  <c r="B3789" i="1"/>
  <c r="I3788" i="1"/>
  <c r="B3788" i="1"/>
  <c r="I3787" i="1"/>
  <c r="B3787" i="1"/>
  <c r="I3786" i="1"/>
  <c r="B3786" i="1"/>
  <c r="I3785" i="1"/>
  <c r="B3785" i="1"/>
  <c r="I3784" i="1"/>
  <c r="B3784" i="1"/>
  <c r="I3783" i="1"/>
  <c r="B3783" i="1"/>
  <c r="I3782" i="1"/>
  <c r="B3782" i="1"/>
  <c r="I3781" i="1"/>
  <c r="B3781" i="1"/>
  <c r="I3780" i="1"/>
  <c r="B3780" i="1"/>
  <c r="I3779" i="1"/>
  <c r="B3779" i="1"/>
  <c r="I3778" i="1"/>
  <c r="B3778" i="1"/>
  <c r="I3777" i="1"/>
  <c r="B3777" i="1"/>
  <c r="I3776" i="1"/>
  <c r="B3776" i="1"/>
  <c r="I3775" i="1"/>
  <c r="B3775" i="1"/>
  <c r="I3774" i="1"/>
  <c r="B3774" i="1"/>
  <c r="I3773" i="1"/>
  <c r="B3773" i="1"/>
  <c r="I3772" i="1"/>
  <c r="B3772" i="1"/>
  <c r="I3771" i="1"/>
  <c r="B3771" i="1"/>
  <c r="I3770" i="1"/>
  <c r="B3770" i="1"/>
  <c r="I3769" i="1"/>
  <c r="B3769" i="1"/>
  <c r="I3768" i="1"/>
  <c r="B3768" i="1"/>
  <c r="I3767" i="1"/>
  <c r="B3767" i="1"/>
  <c r="I3766" i="1"/>
  <c r="B3766" i="1"/>
  <c r="I3765" i="1"/>
  <c r="B3765" i="1"/>
  <c r="I3764" i="1"/>
  <c r="B3764" i="1"/>
  <c r="I3763" i="1"/>
  <c r="B3763" i="1"/>
  <c r="I3762" i="1"/>
  <c r="B3762" i="1"/>
  <c r="I3761" i="1"/>
  <c r="B3761" i="1"/>
  <c r="I3760" i="1"/>
  <c r="B3760" i="1"/>
  <c r="I3759" i="1"/>
  <c r="B3759" i="1"/>
  <c r="I3758" i="1"/>
  <c r="B3758" i="1"/>
  <c r="I3757" i="1"/>
  <c r="B3757" i="1"/>
  <c r="I3756" i="1"/>
  <c r="B3756" i="1"/>
  <c r="I3755" i="1"/>
  <c r="B3755" i="1"/>
  <c r="I3754" i="1"/>
  <c r="B3754" i="1"/>
  <c r="I3753" i="1"/>
  <c r="B3753" i="1"/>
  <c r="I3752" i="1"/>
  <c r="B3752" i="1"/>
  <c r="I3751" i="1"/>
  <c r="B3751" i="1"/>
  <c r="I3750" i="1"/>
  <c r="B3750" i="1"/>
  <c r="I3749" i="1"/>
  <c r="B3749" i="1"/>
  <c r="I3748" i="1"/>
  <c r="B3748" i="1"/>
  <c r="I3747" i="1"/>
  <c r="B3747" i="1"/>
  <c r="I3746" i="1"/>
  <c r="B3746" i="1"/>
  <c r="I3745" i="1"/>
  <c r="B3745" i="1"/>
  <c r="I3744" i="1"/>
  <c r="B3744" i="1"/>
  <c r="I3743" i="1"/>
  <c r="B3743" i="1"/>
  <c r="I3742" i="1"/>
  <c r="B3742" i="1"/>
  <c r="I3741" i="1"/>
  <c r="B3741" i="1"/>
  <c r="I3740" i="1"/>
  <c r="B3740" i="1"/>
  <c r="I3739" i="1"/>
  <c r="B3739" i="1"/>
  <c r="I3738" i="1"/>
  <c r="B3738" i="1"/>
  <c r="I3737" i="1"/>
  <c r="B3737" i="1"/>
  <c r="I3736" i="1"/>
  <c r="B3736" i="1"/>
  <c r="I3735" i="1"/>
  <c r="B3735" i="1"/>
  <c r="I3734" i="1"/>
  <c r="B3734" i="1"/>
  <c r="I3733" i="1"/>
  <c r="B3733" i="1"/>
  <c r="I3732" i="1"/>
  <c r="B3732" i="1"/>
  <c r="I3731" i="1"/>
  <c r="B3731" i="1"/>
  <c r="I3730" i="1"/>
  <c r="B3730" i="1"/>
  <c r="I3729" i="1"/>
  <c r="B3729" i="1"/>
  <c r="I3728" i="1"/>
  <c r="B3728" i="1"/>
  <c r="I3727" i="1"/>
  <c r="B3727" i="1"/>
  <c r="I3726" i="1"/>
  <c r="B3726" i="1"/>
  <c r="I3725" i="1"/>
  <c r="B3725" i="1"/>
  <c r="I3724" i="1"/>
  <c r="B3724" i="1"/>
  <c r="I3723" i="1"/>
  <c r="B3723" i="1"/>
  <c r="I3722" i="1"/>
  <c r="B3722" i="1"/>
  <c r="I3721" i="1"/>
  <c r="B3721" i="1"/>
  <c r="I3720" i="1"/>
  <c r="B3720" i="1"/>
  <c r="I3719" i="1"/>
  <c r="B3719" i="1"/>
  <c r="I3718" i="1"/>
  <c r="B3718" i="1"/>
  <c r="I3717" i="1"/>
  <c r="B3717" i="1"/>
  <c r="I3716" i="1"/>
  <c r="B3716" i="1"/>
  <c r="I3715" i="1"/>
  <c r="B3715" i="1"/>
  <c r="I3714" i="1"/>
  <c r="B3714" i="1"/>
  <c r="I3713" i="1"/>
  <c r="B3713" i="1"/>
  <c r="I3712" i="1"/>
  <c r="B3712" i="1"/>
  <c r="I3711" i="1"/>
  <c r="B3711" i="1"/>
  <c r="I3710" i="1"/>
  <c r="B3710" i="1"/>
  <c r="I3709" i="1"/>
  <c r="B3709" i="1"/>
  <c r="I3708" i="1"/>
  <c r="B3708" i="1"/>
  <c r="I3707" i="1"/>
  <c r="B3707" i="1"/>
  <c r="I3706" i="1"/>
  <c r="B3706" i="1"/>
  <c r="I3705" i="1"/>
  <c r="B3705" i="1"/>
  <c r="I3704" i="1"/>
  <c r="B3704" i="1"/>
  <c r="I3703" i="1"/>
  <c r="B3703" i="1"/>
  <c r="I3702" i="1"/>
  <c r="B3702" i="1"/>
  <c r="I3701" i="1"/>
  <c r="B3701" i="1"/>
  <c r="I3700" i="1"/>
  <c r="B3700" i="1"/>
  <c r="I3699" i="1"/>
  <c r="B3699" i="1"/>
  <c r="I3698" i="1"/>
  <c r="B3698" i="1"/>
  <c r="I3697" i="1"/>
  <c r="B3697" i="1"/>
  <c r="I3696" i="1"/>
  <c r="B3696" i="1"/>
  <c r="I3695" i="1"/>
  <c r="B3695" i="1"/>
  <c r="I3694" i="1"/>
  <c r="B3694" i="1"/>
  <c r="I3693" i="1"/>
  <c r="B3693" i="1"/>
  <c r="I3692" i="1"/>
  <c r="B3692" i="1"/>
  <c r="I3691" i="1"/>
  <c r="B3691" i="1"/>
  <c r="I3690" i="1"/>
  <c r="B3690" i="1"/>
  <c r="I3689" i="1"/>
  <c r="B3689" i="1"/>
  <c r="I3688" i="1"/>
  <c r="B3688" i="1"/>
  <c r="I3687" i="1"/>
  <c r="B3687" i="1"/>
  <c r="I3686" i="1"/>
  <c r="B3686" i="1"/>
  <c r="I3685" i="1"/>
  <c r="B3685" i="1"/>
  <c r="I3684" i="1"/>
  <c r="B3684" i="1"/>
  <c r="I3683" i="1"/>
  <c r="B3683" i="1"/>
  <c r="I3682" i="1"/>
  <c r="B3682" i="1"/>
  <c r="I3681" i="1"/>
  <c r="B3681" i="1"/>
  <c r="I3680" i="1"/>
  <c r="B3680" i="1"/>
  <c r="I3679" i="1"/>
  <c r="B3679" i="1"/>
  <c r="I3678" i="1"/>
  <c r="B3678" i="1"/>
  <c r="I3677" i="1"/>
  <c r="B3677" i="1"/>
  <c r="I3676" i="1"/>
  <c r="B3676" i="1"/>
  <c r="I3675" i="1"/>
  <c r="B3675" i="1"/>
  <c r="I3674" i="1"/>
  <c r="B3674" i="1"/>
  <c r="I3673" i="1"/>
  <c r="B3673" i="1"/>
  <c r="I3672" i="1"/>
  <c r="B3672" i="1"/>
  <c r="I3671" i="1"/>
  <c r="B3671" i="1"/>
  <c r="I3670" i="1"/>
  <c r="B3670" i="1"/>
  <c r="I3669" i="1"/>
  <c r="B3669" i="1"/>
  <c r="I3668" i="1"/>
  <c r="B3668" i="1"/>
  <c r="I3667" i="1"/>
  <c r="B3667" i="1"/>
  <c r="I3666" i="1"/>
  <c r="B3666" i="1"/>
  <c r="I3665" i="1"/>
  <c r="B3665" i="1"/>
  <c r="I3664" i="1"/>
  <c r="B3664" i="1"/>
  <c r="I3663" i="1"/>
  <c r="B3663" i="1"/>
  <c r="I3662" i="1"/>
  <c r="E3662" i="1"/>
  <c r="B3662" i="1"/>
  <c r="I3661" i="1"/>
  <c r="B3661" i="1"/>
  <c r="I3660" i="1"/>
  <c r="B3660" i="1"/>
  <c r="I3659" i="1"/>
  <c r="B3659" i="1"/>
  <c r="I3658" i="1"/>
  <c r="B3658" i="1"/>
  <c r="I3657" i="1"/>
  <c r="B3657" i="1"/>
  <c r="I3656" i="1"/>
  <c r="B3656" i="1"/>
  <c r="I3655" i="1"/>
  <c r="B3655" i="1"/>
  <c r="I3654" i="1"/>
  <c r="B3654" i="1"/>
  <c r="I3653" i="1"/>
  <c r="B3653" i="1"/>
  <c r="I3652" i="1"/>
  <c r="B3652" i="1"/>
  <c r="I3651" i="1"/>
  <c r="B3651" i="1"/>
  <c r="I3650" i="1"/>
  <c r="B3650" i="1"/>
  <c r="I3649" i="1"/>
  <c r="B3649" i="1"/>
  <c r="I3648" i="1"/>
  <c r="B3648" i="1"/>
  <c r="I3647" i="1"/>
  <c r="B3647" i="1"/>
  <c r="I3646" i="1"/>
  <c r="B3646" i="1"/>
  <c r="I3645" i="1"/>
  <c r="B3645" i="1"/>
  <c r="I3644" i="1"/>
  <c r="B3644" i="1"/>
  <c r="I3643" i="1"/>
  <c r="B3643" i="1"/>
  <c r="I3642" i="1"/>
  <c r="B3642" i="1"/>
  <c r="I3641" i="1"/>
  <c r="B3641" i="1"/>
  <c r="I3640" i="1"/>
  <c r="B3640" i="1"/>
  <c r="I3639" i="1"/>
  <c r="B3639" i="1"/>
  <c r="I3638" i="1"/>
  <c r="B3638" i="1"/>
  <c r="I3637" i="1"/>
  <c r="B3637" i="1"/>
  <c r="I3636" i="1"/>
  <c r="B3636" i="1"/>
  <c r="I3635" i="1"/>
  <c r="B3635" i="1"/>
  <c r="I3634" i="1"/>
  <c r="B3634" i="1"/>
  <c r="I3633" i="1"/>
  <c r="B3633" i="1"/>
  <c r="I3632" i="1"/>
  <c r="B3632" i="1"/>
  <c r="I3631" i="1"/>
  <c r="B3631" i="1"/>
  <c r="I3630" i="1"/>
  <c r="B3630" i="1"/>
  <c r="I3629" i="1"/>
  <c r="B3629" i="1"/>
  <c r="I3628" i="1"/>
  <c r="E3628" i="1"/>
  <c r="B3628" i="1"/>
  <c r="I3627" i="1"/>
  <c r="B3627" i="1"/>
  <c r="I3626" i="1"/>
  <c r="B3626" i="1"/>
  <c r="I3625" i="1"/>
  <c r="B3625" i="1"/>
  <c r="I3624" i="1"/>
  <c r="B3624" i="1"/>
  <c r="I3623" i="1"/>
  <c r="B3623" i="1"/>
  <c r="I3622" i="1"/>
  <c r="B3622" i="1"/>
  <c r="I3621" i="1"/>
  <c r="B3621" i="1"/>
  <c r="I3620" i="1"/>
  <c r="B3620" i="1"/>
  <c r="I3619" i="1"/>
  <c r="B3619" i="1"/>
  <c r="I3618" i="1"/>
  <c r="B3618" i="1"/>
  <c r="I3617" i="1"/>
  <c r="B3617" i="1"/>
  <c r="I3616" i="1"/>
  <c r="B3616" i="1"/>
  <c r="I3615" i="1"/>
  <c r="B3615" i="1"/>
  <c r="I3614" i="1"/>
  <c r="B3614" i="1"/>
  <c r="I3613" i="1"/>
  <c r="B3613" i="1"/>
  <c r="I3612" i="1"/>
  <c r="B3612" i="1"/>
  <c r="I3611" i="1"/>
  <c r="B3611" i="1"/>
  <c r="I3610" i="1"/>
  <c r="B3610" i="1"/>
  <c r="I3609" i="1"/>
  <c r="B3609" i="1"/>
  <c r="I3608" i="1"/>
  <c r="B3608" i="1"/>
  <c r="I3607" i="1"/>
  <c r="B3607" i="1"/>
  <c r="I3606" i="1"/>
  <c r="B3606" i="1"/>
  <c r="I3605" i="1"/>
  <c r="B3605" i="1"/>
  <c r="I3604" i="1"/>
  <c r="B3604" i="1"/>
  <c r="I3603" i="1"/>
  <c r="B3603" i="1"/>
  <c r="I3602" i="1"/>
  <c r="B3602" i="1"/>
  <c r="I3601" i="1"/>
  <c r="B3601" i="1"/>
  <c r="I3600" i="1"/>
  <c r="B3600" i="1"/>
  <c r="I3599" i="1"/>
  <c r="B3599" i="1"/>
  <c r="I3598" i="1"/>
  <c r="B3598" i="1"/>
  <c r="I3597" i="1"/>
  <c r="B3597" i="1"/>
  <c r="I3596" i="1"/>
  <c r="B3596" i="1"/>
  <c r="I3595" i="1"/>
  <c r="B3595" i="1"/>
  <c r="I3594" i="1"/>
  <c r="B3594" i="1"/>
  <c r="I3593" i="1"/>
  <c r="B3593" i="1"/>
  <c r="I3592" i="1"/>
  <c r="B3592" i="1"/>
  <c r="I3591" i="1"/>
  <c r="B3591" i="1"/>
  <c r="I3590" i="1"/>
  <c r="B3590" i="1"/>
  <c r="I3589" i="1"/>
  <c r="B3589" i="1"/>
  <c r="I3588" i="1"/>
  <c r="B3588" i="1"/>
  <c r="I3587" i="1"/>
  <c r="B3587" i="1"/>
  <c r="I3586" i="1"/>
  <c r="B3586" i="1"/>
  <c r="I3585" i="1"/>
  <c r="B3585" i="1"/>
  <c r="I3584" i="1"/>
  <c r="B3584" i="1"/>
  <c r="I3583" i="1"/>
  <c r="B3583" i="1"/>
  <c r="I3582" i="1"/>
  <c r="B3582" i="1"/>
  <c r="I3581" i="1"/>
  <c r="B3581" i="1"/>
  <c r="I3580" i="1"/>
  <c r="B3580" i="1"/>
  <c r="I3579" i="1"/>
  <c r="B3579" i="1"/>
  <c r="I3578" i="1"/>
  <c r="B3578" i="1"/>
  <c r="I3577" i="1"/>
  <c r="B3577" i="1"/>
  <c r="I3576" i="1"/>
  <c r="B3576" i="1"/>
  <c r="I3575" i="1"/>
  <c r="B3575" i="1"/>
  <c r="I3574" i="1"/>
  <c r="B3574" i="1"/>
  <c r="I3573" i="1"/>
  <c r="B3573" i="1"/>
  <c r="I3572" i="1"/>
  <c r="B3572" i="1"/>
  <c r="I3571" i="1"/>
  <c r="B3571" i="1"/>
  <c r="I3570" i="1"/>
  <c r="B3570" i="1"/>
  <c r="I3569" i="1"/>
  <c r="B3569" i="1"/>
  <c r="I3568" i="1"/>
  <c r="B3568" i="1"/>
  <c r="I3567" i="1"/>
  <c r="B3567" i="1"/>
  <c r="I3566" i="1"/>
  <c r="B3566" i="1"/>
  <c r="I3565" i="1"/>
  <c r="B3565" i="1"/>
  <c r="I3564" i="1"/>
  <c r="B3564" i="1"/>
  <c r="I3563" i="1"/>
  <c r="B3563" i="1"/>
  <c r="I3562" i="1"/>
  <c r="B3562" i="1"/>
  <c r="I3561" i="1"/>
  <c r="B3561" i="1"/>
  <c r="I3560" i="1"/>
  <c r="B3560" i="1"/>
  <c r="I3559" i="1"/>
  <c r="B3559" i="1"/>
  <c r="I3558" i="1"/>
  <c r="B3558" i="1"/>
  <c r="I3557" i="1"/>
  <c r="B3557" i="1"/>
  <c r="I3556" i="1"/>
  <c r="B3556" i="1"/>
  <c r="I3555" i="1"/>
  <c r="B3555" i="1"/>
  <c r="I3554" i="1"/>
  <c r="B3554" i="1"/>
  <c r="I3553" i="1"/>
  <c r="B3553" i="1"/>
  <c r="I3552" i="1"/>
  <c r="B3552" i="1"/>
  <c r="I3551" i="1"/>
  <c r="B3551" i="1"/>
  <c r="I3550" i="1"/>
  <c r="B3550" i="1"/>
  <c r="I3549" i="1"/>
  <c r="B3549" i="1"/>
  <c r="I3548" i="1"/>
  <c r="B3548" i="1"/>
  <c r="I3547" i="1"/>
  <c r="B3547" i="1"/>
  <c r="I3546" i="1"/>
  <c r="B3546" i="1"/>
  <c r="I3545" i="1"/>
  <c r="B3545" i="1"/>
  <c r="I3544" i="1"/>
  <c r="B3544" i="1"/>
  <c r="I3543" i="1"/>
  <c r="B3543" i="1"/>
  <c r="I3542" i="1"/>
  <c r="B3542" i="1"/>
  <c r="I3541" i="1"/>
  <c r="B3541" i="1"/>
  <c r="I3540" i="1"/>
  <c r="B3540" i="1"/>
  <c r="I3539" i="1"/>
  <c r="B3539" i="1"/>
  <c r="I3538" i="1"/>
  <c r="B3538" i="1"/>
  <c r="I3537" i="1"/>
  <c r="B3537" i="1"/>
  <c r="I3536" i="1"/>
  <c r="B3536" i="1"/>
  <c r="I3535" i="1"/>
  <c r="B3535" i="1"/>
  <c r="I3534" i="1"/>
  <c r="B3534" i="1"/>
  <c r="I3533" i="1"/>
  <c r="B3533" i="1"/>
  <c r="I3532" i="1"/>
  <c r="B3532" i="1"/>
  <c r="I3531" i="1"/>
  <c r="B3531" i="1"/>
  <c r="I3530" i="1"/>
  <c r="B3530" i="1"/>
  <c r="I3529" i="1"/>
  <c r="B3529" i="1"/>
  <c r="I3528" i="1"/>
  <c r="B3528" i="1"/>
  <c r="I3527" i="1"/>
  <c r="B3527" i="1"/>
  <c r="I3526" i="1"/>
  <c r="B3526" i="1"/>
  <c r="I3525" i="1"/>
  <c r="B3525" i="1"/>
  <c r="I3524" i="1"/>
  <c r="B3524" i="1"/>
  <c r="I3523" i="1"/>
  <c r="B3523" i="1"/>
  <c r="I3522" i="1"/>
  <c r="B3522" i="1"/>
  <c r="I3521" i="1"/>
  <c r="B3521" i="1"/>
  <c r="I3520" i="1"/>
  <c r="B3520" i="1"/>
  <c r="I3519" i="1"/>
  <c r="B3519" i="1"/>
  <c r="I3518" i="1"/>
  <c r="B3518" i="1"/>
  <c r="I3517" i="1"/>
  <c r="B3517" i="1"/>
  <c r="I3516" i="1"/>
  <c r="B3516" i="1"/>
  <c r="I3515" i="1"/>
  <c r="B3515" i="1"/>
  <c r="I3514" i="1"/>
  <c r="B3514" i="1"/>
  <c r="I3513" i="1"/>
  <c r="B3513" i="1"/>
  <c r="I3512" i="1"/>
  <c r="B3512" i="1"/>
  <c r="I3511" i="1"/>
  <c r="B3511" i="1"/>
  <c r="I3510" i="1"/>
  <c r="B3510" i="1"/>
  <c r="I3509" i="1"/>
  <c r="B3509" i="1"/>
  <c r="I3508" i="1"/>
  <c r="B3508" i="1"/>
  <c r="I3507" i="1"/>
  <c r="B3507" i="1"/>
  <c r="I3506" i="1"/>
  <c r="B3506" i="1"/>
  <c r="I3505" i="1"/>
  <c r="B3505" i="1"/>
  <c r="I3504" i="1"/>
  <c r="B3504" i="1"/>
  <c r="I3503" i="1"/>
  <c r="B3503" i="1"/>
  <c r="I3502" i="1"/>
  <c r="B3502" i="1"/>
  <c r="I3501" i="1"/>
  <c r="B3501" i="1"/>
  <c r="I3500" i="1"/>
  <c r="B3500" i="1"/>
  <c r="I3499" i="1"/>
  <c r="B3499" i="1"/>
  <c r="I3498" i="1"/>
  <c r="B3498" i="1"/>
  <c r="I3497" i="1"/>
  <c r="B3497" i="1"/>
  <c r="I3496" i="1"/>
  <c r="B3496" i="1"/>
  <c r="I3495" i="1"/>
  <c r="B3495" i="1"/>
  <c r="I3494" i="1"/>
  <c r="B3494" i="1"/>
  <c r="I3493" i="1"/>
  <c r="B3493" i="1"/>
  <c r="I3492" i="1"/>
  <c r="B3492" i="1"/>
  <c r="I3491" i="1"/>
  <c r="B3491" i="1"/>
  <c r="I3490" i="1"/>
  <c r="B3490" i="1"/>
  <c r="I3489" i="1"/>
  <c r="B3489" i="1"/>
  <c r="I3488" i="1"/>
  <c r="B3488" i="1"/>
  <c r="I3487" i="1"/>
  <c r="B3487" i="1"/>
  <c r="I3486" i="1"/>
  <c r="B3486" i="1"/>
  <c r="I3485" i="1"/>
  <c r="B3485" i="1"/>
  <c r="I3484" i="1"/>
  <c r="B3484" i="1"/>
  <c r="I3483" i="1"/>
  <c r="B3483" i="1"/>
  <c r="I3482" i="1"/>
  <c r="B3482" i="1"/>
  <c r="I3481" i="1"/>
  <c r="B3481" i="1"/>
  <c r="I3480" i="1"/>
  <c r="B3480" i="1"/>
  <c r="I3479" i="1"/>
  <c r="B3479" i="1"/>
  <c r="I3478" i="1"/>
  <c r="B3478" i="1"/>
  <c r="I3477" i="1"/>
  <c r="B3477" i="1"/>
  <c r="I3476" i="1"/>
  <c r="B3476" i="1"/>
  <c r="I3475" i="1"/>
  <c r="B3475" i="1"/>
  <c r="I3474" i="1"/>
  <c r="B3474" i="1"/>
  <c r="I3473" i="1"/>
  <c r="B3473" i="1"/>
  <c r="I3472" i="1"/>
  <c r="B3472" i="1"/>
  <c r="I3471" i="1"/>
  <c r="B3471" i="1"/>
  <c r="I3470" i="1"/>
  <c r="B3470" i="1"/>
  <c r="I3469" i="1"/>
  <c r="B3469" i="1"/>
  <c r="I3468" i="1"/>
  <c r="B3468" i="1"/>
  <c r="I3467" i="1"/>
  <c r="B3467" i="1"/>
  <c r="I3466" i="1"/>
  <c r="B3466" i="1"/>
  <c r="I3465" i="1"/>
  <c r="B3465" i="1"/>
  <c r="I3464" i="1"/>
  <c r="B3464" i="1"/>
  <c r="I3463" i="1"/>
  <c r="B3463" i="1"/>
  <c r="I3462" i="1"/>
  <c r="B3462" i="1"/>
  <c r="I3461" i="1"/>
  <c r="B3461" i="1"/>
  <c r="I3460" i="1"/>
  <c r="B3460" i="1"/>
  <c r="I3459" i="1"/>
  <c r="B3459" i="1"/>
  <c r="I3458" i="1"/>
  <c r="B3458" i="1"/>
  <c r="I3457" i="1"/>
  <c r="B3457" i="1"/>
  <c r="I3456" i="1"/>
  <c r="B3456" i="1"/>
  <c r="I3455" i="1"/>
  <c r="B3455" i="1"/>
  <c r="I3454" i="1"/>
  <c r="B3454" i="1"/>
  <c r="I3453" i="1"/>
  <c r="B3453" i="1"/>
  <c r="I3452" i="1"/>
  <c r="B3452" i="1"/>
  <c r="I3451" i="1"/>
  <c r="B3451" i="1"/>
  <c r="I3450" i="1"/>
  <c r="B3450" i="1"/>
  <c r="I3449" i="1"/>
  <c r="B3449" i="1"/>
  <c r="I3448" i="1"/>
  <c r="B3448" i="1"/>
  <c r="I3447" i="1"/>
  <c r="B3447" i="1"/>
  <c r="I3446" i="1"/>
  <c r="B3446" i="1"/>
  <c r="I3445" i="1"/>
  <c r="B3445" i="1"/>
  <c r="I3444" i="1"/>
  <c r="B3444" i="1"/>
  <c r="I3443" i="1"/>
  <c r="B3443" i="1"/>
  <c r="I3442" i="1"/>
  <c r="B3442" i="1"/>
  <c r="I3441" i="1"/>
  <c r="B3441" i="1"/>
  <c r="I3440" i="1"/>
  <c r="B3440" i="1"/>
  <c r="I3439" i="1"/>
  <c r="B3439" i="1"/>
  <c r="I3438" i="1"/>
  <c r="B3438" i="1"/>
  <c r="I3437" i="1"/>
  <c r="B3437" i="1"/>
  <c r="I3436" i="1"/>
  <c r="B3436" i="1"/>
  <c r="I3435" i="1"/>
  <c r="B3435" i="1"/>
  <c r="I3434" i="1"/>
  <c r="B3434" i="1"/>
  <c r="I3433" i="1"/>
  <c r="B3433" i="1"/>
  <c r="I3432" i="1"/>
  <c r="B3432" i="1"/>
  <c r="I3431" i="1"/>
  <c r="B3431" i="1"/>
  <c r="I3430" i="1"/>
  <c r="B3430" i="1"/>
  <c r="I3429" i="1"/>
  <c r="B3429" i="1"/>
  <c r="I3428" i="1"/>
  <c r="B3428" i="1"/>
  <c r="I3427" i="1"/>
  <c r="B3427" i="1"/>
  <c r="I3426" i="1"/>
  <c r="B3426" i="1"/>
  <c r="I3425" i="1"/>
  <c r="B3425" i="1"/>
  <c r="I3424" i="1"/>
  <c r="B3424" i="1"/>
  <c r="I3423" i="1"/>
  <c r="B3423" i="1"/>
  <c r="I3422" i="1"/>
  <c r="B3422" i="1"/>
  <c r="I3421" i="1"/>
  <c r="B3421" i="1"/>
  <c r="I3420" i="1"/>
  <c r="B3420" i="1"/>
  <c r="I3419" i="1"/>
  <c r="B3419" i="1"/>
  <c r="I3418" i="1"/>
  <c r="B3418" i="1"/>
  <c r="I3417" i="1"/>
  <c r="B3417" i="1"/>
  <c r="I3416" i="1"/>
  <c r="B3416" i="1"/>
  <c r="I3415" i="1"/>
  <c r="B3415" i="1"/>
  <c r="I3414" i="1"/>
  <c r="B3414" i="1"/>
  <c r="I3413" i="1"/>
  <c r="B3413" i="1"/>
  <c r="I3412" i="1"/>
  <c r="B3412" i="1"/>
  <c r="I3411" i="1"/>
  <c r="B3411" i="1"/>
  <c r="I3410" i="1"/>
  <c r="B3410" i="1"/>
  <c r="I3409" i="1"/>
  <c r="B3409" i="1"/>
  <c r="I3408" i="1"/>
  <c r="B3408" i="1"/>
  <c r="I3407" i="1"/>
  <c r="B3407" i="1"/>
  <c r="I3406" i="1"/>
  <c r="B3406" i="1"/>
  <c r="I3405" i="1"/>
  <c r="B3405" i="1"/>
  <c r="I3404" i="1"/>
  <c r="B3404" i="1"/>
  <c r="I3403" i="1"/>
  <c r="B3403" i="1"/>
  <c r="I3402" i="1"/>
  <c r="B3402" i="1"/>
  <c r="I3401" i="1"/>
  <c r="B3401" i="1"/>
  <c r="I3400" i="1"/>
  <c r="B3400" i="1"/>
  <c r="I3399" i="1"/>
  <c r="B3399" i="1"/>
  <c r="I3398" i="1"/>
  <c r="B3398" i="1"/>
  <c r="I3397" i="1"/>
  <c r="B3397" i="1"/>
  <c r="I3396" i="1"/>
  <c r="B3396" i="1"/>
  <c r="I3395" i="1"/>
  <c r="B3395" i="1"/>
  <c r="I3394" i="1"/>
  <c r="B3394" i="1"/>
  <c r="I3393" i="1"/>
  <c r="B3393" i="1"/>
  <c r="I3392" i="1"/>
  <c r="B3392" i="1"/>
  <c r="I3391" i="1"/>
  <c r="B3391" i="1"/>
  <c r="I3390" i="1"/>
  <c r="B3390" i="1"/>
  <c r="I3389" i="1"/>
  <c r="B3389" i="1"/>
  <c r="I3388" i="1"/>
  <c r="B3388" i="1"/>
  <c r="I3387" i="1"/>
  <c r="B3387" i="1"/>
  <c r="I3386" i="1"/>
  <c r="B3386" i="1"/>
  <c r="I3385" i="1"/>
  <c r="B3385" i="1"/>
  <c r="I3384" i="1"/>
  <c r="B3384" i="1"/>
  <c r="I3383" i="1"/>
  <c r="B3383" i="1"/>
  <c r="I3382" i="1"/>
  <c r="B3382" i="1"/>
  <c r="I3381" i="1"/>
  <c r="B3381" i="1"/>
  <c r="I3380" i="1"/>
  <c r="B3380" i="1"/>
  <c r="I3379" i="1"/>
  <c r="B3379" i="1"/>
  <c r="I3378" i="1"/>
  <c r="B3378" i="1"/>
  <c r="I3377" i="1"/>
  <c r="B3377" i="1"/>
  <c r="I3376" i="1"/>
  <c r="B3376" i="1"/>
  <c r="I3375" i="1"/>
  <c r="B3375" i="1"/>
  <c r="I3374" i="1"/>
  <c r="B3374" i="1"/>
  <c r="I3373" i="1"/>
  <c r="B3373" i="1"/>
  <c r="I3372" i="1"/>
  <c r="B3372" i="1"/>
  <c r="I3371" i="1"/>
  <c r="B3371" i="1"/>
  <c r="I3370" i="1"/>
  <c r="B3370" i="1"/>
  <c r="I3369" i="1"/>
  <c r="B3369" i="1"/>
  <c r="I3368" i="1"/>
  <c r="B3368" i="1"/>
  <c r="I3367" i="1"/>
  <c r="B3367" i="1"/>
  <c r="I3366" i="1"/>
  <c r="B3366" i="1"/>
  <c r="I3365" i="1"/>
  <c r="B3365" i="1"/>
  <c r="I3364" i="1"/>
  <c r="B3364" i="1"/>
  <c r="I3363" i="1"/>
  <c r="B3363" i="1"/>
  <c r="I3362" i="1"/>
  <c r="B3362" i="1"/>
  <c r="I3361" i="1"/>
  <c r="B3361" i="1"/>
  <c r="I3360" i="1"/>
  <c r="B3360" i="1"/>
  <c r="I3359" i="1"/>
  <c r="B3359" i="1"/>
  <c r="I3358" i="1"/>
  <c r="E3358" i="1"/>
  <c r="B3358" i="1"/>
  <c r="I3357" i="1"/>
  <c r="B3357" i="1"/>
  <c r="I3356" i="1"/>
  <c r="B3356" i="1"/>
  <c r="I3355" i="1"/>
  <c r="B3355" i="1"/>
  <c r="I3354" i="1"/>
  <c r="B3354" i="1"/>
  <c r="I3353" i="1"/>
  <c r="B3353" i="1"/>
  <c r="I3352" i="1"/>
  <c r="B3352" i="1"/>
  <c r="I3351" i="1"/>
  <c r="B3351" i="1"/>
  <c r="I3350" i="1"/>
  <c r="B3350" i="1"/>
  <c r="I3349" i="1"/>
  <c r="B3349" i="1"/>
  <c r="I3348" i="1"/>
  <c r="B3348" i="1"/>
  <c r="I3347" i="1"/>
  <c r="B3347" i="1"/>
  <c r="I3346" i="1"/>
  <c r="B3346" i="1"/>
  <c r="I3345" i="1"/>
  <c r="B3345" i="1"/>
  <c r="I3344" i="1"/>
  <c r="B3344" i="1"/>
  <c r="I3343" i="1"/>
  <c r="B3343" i="1"/>
  <c r="I3342" i="1"/>
  <c r="B3342" i="1"/>
  <c r="I3341" i="1"/>
  <c r="B3341" i="1"/>
  <c r="I3340" i="1"/>
  <c r="B3340" i="1"/>
  <c r="I3339" i="1"/>
  <c r="B3339" i="1"/>
  <c r="I3338" i="1"/>
  <c r="B3338" i="1"/>
  <c r="I3337" i="1"/>
  <c r="B3337" i="1"/>
  <c r="I3336" i="1"/>
  <c r="B3336" i="1"/>
  <c r="I3335" i="1"/>
  <c r="B3335" i="1"/>
  <c r="I3334" i="1"/>
  <c r="B3334" i="1"/>
  <c r="I3333" i="1"/>
  <c r="B3333" i="1"/>
  <c r="I3332" i="1"/>
  <c r="B3332" i="1"/>
  <c r="I3331" i="1"/>
  <c r="B3331" i="1"/>
  <c r="I3330" i="1"/>
  <c r="B3330" i="1"/>
  <c r="I3329" i="1"/>
  <c r="B3329" i="1"/>
  <c r="I3328" i="1"/>
  <c r="B3328" i="1"/>
  <c r="I3327" i="1"/>
  <c r="B3327" i="1"/>
  <c r="I3326" i="1"/>
  <c r="B3326" i="1"/>
  <c r="I3325" i="1"/>
  <c r="B3325" i="1"/>
  <c r="I3324" i="1"/>
  <c r="B3324" i="1"/>
  <c r="I3323" i="1"/>
  <c r="B3323" i="1"/>
  <c r="I3322" i="1"/>
  <c r="B3322" i="1"/>
  <c r="I3321" i="1"/>
  <c r="B3321" i="1"/>
  <c r="I3320" i="1"/>
  <c r="B3320" i="1"/>
  <c r="I3319" i="1"/>
  <c r="B3319" i="1"/>
  <c r="I3318" i="1"/>
  <c r="B3318" i="1"/>
  <c r="I3317" i="1"/>
  <c r="B3317" i="1"/>
  <c r="I3316" i="1"/>
  <c r="B3316" i="1"/>
  <c r="I3315" i="1"/>
  <c r="B3315" i="1"/>
  <c r="I3314" i="1"/>
  <c r="B3314" i="1"/>
  <c r="I3313" i="1"/>
  <c r="B3313" i="1"/>
  <c r="I3312" i="1"/>
  <c r="B3312" i="1"/>
  <c r="I3311" i="1"/>
  <c r="B3311" i="1"/>
  <c r="I3310" i="1"/>
  <c r="B3310" i="1"/>
  <c r="I3309" i="1"/>
  <c r="B3309" i="1"/>
  <c r="I3308" i="1"/>
  <c r="B3308" i="1"/>
  <c r="I3307" i="1"/>
  <c r="B3307" i="1"/>
  <c r="I3306" i="1"/>
  <c r="B3306" i="1"/>
  <c r="I3305" i="1"/>
  <c r="B3305" i="1"/>
  <c r="I3304" i="1"/>
  <c r="B3304" i="1"/>
  <c r="I3303" i="1"/>
  <c r="B3303" i="1"/>
  <c r="I3302" i="1"/>
  <c r="B3302" i="1"/>
  <c r="I3301" i="1"/>
  <c r="B3301" i="1"/>
  <c r="I3300" i="1"/>
  <c r="B3300" i="1"/>
  <c r="I3299" i="1"/>
  <c r="B3299" i="1"/>
  <c r="I3298" i="1"/>
  <c r="B3298" i="1"/>
  <c r="I3297" i="1"/>
  <c r="B3297" i="1"/>
  <c r="I3296" i="1"/>
  <c r="B3296" i="1"/>
  <c r="I3295" i="1"/>
  <c r="B3295" i="1"/>
  <c r="I3294" i="1"/>
  <c r="B3294" i="1"/>
  <c r="I3293" i="1"/>
  <c r="B3293" i="1"/>
  <c r="I3292" i="1"/>
  <c r="B3292" i="1"/>
  <c r="I3291" i="1"/>
  <c r="B3291" i="1"/>
  <c r="I3290" i="1"/>
  <c r="B3290" i="1"/>
  <c r="I3289" i="1"/>
  <c r="B3289" i="1"/>
  <c r="I3288" i="1"/>
  <c r="B3288" i="1"/>
  <c r="I3287" i="1"/>
  <c r="B3287" i="1"/>
  <c r="I3286" i="1"/>
  <c r="B3286" i="1"/>
  <c r="I3285" i="1"/>
  <c r="B3285" i="1"/>
  <c r="I3284" i="1"/>
  <c r="B3284" i="1"/>
  <c r="I3283" i="1"/>
  <c r="B3283" i="1"/>
  <c r="I3282" i="1"/>
  <c r="B3282" i="1"/>
  <c r="I3281" i="1"/>
  <c r="B3281" i="1"/>
  <c r="I3280" i="1"/>
  <c r="B3280" i="1"/>
  <c r="I3279" i="1"/>
  <c r="B3279" i="1"/>
  <c r="I3278" i="1"/>
  <c r="B3278" i="1"/>
  <c r="I3277" i="1"/>
  <c r="B3277" i="1"/>
  <c r="I3276" i="1"/>
  <c r="B3276" i="1"/>
  <c r="I3275" i="1"/>
  <c r="B3275" i="1"/>
  <c r="I3274" i="1"/>
  <c r="B3274" i="1"/>
  <c r="I3273" i="1"/>
  <c r="B3273" i="1"/>
  <c r="I3272" i="1"/>
  <c r="B3272" i="1"/>
  <c r="I3271" i="1"/>
  <c r="B3271" i="1"/>
  <c r="I3270" i="1"/>
  <c r="B3270" i="1"/>
  <c r="I3269" i="1"/>
  <c r="B3269" i="1"/>
  <c r="I3268" i="1"/>
  <c r="B3268" i="1"/>
  <c r="I3267" i="1"/>
  <c r="B3267" i="1"/>
  <c r="I3266" i="1"/>
  <c r="B3266" i="1"/>
  <c r="I3265" i="1"/>
  <c r="B3265" i="1"/>
  <c r="I3264" i="1"/>
  <c r="B3264" i="1"/>
  <c r="I3263" i="1"/>
  <c r="B3263" i="1"/>
  <c r="I3262" i="1"/>
  <c r="B3262" i="1"/>
  <c r="I3261" i="1"/>
  <c r="B3261" i="1"/>
  <c r="I3260" i="1"/>
  <c r="B3260" i="1"/>
  <c r="I3259" i="1"/>
  <c r="B3259" i="1"/>
  <c r="I3258" i="1"/>
  <c r="E3258" i="1"/>
  <c r="B3258" i="1"/>
  <c r="I3257" i="1"/>
  <c r="E3257" i="1"/>
  <c r="B3257" i="1"/>
  <c r="I3256" i="1"/>
  <c r="B3256" i="1"/>
  <c r="I3255" i="1"/>
  <c r="B3255" i="1"/>
  <c r="I3254" i="1"/>
  <c r="B3254" i="1"/>
  <c r="I3253" i="1"/>
  <c r="B3253" i="1"/>
  <c r="I3252" i="1"/>
  <c r="B3252" i="1"/>
  <c r="I3251" i="1"/>
  <c r="B3251" i="1"/>
  <c r="I3250" i="1"/>
  <c r="B3250" i="1"/>
  <c r="I3249" i="1"/>
  <c r="B3249" i="1"/>
  <c r="I3248" i="1"/>
  <c r="B3248" i="1"/>
  <c r="I3247" i="1"/>
  <c r="B3247" i="1"/>
  <c r="I3246" i="1"/>
  <c r="B3246" i="1"/>
  <c r="I3245" i="1"/>
  <c r="B3245" i="1"/>
  <c r="I3244" i="1"/>
  <c r="B3244" i="1"/>
  <c r="I3243" i="1"/>
  <c r="B3243" i="1"/>
  <c r="I3242" i="1"/>
  <c r="B3242" i="1"/>
  <c r="I3241" i="1"/>
  <c r="B3241" i="1"/>
  <c r="I3240" i="1"/>
  <c r="B3240" i="1"/>
  <c r="I3239" i="1"/>
  <c r="B3239" i="1"/>
  <c r="I3238" i="1"/>
  <c r="B3238" i="1"/>
  <c r="I3237" i="1"/>
  <c r="B3237" i="1"/>
  <c r="I3236" i="1"/>
  <c r="B3236" i="1"/>
  <c r="I3235" i="1"/>
  <c r="B3235" i="1"/>
  <c r="I3234" i="1"/>
  <c r="B3234" i="1"/>
  <c r="I3233" i="1"/>
  <c r="B3233" i="1"/>
  <c r="I3232" i="1"/>
  <c r="B3232" i="1"/>
  <c r="I3231" i="1"/>
  <c r="B3231" i="1"/>
  <c r="I3230" i="1"/>
  <c r="B3230" i="1"/>
  <c r="I3229" i="1"/>
  <c r="B3229" i="1"/>
  <c r="I3228" i="1"/>
  <c r="B3228" i="1"/>
  <c r="I3227" i="1"/>
  <c r="B3227" i="1"/>
  <c r="I3226" i="1"/>
  <c r="B3226" i="1"/>
  <c r="I3225" i="1"/>
  <c r="B3225" i="1"/>
  <c r="I3224" i="1"/>
  <c r="B3224" i="1"/>
  <c r="I3223" i="1"/>
  <c r="B3223" i="1"/>
  <c r="I3222" i="1"/>
  <c r="B3222" i="1"/>
  <c r="I3221" i="1"/>
  <c r="B3221" i="1"/>
  <c r="I3220" i="1"/>
  <c r="B3220" i="1"/>
  <c r="I3219" i="1"/>
  <c r="B3219" i="1"/>
  <c r="I3218" i="1"/>
  <c r="B3218" i="1"/>
  <c r="I3217" i="1"/>
  <c r="B3217" i="1"/>
  <c r="I3216" i="1"/>
  <c r="B3216" i="1"/>
  <c r="I3215" i="1"/>
  <c r="B3215" i="1"/>
  <c r="I3214" i="1"/>
  <c r="B3214" i="1"/>
  <c r="I3213" i="1"/>
  <c r="B3213" i="1"/>
  <c r="I3212" i="1"/>
  <c r="B3212" i="1"/>
  <c r="I3211" i="1"/>
  <c r="B3211" i="1"/>
  <c r="I3210" i="1"/>
  <c r="B3210" i="1"/>
  <c r="I3209" i="1"/>
  <c r="B3209" i="1"/>
  <c r="I3208" i="1"/>
  <c r="B3208" i="1"/>
  <c r="I3207" i="1"/>
  <c r="B3207" i="1"/>
  <c r="I3206" i="1"/>
  <c r="B3206" i="1"/>
  <c r="I3205" i="1"/>
  <c r="B3205" i="1"/>
  <c r="I3204" i="1"/>
  <c r="B3204" i="1"/>
  <c r="I3203" i="1"/>
  <c r="B3203" i="1"/>
  <c r="I3202" i="1"/>
  <c r="B3202" i="1"/>
  <c r="I3201" i="1"/>
  <c r="B3201" i="1"/>
  <c r="I3200" i="1"/>
  <c r="B3200" i="1"/>
  <c r="I3199" i="1"/>
  <c r="B3199" i="1"/>
  <c r="I3198" i="1"/>
  <c r="B3198" i="1"/>
  <c r="I3197" i="1"/>
  <c r="B3197" i="1"/>
  <c r="I3196" i="1"/>
  <c r="B3196" i="1"/>
  <c r="I3195" i="1"/>
  <c r="B3195" i="1"/>
  <c r="I3194" i="1"/>
  <c r="B3194" i="1"/>
  <c r="I3193" i="1"/>
  <c r="B3193" i="1"/>
  <c r="I3192" i="1"/>
  <c r="B3192" i="1"/>
  <c r="I3191" i="1"/>
  <c r="B3191" i="1"/>
  <c r="I3190" i="1"/>
  <c r="B3190" i="1"/>
  <c r="I3189" i="1"/>
  <c r="B3189" i="1"/>
  <c r="I3188" i="1"/>
  <c r="B3188" i="1"/>
  <c r="I3187" i="1"/>
  <c r="B3187" i="1"/>
  <c r="I3186" i="1"/>
  <c r="B3186" i="1"/>
  <c r="I3185" i="1"/>
  <c r="B3185" i="1"/>
  <c r="I3184" i="1"/>
  <c r="B3184" i="1"/>
  <c r="I3183" i="1"/>
  <c r="B3183" i="1"/>
  <c r="I3182" i="1"/>
  <c r="B3182" i="1"/>
  <c r="I3181" i="1"/>
  <c r="B3181" i="1"/>
  <c r="I3180" i="1"/>
  <c r="B3180" i="1"/>
  <c r="I3179" i="1"/>
  <c r="B3179" i="1"/>
  <c r="I3178" i="1"/>
  <c r="B3178" i="1"/>
  <c r="I3177" i="1"/>
  <c r="B3177" i="1"/>
  <c r="I3176" i="1"/>
  <c r="B3176" i="1"/>
  <c r="I3175" i="1"/>
  <c r="B3175" i="1"/>
  <c r="I3174" i="1"/>
  <c r="B3174" i="1"/>
  <c r="I3173" i="1"/>
  <c r="B3173" i="1"/>
  <c r="I3172" i="1"/>
  <c r="B3172" i="1"/>
  <c r="I3171" i="1"/>
  <c r="B3171" i="1"/>
  <c r="I3170" i="1"/>
  <c r="B3170" i="1"/>
  <c r="I3169" i="1"/>
  <c r="B3169" i="1"/>
  <c r="I3168" i="1"/>
  <c r="B3168" i="1"/>
  <c r="I3167" i="1"/>
  <c r="B3167" i="1"/>
  <c r="I3166" i="1"/>
  <c r="B3166" i="1"/>
  <c r="I3165" i="1"/>
  <c r="B3165" i="1"/>
  <c r="I3164" i="1"/>
  <c r="B3164" i="1"/>
  <c r="I3163" i="1"/>
  <c r="B3163" i="1"/>
  <c r="I3162" i="1"/>
  <c r="B3162" i="1"/>
  <c r="I3161" i="1"/>
  <c r="B3161" i="1"/>
  <c r="I3160" i="1"/>
  <c r="B3160" i="1"/>
  <c r="I3159" i="1"/>
  <c r="B3159" i="1"/>
  <c r="I3158" i="1"/>
  <c r="B3158" i="1"/>
  <c r="I3157" i="1"/>
  <c r="B3157" i="1"/>
  <c r="I3156" i="1"/>
  <c r="B3156" i="1"/>
  <c r="I3155" i="1"/>
  <c r="B3155" i="1"/>
  <c r="I3154" i="1"/>
  <c r="B3154" i="1"/>
  <c r="I3153" i="1"/>
  <c r="B3153" i="1"/>
  <c r="I3152" i="1"/>
  <c r="B3152" i="1"/>
  <c r="I3151" i="1"/>
  <c r="B3151" i="1"/>
  <c r="I3150" i="1"/>
  <c r="B3150" i="1"/>
  <c r="I3149" i="1"/>
  <c r="B3149" i="1"/>
  <c r="I3148" i="1"/>
  <c r="B3148" i="1"/>
  <c r="I3147" i="1"/>
  <c r="B3147" i="1"/>
  <c r="I3146" i="1"/>
  <c r="B3146" i="1"/>
  <c r="I3145" i="1"/>
  <c r="B3145" i="1"/>
  <c r="I3144" i="1"/>
  <c r="B3144" i="1"/>
  <c r="I3143" i="1"/>
  <c r="B3143" i="1"/>
  <c r="I3142" i="1"/>
  <c r="B3142" i="1"/>
  <c r="I3141" i="1"/>
  <c r="B3141" i="1"/>
  <c r="I3140" i="1"/>
  <c r="B3140" i="1"/>
  <c r="I3139" i="1"/>
  <c r="B3139" i="1"/>
  <c r="I3138" i="1"/>
  <c r="B3138" i="1"/>
  <c r="I3137" i="1"/>
  <c r="B3137" i="1"/>
  <c r="I3136" i="1"/>
  <c r="B3136" i="1"/>
  <c r="I3135" i="1"/>
  <c r="B3135" i="1"/>
  <c r="I3134" i="1"/>
  <c r="B3134" i="1"/>
  <c r="I3133" i="1"/>
  <c r="B3133" i="1"/>
  <c r="I3132" i="1"/>
  <c r="B3132" i="1"/>
  <c r="I3131" i="1"/>
  <c r="B3131" i="1"/>
  <c r="I3130" i="1"/>
  <c r="B3130" i="1"/>
  <c r="I3129" i="1"/>
  <c r="B3129" i="1"/>
  <c r="I3128" i="1"/>
  <c r="B3128" i="1"/>
  <c r="I3127" i="1"/>
  <c r="B3127" i="1"/>
  <c r="I3126" i="1"/>
  <c r="B3126" i="1"/>
  <c r="I3125" i="1"/>
  <c r="B3125" i="1"/>
  <c r="I3124" i="1"/>
  <c r="B3124" i="1"/>
  <c r="I3123" i="1"/>
  <c r="B3123" i="1"/>
  <c r="I3122" i="1"/>
  <c r="B3122" i="1"/>
  <c r="I3121" i="1"/>
  <c r="B3121" i="1"/>
  <c r="I3120" i="1"/>
  <c r="B3120" i="1"/>
  <c r="I3119" i="1"/>
  <c r="B3119" i="1"/>
  <c r="I3118" i="1"/>
  <c r="B3118" i="1"/>
  <c r="I3117" i="1"/>
  <c r="B3117" i="1"/>
  <c r="I3116" i="1"/>
  <c r="B3116" i="1"/>
  <c r="I3115" i="1"/>
  <c r="B3115" i="1"/>
  <c r="I3114" i="1"/>
  <c r="B3114" i="1"/>
  <c r="I3113" i="1"/>
  <c r="B3113" i="1"/>
  <c r="I3112" i="1"/>
  <c r="B3112" i="1"/>
  <c r="I3111" i="1"/>
  <c r="B3111" i="1"/>
  <c r="I3110" i="1"/>
  <c r="B3110" i="1"/>
  <c r="I3109" i="1"/>
  <c r="B3109" i="1"/>
  <c r="I3108" i="1"/>
  <c r="B3108" i="1"/>
  <c r="I3107" i="1"/>
  <c r="B3107" i="1"/>
  <c r="I3106" i="1"/>
  <c r="B3106" i="1"/>
  <c r="I3105" i="1"/>
  <c r="B3105" i="1"/>
  <c r="I3104" i="1"/>
  <c r="B3104" i="1"/>
  <c r="I3103" i="1"/>
  <c r="B3103" i="1"/>
  <c r="I3102" i="1"/>
  <c r="B3102" i="1"/>
  <c r="I3101" i="1"/>
  <c r="B3101" i="1"/>
  <c r="I3100" i="1"/>
  <c r="B3100" i="1"/>
  <c r="I3099" i="1"/>
  <c r="B3099" i="1"/>
  <c r="I3098" i="1"/>
  <c r="B3098" i="1"/>
  <c r="I3097" i="1"/>
  <c r="B3097" i="1"/>
  <c r="I3096" i="1"/>
  <c r="B3096" i="1"/>
  <c r="I3095" i="1"/>
  <c r="B3095" i="1"/>
  <c r="I3094" i="1"/>
  <c r="B3094" i="1"/>
  <c r="I3093" i="1"/>
  <c r="B3093" i="1"/>
  <c r="I3092" i="1"/>
  <c r="B3092" i="1"/>
  <c r="I3091" i="1"/>
  <c r="B3091" i="1"/>
  <c r="I3090" i="1"/>
  <c r="B3090" i="1"/>
  <c r="I3089" i="1"/>
  <c r="B3089" i="1"/>
  <c r="I3088" i="1"/>
  <c r="B3088" i="1"/>
  <c r="I3087" i="1"/>
  <c r="B3087" i="1"/>
  <c r="I3086" i="1"/>
  <c r="B3086" i="1"/>
  <c r="I3085" i="1"/>
  <c r="B3085" i="1"/>
  <c r="I3084" i="1"/>
  <c r="B3084" i="1"/>
  <c r="I3083" i="1"/>
  <c r="B3083" i="1"/>
  <c r="I3082" i="1"/>
  <c r="B3082" i="1"/>
  <c r="I3081" i="1"/>
  <c r="B3081" i="1"/>
  <c r="I3080" i="1"/>
  <c r="B3080" i="1"/>
  <c r="I3079" i="1"/>
  <c r="B3079" i="1"/>
  <c r="I3078" i="1"/>
  <c r="B3078" i="1"/>
  <c r="I3077" i="1"/>
  <c r="B3077" i="1"/>
  <c r="I3076" i="1"/>
  <c r="B3076" i="1"/>
  <c r="I3075" i="1"/>
  <c r="B3075" i="1"/>
  <c r="I3074" i="1"/>
  <c r="B3074" i="1"/>
  <c r="I3073" i="1"/>
  <c r="B3073" i="1"/>
  <c r="I3072" i="1"/>
  <c r="B3072" i="1"/>
  <c r="I3071" i="1"/>
  <c r="B3071" i="1"/>
  <c r="I3070" i="1"/>
  <c r="B3070" i="1"/>
  <c r="I3069" i="1"/>
  <c r="B3069" i="1"/>
  <c r="I3068" i="1"/>
  <c r="B3068" i="1"/>
  <c r="I3067" i="1"/>
  <c r="B3067" i="1"/>
  <c r="I3066" i="1"/>
  <c r="B3066" i="1"/>
  <c r="I3065" i="1"/>
  <c r="B3065" i="1"/>
  <c r="I3064" i="1"/>
  <c r="B3064" i="1"/>
  <c r="I3063" i="1"/>
  <c r="B3063" i="1"/>
  <c r="I3062" i="1"/>
  <c r="B3062" i="1"/>
  <c r="I3061" i="1"/>
  <c r="B3061" i="1"/>
  <c r="I3060" i="1"/>
  <c r="B3060" i="1"/>
  <c r="I3059" i="1"/>
  <c r="B3059" i="1"/>
  <c r="I3058" i="1"/>
  <c r="B3058" i="1"/>
  <c r="I3057" i="1"/>
  <c r="B3057" i="1"/>
  <c r="I3056" i="1"/>
  <c r="B3056" i="1"/>
  <c r="I3055" i="1"/>
  <c r="B3055" i="1"/>
  <c r="I3054" i="1"/>
  <c r="B3054" i="1"/>
  <c r="I3053" i="1"/>
  <c r="B3053" i="1"/>
  <c r="I3052" i="1"/>
  <c r="B3052" i="1"/>
  <c r="I3051" i="1"/>
  <c r="B3051" i="1"/>
  <c r="I3050" i="1"/>
  <c r="B3050" i="1"/>
  <c r="I3049" i="1"/>
  <c r="B3049" i="1"/>
  <c r="I3048" i="1"/>
  <c r="B3048" i="1"/>
  <c r="I3047" i="1"/>
  <c r="B3047" i="1"/>
  <c r="I3046" i="1"/>
  <c r="B3046" i="1"/>
  <c r="I3045" i="1"/>
  <c r="B3045" i="1"/>
  <c r="I3044" i="1"/>
  <c r="B3044" i="1"/>
  <c r="I3043" i="1"/>
  <c r="B3043" i="1"/>
  <c r="I3042" i="1"/>
  <c r="B3042" i="1"/>
  <c r="I3041" i="1"/>
  <c r="B3041" i="1"/>
  <c r="I3040" i="1"/>
  <c r="B3040" i="1"/>
  <c r="I3039" i="1"/>
  <c r="B3039" i="1"/>
  <c r="I3038" i="1"/>
  <c r="B3038" i="1"/>
  <c r="I3037" i="1"/>
  <c r="B3037" i="1"/>
  <c r="I3036" i="1"/>
  <c r="B3036" i="1"/>
  <c r="I3035" i="1"/>
  <c r="B3035" i="1"/>
  <c r="I3034" i="1"/>
  <c r="B3034" i="1"/>
  <c r="I3033" i="1"/>
  <c r="B3033" i="1"/>
  <c r="I3032" i="1"/>
  <c r="B3032" i="1"/>
  <c r="I3031" i="1"/>
  <c r="B3031" i="1"/>
  <c r="I3030" i="1"/>
  <c r="B3030" i="1"/>
  <c r="I3029" i="1"/>
  <c r="B3029" i="1"/>
  <c r="I3028" i="1"/>
  <c r="B3028" i="1"/>
  <c r="I3027" i="1"/>
  <c r="B3027" i="1"/>
  <c r="I3026" i="1"/>
  <c r="B3026" i="1"/>
  <c r="I3025" i="1"/>
  <c r="B3025" i="1"/>
  <c r="I3024" i="1"/>
  <c r="B3024" i="1"/>
  <c r="I3023" i="1"/>
  <c r="B3023" i="1"/>
  <c r="I3022" i="1"/>
  <c r="B3022" i="1"/>
  <c r="I3021" i="1"/>
  <c r="B3021" i="1"/>
  <c r="I3020" i="1"/>
  <c r="B3020" i="1"/>
  <c r="I3019" i="1"/>
  <c r="B3019" i="1"/>
  <c r="I3018" i="1"/>
  <c r="B3018" i="1"/>
  <c r="I3017" i="1"/>
  <c r="B3017" i="1"/>
  <c r="I3016" i="1"/>
  <c r="B3016" i="1"/>
  <c r="I3015" i="1"/>
  <c r="B3015" i="1"/>
  <c r="I3014" i="1"/>
  <c r="B3014" i="1"/>
  <c r="I3013" i="1"/>
  <c r="B3013" i="1"/>
  <c r="I3012" i="1"/>
  <c r="B3012" i="1"/>
  <c r="I3011" i="1"/>
  <c r="B3011" i="1"/>
  <c r="I3010" i="1"/>
  <c r="B3010" i="1"/>
  <c r="I3009" i="1"/>
  <c r="B3009" i="1"/>
  <c r="I3008" i="1"/>
  <c r="B3008" i="1"/>
  <c r="I3007" i="1"/>
  <c r="B3007" i="1"/>
  <c r="I3006" i="1"/>
  <c r="B3006" i="1"/>
  <c r="I3005" i="1"/>
  <c r="B3005" i="1"/>
  <c r="I3004" i="1"/>
  <c r="B3004" i="1"/>
  <c r="I3003" i="1"/>
  <c r="B3003" i="1"/>
  <c r="I3002" i="1"/>
  <c r="B3002" i="1"/>
  <c r="I3001" i="1"/>
  <c r="B3001" i="1"/>
  <c r="I3000" i="1"/>
  <c r="B3000" i="1"/>
  <c r="I2999" i="1"/>
  <c r="B2999" i="1"/>
  <c r="I2998" i="1"/>
  <c r="B2998" i="1"/>
  <c r="I2997" i="1"/>
  <c r="B2997" i="1"/>
  <c r="I2996" i="1"/>
  <c r="B2996" i="1"/>
  <c r="I2995" i="1"/>
  <c r="B2995" i="1"/>
  <c r="I2994" i="1"/>
  <c r="B2994" i="1"/>
  <c r="I2993" i="1"/>
  <c r="B2993" i="1"/>
  <c r="I2992" i="1"/>
  <c r="B2992" i="1"/>
  <c r="I2991" i="1"/>
  <c r="B2991" i="1"/>
  <c r="I2990" i="1"/>
  <c r="B2990" i="1"/>
  <c r="I2989" i="1"/>
  <c r="B2989" i="1"/>
  <c r="I2988" i="1"/>
  <c r="B2988" i="1"/>
  <c r="I2987" i="1"/>
  <c r="B2987" i="1"/>
  <c r="I2986" i="1"/>
  <c r="B2986" i="1"/>
  <c r="I2985" i="1"/>
  <c r="B2985" i="1"/>
  <c r="I2984" i="1"/>
  <c r="B2984" i="1"/>
  <c r="I2983" i="1"/>
  <c r="B2983" i="1"/>
  <c r="I2982" i="1"/>
  <c r="B2982" i="1"/>
  <c r="I2981" i="1"/>
  <c r="B2981" i="1"/>
  <c r="I2980" i="1"/>
  <c r="B2980" i="1"/>
  <c r="I2979" i="1"/>
  <c r="B2979" i="1"/>
  <c r="I2978" i="1"/>
  <c r="B2978" i="1"/>
  <c r="I2977" i="1"/>
  <c r="B2977" i="1"/>
  <c r="I2976" i="1"/>
  <c r="B2976" i="1"/>
  <c r="I2975" i="1"/>
  <c r="B2975" i="1"/>
  <c r="I2974" i="1"/>
  <c r="B2974" i="1"/>
  <c r="I2973" i="1"/>
  <c r="B2973" i="1"/>
  <c r="I2972" i="1"/>
  <c r="B2972" i="1"/>
  <c r="I2971" i="1"/>
  <c r="B2971" i="1"/>
  <c r="I2970" i="1"/>
  <c r="B2970" i="1"/>
  <c r="I2969" i="1"/>
  <c r="B2969" i="1"/>
  <c r="I2968" i="1"/>
  <c r="B2968" i="1"/>
  <c r="I2967" i="1"/>
  <c r="B2967" i="1"/>
  <c r="I2966" i="1"/>
  <c r="B2966" i="1"/>
  <c r="I2965" i="1"/>
  <c r="B2965" i="1"/>
  <c r="I2964" i="1"/>
  <c r="B2964" i="1"/>
  <c r="I2963" i="1"/>
  <c r="B2963" i="1"/>
  <c r="I2962" i="1"/>
  <c r="B2962" i="1"/>
  <c r="I2961" i="1"/>
  <c r="B2961" i="1"/>
  <c r="I2960" i="1"/>
  <c r="B2960" i="1"/>
  <c r="I2959" i="1"/>
  <c r="B2959" i="1"/>
  <c r="I2958" i="1"/>
  <c r="B2958" i="1"/>
  <c r="I2957" i="1"/>
  <c r="B2957" i="1"/>
  <c r="I2956" i="1"/>
  <c r="B2956" i="1"/>
  <c r="I2955" i="1"/>
  <c r="B2955" i="1"/>
  <c r="I2954" i="1"/>
  <c r="B2954" i="1"/>
  <c r="I2953" i="1"/>
  <c r="B2953" i="1"/>
  <c r="I2952" i="1"/>
  <c r="B2952" i="1"/>
  <c r="I2951" i="1"/>
  <c r="B2951" i="1"/>
  <c r="I2950" i="1"/>
  <c r="B2950" i="1"/>
  <c r="I2949" i="1"/>
  <c r="B2949" i="1"/>
  <c r="I2948" i="1"/>
  <c r="B2948" i="1"/>
  <c r="I2947" i="1"/>
  <c r="B2947" i="1"/>
  <c r="I2946" i="1"/>
  <c r="B2946" i="1"/>
  <c r="I2945" i="1"/>
  <c r="B2945" i="1"/>
  <c r="I2944" i="1"/>
  <c r="B2944" i="1"/>
  <c r="I2943" i="1"/>
  <c r="B2943" i="1"/>
  <c r="I2942" i="1"/>
  <c r="B2942" i="1"/>
  <c r="I2941" i="1"/>
  <c r="B2941" i="1"/>
  <c r="I2940" i="1"/>
  <c r="B2940" i="1"/>
  <c r="I2939" i="1"/>
  <c r="B2939" i="1"/>
  <c r="I2938" i="1"/>
  <c r="B2938" i="1"/>
  <c r="I2937" i="1"/>
  <c r="B2937" i="1"/>
  <c r="I2936" i="1"/>
  <c r="B2936" i="1"/>
  <c r="I2935" i="1"/>
  <c r="B2935" i="1"/>
  <c r="I2934" i="1"/>
  <c r="B2934" i="1"/>
  <c r="I2933" i="1"/>
  <c r="B2933" i="1"/>
  <c r="I2932" i="1"/>
  <c r="B2932" i="1"/>
  <c r="I2931" i="1"/>
  <c r="B2931" i="1"/>
  <c r="I2930" i="1"/>
  <c r="B2930" i="1"/>
  <c r="I2929" i="1"/>
  <c r="B2929" i="1"/>
  <c r="I2928" i="1"/>
  <c r="B2928" i="1"/>
  <c r="I2927" i="1"/>
  <c r="B2927" i="1"/>
  <c r="I2926" i="1"/>
  <c r="B2926" i="1"/>
  <c r="I2925" i="1"/>
  <c r="B2925" i="1"/>
  <c r="I2924" i="1"/>
  <c r="B2924" i="1"/>
  <c r="I2923" i="1"/>
  <c r="B2923" i="1"/>
  <c r="I2922" i="1"/>
  <c r="B2922" i="1"/>
  <c r="I2921" i="1"/>
  <c r="B2921" i="1"/>
  <c r="I2920" i="1"/>
  <c r="B2920" i="1"/>
  <c r="I2919" i="1"/>
  <c r="B2919" i="1"/>
  <c r="I2918" i="1"/>
  <c r="B2918" i="1"/>
  <c r="I2917" i="1"/>
  <c r="B2917" i="1"/>
  <c r="I2916" i="1"/>
  <c r="B2916" i="1"/>
  <c r="I2915" i="1"/>
  <c r="B2915" i="1"/>
  <c r="I2914" i="1"/>
  <c r="B2914" i="1"/>
  <c r="I2913" i="1"/>
  <c r="B2913" i="1"/>
  <c r="I2912" i="1"/>
  <c r="B2912" i="1"/>
  <c r="I2911" i="1"/>
  <c r="B2911" i="1"/>
  <c r="I2910" i="1"/>
  <c r="B2910" i="1"/>
  <c r="I2909" i="1"/>
  <c r="B2909" i="1"/>
  <c r="I2908" i="1"/>
  <c r="B2908" i="1"/>
  <c r="I2907" i="1"/>
  <c r="B2907" i="1"/>
  <c r="I2906" i="1"/>
  <c r="B2906" i="1"/>
  <c r="I2905" i="1"/>
  <c r="B2905" i="1"/>
  <c r="I2904" i="1"/>
  <c r="B2904" i="1"/>
  <c r="I2903" i="1"/>
  <c r="B2903" i="1"/>
  <c r="I2902" i="1"/>
  <c r="B2902" i="1"/>
  <c r="I2901" i="1"/>
  <c r="B2901" i="1"/>
  <c r="I2900" i="1"/>
  <c r="B2900" i="1"/>
  <c r="I2899" i="1"/>
  <c r="B2899" i="1"/>
  <c r="I2898" i="1"/>
  <c r="B2898" i="1"/>
  <c r="I2897" i="1"/>
  <c r="B2897" i="1"/>
  <c r="I2896" i="1"/>
  <c r="B2896" i="1"/>
  <c r="I2895" i="1"/>
  <c r="B2895" i="1"/>
  <c r="I2894" i="1"/>
  <c r="B2894" i="1"/>
  <c r="I2893" i="1"/>
  <c r="B2893" i="1"/>
  <c r="I2892" i="1"/>
  <c r="B2892" i="1"/>
  <c r="I2891" i="1"/>
  <c r="B2891" i="1"/>
  <c r="I2890" i="1"/>
  <c r="B2890" i="1"/>
  <c r="I2889" i="1"/>
  <c r="B2889" i="1"/>
  <c r="I2888" i="1"/>
  <c r="B2888" i="1"/>
  <c r="I2887" i="1"/>
  <c r="B2887" i="1"/>
  <c r="I2886" i="1"/>
  <c r="B2886" i="1"/>
  <c r="I2885" i="1"/>
  <c r="B2885" i="1"/>
  <c r="I2884" i="1"/>
  <c r="B2884" i="1"/>
  <c r="I2883" i="1"/>
  <c r="B2883" i="1"/>
  <c r="I2882" i="1"/>
  <c r="B2882" i="1"/>
  <c r="I2881" i="1"/>
  <c r="B2881" i="1"/>
  <c r="I2880" i="1"/>
  <c r="B2880" i="1"/>
  <c r="I2879" i="1"/>
  <c r="E2879" i="1"/>
  <c r="B2879" i="1"/>
  <c r="I2878" i="1"/>
  <c r="B2878" i="1"/>
  <c r="I2877" i="1"/>
  <c r="B2877" i="1"/>
  <c r="I2876" i="1"/>
  <c r="B2876" i="1"/>
  <c r="I2875" i="1"/>
  <c r="B2875" i="1"/>
  <c r="I2874" i="1"/>
  <c r="B2874" i="1"/>
  <c r="I2873" i="1"/>
  <c r="B2873" i="1"/>
  <c r="I2872" i="1"/>
  <c r="B2872" i="1"/>
  <c r="I2871" i="1"/>
  <c r="B2871" i="1"/>
  <c r="I2870" i="1"/>
  <c r="B2870" i="1"/>
  <c r="I2869" i="1"/>
  <c r="B2869" i="1"/>
  <c r="I2868" i="1"/>
  <c r="B2868" i="1"/>
  <c r="I2867" i="1"/>
  <c r="B2867" i="1"/>
  <c r="I2866" i="1"/>
  <c r="B2866" i="1"/>
  <c r="I2865" i="1"/>
  <c r="B2865" i="1"/>
  <c r="I2864" i="1"/>
  <c r="B2864" i="1"/>
  <c r="I2863" i="1"/>
  <c r="B2863" i="1"/>
  <c r="I2862" i="1"/>
  <c r="B2862" i="1"/>
  <c r="I2861" i="1"/>
  <c r="B2861" i="1"/>
  <c r="I2860" i="1"/>
  <c r="B2860" i="1"/>
  <c r="I2859" i="1"/>
  <c r="B2859" i="1"/>
  <c r="I2858" i="1"/>
  <c r="B2858" i="1"/>
  <c r="I2857" i="1"/>
  <c r="B2857" i="1"/>
  <c r="I2856" i="1"/>
  <c r="B2856" i="1"/>
  <c r="I2855" i="1"/>
  <c r="B2855" i="1"/>
  <c r="I2854" i="1"/>
  <c r="B2854" i="1"/>
  <c r="I2853" i="1"/>
  <c r="B2853" i="1"/>
  <c r="I2852" i="1"/>
  <c r="B2852" i="1"/>
  <c r="I2851" i="1"/>
  <c r="B2851" i="1"/>
  <c r="I2850" i="1"/>
  <c r="B2850" i="1"/>
  <c r="I2849" i="1"/>
  <c r="B2849" i="1"/>
  <c r="I2848" i="1"/>
  <c r="B2848" i="1"/>
  <c r="I2847" i="1"/>
  <c r="B2847" i="1"/>
  <c r="I2846" i="1"/>
  <c r="B2846" i="1"/>
  <c r="I2845" i="1"/>
  <c r="B2845" i="1"/>
  <c r="I2844" i="1"/>
  <c r="B2844" i="1"/>
  <c r="I2843" i="1"/>
  <c r="B2843" i="1"/>
  <c r="I2842" i="1"/>
  <c r="B2842" i="1"/>
  <c r="I2841" i="1"/>
  <c r="B2841" i="1"/>
  <c r="I2840" i="1"/>
  <c r="B2840" i="1"/>
  <c r="I2839" i="1"/>
  <c r="B2839" i="1"/>
  <c r="I2838" i="1"/>
  <c r="B2838" i="1"/>
  <c r="I2837" i="1"/>
  <c r="B2837" i="1"/>
  <c r="I2836" i="1"/>
  <c r="B2836" i="1"/>
  <c r="I2835" i="1"/>
  <c r="B2835" i="1"/>
  <c r="I2834" i="1"/>
  <c r="B2834" i="1"/>
  <c r="I2833" i="1"/>
  <c r="B2833" i="1"/>
  <c r="I2832" i="1"/>
  <c r="B2832" i="1"/>
  <c r="I2831" i="1"/>
  <c r="B2831" i="1"/>
  <c r="I2830" i="1"/>
  <c r="B2830" i="1"/>
  <c r="I2829" i="1"/>
  <c r="B2829" i="1"/>
  <c r="I2828" i="1"/>
  <c r="B2828" i="1"/>
  <c r="I2827" i="1"/>
  <c r="B2827" i="1"/>
  <c r="I2826" i="1"/>
  <c r="B2826" i="1"/>
  <c r="I2825" i="1"/>
  <c r="B2825" i="1"/>
  <c r="I2824" i="1"/>
  <c r="B2824" i="1"/>
  <c r="I2823" i="1"/>
  <c r="B2823" i="1"/>
  <c r="I2822" i="1"/>
  <c r="B2822" i="1"/>
  <c r="I2821" i="1"/>
  <c r="B2821" i="1"/>
  <c r="I2820" i="1"/>
  <c r="B2820" i="1"/>
  <c r="I2819" i="1"/>
  <c r="B2819" i="1"/>
  <c r="I2818" i="1"/>
  <c r="B2818" i="1"/>
  <c r="I2817" i="1"/>
  <c r="B2817" i="1"/>
  <c r="I2816" i="1"/>
  <c r="B2816" i="1"/>
  <c r="I2815" i="1"/>
  <c r="B2815" i="1"/>
  <c r="I2814" i="1"/>
  <c r="B2814" i="1"/>
  <c r="I2813" i="1"/>
  <c r="E2813" i="1"/>
  <c r="B2813" i="1"/>
  <c r="I2812" i="1"/>
  <c r="E2812" i="1"/>
  <c r="B2812" i="1"/>
  <c r="I2811" i="1"/>
  <c r="B2811" i="1"/>
  <c r="I2810" i="1"/>
  <c r="B2810" i="1"/>
  <c r="I2809" i="1"/>
  <c r="B2809" i="1"/>
  <c r="I2808" i="1"/>
  <c r="B2808" i="1"/>
  <c r="I2807" i="1"/>
  <c r="B2807" i="1"/>
  <c r="I2806" i="1"/>
  <c r="B2806" i="1"/>
  <c r="I2805" i="1"/>
  <c r="B2805" i="1"/>
  <c r="I2804" i="1"/>
  <c r="B2804" i="1"/>
  <c r="I2803" i="1"/>
  <c r="B2803" i="1"/>
  <c r="I2802" i="1"/>
  <c r="B2802" i="1"/>
  <c r="I2801" i="1"/>
  <c r="B2801" i="1"/>
  <c r="I2800" i="1"/>
  <c r="B2800" i="1"/>
  <c r="I2799" i="1"/>
  <c r="B2799" i="1"/>
  <c r="I2798" i="1"/>
  <c r="B2798" i="1"/>
  <c r="I2797" i="1"/>
  <c r="B2797" i="1"/>
  <c r="I2796" i="1"/>
  <c r="B2796" i="1"/>
  <c r="I2795" i="1"/>
  <c r="B2795" i="1"/>
  <c r="I2794" i="1"/>
  <c r="B2794" i="1"/>
  <c r="I2793" i="1"/>
  <c r="B2793" i="1"/>
  <c r="I2792" i="1"/>
  <c r="B2792" i="1"/>
  <c r="I2791" i="1"/>
  <c r="B2791" i="1"/>
  <c r="I2790" i="1"/>
  <c r="B2790" i="1"/>
  <c r="I2789" i="1"/>
  <c r="B2789" i="1"/>
  <c r="I2788" i="1"/>
  <c r="B2788" i="1"/>
  <c r="I2787" i="1"/>
  <c r="B2787" i="1"/>
  <c r="I2786" i="1"/>
  <c r="B2786" i="1"/>
  <c r="I2785" i="1"/>
  <c r="B2785" i="1"/>
  <c r="I2784" i="1"/>
  <c r="B2784" i="1"/>
  <c r="I2783" i="1"/>
  <c r="B2783" i="1"/>
  <c r="I2782" i="1"/>
  <c r="B2782" i="1"/>
  <c r="I2781" i="1"/>
  <c r="B2781" i="1"/>
  <c r="I2780" i="1"/>
  <c r="B2780" i="1"/>
  <c r="I2779" i="1"/>
  <c r="E2779" i="1"/>
  <c r="B2779" i="1"/>
  <c r="I2778" i="1"/>
  <c r="B2778" i="1"/>
  <c r="I2777" i="1"/>
  <c r="B2777" i="1"/>
  <c r="I2776" i="1"/>
  <c r="B2776" i="1"/>
  <c r="I2775" i="1"/>
  <c r="B2775" i="1"/>
  <c r="I2774" i="1"/>
  <c r="B2774" i="1"/>
  <c r="I2773" i="1"/>
  <c r="B2773" i="1"/>
  <c r="I2772" i="1"/>
  <c r="B2772" i="1"/>
  <c r="I2771" i="1"/>
  <c r="B2771" i="1"/>
  <c r="I2770" i="1"/>
  <c r="B2770" i="1"/>
  <c r="I2769" i="1"/>
  <c r="B2769" i="1"/>
  <c r="I2768" i="1"/>
  <c r="B2768" i="1"/>
  <c r="I2767" i="1"/>
  <c r="B2767" i="1"/>
  <c r="I2766" i="1"/>
  <c r="B2766" i="1"/>
  <c r="I2765" i="1"/>
  <c r="B2765" i="1"/>
  <c r="I2764" i="1"/>
  <c r="B2764" i="1"/>
  <c r="I2763" i="1"/>
  <c r="B2763" i="1"/>
  <c r="I2762" i="1"/>
  <c r="B2762" i="1"/>
  <c r="I2761" i="1"/>
  <c r="B2761" i="1"/>
  <c r="I2760" i="1"/>
  <c r="B2760" i="1"/>
  <c r="I2759" i="1"/>
  <c r="B2759" i="1"/>
  <c r="I2758" i="1"/>
  <c r="B2758" i="1"/>
  <c r="I2757" i="1"/>
  <c r="B2757" i="1"/>
  <c r="I2756" i="1"/>
  <c r="B2756" i="1"/>
  <c r="I2755" i="1"/>
  <c r="B2755" i="1"/>
  <c r="I2754" i="1"/>
  <c r="B2754" i="1"/>
  <c r="I2753" i="1"/>
  <c r="B2753" i="1"/>
  <c r="I2752" i="1"/>
  <c r="B2752" i="1"/>
  <c r="I2751" i="1"/>
  <c r="B2751" i="1"/>
  <c r="I2750" i="1"/>
  <c r="B2750" i="1"/>
  <c r="I2749" i="1"/>
  <c r="B2749" i="1"/>
  <c r="I2748" i="1"/>
  <c r="B2748" i="1"/>
  <c r="I2747" i="1"/>
  <c r="B2747" i="1"/>
  <c r="I2746" i="1"/>
  <c r="B2746" i="1"/>
  <c r="I2745" i="1"/>
  <c r="B2745" i="1"/>
  <c r="I2744" i="1"/>
  <c r="B2744" i="1"/>
  <c r="I2743" i="1"/>
  <c r="B2743" i="1"/>
  <c r="I2742" i="1"/>
  <c r="B2742" i="1"/>
  <c r="I2741" i="1"/>
  <c r="B2741" i="1"/>
  <c r="I2740" i="1"/>
  <c r="B2740" i="1"/>
  <c r="I2739" i="1"/>
  <c r="E2739" i="1"/>
  <c r="B2739" i="1"/>
  <c r="I2738" i="1"/>
  <c r="E2738" i="1"/>
  <c r="B2738" i="1"/>
  <c r="I2737" i="1"/>
  <c r="B2737" i="1"/>
  <c r="I2736" i="1"/>
  <c r="B2736" i="1"/>
  <c r="I2735" i="1"/>
  <c r="B2735" i="1"/>
  <c r="I2734" i="1"/>
  <c r="B2734" i="1"/>
  <c r="I2733" i="1"/>
  <c r="B2733" i="1"/>
  <c r="I2732" i="1"/>
  <c r="B2732" i="1"/>
  <c r="I2731" i="1"/>
  <c r="E2731" i="1"/>
  <c r="B2731" i="1"/>
  <c r="I2730" i="1"/>
  <c r="B2730" i="1"/>
  <c r="I2729" i="1"/>
  <c r="B2729" i="1"/>
  <c r="I2728" i="1"/>
  <c r="B2728" i="1"/>
  <c r="I2727" i="1"/>
  <c r="B2727" i="1"/>
  <c r="I2726" i="1"/>
  <c r="B2726" i="1"/>
  <c r="I2725" i="1"/>
  <c r="B2725" i="1"/>
  <c r="I2724" i="1"/>
  <c r="B2724" i="1"/>
  <c r="I2723" i="1"/>
  <c r="B2723" i="1"/>
  <c r="I2722" i="1"/>
  <c r="B2722" i="1"/>
  <c r="I2721" i="1"/>
  <c r="B2721" i="1"/>
  <c r="I2720" i="1"/>
  <c r="B2720" i="1"/>
  <c r="I2719" i="1"/>
  <c r="B2719" i="1"/>
  <c r="I2718" i="1"/>
  <c r="B2718" i="1"/>
  <c r="I2717" i="1"/>
  <c r="B2717" i="1"/>
  <c r="I2716" i="1"/>
  <c r="B2716" i="1"/>
  <c r="I2715" i="1"/>
  <c r="B2715" i="1"/>
  <c r="I2714" i="1"/>
  <c r="B2714" i="1"/>
  <c r="I2713" i="1"/>
  <c r="B2713" i="1"/>
  <c r="I2712" i="1"/>
  <c r="B2712" i="1"/>
  <c r="I2711" i="1"/>
  <c r="B2711" i="1"/>
  <c r="I2710" i="1"/>
  <c r="B2710" i="1"/>
  <c r="I2709" i="1"/>
  <c r="B2709" i="1"/>
  <c r="I2708" i="1"/>
  <c r="B2708" i="1"/>
  <c r="I2707" i="1"/>
  <c r="B2707" i="1"/>
  <c r="I2706" i="1"/>
  <c r="B2706" i="1"/>
  <c r="I2705" i="1"/>
  <c r="B2705" i="1"/>
  <c r="I2704" i="1"/>
  <c r="B2704" i="1"/>
  <c r="I2703" i="1"/>
  <c r="B2703" i="1"/>
  <c r="I2702" i="1"/>
  <c r="B2702" i="1"/>
  <c r="I2701" i="1"/>
  <c r="B2701" i="1"/>
  <c r="I2700" i="1"/>
  <c r="B2700" i="1"/>
  <c r="I2699" i="1"/>
  <c r="B2699" i="1"/>
  <c r="I2698" i="1"/>
  <c r="B2698" i="1"/>
  <c r="I2697" i="1"/>
  <c r="B2697" i="1"/>
  <c r="I2696" i="1"/>
  <c r="B2696" i="1"/>
  <c r="I2695" i="1"/>
  <c r="E2695" i="1"/>
  <c r="B2695" i="1"/>
  <c r="I2694" i="1"/>
  <c r="E2694" i="1"/>
  <c r="B2694" i="1"/>
  <c r="I2693" i="1"/>
  <c r="E2693" i="1"/>
  <c r="B2693" i="1"/>
  <c r="I2692" i="1"/>
  <c r="B2692" i="1"/>
  <c r="I2691" i="1"/>
  <c r="B2691" i="1"/>
  <c r="I2690" i="1"/>
  <c r="B2690" i="1"/>
  <c r="I2689" i="1"/>
  <c r="B2689" i="1"/>
  <c r="I2688" i="1"/>
  <c r="B2688" i="1"/>
  <c r="I2687" i="1"/>
  <c r="B2687" i="1"/>
  <c r="I2686" i="1"/>
  <c r="B2686" i="1"/>
  <c r="I2685" i="1"/>
  <c r="B2685" i="1"/>
  <c r="I2684" i="1"/>
  <c r="B2684" i="1"/>
  <c r="I2683" i="1"/>
  <c r="B2683" i="1"/>
  <c r="I2682" i="1"/>
  <c r="B2682" i="1"/>
  <c r="I2681" i="1"/>
  <c r="B2681" i="1"/>
  <c r="I2680" i="1"/>
  <c r="B2680" i="1"/>
  <c r="I2679" i="1"/>
  <c r="B2679" i="1"/>
  <c r="I2678" i="1"/>
  <c r="B2678" i="1"/>
  <c r="I2677" i="1"/>
  <c r="B2677" i="1"/>
  <c r="I2676" i="1"/>
  <c r="B2676" i="1"/>
  <c r="I2675" i="1"/>
  <c r="B2675" i="1"/>
  <c r="I2674" i="1"/>
  <c r="B2674" i="1"/>
  <c r="I2673" i="1"/>
  <c r="B2673" i="1"/>
  <c r="I2672" i="1"/>
  <c r="B2672" i="1"/>
  <c r="I2671" i="1"/>
  <c r="B2671" i="1"/>
  <c r="I2670" i="1"/>
  <c r="B2670" i="1"/>
  <c r="I2669" i="1"/>
  <c r="B2669" i="1"/>
  <c r="I2668" i="1"/>
  <c r="B2668" i="1"/>
  <c r="I2667" i="1"/>
  <c r="B2667" i="1"/>
  <c r="I2666" i="1"/>
  <c r="B2666" i="1"/>
  <c r="I2665" i="1"/>
  <c r="B2665" i="1"/>
  <c r="I2664" i="1"/>
  <c r="B2664" i="1"/>
  <c r="I2663" i="1"/>
  <c r="B2663" i="1"/>
  <c r="I2662" i="1"/>
  <c r="B2662" i="1"/>
  <c r="I2661" i="1"/>
  <c r="B2661" i="1"/>
  <c r="I2660" i="1"/>
  <c r="B2660" i="1"/>
  <c r="I2659" i="1"/>
  <c r="B2659" i="1"/>
  <c r="I2658" i="1"/>
  <c r="B2658" i="1"/>
  <c r="I2657" i="1"/>
  <c r="B2657" i="1"/>
  <c r="I2656" i="1"/>
  <c r="B2656" i="1"/>
  <c r="I2655" i="1"/>
  <c r="B2655" i="1"/>
  <c r="I2654" i="1"/>
  <c r="E2654" i="1"/>
  <c r="B2654" i="1"/>
  <c r="I2653" i="1"/>
  <c r="B2653" i="1"/>
  <c r="I2652" i="1"/>
  <c r="B2652" i="1"/>
  <c r="I2651" i="1"/>
  <c r="B2651" i="1"/>
  <c r="I2650" i="1"/>
  <c r="B2650" i="1"/>
  <c r="I2649" i="1"/>
  <c r="B2649" i="1"/>
  <c r="I2648" i="1"/>
  <c r="B2648" i="1"/>
  <c r="I2647" i="1"/>
  <c r="B2647" i="1"/>
  <c r="I2646" i="1"/>
  <c r="B2646" i="1"/>
  <c r="I2645" i="1"/>
  <c r="E2645" i="1"/>
  <c r="B2645" i="1"/>
  <c r="I2644" i="1"/>
  <c r="B2644" i="1"/>
  <c r="I2643" i="1"/>
  <c r="B2643" i="1"/>
  <c r="I2642" i="1"/>
  <c r="B2642" i="1"/>
  <c r="I2641" i="1"/>
  <c r="E2641" i="1"/>
  <c r="B2641" i="1"/>
  <c r="I2640" i="1"/>
  <c r="B2640" i="1"/>
  <c r="I2639" i="1"/>
  <c r="B2639" i="1"/>
  <c r="I2638" i="1"/>
  <c r="B2638" i="1"/>
  <c r="I2637" i="1"/>
  <c r="B2637" i="1"/>
  <c r="I2636" i="1"/>
  <c r="B2636" i="1"/>
  <c r="I2635" i="1"/>
  <c r="B2635" i="1"/>
  <c r="I2634" i="1"/>
  <c r="B2634" i="1"/>
  <c r="I2633" i="1"/>
  <c r="B2633" i="1"/>
  <c r="I2632" i="1"/>
  <c r="B2632" i="1"/>
  <c r="I2631" i="1"/>
  <c r="E2631" i="1"/>
  <c r="B2631" i="1"/>
  <c r="I2630" i="1"/>
  <c r="B2630" i="1"/>
  <c r="I2629" i="1"/>
  <c r="E2629" i="1"/>
  <c r="B2629" i="1"/>
  <c r="I2628" i="1"/>
  <c r="B2628" i="1"/>
  <c r="I2627" i="1"/>
  <c r="B2627" i="1"/>
  <c r="I2626" i="1"/>
  <c r="B2626" i="1"/>
  <c r="I2625" i="1"/>
  <c r="B2625" i="1"/>
  <c r="I2624" i="1"/>
  <c r="B2624" i="1"/>
  <c r="I2623" i="1"/>
  <c r="B2623" i="1"/>
  <c r="I2622" i="1"/>
  <c r="B2622" i="1"/>
  <c r="I2621" i="1"/>
  <c r="B2621" i="1"/>
  <c r="I2620" i="1"/>
  <c r="B2620" i="1"/>
  <c r="I2619" i="1"/>
  <c r="B2619" i="1"/>
  <c r="I2618" i="1"/>
  <c r="B2618" i="1"/>
  <c r="I2617" i="1"/>
  <c r="B2617" i="1"/>
  <c r="I2616" i="1"/>
  <c r="B2616" i="1"/>
  <c r="I2615" i="1"/>
  <c r="B2615" i="1"/>
  <c r="I2614" i="1"/>
  <c r="B2614" i="1"/>
  <c r="I2613" i="1"/>
  <c r="B2613" i="1"/>
  <c r="I2612" i="1"/>
  <c r="B2612" i="1"/>
  <c r="I2611" i="1"/>
  <c r="B2611" i="1"/>
  <c r="I2610" i="1"/>
  <c r="B2610" i="1"/>
  <c r="I2609" i="1"/>
  <c r="B2609" i="1"/>
  <c r="I2608" i="1"/>
  <c r="B2608" i="1"/>
  <c r="I2607" i="1"/>
  <c r="B2607" i="1"/>
  <c r="I2606" i="1"/>
  <c r="B2606" i="1"/>
  <c r="I2605" i="1"/>
  <c r="B2605" i="1"/>
  <c r="I2604" i="1"/>
  <c r="B2604" i="1"/>
  <c r="I2603" i="1"/>
  <c r="B2603" i="1"/>
  <c r="I2602" i="1"/>
  <c r="B2602" i="1"/>
  <c r="I2601" i="1"/>
  <c r="B2601" i="1"/>
  <c r="I2600" i="1"/>
  <c r="B2600" i="1"/>
  <c r="I2599" i="1"/>
  <c r="B2599" i="1"/>
  <c r="I2598" i="1"/>
  <c r="B2598" i="1"/>
  <c r="I2597" i="1"/>
  <c r="B2597" i="1"/>
  <c r="I2596" i="1"/>
  <c r="B2596" i="1"/>
  <c r="I2595" i="1"/>
  <c r="B2595" i="1"/>
  <c r="I2594" i="1"/>
  <c r="B2594" i="1"/>
  <c r="I2593" i="1"/>
  <c r="B2593" i="1"/>
  <c r="I2592" i="1"/>
  <c r="B2592" i="1"/>
  <c r="I2591" i="1"/>
  <c r="B2591" i="1"/>
  <c r="I2590" i="1"/>
  <c r="B2590" i="1"/>
  <c r="I2589" i="1"/>
  <c r="B2589" i="1"/>
  <c r="I2588" i="1"/>
  <c r="B2588" i="1"/>
  <c r="I2587" i="1"/>
  <c r="B2587" i="1"/>
  <c r="I2586" i="1"/>
  <c r="B2586" i="1"/>
  <c r="I2585" i="1"/>
  <c r="B2585" i="1"/>
  <c r="I2584" i="1"/>
  <c r="B2584" i="1"/>
  <c r="I2583" i="1"/>
  <c r="B2583" i="1"/>
  <c r="I2582" i="1"/>
  <c r="B2582" i="1"/>
  <c r="I2581" i="1"/>
  <c r="B2581" i="1"/>
  <c r="I2580" i="1"/>
  <c r="B2580" i="1"/>
  <c r="I2579" i="1"/>
  <c r="B2579" i="1"/>
  <c r="I2578" i="1"/>
  <c r="E2578" i="1"/>
  <c r="B2578" i="1"/>
  <c r="I2577" i="1"/>
  <c r="B2577" i="1"/>
  <c r="I2576" i="1"/>
  <c r="B2576" i="1"/>
  <c r="I2575" i="1"/>
  <c r="B2575" i="1"/>
  <c r="I2574" i="1"/>
  <c r="B2574" i="1"/>
  <c r="I2573" i="1"/>
  <c r="B2573" i="1"/>
  <c r="I2572" i="1"/>
  <c r="B2572" i="1"/>
  <c r="I2571" i="1"/>
  <c r="B2571" i="1"/>
  <c r="I2570" i="1"/>
  <c r="B2570" i="1"/>
  <c r="I2569" i="1"/>
  <c r="B2569" i="1"/>
  <c r="I2568" i="1"/>
  <c r="B2568" i="1"/>
  <c r="I2567" i="1"/>
  <c r="B2567" i="1"/>
  <c r="I2566" i="1"/>
  <c r="B2566" i="1"/>
  <c r="I2565" i="1"/>
  <c r="B2565" i="1"/>
  <c r="I2564" i="1"/>
  <c r="B2564" i="1"/>
  <c r="I2563" i="1"/>
  <c r="B2563" i="1"/>
  <c r="I2562" i="1"/>
  <c r="B2562" i="1"/>
  <c r="I2561" i="1"/>
  <c r="B2561" i="1"/>
  <c r="I2560" i="1"/>
  <c r="B2560" i="1"/>
  <c r="I2559" i="1"/>
  <c r="B2559" i="1"/>
  <c r="I2558" i="1"/>
  <c r="B2558" i="1"/>
  <c r="I2557" i="1"/>
  <c r="B2557" i="1"/>
  <c r="I2556" i="1"/>
  <c r="B2556" i="1"/>
  <c r="I2555" i="1"/>
  <c r="B2555" i="1"/>
  <c r="I2554" i="1"/>
  <c r="B2554" i="1"/>
  <c r="I2553" i="1"/>
  <c r="B2553" i="1"/>
  <c r="I2552" i="1"/>
  <c r="B2552" i="1"/>
  <c r="I2551" i="1"/>
  <c r="B2551" i="1"/>
  <c r="I2550" i="1"/>
  <c r="B2550" i="1"/>
  <c r="I2549" i="1"/>
  <c r="B2549" i="1"/>
  <c r="I2548" i="1"/>
  <c r="B2548" i="1"/>
  <c r="I2547" i="1"/>
  <c r="B2547" i="1"/>
  <c r="I2546" i="1"/>
  <c r="B2546" i="1"/>
  <c r="I2545" i="1"/>
  <c r="B2545" i="1"/>
  <c r="I2544" i="1"/>
  <c r="B2544" i="1"/>
  <c r="I2543" i="1"/>
  <c r="B2543" i="1"/>
  <c r="I2542" i="1"/>
  <c r="B2542" i="1"/>
  <c r="I2541" i="1"/>
  <c r="B2541" i="1"/>
  <c r="I2540" i="1"/>
  <c r="B2540" i="1"/>
  <c r="I2539" i="1"/>
  <c r="B2539" i="1"/>
  <c r="I2538" i="1"/>
  <c r="B2538" i="1"/>
  <c r="I2537" i="1"/>
  <c r="B2537" i="1"/>
  <c r="I2536" i="1"/>
  <c r="B2536" i="1"/>
  <c r="I2535" i="1"/>
  <c r="B2535" i="1"/>
  <c r="I2534" i="1"/>
  <c r="B2534" i="1"/>
  <c r="I2533" i="1"/>
  <c r="B2533" i="1"/>
  <c r="I2532" i="1"/>
  <c r="B2532" i="1"/>
  <c r="I2531" i="1"/>
  <c r="B2531" i="1"/>
  <c r="I2530" i="1"/>
  <c r="B2530" i="1"/>
  <c r="I2529" i="1"/>
  <c r="B2529" i="1"/>
  <c r="I2528" i="1"/>
  <c r="B2528" i="1"/>
  <c r="I2527" i="1"/>
  <c r="B2527" i="1"/>
  <c r="I2526" i="1"/>
  <c r="B2526" i="1"/>
  <c r="I2525" i="1"/>
  <c r="B2525" i="1"/>
  <c r="I2524" i="1"/>
  <c r="B2524" i="1"/>
  <c r="I2523" i="1"/>
  <c r="B2523" i="1"/>
  <c r="I2522" i="1"/>
  <c r="B2522" i="1"/>
  <c r="I2521" i="1"/>
  <c r="B2521" i="1"/>
  <c r="I2520" i="1"/>
  <c r="B2520" i="1"/>
  <c r="I2519" i="1"/>
  <c r="B2519" i="1"/>
  <c r="I2518" i="1"/>
  <c r="B2518" i="1"/>
  <c r="I2517" i="1"/>
  <c r="B2517" i="1"/>
  <c r="I2516" i="1"/>
  <c r="B2516" i="1"/>
  <c r="I2515" i="1"/>
  <c r="B2515" i="1"/>
  <c r="I2514" i="1"/>
  <c r="B2514" i="1"/>
  <c r="I2513" i="1"/>
  <c r="B2513" i="1"/>
  <c r="I2512" i="1"/>
  <c r="B2512" i="1"/>
  <c r="I2511" i="1"/>
  <c r="B2511" i="1"/>
  <c r="I2510" i="1"/>
  <c r="B2510" i="1"/>
  <c r="I2509" i="1"/>
  <c r="B2509" i="1"/>
  <c r="I2508" i="1"/>
  <c r="B2508" i="1"/>
  <c r="I2507" i="1"/>
  <c r="B2507" i="1"/>
  <c r="I2506" i="1"/>
  <c r="B2506" i="1"/>
  <c r="I2505" i="1"/>
  <c r="B2505" i="1"/>
  <c r="I2504" i="1"/>
  <c r="B2504" i="1"/>
  <c r="I2503" i="1"/>
  <c r="B2503" i="1"/>
  <c r="I2502" i="1"/>
  <c r="B2502" i="1"/>
  <c r="I2501" i="1"/>
  <c r="B2501" i="1"/>
  <c r="I2500" i="1"/>
  <c r="B2500" i="1"/>
  <c r="I2499" i="1"/>
  <c r="B2499" i="1"/>
  <c r="I2498" i="1"/>
  <c r="B2498" i="1"/>
  <c r="I2497" i="1"/>
  <c r="B2497" i="1"/>
  <c r="I2496" i="1"/>
  <c r="B2496" i="1"/>
  <c r="I2495" i="1"/>
  <c r="B2495" i="1"/>
  <c r="I2494" i="1"/>
  <c r="B2494" i="1"/>
  <c r="I2493" i="1"/>
  <c r="B2493" i="1"/>
  <c r="I2492" i="1"/>
  <c r="B2492" i="1"/>
  <c r="I2491" i="1"/>
  <c r="B2491" i="1"/>
  <c r="I2490" i="1"/>
  <c r="B2490" i="1"/>
  <c r="I2489" i="1"/>
  <c r="B2489" i="1"/>
  <c r="I2488" i="1"/>
  <c r="B2488" i="1"/>
  <c r="I2487" i="1"/>
  <c r="B2487" i="1"/>
  <c r="I2486" i="1"/>
  <c r="B2486" i="1"/>
  <c r="I2485" i="1"/>
  <c r="B2485" i="1"/>
  <c r="I2484" i="1"/>
  <c r="B2484" i="1"/>
  <c r="I2483" i="1"/>
  <c r="B2483" i="1"/>
  <c r="I2482" i="1"/>
  <c r="B2482" i="1"/>
  <c r="I2481" i="1"/>
  <c r="B2481" i="1"/>
  <c r="I2480" i="1"/>
  <c r="B2480" i="1"/>
  <c r="I2479" i="1"/>
  <c r="B2479" i="1"/>
  <c r="I2478" i="1"/>
  <c r="B2478" i="1"/>
  <c r="I2477" i="1"/>
  <c r="B2477" i="1"/>
  <c r="I2476" i="1"/>
  <c r="B2476" i="1"/>
  <c r="I2475" i="1"/>
  <c r="B2475" i="1"/>
  <c r="I2474" i="1"/>
  <c r="B2474" i="1"/>
  <c r="I2473" i="1"/>
  <c r="B2473" i="1"/>
  <c r="I2472" i="1"/>
  <c r="B2472" i="1"/>
  <c r="I2471" i="1"/>
  <c r="B2471" i="1"/>
  <c r="I2470" i="1"/>
  <c r="B2470" i="1"/>
  <c r="I2469" i="1"/>
  <c r="B2469" i="1"/>
  <c r="I2468" i="1"/>
  <c r="B2468" i="1"/>
  <c r="I2467" i="1"/>
  <c r="B2467" i="1"/>
  <c r="I2466" i="1"/>
  <c r="B2466" i="1"/>
  <c r="I2465" i="1"/>
  <c r="B2465" i="1"/>
  <c r="I2464" i="1"/>
  <c r="B2464" i="1"/>
  <c r="I2463" i="1"/>
  <c r="B2463" i="1"/>
  <c r="I2462" i="1"/>
  <c r="B2462" i="1"/>
  <c r="I2461" i="1"/>
  <c r="B2461" i="1"/>
  <c r="I2460" i="1"/>
  <c r="B2460" i="1"/>
  <c r="I2459" i="1"/>
  <c r="B2459" i="1"/>
  <c r="I2458" i="1"/>
  <c r="B2458" i="1"/>
  <c r="I2457" i="1"/>
  <c r="B2457" i="1"/>
  <c r="I2456" i="1"/>
  <c r="B2456" i="1"/>
  <c r="I2455" i="1"/>
  <c r="B2455" i="1"/>
  <c r="I2454" i="1"/>
  <c r="B2454" i="1"/>
  <c r="I2453" i="1"/>
  <c r="B2453" i="1"/>
  <c r="I2452" i="1"/>
  <c r="B2452" i="1"/>
  <c r="I2451" i="1"/>
  <c r="B2451" i="1"/>
  <c r="I2450" i="1"/>
  <c r="B2450" i="1"/>
  <c r="I2449" i="1"/>
  <c r="B2449" i="1"/>
  <c r="I2448" i="1"/>
  <c r="B2448" i="1"/>
  <c r="I2447" i="1"/>
  <c r="B2447" i="1"/>
  <c r="I2446" i="1"/>
  <c r="B2446" i="1"/>
  <c r="I2445" i="1"/>
  <c r="B2445" i="1"/>
  <c r="I2444" i="1"/>
  <c r="B2444" i="1"/>
  <c r="I2443" i="1"/>
  <c r="B2443" i="1"/>
  <c r="I2442" i="1"/>
  <c r="B2442" i="1"/>
  <c r="I2441" i="1"/>
  <c r="B2441" i="1"/>
  <c r="I2440" i="1"/>
  <c r="B2440" i="1"/>
  <c r="I2439" i="1"/>
  <c r="B2439" i="1"/>
  <c r="I2438" i="1"/>
  <c r="B2438" i="1"/>
  <c r="I2437" i="1"/>
  <c r="B2437" i="1"/>
  <c r="I2436" i="1"/>
  <c r="B2436" i="1"/>
  <c r="I2435" i="1"/>
  <c r="B2435" i="1"/>
  <c r="I2434" i="1"/>
  <c r="B2434" i="1"/>
  <c r="I2433" i="1"/>
  <c r="B2433" i="1"/>
  <c r="I2432" i="1"/>
  <c r="B2432" i="1"/>
  <c r="I2431" i="1"/>
  <c r="B2431" i="1"/>
  <c r="I2430" i="1"/>
  <c r="B2430" i="1"/>
  <c r="I2429" i="1"/>
  <c r="B2429" i="1"/>
  <c r="I2428" i="1"/>
  <c r="B2428" i="1"/>
  <c r="I2427" i="1"/>
  <c r="B2427" i="1"/>
  <c r="I2426" i="1"/>
  <c r="B2426" i="1"/>
  <c r="I2425" i="1"/>
  <c r="B2425" i="1"/>
  <c r="I2424" i="1"/>
  <c r="B2424" i="1"/>
  <c r="I2423" i="1"/>
  <c r="B2423" i="1"/>
  <c r="I2422" i="1"/>
  <c r="B2422" i="1"/>
  <c r="I2421" i="1"/>
  <c r="B2421" i="1"/>
  <c r="I2420" i="1"/>
  <c r="B2420" i="1"/>
  <c r="I2419" i="1"/>
  <c r="B2419" i="1"/>
  <c r="I2418" i="1"/>
  <c r="B2418" i="1"/>
  <c r="I2417" i="1"/>
  <c r="B2417" i="1"/>
  <c r="I2416" i="1"/>
  <c r="B2416" i="1"/>
  <c r="I2415" i="1"/>
  <c r="B2415" i="1"/>
  <c r="I2414" i="1"/>
  <c r="B2414" i="1"/>
  <c r="I2413" i="1"/>
  <c r="B2413" i="1"/>
  <c r="I2412" i="1"/>
  <c r="B2412" i="1"/>
  <c r="I2411" i="1"/>
  <c r="B2411" i="1"/>
  <c r="I2410" i="1"/>
  <c r="B2410" i="1"/>
  <c r="I2409" i="1"/>
  <c r="B2409" i="1"/>
  <c r="I2408" i="1"/>
  <c r="B2408" i="1"/>
  <c r="I2407" i="1"/>
  <c r="B2407" i="1"/>
  <c r="I2406" i="1"/>
  <c r="B2406" i="1"/>
  <c r="I2405" i="1"/>
  <c r="B2405" i="1"/>
  <c r="I2404" i="1"/>
  <c r="B2404" i="1"/>
  <c r="I2403" i="1"/>
  <c r="B2403" i="1"/>
  <c r="I2402" i="1"/>
  <c r="B2402" i="1"/>
  <c r="I2401" i="1"/>
  <c r="B2401" i="1"/>
  <c r="I2400" i="1"/>
  <c r="B2400" i="1"/>
  <c r="I2399" i="1"/>
  <c r="B2399" i="1"/>
  <c r="I2398" i="1"/>
  <c r="B2398" i="1"/>
  <c r="I2397" i="1"/>
  <c r="B2397" i="1"/>
  <c r="I2396" i="1"/>
  <c r="B2396" i="1"/>
  <c r="I2395" i="1"/>
  <c r="B2395" i="1"/>
  <c r="I2394" i="1"/>
  <c r="E2394" i="1"/>
  <c r="B2394" i="1"/>
  <c r="I2393" i="1"/>
  <c r="B2393" i="1"/>
  <c r="I2392" i="1"/>
  <c r="B2392" i="1"/>
  <c r="I2391" i="1"/>
  <c r="B2391" i="1"/>
  <c r="I2390" i="1"/>
  <c r="B2390" i="1"/>
  <c r="I2389" i="1"/>
  <c r="B2389" i="1"/>
  <c r="I2388" i="1"/>
  <c r="B2388" i="1"/>
  <c r="I2387" i="1"/>
  <c r="B2387" i="1"/>
  <c r="I2386" i="1"/>
  <c r="B2386" i="1"/>
  <c r="I2385" i="1"/>
  <c r="B2385" i="1"/>
  <c r="I2384" i="1"/>
  <c r="B2384" i="1"/>
  <c r="I2383" i="1"/>
  <c r="B2383" i="1"/>
  <c r="I2382" i="1"/>
  <c r="B2382" i="1"/>
  <c r="I2381" i="1"/>
  <c r="B2381" i="1"/>
  <c r="I2380" i="1"/>
  <c r="B2380" i="1"/>
  <c r="I2379" i="1"/>
  <c r="B2379" i="1"/>
  <c r="I2378" i="1"/>
  <c r="B2378" i="1"/>
  <c r="I2377" i="1"/>
  <c r="B2377" i="1"/>
  <c r="I2376" i="1"/>
  <c r="B2376" i="1"/>
  <c r="I2375" i="1"/>
  <c r="B2375" i="1"/>
  <c r="I2374" i="1"/>
  <c r="B2374" i="1"/>
  <c r="I2373" i="1"/>
  <c r="B2373" i="1"/>
  <c r="I2372" i="1"/>
  <c r="B2372" i="1"/>
  <c r="I2371" i="1"/>
  <c r="B2371" i="1"/>
  <c r="I2370" i="1"/>
  <c r="B2370" i="1"/>
  <c r="I2369" i="1"/>
  <c r="B2369" i="1"/>
  <c r="I2368" i="1"/>
  <c r="E2368" i="1"/>
  <c r="B2368" i="1"/>
  <c r="I2367" i="1"/>
  <c r="B2367" i="1"/>
  <c r="I2366" i="1"/>
  <c r="B2366" i="1"/>
  <c r="I2365" i="1"/>
  <c r="B2365" i="1"/>
  <c r="I2364" i="1"/>
  <c r="B2364" i="1"/>
  <c r="I2363" i="1"/>
  <c r="B2363" i="1"/>
  <c r="I2362" i="1"/>
  <c r="B2362" i="1"/>
  <c r="I2361" i="1"/>
  <c r="B2361" i="1"/>
  <c r="I2360" i="1"/>
  <c r="E2360" i="1"/>
  <c r="B2360" i="1"/>
  <c r="I2359" i="1"/>
  <c r="B2359" i="1"/>
  <c r="I2358" i="1"/>
  <c r="B2358" i="1"/>
  <c r="I2357" i="1"/>
  <c r="B2357" i="1"/>
  <c r="I2356" i="1"/>
  <c r="B2356" i="1"/>
  <c r="I2355" i="1"/>
  <c r="B2355" i="1"/>
  <c r="I2354" i="1"/>
  <c r="B2354" i="1"/>
  <c r="I2353" i="1"/>
  <c r="B2353" i="1"/>
  <c r="I2352" i="1"/>
  <c r="B2352" i="1"/>
  <c r="I2351" i="1"/>
  <c r="B2351" i="1"/>
  <c r="I2350" i="1"/>
  <c r="B2350" i="1"/>
  <c r="I2349" i="1"/>
  <c r="B2349" i="1"/>
  <c r="I2348" i="1"/>
  <c r="B2348" i="1"/>
  <c r="I2347" i="1"/>
  <c r="B2347" i="1"/>
  <c r="I2346" i="1"/>
  <c r="B2346" i="1"/>
  <c r="I2345" i="1"/>
  <c r="B2345" i="1"/>
  <c r="I2344" i="1"/>
  <c r="B2344" i="1"/>
  <c r="I2343" i="1"/>
  <c r="B2343" i="1"/>
  <c r="I2342" i="1"/>
  <c r="B2342" i="1"/>
  <c r="I2341" i="1"/>
  <c r="B2341" i="1"/>
  <c r="I2340" i="1"/>
  <c r="B2340" i="1"/>
  <c r="I2339" i="1"/>
  <c r="B2339" i="1"/>
  <c r="I2338" i="1"/>
  <c r="B2338" i="1"/>
  <c r="I2337" i="1"/>
  <c r="B2337" i="1"/>
  <c r="I2336" i="1"/>
  <c r="B2336" i="1"/>
  <c r="I2335" i="1"/>
  <c r="B2335" i="1"/>
  <c r="I2334" i="1"/>
  <c r="B2334" i="1"/>
  <c r="I2333" i="1"/>
  <c r="B2333" i="1"/>
  <c r="I2332" i="1"/>
  <c r="B2332" i="1"/>
  <c r="I2331" i="1"/>
  <c r="B2331" i="1"/>
  <c r="I2330" i="1"/>
  <c r="B2330" i="1"/>
  <c r="I2329" i="1"/>
  <c r="B2329" i="1"/>
  <c r="I2328" i="1"/>
  <c r="E2328" i="1"/>
  <c r="B2328" i="1"/>
  <c r="I2327" i="1"/>
  <c r="B2327" i="1"/>
  <c r="I2326" i="1"/>
  <c r="B2326" i="1"/>
  <c r="I2325" i="1"/>
  <c r="B2325" i="1"/>
  <c r="I2324" i="1"/>
  <c r="B2324" i="1"/>
  <c r="I2323" i="1"/>
  <c r="B2323" i="1"/>
  <c r="I2322" i="1"/>
  <c r="B2322" i="1"/>
  <c r="I2321" i="1"/>
  <c r="B2321" i="1"/>
  <c r="I2320" i="1"/>
  <c r="B2320" i="1"/>
  <c r="I2319" i="1"/>
  <c r="B2319" i="1"/>
  <c r="I2318" i="1"/>
  <c r="B2318" i="1"/>
  <c r="I2317" i="1"/>
  <c r="B2317" i="1"/>
  <c r="I2316" i="1"/>
  <c r="B2316" i="1"/>
  <c r="I2315" i="1"/>
  <c r="B2315" i="1"/>
  <c r="I2314" i="1"/>
  <c r="B2314" i="1"/>
  <c r="I2313" i="1"/>
  <c r="B2313" i="1"/>
  <c r="I2312" i="1"/>
  <c r="B2312" i="1"/>
  <c r="I2311" i="1"/>
  <c r="B2311" i="1"/>
  <c r="I2310" i="1"/>
  <c r="B2310" i="1"/>
  <c r="I2309" i="1"/>
  <c r="B2309" i="1"/>
  <c r="I2308" i="1"/>
  <c r="B2308" i="1"/>
  <c r="I2307" i="1"/>
  <c r="B2307" i="1"/>
  <c r="I2306" i="1"/>
  <c r="B2306" i="1"/>
  <c r="I2305" i="1"/>
  <c r="B2305" i="1"/>
  <c r="I2304" i="1"/>
  <c r="B2304" i="1"/>
  <c r="I2303" i="1"/>
  <c r="B2303" i="1"/>
  <c r="I2302" i="1"/>
  <c r="B2302" i="1"/>
  <c r="I2301" i="1"/>
  <c r="B2301" i="1"/>
  <c r="I2300" i="1"/>
  <c r="B2300" i="1"/>
  <c r="I2299" i="1"/>
  <c r="B2299" i="1"/>
  <c r="I2298" i="1"/>
  <c r="B2298" i="1"/>
  <c r="I2297" i="1"/>
  <c r="B2297" i="1"/>
  <c r="I2296" i="1"/>
  <c r="B2296" i="1"/>
  <c r="I2295" i="1"/>
  <c r="B2295" i="1"/>
  <c r="I2294" i="1"/>
  <c r="B2294" i="1"/>
  <c r="I2293" i="1"/>
  <c r="B2293" i="1"/>
  <c r="I2292" i="1"/>
  <c r="B2292" i="1"/>
  <c r="I2291" i="1"/>
  <c r="B2291" i="1"/>
  <c r="I2290" i="1"/>
  <c r="B2290" i="1"/>
  <c r="I2289" i="1"/>
  <c r="B2289" i="1"/>
  <c r="I2288" i="1"/>
  <c r="B2288" i="1"/>
  <c r="I2287" i="1"/>
  <c r="B2287" i="1"/>
  <c r="I2286" i="1"/>
  <c r="B2286" i="1"/>
  <c r="I2285" i="1"/>
  <c r="B2285" i="1"/>
  <c r="I2284" i="1"/>
  <c r="B2284" i="1"/>
  <c r="I2283" i="1"/>
  <c r="B2283" i="1"/>
  <c r="I2282" i="1"/>
  <c r="B2282" i="1"/>
  <c r="I2281" i="1"/>
  <c r="B2281" i="1"/>
  <c r="I2280" i="1"/>
  <c r="B2280" i="1"/>
  <c r="I2279" i="1"/>
  <c r="B2279" i="1"/>
  <c r="I2278" i="1"/>
  <c r="B2278" i="1"/>
  <c r="I2277" i="1"/>
  <c r="B2277" i="1"/>
  <c r="I2276" i="1"/>
  <c r="B2276" i="1"/>
  <c r="I2275" i="1"/>
  <c r="B2275" i="1"/>
  <c r="I2274" i="1"/>
  <c r="B2274" i="1"/>
  <c r="I2273" i="1"/>
  <c r="B2273" i="1"/>
  <c r="I2272" i="1"/>
  <c r="B2272" i="1"/>
  <c r="I2271" i="1"/>
  <c r="B2271" i="1"/>
  <c r="I2270" i="1"/>
  <c r="B2270" i="1"/>
  <c r="I2269" i="1"/>
  <c r="B2269" i="1"/>
  <c r="I2268" i="1"/>
  <c r="B2268" i="1"/>
  <c r="I2267" i="1"/>
  <c r="B2267" i="1"/>
  <c r="I2266" i="1"/>
  <c r="B2266" i="1"/>
  <c r="I2265" i="1"/>
  <c r="B2265" i="1"/>
  <c r="I2264" i="1"/>
  <c r="B2264" i="1"/>
  <c r="I2263" i="1"/>
  <c r="B2263" i="1"/>
  <c r="I2262" i="1"/>
  <c r="B2262" i="1"/>
  <c r="I2261" i="1"/>
  <c r="B2261" i="1"/>
  <c r="I2260" i="1"/>
  <c r="B2260" i="1"/>
  <c r="I2259" i="1"/>
  <c r="B2259" i="1"/>
  <c r="I2258" i="1"/>
  <c r="B2258" i="1"/>
  <c r="I2257" i="1"/>
  <c r="B2257" i="1"/>
  <c r="I2256" i="1"/>
  <c r="B2256" i="1"/>
  <c r="I2255" i="1"/>
  <c r="B2255" i="1"/>
  <c r="I2254" i="1"/>
  <c r="B2254" i="1"/>
  <c r="I2253" i="1"/>
  <c r="B2253" i="1"/>
  <c r="I2252" i="1"/>
  <c r="B2252" i="1"/>
  <c r="I2251" i="1"/>
  <c r="B2251" i="1"/>
  <c r="I2250" i="1"/>
  <c r="B2250" i="1"/>
  <c r="I2249" i="1"/>
  <c r="B2249" i="1"/>
  <c r="I2248" i="1"/>
  <c r="B2248" i="1"/>
  <c r="I2247" i="1"/>
  <c r="B2247" i="1"/>
  <c r="I2246" i="1"/>
  <c r="B2246" i="1"/>
  <c r="I2245" i="1"/>
  <c r="B2245" i="1"/>
  <c r="I2244" i="1"/>
  <c r="B2244" i="1"/>
  <c r="I2243" i="1"/>
  <c r="B2243" i="1"/>
  <c r="I2242" i="1"/>
  <c r="B2242" i="1"/>
  <c r="I2241" i="1"/>
  <c r="B2241" i="1"/>
  <c r="I2240" i="1"/>
  <c r="B2240" i="1"/>
  <c r="I2239" i="1"/>
  <c r="B2239" i="1"/>
  <c r="I2238" i="1"/>
  <c r="B2238" i="1"/>
  <c r="I2237" i="1"/>
  <c r="B2237" i="1"/>
  <c r="I2236" i="1"/>
  <c r="B2236" i="1"/>
  <c r="I2235" i="1"/>
  <c r="B2235" i="1"/>
  <c r="I2234" i="1"/>
  <c r="B2234" i="1"/>
  <c r="I2233" i="1"/>
  <c r="B2233" i="1"/>
  <c r="I2232" i="1"/>
  <c r="B2232" i="1"/>
  <c r="I2231" i="1"/>
  <c r="B2231" i="1"/>
  <c r="I2230" i="1"/>
  <c r="B2230" i="1"/>
  <c r="I2229" i="1"/>
  <c r="B2229" i="1"/>
  <c r="I2228" i="1"/>
  <c r="B2228" i="1"/>
  <c r="I2227" i="1"/>
  <c r="B2227" i="1"/>
  <c r="I2226" i="1"/>
  <c r="B2226" i="1"/>
  <c r="I2225" i="1"/>
  <c r="B2225" i="1"/>
  <c r="I2224" i="1"/>
  <c r="B2224" i="1"/>
  <c r="I2223" i="1"/>
  <c r="B2223" i="1"/>
  <c r="I2222" i="1"/>
  <c r="B2222" i="1"/>
  <c r="I2221" i="1"/>
  <c r="B2221" i="1"/>
  <c r="I2220" i="1"/>
  <c r="B2220" i="1"/>
  <c r="I2219" i="1"/>
  <c r="B2219" i="1"/>
  <c r="I2218" i="1"/>
  <c r="B2218" i="1"/>
  <c r="I2217" i="1"/>
  <c r="B2217" i="1"/>
  <c r="I2216" i="1"/>
  <c r="B2216" i="1"/>
  <c r="I2215" i="1"/>
  <c r="B2215" i="1"/>
  <c r="I2214" i="1"/>
  <c r="B2214" i="1"/>
  <c r="I2213" i="1"/>
  <c r="B2213" i="1"/>
  <c r="I2212" i="1"/>
  <c r="B2212" i="1"/>
  <c r="I2211" i="1"/>
  <c r="B2211" i="1"/>
  <c r="I2210" i="1"/>
  <c r="B2210" i="1"/>
  <c r="I2209" i="1"/>
  <c r="B2209" i="1"/>
  <c r="I2208" i="1"/>
  <c r="B2208" i="1"/>
  <c r="I2207" i="1"/>
  <c r="B2207" i="1"/>
  <c r="I2206" i="1"/>
  <c r="B2206" i="1"/>
  <c r="I2205" i="1"/>
  <c r="B2205" i="1"/>
  <c r="I2204" i="1"/>
  <c r="B2204" i="1"/>
  <c r="I2203" i="1"/>
  <c r="B2203" i="1"/>
  <c r="I2202" i="1"/>
  <c r="B2202" i="1"/>
  <c r="I2201" i="1"/>
  <c r="B2201" i="1"/>
  <c r="I2200" i="1"/>
  <c r="B2200" i="1"/>
  <c r="I2199" i="1"/>
  <c r="B2199" i="1"/>
  <c r="I2198" i="1"/>
  <c r="B2198" i="1"/>
  <c r="I2197" i="1"/>
  <c r="B2197" i="1"/>
  <c r="I2196" i="1"/>
  <c r="B2196" i="1"/>
  <c r="I2195" i="1"/>
  <c r="B2195" i="1"/>
  <c r="I2194" i="1"/>
  <c r="B2194" i="1"/>
  <c r="I2193" i="1"/>
  <c r="B2193" i="1"/>
  <c r="I2192" i="1"/>
  <c r="B2192" i="1"/>
  <c r="I2191" i="1"/>
  <c r="B2191" i="1"/>
  <c r="I2190" i="1"/>
  <c r="B2190" i="1"/>
  <c r="I2189" i="1"/>
  <c r="B2189" i="1"/>
  <c r="I2188" i="1"/>
  <c r="B2188" i="1"/>
  <c r="I2187" i="1"/>
  <c r="B2187" i="1"/>
  <c r="I2186" i="1"/>
  <c r="B2186" i="1"/>
  <c r="I2185" i="1"/>
  <c r="B2185" i="1"/>
  <c r="I2184" i="1"/>
  <c r="B2184" i="1"/>
  <c r="I2183" i="1"/>
  <c r="B2183" i="1"/>
  <c r="I2182" i="1"/>
  <c r="B2182" i="1"/>
  <c r="I2181" i="1"/>
  <c r="B2181" i="1"/>
  <c r="I2180" i="1"/>
  <c r="B2180" i="1"/>
  <c r="I2179" i="1"/>
  <c r="B2179" i="1"/>
  <c r="I2178" i="1"/>
  <c r="B2178" i="1"/>
  <c r="I2177" i="1"/>
  <c r="B2177" i="1"/>
  <c r="I2176" i="1"/>
  <c r="B2176" i="1"/>
  <c r="I2175" i="1"/>
  <c r="B2175" i="1"/>
  <c r="I2174" i="1"/>
  <c r="B2174" i="1"/>
  <c r="I2173" i="1"/>
  <c r="B2173" i="1"/>
  <c r="I2172" i="1"/>
  <c r="B2172" i="1"/>
  <c r="I2171" i="1"/>
  <c r="B2171" i="1"/>
  <c r="I2170" i="1"/>
  <c r="B2170" i="1"/>
  <c r="I2169" i="1"/>
  <c r="B2169" i="1"/>
  <c r="I2168" i="1"/>
  <c r="B2168" i="1"/>
  <c r="I2167" i="1"/>
  <c r="B2167" i="1"/>
  <c r="I2166" i="1"/>
  <c r="B2166" i="1"/>
  <c r="I2165" i="1"/>
  <c r="B2165" i="1"/>
  <c r="I2164" i="1"/>
  <c r="B2164" i="1"/>
  <c r="I2163" i="1"/>
  <c r="B2163" i="1"/>
  <c r="I2162" i="1"/>
  <c r="B2162" i="1"/>
  <c r="I2161" i="1"/>
  <c r="B2161" i="1"/>
  <c r="I2160" i="1"/>
  <c r="B2160" i="1"/>
  <c r="I2159" i="1"/>
  <c r="B2159" i="1"/>
  <c r="I2158" i="1"/>
  <c r="B2158" i="1"/>
  <c r="I2157" i="1"/>
  <c r="B2157" i="1"/>
  <c r="I2156" i="1"/>
  <c r="B2156" i="1"/>
  <c r="I2155" i="1"/>
  <c r="B2155" i="1"/>
  <c r="I2154" i="1"/>
  <c r="B2154" i="1"/>
  <c r="I2153" i="1"/>
  <c r="B2153" i="1"/>
  <c r="I2152" i="1"/>
  <c r="B2152" i="1"/>
  <c r="I2151" i="1"/>
  <c r="B2151" i="1"/>
  <c r="I2150" i="1"/>
  <c r="B2150" i="1"/>
  <c r="I2149" i="1"/>
  <c r="B2149" i="1"/>
  <c r="I2148" i="1"/>
  <c r="B2148" i="1"/>
  <c r="I2147" i="1"/>
  <c r="B2147" i="1"/>
  <c r="I2146" i="1"/>
  <c r="B2146" i="1"/>
  <c r="I2145" i="1"/>
  <c r="B2145" i="1"/>
  <c r="I2144" i="1"/>
  <c r="B2144" i="1"/>
  <c r="I2143" i="1"/>
  <c r="B2143" i="1"/>
  <c r="I2142" i="1"/>
  <c r="B2142" i="1"/>
  <c r="I2141" i="1"/>
  <c r="B2141" i="1"/>
  <c r="I2140" i="1"/>
  <c r="B2140" i="1"/>
  <c r="I2139" i="1"/>
  <c r="B2139" i="1"/>
  <c r="I2138" i="1"/>
  <c r="B2138" i="1"/>
  <c r="I2137" i="1"/>
  <c r="B2137" i="1"/>
  <c r="I2136" i="1"/>
  <c r="B2136" i="1"/>
  <c r="I2135" i="1"/>
  <c r="B2135" i="1"/>
  <c r="I2134" i="1"/>
  <c r="B2134" i="1"/>
  <c r="I2133" i="1"/>
  <c r="B2133" i="1"/>
  <c r="I2132" i="1"/>
  <c r="B2132" i="1"/>
  <c r="I2131" i="1"/>
  <c r="B2131" i="1"/>
  <c r="I2130" i="1"/>
  <c r="B2130" i="1"/>
  <c r="I2129" i="1"/>
  <c r="B2129" i="1"/>
  <c r="I2128" i="1"/>
  <c r="B2128" i="1"/>
  <c r="I2127" i="1"/>
  <c r="B2127" i="1"/>
  <c r="I2126" i="1"/>
  <c r="B2126" i="1"/>
  <c r="I2125" i="1"/>
  <c r="B2125" i="1"/>
  <c r="I2124" i="1"/>
  <c r="B2124" i="1"/>
  <c r="I2123" i="1"/>
  <c r="B2123" i="1"/>
  <c r="I2122" i="1"/>
  <c r="B2122" i="1"/>
  <c r="I2121" i="1"/>
  <c r="B2121" i="1"/>
  <c r="I2120" i="1"/>
  <c r="B2120" i="1"/>
  <c r="I2119" i="1"/>
  <c r="B2119" i="1"/>
  <c r="I2118" i="1"/>
  <c r="B2118" i="1"/>
  <c r="I2117" i="1"/>
  <c r="B2117" i="1"/>
  <c r="I2116" i="1"/>
  <c r="B2116" i="1"/>
  <c r="I2115" i="1"/>
  <c r="B2115" i="1"/>
  <c r="I2114" i="1"/>
  <c r="B2114" i="1"/>
  <c r="I2113" i="1"/>
  <c r="B2113" i="1"/>
  <c r="I2112" i="1"/>
  <c r="B2112" i="1"/>
  <c r="I2111" i="1"/>
  <c r="B2111" i="1"/>
  <c r="I2110" i="1"/>
  <c r="B2110" i="1"/>
  <c r="I2109" i="1"/>
  <c r="B2109" i="1"/>
  <c r="I2108" i="1"/>
  <c r="B2108" i="1"/>
  <c r="I2107" i="1"/>
  <c r="B2107" i="1"/>
  <c r="I2106" i="1"/>
  <c r="B2106" i="1"/>
  <c r="I2105" i="1"/>
  <c r="B2105" i="1"/>
  <c r="I2104" i="1"/>
  <c r="B2104" i="1"/>
  <c r="I2103" i="1"/>
  <c r="B2103" i="1"/>
  <c r="I2102" i="1"/>
  <c r="B2102" i="1"/>
  <c r="I2101" i="1"/>
  <c r="B2101" i="1"/>
  <c r="I2100" i="1"/>
  <c r="B2100" i="1"/>
  <c r="I2099" i="1"/>
  <c r="B2099" i="1"/>
  <c r="I2098" i="1"/>
  <c r="B2098" i="1"/>
  <c r="I2097" i="1"/>
  <c r="B2097" i="1"/>
  <c r="I2096" i="1"/>
  <c r="B2096" i="1"/>
  <c r="I2095" i="1"/>
  <c r="B2095" i="1"/>
  <c r="I2094" i="1"/>
  <c r="B2094" i="1"/>
  <c r="I2093" i="1"/>
  <c r="B2093" i="1"/>
  <c r="I2092" i="1"/>
  <c r="B2092" i="1"/>
  <c r="I2091" i="1"/>
  <c r="B2091" i="1"/>
  <c r="I2090" i="1"/>
  <c r="B2090" i="1"/>
  <c r="I2089" i="1"/>
  <c r="B2089" i="1"/>
  <c r="I2088" i="1"/>
  <c r="B2088" i="1"/>
  <c r="I2087" i="1"/>
  <c r="B2087" i="1"/>
  <c r="I2086" i="1"/>
  <c r="B2086" i="1"/>
  <c r="I2085" i="1"/>
  <c r="B2085" i="1"/>
  <c r="I2084" i="1"/>
  <c r="B2084" i="1"/>
  <c r="I2083" i="1"/>
  <c r="B2083" i="1"/>
  <c r="I2082" i="1"/>
  <c r="B2082" i="1"/>
  <c r="I2081" i="1"/>
  <c r="B2081" i="1"/>
  <c r="I2080" i="1"/>
  <c r="B2080" i="1"/>
  <c r="I2079" i="1"/>
  <c r="B2079" i="1"/>
  <c r="I2078" i="1"/>
  <c r="B2078" i="1"/>
  <c r="I2077" i="1"/>
  <c r="B2077" i="1"/>
  <c r="I2076" i="1"/>
  <c r="B2076" i="1"/>
  <c r="I2075" i="1"/>
  <c r="B2075" i="1"/>
  <c r="I2074" i="1"/>
  <c r="B2074" i="1"/>
  <c r="I2073" i="1"/>
  <c r="B2073" i="1"/>
  <c r="I2072" i="1"/>
  <c r="B2072" i="1"/>
  <c r="I2071" i="1"/>
  <c r="B2071" i="1"/>
  <c r="I2070" i="1"/>
  <c r="B2070" i="1"/>
  <c r="I2069" i="1"/>
  <c r="B2069" i="1"/>
  <c r="I2068" i="1"/>
  <c r="B2068" i="1"/>
  <c r="I2067" i="1"/>
  <c r="B2067" i="1"/>
  <c r="I2066" i="1"/>
  <c r="B2066" i="1"/>
  <c r="I2065" i="1"/>
  <c r="B2065" i="1"/>
  <c r="I2064" i="1"/>
  <c r="B2064" i="1"/>
  <c r="I2063" i="1"/>
  <c r="B2063" i="1"/>
  <c r="I2062" i="1"/>
  <c r="B2062" i="1"/>
  <c r="I2061" i="1"/>
  <c r="B2061" i="1"/>
  <c r="I2060" i="1"/>
  <c r="B2060" i="1"/>
  <c r="I2059" i="1"/>
  <c r="B2059" i="1"/>
  <c r="I2058" i="1"/>
  <c r="B2058" i="1"/>
  <c r="I2057" i="1"/>
  <c r="B2057" i="1"/>
  <c r="I2056" i="1"/>
  <c r="B2056" i="1"/>
  <c r="I2055" i="1"/>
  <c r="B2055" i="1"/>
  <c r="I2054" i="1"/>
  <c r="B2054" i="1"/>
  <c r="I2053" i="1"/>
  <c r="B2053" i="1"/>
  <c r="I2052" i="1"/>
  <c r="B2052" i="1"/>
  <c r="I2051" i="1"/>
  <c r="E2051" i="1"/>
  <c r="B2051" i="1"/>
  <c r="I2050" i="1"/>
  <c r="B2050" i="1"/>
  <c r="I2049" i="1"/>
  <c r="B2049" i="1"/>
  <c r="I2048" i="1"/>
  <c r="B2048" i="1"/>
  <c r="I2047" i="1"/>
  <c r="B2047" i="1"/>
  <c r="I2046" i="1"/>
  <c r="B2046" i="1"/>
  <c r="I2045" i="1"/>
  <c r="E2045" i="1"/>
  <c r="B2045" i="1"/>
  <c r="I2044" i="1"/>
  <c r="B2044" i="1"/>
  <c r="I2043" i="1"/>
  <c r="B2043" i="1"/>
  <c r="I2042" i="1"/>
  <c r="B2042" i="1"/>
  <c r="I2041" i="1"/>
  <c r="B2041" i="1"/>
  <c r="I2040" i="1"/>
  <c r="B2040" i="1"/>
  <c r="I2039" i="1"/>
  <c r="B2039" i="1"/>
  <c r="I2038" i="1"/>
  <c r="B2038" i="1"/>
  <c r="I2037" i="1"/>
  <c r="B2037" i="1"/>
  <c r="I2036" i="1"/>
  <c r="B2036" i="1"/>
  <c r="I2035" i="1"/>
  <c r="B2035" i="1"/>
  <c r="I2034" i="1"/>
  <c r="B2034" i="1"/>
  <c r="I2033" i="1"/>
  <c r="B2033" i="1"/>
  <c r="I2032" i="1"/>
  <c r="B2032" i="1"/>
  <c r="I2031" i="1"/>
  <c r="B2031" i="1"/>
  <c r="I2030" i="1"/>
  <c r="B2030" i="1"/>
  <c r="I2029" i="1"/>
  <c r="B2029" i="1"/>
  <c r="I2028" i="1"/>
  <c r="B2028" i="1"/>
  <c r="I2027" i="1"/>
  <c r="E2027" i="1"/>
  <c r="B2027" i="1"/>
  <c r="I2026" i="1"/>
  <c r="B2026" i="1"/>
  <c r="I2025" i="1"/>
  <c r="B2025" i="1"/>
  <c r="I2024" i="1"/>
  <c r="B2024" i="1"/>
  <c r="I2023" i="1"/>
  <c r="B2023" i="1"/>
  <c r="I2022" i="1"/>
  <c r="B2022" i="1"/>
  <c r="I2021" i="1"/>
  <c r="E2021" i="1"/>
  <c r="B2021" i="1"/>
  <c r="I2020" i="1"/>
  <c r="B2020" i="1"/>
  <c r="I2019" i="1"/>
  <c r="B2019" i="1"/>
  <c r="I2018" i="1"/>
  <c r="B2018" i="1"/>
  <c r="I2017" i="1"/>
  <c r="B2017" i="1"/>
  <c r="I2016" i="1"/>
  <c r="B2016" i="1"/>
  <c r="I2015" i="1"/>
  <c r="B2015" i="1"/>
  <c r="I2014" i="1"/>
  <c r="B2014" i="1"/>
  <c r="I2013" i="1"/>
  <c r="B2013" i="1"/>
  <c r="I2012" i="1"/>
  <c r="B2012" i="1"/>
  <c r="I2011" i="1"/>
  <c r="B2011" i="1"/>
  <c r="I2010" i="1"/>
  <c r="B2010" i="1"/>
  <c r="I2009" i="1"/>
  <c r="B2009" i="1"/>
  <c r="I2008" i="1"/>
  <c r="B2008" i="1"/>
  <c r="I2007" i="1"/>
  <c r="B2007" i="1"/>
  <c r="I2006" i="1"/>
  <c r="B2006" i="1"/>
  <c r="I2005" i="1"/>
  <c r="B2005" i="1"/>
  <c r="I2004" i="1"/>
  <c r="B2004" i="1"/>
  <c r="I2003" i="1"/>
  <c r="E2003" i="1"/>
  <c r="B2003" i="1"/>
  <c r="I2002" i="1"/>
  <c r="B2002" i="1"/>
  <c r="I2001" i="1"/>
  <c r="B2001" i="1"/>
  <c r="I2000" i="1"/>
  <c r="B2000" i="1"/>
  <c r="I1999" i="1"/>
  <c r="B1999" i="1"/>
  <c r="I1998" i="1"/>
  <c r="B1998" i="1"/>
  <c r="I1997" i="1"/>
  <c r="E1997" i="1"/>
  <c r="B1997" i="1"/>
  <c r="I1996" i="1"/>
  <c r="B1996" i="1"/>
  <c r="I1995" i="1"/>
  <c r="B1995" i="1"/>
  <c r="I1994" i="1"/>
  <c r="B1994" i="1"/>
  <c r="I1993" i="1"/>
  <c r="B1993" i="1"/>
  <c r="I1992" i="1"/>
  <c r="B1992" i="1"/>
  <c r="I1991" i="1"/>
  <c r="B1991" i="1"/>
  <c r="I1990" i="1"/>
  <c r="B1990" i="1"/>
  <c r="I1989" i="1"/>
  <c r="B1989" i="1"/>
  <c r="I1988" i="1"/>
  <c r="B1988" i="1"/>
  <c r="I1987" i="1"/>
  <c r="B1987" i="1"/>
  <c r="I1986" i="1"/>
  <c r="B1986" i="1"/>
  <c r="I1985" i="1"/>
  <c r="B1985" i="1"/>
  <c r="I1984" i="1"/>
  <c r="B1984" i="1"/>
  <c r="I1983" i="1"/>
  <c r="B1983" i="1"/>
  <c r="I1982" i="1"/>
  <c r="B1982" i="1"/>
  <c r="I1981" i="1"/>
  <c r="B1981" i="1"/>
  <c r="I1980" i="1"/>
  <c r="B1980" i="1"/>
  <c r="I1979" i="1"/>
  <c r="B1979" i="1"/>
  <c r="I1978" i="1"/>
  <c r="B1978" i="1"/>
  <c r="I1977" i="1"/>
  <c r="B1977" i="1"/>
  <c r="I1976" i="1"/>
  <c r="B1976" i="1"/>
  <c r="I1975" i="1"/>
  <c r="B1975" i="1"/>
  <c r="I1974" i="1"/>
  <c r="B1974" i="1"/>
  <c r="I1973" i="1"/>
  <c r="B1973" i="1"/>
  <c r="I1972" i="1"/>
  <c r="B1972" i="1"/>
  <c r="I1971" i="1"/>
  <c r="B1971" i="1"/>
  <c r="I1970" i="1"/>
  <c r="B1970" i="1"/>
  <c r="I1969" i="1"/>
  <c r="B1969" i="1"/>
  <c r="I1968" i="1"/>
  <c r="B1968" i="1"/>
  <c r="I1967" i="1"/>
  <c r="B1967" i="1"/>
  <c r="I1966" i="1"/>
  <c r="B1966" i="1"/>
  <c r="I1965" i="1"/>
  <c r="B1965" i="1"/>
  <c r="I1964" i="1"/>
  <c r="B1964" i="1"/>
  <c r="I1963" i="1"/>
  <c r="B1963" i="1"/>
  <c r="I1962" i="1"/>
  <c r="B1962" i="1"/>
  <c r="I1961" i="1"/>
  <c r="B1961" i="1"/>
  <c r="I1960" i="1"/>
  <c r="B1960" i="1"/>
  <c r="I1959" i="1"/>
  <c r="B1959" i="1"/>
  <c r="I1958" i="1"/>
  <c r="B1958" i="1"/>
  <c r="I1957" i="1"/>
  <c r="B1957" i="1"/>
  <c r="I1956" i="1"/>
  <c r="B1956" i="1"/>
  <c r="I1955" i="1"/>
  <c r="B1955" i="1"/>
  <c r="I1954" i="1"/>
  <c r="B1954" i="1"/>
  <c r="I1953" i="1"/>
  <c r="B1953" i="1"/>
  <c r="I1952" i="1"/>
  <c r="B1952" i="1"/>
  <c r="I1951" i="1"/>
  <c r="B1951" i="1"/>
  <c r="I1950" i="1"/>
  <c r="B1950" i="1"/>
  <c r="I1949" i="1"/>
  <c r="B1949" i="1"/>
  <c r="I1948" i="1"/>
  <c r="B1948" i="1"/>
  <c r="I1947" i="1"/>
  <c r="B1947" i="1"/>
  <c r="I1946" i="1"/>
  <c r="B1946" i="1"/>
  <c r="I1945" i="1"/>
  <c r="B1945" i="1"/>
  <c r="I1944" i="1"/>
  <c r="B1944" i="1"/>
  <c r="I1943" i="1"/>
  <c r="B1943" i="1"/>
  <c r="I1942" i="1"/>
  <c r="B1942" i="1"/>
  <c r="I1941" i="1"/>
  <c r="B1941" i="1"/>
  <c r="I1940" i="1"/>
  <c r="B1940" i="1"/>
  <c r="I1939" i="1"/>
  <c r="B1939" i="1"/>
  <c r="I1938" i="1"/>
  <c r="B1938" i="1"/>
  <c r="I1937" i="1"/>
  <c r="B1937" i="1"/>
  <c r="I1936" i="1"/>
  <c r="B1936" i="1"/>
  <c r="I1935" i="1"/>
  <c r="B1935" i="1"/>
  <c r="I1934" i="1"/>
  <c r="B1934" i="1"/>
  <c r="I1933" i="1"/>
  <c r="B1933" i="1"/>
  <c r="I1932" i="1"/>
  <c r="B1932" i="1"/>
  <c r="I1931" i="1"/>
  <c r="B1931" i="1"/>
  <c r="I1930" i="1"/>
  <c r="B1930" i="1"/>
  <c r="I1929" i="1"/>
  <c r="B1929" i="1"/>
  <c r="I1928" i="1"/>
  <c r="B1928" i="1"/>
  <c r="I1927" i="1"/>
  <c r="B1927" i="1"/>
  <c r="I1926" i="1"/>
  <c r="B1926" i="1"/>
  <c r="I1925" i="1"/>
  <c r="E1925" i="1"/>
  <c r="B1925" i="1"/>
  <c r="I1924" i="1"/>
  <c r="B1924" i="1"/>
  <c r="I1923" i="1"/>
  <c r="B1923" i="1"/>
  <c r="I1922" i="1"/>
  <c r="B1922" i="1"/>
  <c r="I1921" i="1"/>
  <c r="B1921" i="1"/>
  <c r="I1920" i="1"/>
  <c r="B1920" i="1"/>
  <c r="I1919" i="1"/>
  <c r="B1919" i="1"/>
  <c r="I1918" i="1"/>
  <c r="B1918" i="1"/>
  <c r="I1917" i="1"/>
  <c r="E1917" i="1"/>
  <c r="B1917" i="1"/>
  <c r="I1916" i="1"/>
  <c r="B1916" i="1"/>
  <c r="I1915" i="1"/>
  <c r="B1915" i="1"/>
  <c r="I1914" i="1"/>
  <c r="B1914" i="1"/>
  <c r="I1913" i="1"/>
  <c r="B1913" i="1"/>
  <c r="I1912" i="1"/>
  <c r="B1912" i="1"/>
  <c r="I1911" i="1"/>
  <c r="B1911" i="1"/>
  <c r="I1910" i="1"/>
  <c r="B1910" i="1"/>
  <c r="I1909" i="1"/>
  <c r="B1909" i="1"/>
  <c r="I1908" i="1"/>
  <c r="B1908" i="1"/>
  <c r="I1907" i="1"/>
  <c r="B1907" i="1"/>
  <c r="I1906" i="1"/>
  <c r="B1906" i="1"/>
  <c r="I1905" i="1"/>
  <c r="B1905" i="1"/>
  <c r="I1904" i="1"/>
  <c r="B1904" i="1"/>
  <c r="I1903" i="1"/>
  <c r="B1903" i="1"/>
  <c r="I1902" i="1"/>
  <c r="B1902" i="1"/>
  <c r="I1901" i="1"/>
  <c r="E1901" i="1"/>
  <c r="B1901" i="1"/>
  <c r="I1900" i="1"/>
  <c r="B1900" i="1"/>
  <c r="I1899" i="1"/>
  <c r="B1899" i="1"/>
  <c r="I1898" i="1"/>
  <c r="B1898" i="1"/>
  <c r="I1897" i="1"/>
  <c r="B1897" i="1"/>
  <c r="I1896" i="1"/>
  <c r="B1896" i="1"/>
  <c r="I1895" i="1"/>
  <c r="B1895" i="1"/>
  <c r="I1894" i="1"/>
  <c r="B1894" i="1"/>
  <c r="I1893" i="1"/>
  <c r="B1893" i="1"/>
  <c r="I1892" i="1"/>
  <c r="B1892" i="1"/>
  <c r="I1891" i="1"/>
  <c r="B1891" i="1"/>
  <c r="I1890" i="1"/>
  <c r="B1890" i="1"/>
  <c r="I1889" i="1"/>
  <c r="B1889" i="1"/>
  <c r="I1888" i="1"/>
  <c r="B1888" i="1"/>
  <c r="I1887" i="1"/>
  <c r="B1887" i="1"/>
  <c r="I1886" i="1"/>
  <c r="B1886" i="1"/>
  <c r="I1885" i="1"/>
  <c r="B1885" i="1"/>
  <c r="I1884" i="1"/>
  <c r="B1884" i="1"/>
  <c r="I1883" i="1"/>
  <c r="B1883" i="1"/>
  <c r="I1882" i="1"/>
  <c r="B1882" i="1"/>
  <c r="I1881" i="1"/>
  <c r="B1881" i="1"/>
  <c r="I1880" i="1"/>
  <c r="B1880" i="1"/>
  <c r="I1879" i="1"/>
  <c r="B1879" i="1"/>
  <c r="I1878" i="1"/>
  <c r="B1878" i="1"/>
  <c r="I1877" i="1"/>
  <c r="E1877" i="1"/>
  <c r="B1877" i="1"/>
  <c r="I1876" i="1"/>
  <c r="B1876" i="1"/>
  <c r="I1875" i="1"/>
  <c r="B1875" i="1"/>
  <c r="I1874" i="1"/>
  <c r="B1874" i="1"/>
  <c r="I1873" i="1"/>
  <c r="B1873" i="1"/>
  <c r="I1872" i="1"/>
  <c r="B1872" i="1"/>
  <c r="I1871" i="1"/>
  <c r="B1871" i="1"/>
  <c r="I1870" i="1"/>
  <c r="B1870" i="1"/>
  <c r="I1869" i="1"/>
  <c r="E1869" i="1"/>
  <c r="B1869" i="1"/>
  <c r="I1868" i="1"/>
  <c r="B1868" i="1"/>
  <c r="I1867" i="1"/>
  <c r="B1867" i="1"/>
  <c r="I1866" i="1"/>
  <c r="B1866" i="1"/>
  <c r="I1865" i="1"/>
  <c r="B1865" i="1"/>
  <c r="I1864" i="1"/>
  <c r="B1864" i="1"/>
  <c r="I1863" i="1"/>
  <c r="B1863" i="1"/>
  <c r="I1862" i="1"/>
  <c r="B1862" i="1"/>
  <c r="I1861" i="1"/>
  <c r="B1861" i="1"/>
  <c r="I1860" i="1"/>
  <c r="B1860" i="1"/>
  <c r="I1859" i="1"/>
  <c r="B1859" i="1"/>
  <c r="I1858" i="1"/>
  <c r="B1858" i="1"/>
  <c r="I1857" i="1"/>
  <c r="B1857" i="1"/>
  <c r="I1856" i="1"/>
  <c r="B1856" i="1"/>
  <c r="I1855" i="1"/>
  <c r="B1855" i="1"/>
  <c r="I1854" i="1"/>
  <c r="B1854" i="1"/>
  <c r="I1853" i="1"/>
  <c r="E1853" i="1"/>
  <c r="B1853" i="1"/>
  <c r="I1852" i="1"/>
  <c r="B1852" i="1"/>
  <c r="I1851" i="1"/>
  <c r="B1851" i="1"/>
  <c r="I1850" i="1"/>
  <c r="B1850" i="1"/>
  <c r="I1849" i="1"/>
  <c r="B1849" i="1"/>
  <c r="I1848" i="1"/>
  <c r="B1848" i="1"/>
  <c r="I1847" i="1"/>
  <c r="B1847" i="1"/>
  <c r="I1846" i="1"/>
  <c r="B1846" i="1"/>
  <c r="I1845" i="1"/>
  <c r="B1845" i="1"/>
  <c r="I1844" i="1"/>
  <c r="B1844" i="1"/>
  <c r="I1843" i="1"/>
  <c r="B1843" i="1"/>
  <c r="I1842" i="1"/>
  <c r="B1842" i="1"/>
  <c r="I1841" i="1"/>
  <c r="B1841" i="1"/>
  <c r="I1840" i="1"/>
  <c r="B1840" i="1"/>
  <c r="I1839" i="1"/>
  <c r="B1839" i="1"/>
  <c r="I1838" i="1"/>
  <c r="B1838" i="1"/>
  <c r="I1837" i="1"/>
  <c r="B1837" i="1"/>
  <c r="I1836" i="1"/>
  <c r="B1836" i="1"/>
  <c r="I1835" i="1"/>
  <c r="B1835" i="1"/>
  <c r="I1834" i="1"/>
  <c r="B1834" i="1"/>
  <c r="I1833" i="1"/>
  <c r="B1833" i="1"/>
  <c r="I1832" i="1"/>
  <c r="B1832" i="1"/>
  <c r="I1831" i="1"/>
  <c r="B1831" i="1"/>
  <c r="I1830" i="1"/>
  <c r="B1830" i="1"/>
  <c r="I1829" i="1"/>
  <c r="E1829" i="1"/>
  <c r="B1829" i="1"/>
  <c r="I1828" i="1"/>
  <c r="B1828" i="1"/>
  <c r="I1827" i="1"/>
  <c r="B1827" i="1"/>
  <c r="I1826" i="1"/>
  <c r="B1826" i="1"/>
  <c r="I1825" i="1"/>
  <c r="B1825" i="1"/>
  <c r="I1824" i="1"/>
  <c r="B1824" i="1"/>
  <c r="I1823" i="1"/>
  <c r="B1823" i="1"/>
  <c r="I1822" i="1"/>
  <c r="B1822" i="1"/>
  <c r="I1821" i="1"/>
  <c r="B1821" i="1"/>
  <c r="I1820" i="1"/>
  <c r="B1820" i="1"/>
  <c r="I1819" i="1"/>
  <c r="B1819" i="1"/>
  <c r="I1818" i="1"/>
  <c r="B1818" i="1"/>
  <c r="I1817" i="1"/>
  <c r="B1817" i="1"/>
  <c r="I1816" i="1"/>
  <c r="B1816" i="1"/>
  <c r="I1815" i="1"/>
  <c r="B1815" i="1"/>
  <c r="I1814" i="1"/>
  <c r="B1814" i="1"/>
  <c r="I1813" i="1"/>
  <c r="B1813" i="1"/>
  <c r="I1812" i="1"/>
  <c r="B1812" i="1"/>
  <c r="I1811" i="1"/>
  <c r="B1811" i="1"/>
  <c r="I1810" i="1"/>
  <c r="B1810" i="1"/>
  <c r="I1809" i="1"/>
  <c r="B1809" i="1"/>
  <c r="I1808" i="1"/>
  <c r="B1808" i="1"/>
  <c r="I1807" i="1"/>
  <c r="B1807" i="1"/>
  <c r="I1806" i="1"/>
  <c r="B1806" i="1"/>
  <c r="I1805" i="1"/>
  <c r="E1805" i="1"/>
  <c r="B1805" i="1"/>
  <c r="I1804" i="1"/>
  <c r="B1804" i="1"/>
  <c r="I1803" i="1"/>
  <c r="B1803" i="1"/>
  <c r="I1802" i="1"/>
  <c r="B1802" i="1"/>
  <c r="I1801" i="1"/>
  <c r="B1801" i="1"/>
  <c r="I1800" i="1"/>
  <c r="B1800" i="1"/>
  <c r="I1799" i="1"/>
  <c r="B1799" i="1"/>
  <c r="I1798" i="1"/>
  <c r="B1798" i="1"/>
  <c r="I1797" i="1"/>
  <c r="B1797" i="1"/>
  <c r="I1796" i="1"/>
  <c r="B1796" i="1"/>
  <c r="I1795" i="1"/>
  <c r="B1795" i="1"/>
  <c r="I1794" i="1"/>
  <c r="B1794" i="1"/>
  <c r="I1793" i="1"/>
  <c r="B1793" i="1"/>
  <c r="I1792" i="1"/>
  <c r="B1792" i="1"/>
  <c r="I1791" i="1"/>
  <c r="B1791" i="1"/>
  <c r="I1790" i="1"/>
  <c r="B1790" i="1"/>
  <c r="I1789" i="1"/>
  <c r="B1789" i="1"/>
  <c r="I1788" i="1"/>
  <c r="B1788" i="1"/>
  <c r="I1787" i="1"/>
  <c r="B1787" i="1"/>
  <c r="I1786" i="1"/>
  <c r="B1786" i="1"/>
  <c r="I1785" i="1"/>
  <c r="B1785" i="1"/>
  <c r="I1784" i="1"/>
  <c r="B1784" i="1"/>
  <c r="I1783" i="1"/>
  <c r="B1783" i="1"/>
  <c r="I1782" i="1"/>
  <c r="B1782" i="1"/>
  <c r="I1781" i="1"/>
  <c r="E1781" i="1"/>
  <c r="B1781" i="1"/>
  <c r="I1780" i="1"/>
  <c r="B1780" i="1"/>
  <c r="I1779" i="1"/>
  <c r="B1779" i="1"/>
  <c r="I1778" i="1"/>
  <c r="B1778" i="1"/>
  <c r="I1777" i="1"/>
  <c r="B1777" i="1"/>
  <c r="I1776" i="1"/>
  <c r="B1776" i="1"/>
  <c r="I1775" i="1"/>
  <c r="B1775" i="1"/>
  <c r="I1774" i="1"/>
  <c r="B1774" i="1"/>
  <c r="I1773" i="1"/>
  <c r="E1773" i="1"/>
  <c r="B1773" i="1"/>
  <c r="I1772" i="1"/>
  <c r="B1772" i="1"/>
  <c r="I1771" i="1"/>
  <c r="B1771" i="1"/>
  <c r="I1770" i="1"/>
  <c r="B1770" i="1"/>
  <c r="I1769" i="1"/>
  <c r="B1769" i="1"/>
  <c r="I1768" i="1"/>
  <c r="B1768" i="1"/>
  <c r="I1767" i="1"/>
  <c r="B1767" i="1"/>
  <c r="I1766" i="1"/>
  <c r="B1766" i="1"/>
  <c r="I1765" i="1"/>
  <c r="B1765" i="1"/>
  <c r="I1764" i="1"/>
  <c r="B1764" i="1"/>
  <c r="I1763" i="1"/>
  <c r="B1763" i="1"/>
  <c r="I1762" i="1"/>
  <c r="B1762" i="1"/>
  <c r="I1761" i="1"/>
  <c r="B1761" i="1"/>
  <c r="I1760" i="1"/>
  <c r="B1760" i="1"/>
  <c r="I1759" i="1"/>
  <c r="B1759" i="1"/>
  <c r="I1758" i="1"/>
  <c r="B1758" i="1"/>
  <c r="I1757" i="1"/>
  <c r="E1757" i="1"/>
  <c r="B1757" i="1"/>
  <c r="I1756" i="1"/>
  <c r="B1756" i="1"/>
  <c r="I1755" i="1"/>
  <c r="B1755" i="1"/>
  <c r="I1754" i="1"/>
  <c r="B1754" i="1"/>
  <c r="I1753" i="1"/>
  <c r="B1753" i="1"/>
  <c r="I1752" i="1"/>
  <c r="B1752" i="1"/>
  <c r="I1751" i="1"/>
  <c r="B1751" i="1"/>
  <c r="I1750" i="1"/>
  <c r="B1750" i="1"/>
  <c r="I1749" i="1"/>
  <c r="B1749" i="1"/>
  <c r="I1748" i="1"/>
  <c r="B1748" i="1"/>
  <c r="I1747" i="1"/>
  <c r="B1747" i="1"/>
  <c r="I1746" i="1"/>
  <c r="B1746" i="1"/>
  <c r="I1745" i="1"/>
  <c r="B1745" i="1"/>
  <c r="I1744" i="1"/>
  <c r="B1744" i="1"/>
  <c r="I1743" i="1"/>
  <c r="B1743" i="1"/>
  <c r="I1742" i="1"/>
  <c r="B1742" i="1"/>
  <c r="I1741" i="1"/>
  <c r="B1741" i="1"/>
  <c r="I1740" i="1"/>
  <c r="B1740" i="1"/>
  <c r="I1739" i="1"/>
  <c r="B1739" i="1"/>
  <c r="I1738" i="1"/>
  <c r="B1738" i="1"/>
  <c r="I1737" i="1"/>
  <c r="B1737" i="1"/>
  <c r="I1736" i="1"/>
  <c r="B1736" i="1"/>
  <c r="I1735" i="1"/>
  <c r="B1735" i="1"/>
  <c r="I1734" i="1"/>
  <c r="B1734" i="1"/>
  <c r="I1733" i="1"/>
  <c r="E1733" i="1"/>
  <c r="B1733" i="1"/>
  <c r="I1732" i="1"/>
  <c r="B1732" i="1"/>
  <c r="I1731" i="1"/>
  <c r="B1731" i="1"/>
  <c r="I1730" i="1"/>
  <c r="B1730" i="1"/>
  <c r="I1729" i="1"/>
  <c r="B1729" i="1"/>
  <c r="I1728" i="1"/>
  <c r="B1728" i="1"/>
  <c r="I1727" i="1"/>
  <c r="B1727" i="1"/>
  <c r="I1726" i="1"/>
  <c r="B1726" i="1"/>
  <c r="I1725" i="1"/>
  <c r="B1725" i="1"/>
  <c r="I1724" i="1"/>
  <c r="B1724" i="1"/>
  <c r="I1723" i="1"/>
  <c r="B1723" i="1"/>
  <c r="I1722" i="1"/>
  <c r="B1722" i="1"/>
  <c r="I1721" i="1"/>
  <c r="B1721" i="1"/>
  <c r="I1720" i="1"/>
  <c r="B1720" i="1"/>
  <c r="I1719" i="1"/>
  <c r="B1719" i="1"/>
  <c r="I1718" i="1"/>
  <c r="B1718" i="1"/>
  <c r="I1717" i="1"/>
  <c r="B1717" i="1"/>
  <c r="I1716" i="1"/>
  <c r="B1716" i="1"/>
  <c r="I1715" i="1"/>
  <c r="B1715" i="1"/>
  <c r="I1714" i="1"/>
  <c r="B1714" i="1"/>
  <c r="I1713" i="1"/>
  <c r="B1713" i="1"/>
  <c r="I1712" i="1"/>
  <c r="B1712" i="1"/>
  <c r="I1711" i="1"/>
  <c r="B1711" i="1"/>
  <c r="I1710" i="1"/>
  <c r="B1710" i="1"/>
  <c r="I1709" i="1"/>
  <c r="E1709" i="1"/>
  <c r="B1709" i="1"/>
  <c r="I1708" i="1"/>
  <c r="B1708" i="1"/>
  <c r="I1707" i="1"/>
  <c r="B1707" i="1"/>
  <c r="I1706" i="1"/>
  <c r="B1706" i="1"/>
  <c r="I1705" i="1"/>
  <c r="B1705" i="1"/>
  <c r="I1704" i="1"/>
  <c r="B1704" i="1"/>
  <c r="I1703" i="1"/>
  <c r="B1703" i="1"/>
  <c r="I1702" i="1"/>
  <c r="B1702" i="1"/>
  <c r="I1701" i="1"/>
  <c r="B1701" i="1"/>
  <c r="I1700" i="1"/>
  <c r="B1700" i="1"/>
  <c r="I1699" i="1"/>
  <c r="B1699" i="1"/>
  <c r="I1698" i="1"/>
  <c r="B1698" i="1"/>
  <c r="I1697" i="1"/>
  <c r="B1697" i="1"/>
  <c r="I1696" i="1"/>
  <c r="B1696" i="1"/>
  <c r="I1695" i="1"/>
  <c r="B1695" i="1"/>
  <c r="I1694" i="1"/>
  <c r="B1694" i="1"/>
  <c r="I1693" i="1"/>
  <c r="B1693" i="1"/>
  <c r="I1692" i="1"/>
  <c r="B1692" i="1"/>
  <c r="I1691" i="1"/>
  <c r="B1691" i="1"/>
  <c r="I1690" i="1"/>
  <c r="B1690" i="1"/>
  <c r="I1689" i="1"/>
  <c r="B1689" i="1"/>
  <c r="I1688" i="1"/>
  <c r="B1688" i="1"/>
  <c r="I1687" i="1"/>
  <c r="B1687" i="1"/>
  <c r="I1686" i="1"/>
  <c r="B1686" i="1"/>
  <c r="I1685" i="1"/>
  <c r="E1685" i="1"/>
  <c r="B1685" i="1"/>
  <c r="I1684" i="1"/>
  <c r="B1684" i="1"/>
  <c r="I1683" i="1"/>
  <c r="E1683" i="1"/>
  <c r="B1683" i="1"/>
  <c r="I1682" i="1"/>
  <c r="B1682" i="1"/>
  <c r="I1681" i="1"/>
  <c r="B1681" i="1"/>
  <c r="I1680" i="1"/>
  <c r="B1680" i="1"/>
  <c r="I1679" i="1"/>
  <c r="B1679" i="1"/>
  <c r="I1678" i="1"/>
  <c r="B1678" i="1"/>
  <c r="I1677" i="1"/>
  <c r="E1677" i="1"/>
  <c r="B1677" i="1"/>
  <c r="I1676" i="1"/>
  <c r="B1676" i="1"/>
  <c r="I1675" i="1"/>
  <c r="B1675" i="1"/>
  <c r="I1674" i="1"/>
  <c r="B1674" i="1"/>
  <c r="I1673" i="1"/>
  <c r="B1673" i="1"/>
  <c r="I1672" i="1"/>
  <c r="B1672" i="1"/>
  <c r="I1671" i="1"/>
  <c r="B1671" i="1"/>
  <c r="I1670" i="1"/>
  <c r="B1670" i="1"/>
  <c r="I1669" i="1"/>
  <c r="B1669" i="1"/>
  <c r="I1668" i="1"/>
  <c r="B1668" i="1"/>
  <c r="I1667" i="1"/>
  <c r="B1667" i="1"/>
  <c r="I1666" i="1"/>
  <c r="B1666" i="1"/>
  <c r="I1665" i="1"/>
  <c r="B1665" i="1"/>
  <c r="I1664" i="1"/>
  <c r="B1664" i="1"/>
  <c r="I1663" i="1"/>
  <c r="B1663" i="1"/>
  <c r="I1662" i="1"/>
  <c r="B1662" i="1"/>
  <c r="I1661" i="1"/>
  <c r="E1661" i="1"/>
  <c r="B1661" i="1"/>
  <c r="I1660" i="1"/>
  <c r="B1660" i="1"/>
  <c r="I1659" i="1"/>
  <c r="B1659" i="1"/>
  <c r="I1658" i="1"/>
  <c r="B1658" i="1"/>
  <c r="I1657" i="1"/>
  <c r="B1657" i="1"/>
  <c r="I1656" i="1"/>
  <c r="B1656" i="1"/>
  <c r="I1655" i="1"/>
  <c r="B1655" i="1"/>
  <c r="I1654" i="1"/>
  <c r="B1654" i="1"/>
  <c r="I1653" i="1"/>
  <c r="B1653" i="1"/>
  <c r="I1652" i="1"/>
  <c r="B1652" i="1"/>
  <c r="I1651" i="1"/>
  <c r="B1651" i="1"/>
  <c r="I1650" i="1"/>
  <c r="B1650" i="1"/>
  <c r="I1649" i="1"/>
  <c r="B1649" i="1"/>
  <c r="I1648" i="1"/>
  <c r="B1648" i="1"/>
  <c r="I1647" i="1"/>
  <c r="B1647" i="1"/>
  <c r="I1646" i="1"/>
  <c r="B1646" i="1"/>
  <c r="I1645" i="1"/>
  <c r="B1645" i="1"/>
  <c r="I1644" i="1"/>
  <c r="B1644" i="1"/>
  <c r="I1643" i="1"/>
  <c r="E1643" i="1"/>
  <c r="B1643" i="1"/>
  <c r="I1642" i="1"/>
  <c r="B1642" i="1"/>
  <c r="I1641" i="1"/>
  <c r="B1641" i="1"/>
  <c r="I1640" i="1"/>
  <c r="B1640" i="1"/>
  <c r="I1639" i="1"/>
  <c r="B1639" i="1"/>
  <c r="I1638" i="1"/>
  <c r="B1638" i="1"/>
  <c r="I1637" i="1"/>
  <c r="B1637" i="1"/>
  <c r="I1636" i="1"/>
  <c r="B1636" i="1"/>
  <c r="I1635" i="1"/>
  <c r="B1635" i="1"/>
  <c r="I1634" i="1"/>
  <c r="B1634" i="1"/>
  <c r="I1633" i="1"/>
  <c r="B1633" i="1"/>
  <c r="I1632" i="1"/>
  <c r="B1632" i="1"/>
  <c r="I1631" i="1"/>
  <c r="B1631" i="1"/>
  <c r="I1630" i="1"/>
  <c r="B1630" i="1"/>
  <c r="I1629" i="1"/>
  <c r="B1629" i="1"/>
  <c r="I1628" i="1"/>
  <c r="B1628" i="1"/>
  <c r="I1627" i="1"/>
  <c r="B1627" i="1"/>
  <c r="I1626" i="1"/>
  <c r="E1626" i="1"/>
  <c r="B1626" i="1"/>
  <c r="I1625" i="1"/>
  <c r="B1625" i="1"/>
  <c r="I1624" i="1"/>
  <c r="B1624" i="1"/>
  <c r="I1623" i="1"/>
  <c r="B1623" i="1"/>
  <c r="I1622" i="1"/>
  <c r="B1622" i="1"/>
  <c r="I1621" i="1"/>
  <c r="B1621" i="1"/>
  <c r="I1620" i="1"/>
  <c r="B1620" i="1"/>
  <c r="I1619" i="1"/>
  <c r="E1619" i="1"/>
  <c r="B1619" i="1"/>
  <c r="I1618" i="1"/>
  <c r="B1618" i="1"/>
  <c r="I1617" i="1"/>
  <c r="B1617" i="1"/>
  <c r="I1616" i="1"/>
  <c r="B1616" i="1"/>
  <c r="I1615" i="1"/>
  <c r="B1615" i="1"/>
  <c r="I1614" i="1"/>
  <c r="B1614" i="1"/>
  <c r="I1613" i="1"/>
  <c r="B1613" i="1"/>
  <c r="I1612" i="1"/>
  <c r="B1612" i="1"/>
  <c r="I1611" i="1"/>
  <c r="B1611" i="1"/>
  <c r="I1610" i="1"/>
  <c r="B1610" i="1"/>
  <c r="I1609" i="1"/>
  <c r="B1609" i="1"/>
  <c r="I1608" i="1"/>
  <c r="B1608" i="1"/>
  <c r="I1607" i="1"/>
  <c r="B1607" i="1"/>
  <c r="I1606" i="1"/>
  <c r="B1606" i="1"/>
  <c r="I1605" i="1"/>
  <c r="B1605" i="1"/>
  <c r="I1604" i="1"/>
  <c r="B1604" i="1"/>
  <c r="I1603" i="1"/>
  <c r="B1603" i="1"/>
  <c r="I1602" i="1"/>
  <c r="E1602" i="1"/>
  <c r="B1602" i="1"/>
  <c r="I1601" i="1"/>
  <c r="B1601" i="1"/>
  <c r="I1600" i="1"/>
  <c r="B1600" i="1"/>
  <c r="I1599" i="1"/>
  <c r="B1599" i="1"/>
  <c r="I1598" i="1"/>
  <c r="B1598" i="1"/>
  <c r="I1597" i="1"/>
  <c r="B1597" i="1"/>
  <c r="I1596" i="1"/>
  <c r="B1596" i="1"/>
  <c r="I1595" i="1"/>
  <c r="B1595" i="1"/>
  <c r="I1594" i="1"/>
  <c r="B1594" i="1"/>
  <c r="I1593" i="1"/>
  <c r="B1593" i="1"/>
  <c r="I1592" i="1"/>
  <c r="B1592" i="1"/>
  <c r="I1591" i="1"/>
  <c r="B1591" i="1"/>
  <c r="I1590" i="1"/>
  <c r="B1590" i="1"/>
  <c r="I1589" i="1"/>
  <c r="B1589" i="1"/>
  <c r="I1588" i="1"/>
  <c r="B1588" i="1"/>
  <c r="I1587" i="1"/>
  <c r="B1587" i="1"/>
  <c r="I1586" i="1"/>
  <c r="B1586" i="1"/>
  <c r="I1585" i="1"/>
  <c r="B1585" i="1"/>
  <c r="I1584" i="1"/>
  <c r="E1584" i="1"/>
  <c r="B1584" i="1"/>
  <c r="I1583" i="1"/>
  <c r="B1583" i="1"/>
  <c r="I1582" i="1"/>
  <c r="B1582" i="1"/>
  <c r="I1581" i="1"/>
  <c r="B1581" i="1"/>
  <c r="I1580" i="1"/>
  <c r="B1580" i="1"/>
  <c r="I1579" i="1"/>
  <c r="B1579" i="1"/>
  <c r="I1578" i="1"/>
  <c r="E1578" i="1"/>
  <c r="B1578" i="1"/>
  <c r="I1577" i="1"/>
  <c r="B1577" i="1"/>
  <c r="I1576" i="1"/>
  <c r="B1576" i="1"/>
  <c r="I1575" i="1"/>
  <c r="B1575" i="1"/>
  <c r="I1574" i="1"/>
  <c r="B1574" i="1"/>
  <c r="I1573" i="1"/>
  <c r="B1573" i="1"/>
  <c r="I1572" i="1"/>
  <c r="B1572" i="1"/>
  <c r="I1571" i="1"/>
  <c r="B1571" i="1"/>
  <c r="I1570" i="1"/>
  <c r="B1570" i="1"/>
  <c r="I1569" i="1"/>
  <c r="B1569" i="1"/>
  <c r="I1568" i="1"/>
  <c r="B1568" i="1"/>
  <c r="I1567" i="1"/>
  <c r="B1567" i="1"/>
  <c r="I1566" i="1"/>
  <c r="B1566" i="1"/>
  <c r="I1565" i="1"/>
  <c r="B1565" i="1"/>
  <c r="I1564" i="1"/>
  <c r="B1564" i="1"/>
  <c r="I1563" i="1"/>
  <c r="B1563" i="1"/>
  <c r="I1562" i="1"/>
  <c r="B1562" i="1"/>
  <c r="I1561" i="1"/>
  <c r="B1561" i="1"/>
  <c r="I1560" i="1"/>
  <c r="E1560" i="1"/>
  <c r="B1560" i="1"/>
  <c r="I1559" i="1"/>
  <c r="B1559" i="1"/>
  <c r="I1558" i="1"/>
  <c r="B1558" i="1"/>
  <c r="I1557" i="1"/>
  <c r="B1557" i="1"/>
  <c r="I1556" i="1"/>
  <c r="B1556" i="1"/>
  <c r="I1555" i="1"/>
  <c r="B1555" i="1"/>
  <c r="I1554" i="1"/>
  <c r="E1554" i="1"/>
  <c r="B1554" i="1"/>
  <c r="I1553" i="1"/>
  <c r="B1553" i="1"/>
  <c r="I1552" i="1"/>
  <c r="B1552" i="1"/>
  <c r="I1551" i="1"/>
  <c r="B1551" i="1"/>
  <c r="I1550" i="1"/>
  <c r="B1550" i="1"/>
  <c r="I1549" i="1"/>
  <c r="B1549" i="1"/>
  <c r="I1548" i="1"/>
  <c r="B1548" i="1"/>
  <c r="I1547" i="1"/>
  <c r="B1547" i="1"/>
  <c r="I1546" i="1"/>
  <c r="B1546" i="1"/>
  <c r="I1545" i="1"/>
  <c r="B1545" i="1"/>
  <c r="I1544" i="1"/>
  <c r="B1544" i="1"/>
  <c r="I1543" i="1"/>
  <c r="B1543" i="1"/>
  <c r="I1542" i="1"/>
  <c r="B1542" i="1"/>
  <c r="I1541" i="1"/>
  <c r="B1541" i="1"/>
  <c r="I1540" i="1"/>
  <c r="E1540" i="1"/>
  <c r="B1540" i="1"/>
  <c r="I1539" i="1"/>
  <c r="B1539" i="1"/>
  <c r="I1538" i="1"/>
  <c r="B1538" i="1"/>
  <c r="I1537" i="1"/>
  <c r="B1537" i="1"/>
  <c r="I1536" i="1"/>
  <c r="E1536" i="1"/>
  <c r="B1536" i="1"/>
  <c r="I1535" i="1"/>
  <c r="B1535" i="1"/>
  <c r="I1534" i="1"/>
  <c r="B1534" i="1"/>
  <c r="I1533" i="1"/>
  <c r="B1533" i="1"/>
  <c r="I1532" i="1"/>
  <c r="B1532" i="1"/>
  <c r="I1531" i="1"/>
  <c r="B1531" i="1"/>
  <c r="I1530" i="1"/>
  <c r="E1530" i="1"/>
  <c r="B1530" i="1"/>
  <c r="I1529" i="1"/>
  <c r="B1529" i="1"/>
  <c r="I1528" i="1"/>
  <c r="B1528" i="1"/>
  <c r="I1527" i="1"/>
  <c r="B1527" i="1"/>
  <c r="I1526" i="1"/>
  <c r="B1526" i="1"/>
  <c r="I1525" i="1"/>
  <c r="B1525" i="1"/>
  <c r="I1524" i="1"/>
  <c r="B1524" i="1"/>
  <c r="I1523" i="1"/>
  <c r="B1523" i="1"/>
  <c r="I1522" i="1"/>
  <c r="B1522" i="1"/>
  <c r="I1521" i="1"/>
  <c r="B1521" i="1"/>
  <c r="I1520" i="1"/>
  <c r="B1520" i="1"/>
  <c r="I1519" i="1"/>
  <c r="E1519" i="1"/>
  <c r="B1519" i="1"/>
  <c r="I1518" i="1"/>
  <c r="B1518" i="1"/>
  <c r="I1517" i="1"/>
  <c r="B1517" i="1"/>
  <c r="I1516" i="1"/>
  <c r="B1516" i="1"/>
  <c r="I1515" i="1"/>
  <c r="B1515" i="1"/>
  <c r="I1514" i="1"/>
  <c r="B1514" i="1"/>
  <c r="I1513" i="1"/>
  <c r="B1513" i="1"/>
  <c r="I1512" i="1"/>
  <c r="E1512" i="1"/>
  <c r="B1512" i="1"/>
  <c r="I1511" i="1"/>
  <c r="B1511" i="1"/>
  <c r="I1510" i="1"/>
  <c r="E1510" i="1"/>
  <c r="B1510" i="1"/>
  <c r="I1509" i="1"/>
  <c r="B1509" i="1"/>
  <c r="I1508" i="1"/>
  <c r="B1508" i="1"/>
  <c r="I1507" i="1"/>
  <c r="B1507" i="1"/>
  <c r="I1506" i="1"/>
  <c r="E1506" i="1"/>
  <c r="B1506" i="1"/>
  <c r="I1505" i="1"/>
  <c r="B1505" i="1"/>
  <c r="I1504" i="1"/>
  <c r="B1504" i="1"/>
  <c r="I1503" i="1"/>
  <c r="B1503" i="1"/>
  <c r="I1502" i="1"/>
  <c r="B1502" i="1"/>
  <c r="I1501" i="1"/>
  <c r="B1501" i="1"/>
  <c r="I1500" i="1"/>
  <c r="B1500" i="1"/>
  <c r="I1499" i="1"/>
  <c r="E1499" i="1"/>
  <c r="B1499" i="1"/>
  <c r="I1498" i="1"/>
  <c r="B1498" i="1"/>
  <c r="I1497" i="1"/>
  <c r="B1497" i="1"/>
  <c r="I1496" i="1"/>
  <c r="B1496" i="1"/>
  <c r="I1495" i="1"/>
  <c r="B1495" i="1"/>
  <c r="I1494" i="1"/>
  <c r="B1494" i="1"/>
  <c r="I1493" i="1"/>
  <c r="B1493" i="1"/>
  <c r="I1492" i="1"/>
  <c r="B1492" i="1"/>
  <c r="I1491" i="1"/>
  <c r="B1491" i="1"/>
  <c r="I1490" i="1"/>
  <c r="B1490" i="1"/>
  <c r="I1489" i="1"/>
  <c r="B1489" i="1"/>
  <c r="I1488" i="1"/>
  <c r="E1488" i="1"/>
  <c r="B1488" i="1"/>
  <c r="I1487" i="1"/>
  <c r="B1487" i="1"/>
  <c r="I1486" i="1"/>
  <c r="B1486" i="1"/>
  <c r="I1485" i="1"/>
  <c r="B1485" i="1"/>
  <c r="I1484" i="1"/>
  <c r="B1484" i="1"/>
  <c r="I1483" i="1"/>
  <c r="B1483" i="1"/>
  <c r="I1482" i="1"/>
  <c r="E1482" i="1"/>
  <c r="B1482" i="1"/>
  <c r="I1481" i="1"/>
  <c r="B1481" i="1"/>
  <c r="I1480" i="1"/>
  <c r="B1480" i="1"/>
  <c r="I1479" i="1"/>
  <c r="B1479" i="1"/>
  <c r="I1478" i="1"/>
  <c r="B1478" i="1"/>
  <c r="I1477" i="1"/>
  <c r="B1477" i="1"/>
  <c r="I1476" i="1"/>
  <c r="B1476" i="1"/>
  <c r="I1475" i="1"/>
  <c r="B1475" i="1"/>
  <c r="I1474" i="1"/>
  <c r="B1474" i="1"/>
  <c r="I1473" i="1"/>
  <c r="B1473" i="1"/>
  <c r="I1472" i="1"/>
  <c r="B1472" i="1"/>
  <c r="I1471" i="1"/>
  <c r="B1471" i="1"/>
  <c r="I1470" i="1"/>
  <c r="B1470" i="1"/>
  <c r="I1469" i="1"/>
  <c r="B1469" i="1"/>
  <c r="I1468" i="1"/>
  <c r="B1468" i="1"/>
  <c r="I1467" i="1"/>
  <c r="B1467" i="1"/>
  <c r="I1466" i="1"/>
  <c r="B1466" i="1"/>
  <c r="I1465" i="1"/>
  <c r="B1465" i="1"/>
  <c r="I1464" i="1"/>
  <c r="E1464" i="1"/>
  <c r="B1464" i="1"/>
  <c r="I1463" i="1"/>
  <c r="B1463" i="1"/>
  <c r="I1462" i="1"/>
  <c r="B1462" i="1"/>
  <c r="I1461" i="1"/>
  <c r="B1461" i="1"/>
  <c r="I1460" i="1"/>
  <c r="B1460" i="1"/>
  <c r="I1459" i="1"/>
  <c r="B1459" i="1"/>
  <c r="I1458" i="1"/>
  <c r="E1458" i="1"/>
  <c r="B1458" i="1"/>
  <c r="I1457" i="1"/>
  <c r="B1457" i="1"/>
  <c r="I1456" i="1"/>
  <c r="B1456" i="1"/>
  <c r="I1455" i="1"/>
  <c r="B1455" i="1"/>
  <c r="I1454" i="1"/>
  <c r="B1454" i="1"/>
  <c r="I1453" i="1"/>
  <c r="B1453" i="1"/>
  <c r="I1452" i="1"/>
  <c r="B1452" i="1"/>
  <c r="I1451" i="1"/>
  <c r="B1451" i="1"/>
  <c r="I1450" i="1"/>
  <c r="B1450" i="1"/>
  <c r="I1449" i="1"/>
  <c r="B1449" i="1"/>
  <c r="I1448" i="1"/>
  <c r="B1448" i="1"/>
  <c r="I1447" i="1"/>
  <c r="B1447" i="1"/>
  <c r="I1446" i="1"/>
  <c r="B1446" i="1"/>
  <c r="I1445" i="1"/>
  <c r="B1445" i="1"/>
  <c r="I1444" i="1"/>
  <c r="B1444" i="1"/>
  <c r="I1443" i="1"/>
  <c r="B1443" i="1"/>
  <c r="I1442" i="1"/>
  <c r="B1442" i="1"/>
  <c r="I1441" i="1"/>
  <c r="B1441" i="1"/>
  <c r="I1440" i="1"/>
  <c r="E1440" i="1"/>
  <c r="B1440" i="1"/>
  <c r="I1439" i="1"/>
  <c r="B1439" i="1"/>
  <c r="I1438" i="1"/>
  <c r="B1438" i="1"/>
  <c r="I1437" i="1"/>
  <c r="B1437" i="1"/>
  <c r="I1436" i="1"/>
  <c r="B1436" i="1"/>
  <c r="I1435" i="1"/>
  <c r="B1435" i="1"/>
  <c r="I1434" i="1"/>
  <c r="E1434" i="1"/>
  <c r="B1434" i="1"/>
  <c r="I1433" i="1"/>
  <c r="B1433" i="1"/>
  <c r="I1432" i="1"/>
  <c r="B1432" i="1"/>
  <c r="I1431" i="1"/>
  <c r="B1431" i="1"/>
  <c r="I1430" i="1"/>
  <c r="B1430" i="1"/>
  <c r="I1429" i="1"/>
  <c r="B1429" i="1"/>
  <c r="I1428" i="1"/>
  <c r="B1428" i="1"/>
  <c r="I1427" i="1"/>
  <c r="B1427" i="1"/>
  <c r="I1426" i="1"/>
  <c r="B1426" i="1"/>
  <c r="I1425" i="1"/>
  <c r="B1425" i="1"/>
  <c r="I1424" i="1"/>
  <c r="B1424" i="1"/>
  <c r="I1423" i="1"/>
  <c r="E1423" i="1"/>
  <c r="B1423" i="1"/>
  <c r="I1422" i="1"/>
  <c r="B1422" i="1"/>
  <c r="I1421" i="1"/>
  <c r="B1421" i="1"/>
  <c r="I1420" i="1"/>
  <c r="B1420" i="1"/>
  <c r="I1419" i="1"/>
  <c r="B1419" i="1"/>
  <c r="I1418" i="1"/>
  <c r="E1418" i="1"/>
  <c r="B1418" i="1"/>
  <c r="I1417" i="1"/>
  <c r="B1417" i="1"/>
  <c r="I1416" i="1"/>
  <c r="E1416" i="1"/>
  <c r="B1416" i="1"/>
  <c r="I1415" i="1"/>
  <c r="B1415" i="1"/>
  <c r="I1414" i="1"/>
  <c r="E1414" i="1"/>
  <c r="B1414" i="1"/>
  <c r="I1413" i="1"/>
  <c r="B1413" i="1"/>
  <c r="I1412" i="1"/>
  <c r="B1412" i="1"/>
  <c r="I1411" i="1"/>
  <c r="B1411" i="1"/>
  <c r="I1410" i="1"/>
  <c r="E1410" i="1"/>
  <c r="B1410" i="1"/>
  <c r="I1409" i="1"/>
  <c r="B1409" i="1"/>
  <c r="I1408" i="1"/>
  <c r="B1408" i="1"/>
  <c r="I1407" i="1"/>
  <c r="B1407" i="1"/>
  <c r="I1406" i="1"/>
  <c r="B1406" i="1"/>
  <c r="I1405" i="1"/>
  <c r="B1405" i="1"/>
  <c r="I1404" i="1"/>
  <c r="B1404" i="1"/>
  <c r="I1403" i="1"/>
  <c r="E1403" i="1"/>
  <c r="B1403" i="1"/>
  <c r="I1402" i="1"/>
  <c r="B1402" i="1"/>
  <c r="I1401" i="1"/>
  <c r="B1401" i="1"/>
  <c r="I1400" i="1"/>
  <c r="B1400" i="1"/>
  <c r="I1399" i="1"/>
  <c r="B1399" i="1"/>
  <c r="I1398" i="1"/>
  <c r="B1398" i="1"/>
  <c r="I1397" i="1"/>
  <c r="B1397" i="1"/>
  <c r="I1396" i="1"/>
  <c r="B1396" i="1"/>
  <c r="I1395" i="1"/>
  <c r="B1395" i="1"/>
  <c r="I1394" i="1"/>
  <c r="B1394" i="1"/>
  <c r="I1393" i="1"/>
  <c r="B1393" i="1"/>
  <c r="I1392" i="1"/>
  <c r="E1392" i="1"/>
  <c r="B1392" i="1"/>
  <c r="I1391" i="1"/>
  <c r="B1391" i="1"/>
  <c r="I1390" i="1"/>
  <c r="B1390" i="1"/>
  <c r="I1389" i="1"/>
  <c r="B1389" i="1"/>
  <c r="I1388" i="1"/>
  <c r="B1388" i="1"/>
  <c r="I1387" i="1"/>
  <c r="B1387" i="1"/>
  <c r="I1386" i="1"/>
  <c r="E1386" i="1"/>
  <c r="B1386" i="1"/>
  <c r="I1385" i="1"/>
  <c r="B1385" i="1"/>
  <c r="I1384" i="1"/>
  <c r="B1384" i="1"/>
  <c r="I1383" i="1"/>
  <c r="B1383" i="1"/>
  <c r="I1382" i="1"/>
  <c r="B1382" i="1"/>
  <c r="I1381" i="1"/>
  <c r="B1381" i="1"/>
  <c r="I1380" i="1"/>
  <c r="B1380" i="1"/>
  <c r="I1379" i="1"/>
  <c r="B1379" i="1"/>
  <c r="I1378" i="1"/>
  <c r="B1378" i="1"/>
  <c r="I1377" i="1"/>
  <c r="B1377" i="1"/>
  <c r="I1376" i="1"/>
  <c r="B1376" i="1"/>
  <c r="I1375" i="1"/>
  <c r="B1375" i="1"/>
  <c r="I1374" i="1"/>
  <c r="B1374" i="1"/>
  <c r="I1373" i="1"/>
  <c r="B1373" i="1"/>
  <c r="I1372" i="1"/>
  <c r="B1372" i="1"/>
  <c r="I1371" i="1"/>
  <c r="B1371" i="1"/>
  <c r="I1370" i="1"/>
  <c r="B1370" i="1"/>
  <c r="I1369" i="1"/>
  <c r="B1369" i="1"/>
  <c r="I1368" i="1"/>
  <c r="E1368" i="1"/>
  <c r="B1368" i="1"/>
  <c r="I1367" i="1"/>
  <c r="B1367" i="1"/>
  <c r="I1366" i="1"/>
  <c r="B1366" i="1"/>
  <c r="I1365" i="1"/>
  <c r="B1365" i="1"/>
  <c r="I1364" i="1"/>
  <c r="B1364" i="1"/>
  <c r="I1363" i="1"/>
  <c r="B1363" i="1"/>
  <c r="I1362" i="1"/>
  <c r="E1362" i="1"/>
  <c r="B1362" i="1"/>
  <c r="I1361" i="1"/>
  <c r="B1361" i="1"/>
  <c r="I1360" i="1"/>
  <c r="B1360" i="1"/>
  <c r="I1359" i="1"/>
  <c r="B1359" i="1"/>
  <c r="I1358" i="1"/>
  <c r="B1358" i="1"/>
  <c r="I1357" i="1"/>
  <c r="B1357" i="1"/>
  <c r="I1356" i="1"/>
  <c r="B1356" i="1"/>
  <c r="I1355" i="1"/>
  <c r="B1355" i="1"/>
  <c r="I1354" i="1"/>
  <c r="B1354" i="1"/>
  <c r="I1353" i="1"/>
  <c r="B1353" i="1"/>
  <c r="I1352" i="1"/>
  <c r="B1352" i="1"/>
  <c r="I1351" i="1"/>
  <c r="B1351" i="1"/>
  <c r="I1350" i="1"/>
  <c r="B1350" i="1"/>
  <c r="I1349" i="1"/>
  <c r="B1349" i="1"/>
  <c r="I1348" i="1"/>
  <c r="B1348" i="1"/>
  <c r="I1347" i="1"/>
  <c r="B1347" i="1"/>
  <c r="I1346" i="1"/>
  <c r="B1346" i="1"/>
  <c r="I1345" i="1"/>
  <c r="B1345" i="1"/>
  <c r="I1344" i="1"/>
  <c r="E1344" i="1"/>
  <c r="B1344" i="1"/>
  <c r="I1343" i="1"/>
  <c r="B1343" i="1"/>
  <c r="I1342" i="1"/>
  <c r="E1342" i="1"/>
  <c r="B1342" i="1"/>
  <c r="I1341" i="1"/>
  <c r="B1341" i="1"/>
  <c r="I1340" i="1"/>
  <c r="B1340" i="1"/>
  <c r="I1339" i="1"/>
  <c r="B1339" i="1"/>
  <c r="I1338" i="1"/>
  <c r="E1338" i="1"/>
  <c r="B1338" i="1"/>
  <c r="I1337" i="1"/>
  <c r="B1337" i="1"/>
  <c r="I1336" i="1"/>
  <c r="B1336" i="1"/>
  <c r="I1335" i="1"/>
  <c r="B1335" i="1"/>
  <c r="I1334" i="1"/>
  <c r="B1334" i="1"/>
  <c r="I1333" i="1"/>
  <c r="B1333" i="1"/>
  <c r="I1332" i="1"/>
  <c r="B1332" i="1"/>
  <c r="I1331" i="1"/>
  <c r="B1331" i="1"/>
  <c r="I1330" i="1"/>
  <c r="B1330" i="1"/>
  <c r="I1329" i="1"/>
  <c r="B1329" i="1"/>
  <c r="I1328" i="1"/>
  <c r="B1328" i="1"/>
  <c r="I1327" i="1"/>
  <c r="B1327" i="1"/>
  <c r="I1326" i="1"/>
  <c r="B1326" i="1"/>
  <c r="I1325" i="1"/>
  <c r="B1325" i="1"/>
  <c r="I1324" i="1"/>
  <c r="B1324" i="1"/>
  <c r="I1323" i="1"/>
  <c r="B1323" i="1"/>
  <c r="I1322" i="1"/>
  <c r="B1322" i="1"/>
  <c r="I1321" i="1"/>
  <c r="B1321" i="1"/>
  <c r="I1320" i="1"/>
  <c r="E1320" i="1"/>
  <c r="B1320" i="1"/>
  <c r="I1319" i="1"/>
  <c r="B1319" i="1"/>
  <c r="I1318" i="1"/>
  <c r="E1318" i="1"/>
  <c r="B1318" i="1"/>
  <c r="I1317" i="1"/>
  <c r="B1317" i="1"/>
  <c r="I1316" i="1"/>
  <c r="B1316" i="1"/>
  <c r="I1315" i="1"/>
  <c r="B1315" i="1"/>
  <c r="I1314" i="1"/>
  <c r="E1314" i="1"/>
  <c r="B1314" i="1"/>
  <c r="I1313" i="1"/>
  <c r="B1313" i="1"/>
  <c r="I1312" i="1"/>
  <c r="B1312" i="1"/>
  <c r="I1311" i="1"/>
  <c r="B1311" i="1"/>
  <c r="I1310" i="1"/>
  <c r="B1310" i="1"/>
  <c r="I1309" i="1"/>
  <c r="B1309" i="1"/>
  <c r="I1308" i="1"/>
  <c r="B1308" i="1"/>
  <c r="I1307" i="1"/>
  <c r="E1307" i="1"/>
  <c r="B1307" i="1"/>
  <c r="I1306" i="1"/>
  <c r="B1306" i="1"/>
  <c r="I1305" i="1"/>
  <c r="B1305" i="1"/>
  <c r="I1304" i="1"/>
  <c r="B1304" i="1"/>
  <c r="I1303" i="1"/>
  <c r="B1303" i="1"/>
  <c r="I1302" i="1"/>
  <c r="B1302" i="1"/>
  <c r="I1301" i="1"/>
  <c r="B1301" i="1"/>
  <c r="I1300" i="1"/>
  <c r="B1300" i="1"/>
  <c r="I1299" i="1"/>
  <c r="B1299" i="1"/>
  <c r="I1298" i="1"/>
  <c r="B1298" i="1"/>
  <c r="I1297" i="1"/>
  <c r="B1297" i="1"/>
  <c r="I1296" i="1"/>
  <c r="E1296" i="1"/>
  <c r="B1296" i="1"/>
  <c r="I1295" i="1"/>
  <c r="B1295" i="1"/>
  <c r="I1294" i="1"/>
  <c r="B1294" i="1"/>
  <c r="I1293" i="1"/>
  <c r="B1293" i="1"/>
  <c r="I1292" i="1"/>
  <c r="B1292" i="1"/>
  <c r="I1291" i="1"/>
  <c r="B1291" i="1"/>
  <c r="I1290" i="1"/>
  <c r="E1290" i="1"/>
  <c r="B1290" i="1"/>
  <c r="I1289" i="1"/>
  <c r="B1289" i="1"/>
  <c r="I1288" i="1"/>
  <c r="B1288" i="1"/>
  <c r="I1287" i="1"/>
  <c r="B1287" i="1"/>
  <c r="I1286" i="1"/>
  <c r="B1286" i="1"/>
  <c r="I1285" i="1"/>
  <c r="B1285" i="1"/>
  <c r="I1284" i="1"/>
  <c r="B1284" i="1"/>
  <c r="I1283" i="1"/>
  <c r="B1283" i="1"/>
  <c r="I1282" i="1"/>
  <c r="B1282" i="1"/>
  <c r="I1281" i="1"/>
  <c r="B1281" i="1"/>
  <c r="I1280" i="1"/>
  <c r="B1280" i="1"/>
  <c r="I1279" i="1"/>
  <c r="B1279" i="1"/>
  <c r="I1278" i="1"/>
  <c r="B1278" i="1"/>
  <c r="I1277" i="1"/>
  <c r="B1277" i="1"/>
  <c r="I1276" i="1"/>
  <c r="B1276" i="1"/>
  <c r="I1275" i="1"/>
  <c r="B1275" i="1"/>
  <c r="I1274" i="1"/>
  <c r="B1274" i="1"/>
  <c r="I1273" i="1"/>
  <c r="B1273" i="1"/>
  <c r="I1272" i="1"/>
  <c r="E1272" i="1"/>
  <c r="B1272" i="1"/>
  <c r="I1271" i="1"/>
  <c r="B1271" i="1"/>
  <c r="I1270" i="1"/>
  <c r="B1270" i="1"/>
  <c r="I1269" i="1"/>
  <c r="B1269" i="1"/>
  <c r="I1268" i="1"/>
  <c r="B1268" i="1"/>
  <c r="I1267" i="1"/>
  <c r="B1267" i="1"/>
  <c r="I1266" i="1"/>
  <c r="E1266" i="1"/>
  <c r="B1266" i="1"/>
  <c r="I1265" i="1"/>
  <c r="B1265" i="1"/>
  <c r="I1264" i="1"/>
  <c r="B1264" i="1"/>
  <c r="I1263" i="1"/>
  <c r="B1263" i="1"/>
  <c r="I1262" i="1"/>
  <c r="B1262" i="1"/>
  <c r="I1261" i="1"/>
  <c r="B1261" i="1"/>
  <c r="I1260" i="1"/>
  <c r="B1260" i="1"/>
  <c r="I1259" i="1"/>
  <c r="B1259" i="1"/>
  <c r="I1258" i="1"/>
  <c r="B1258" i="1"/>
  <c r="I1257" i="1"/>
  <c r="B1257" i="1"/>
  <c r="I1256" i="1"/>
  <c r="B1256" i="1"/>
  <c r="I1255" i="1"/>
  <c r="B1255" i="1"/>
  <c r="I1254" i="1"/>
  <c r="B1254" i="1"/>
  <c r="I1253" i="1"/>
  <c r="B1253" i="1"/>
  <c r="I1252" i="1"/>
  <c r="B1252" i="1"/>
  <c r="I1251" i="1"/>
  <c r="B1251" i="1"/>
  <c r="I1250" i="1"/>
  <c r="B1250" i="1"/>
  <c r="I1249" i="1"/>
  <c r="B1249" i="1"/>
  <c r="I1248" i="1"/>
  <c r="E1248" i="1"/>
  <c r="B1248" i="1"/>
  <c r="I1247" i="1"/>
  <c r="B1247" i="1"/>
  <c r="I1246" i="1"/>
  <c r="B1246" i="1"/>
  <c r="I1245" i="1"/>
  <c r="B1245" i="1"/>
  <c r="I1244" i="1"/>
  <c r="B1244" i="1"/>
  <c r="I1243" i="1"/>
  <c r="B1243" i="1"/>
  <c r="I1242" i="1"/>
  <c r="E1242" i="1"/>
  <c r="B1242" i="1"/>
  <c r="I1241" i="1"/>
  <c r="B1241" i="1"/>
  <c r="I1240" i="1"/>
  <c r="B1240" i="1"/>
  <c r="I1239" i="1"/>
  <c r="B1239" i="1"/>
  <c r="I1238" i="1"/>
  <c r="B1238" i="1"/>
  <c r="I1237" i="1"/>
  <c r="B1237" i="1"/>
  <c r="I1236" i="1"/>
  <c r="B1236" i="1"/>
  <c r="I1235" i="1"/>
  <c r="B1235" i="1"/>
  <c r="I1234" i="1"/>
  <c r="B1234" i="1"/>
  <c r="I1233" i="1"/>
  <c r="B1233" i="1"/>
  <c r="I1232" i="1"/>
  <c r="B1232" i="1"/>
  <c r="I1231" i="1"/>
  <c r="E1231" i="1"/>
  <c r="B1231" i="1"/>
  <c r="I1230" i="1"/>
  <c r="B1230" i="1"/>
  <c r="I1229" i="1"/>
  <c r="B1229" i="1"/>
  <c r="I1228" i="1"/>
  <c r="B1228" i="1"/>
  <c r="I1227" i="1"/>
  <c r="B1227" i="1"/>
  <c r="I1226" i="1"/>
  <c r="B1226" i="1"/>
  <c r="I1225" i="1"/>
  <c r="B1225" i="1"/>
  <c r="I1224" i="1"/>
  <c r="E1224" i="1"/>
  <c r="B1224" i="1"/>
  <c r="I1223" i="1"/>
  <c r="B1223" i="1"/>
  <c r="I1222" i="1"/>
  <c r="B1222" i="1"/>
  <c r="I1221" i="1"/>
  <c r="B1221" i="1"/>
  <c r="I1220" i="1"/>
  <c r="B1220" i="1"/>
  <c r="I1219" i="1"/>
  <c r="B1219" i="1"/>
  <c r="I1218" i="1"/>
  <c r="E1218" i="1"/>
  <c r="B1218" i="1"/>
  <c r="I1217" i="1"/>
  <c r="B1217" i="1"/>
  <c r="I1216" i="1"/>
  <c r="B1216" i="1"/>
  <c r="I1215" i="1"/>
  <c r="B1215" i="1"/>
  <c r="I1214" i="1"/>
  <c r="B1214" i="1"/>
  <c r="I1213" i="1"/>
  <c r="B1213" i="1"/>
  <c r="I1212" i="1"/>
  <c r="B1212" i="1"/>
  <c r="I1211" i="1"/>
  <c r="B1211" i="1"/>
  <c r="I1210" i="1"/>
  <c r="B1210" i="1"/>
  <c r="I1209" i="1"/>
  <c r="B1209" i="1"/>
  <c r="I1208" i="1"/>
  <c r="B1208" i="1"/>
  <c r="I1207" i="1"/>
  <c r="B1207" i="1"/>
  <c r="I1206" i="1"/>
  <c r="B1206" i="1"/>
  <c r="I1205" i="1"/>
  <c r="B1205" i="1"/>
  <c r="I1204" i="1"/>
  <c r="B1204" i="1"/>
  <c r="I1203" i="1"/>
  <c r="B1203" i="1"/>
  <c r="I1202" i="1"/>
  <c r="B1202" i="1"/>
  <c r="I1201" i="1"/>
  <c r="B1201" i="1"/>
  <c r="I1200" i="1"/>
  <c r="E1200" i="1"/>
  <c r="B1200" i="1"/>
  <c r="I1199" i="1"/>
  <c r="B1199" i="1"/>
  <c r="I1198" i="1"/>
  <c r="B1198" i="1"/>
  <c r="I1197" i="1"/>
  <c r="B1197" i="1"/>
  <c r="I1196" i="1"/>
  <c r="B1196" i="1"/>
  <c r="I1195" i="1"/>
  <c r="B1195" i="1"/>
  <c r="I1194" i="1"/>
  <c r="E1194" i="1"/>
  <c r="B1194" i="1"/>
  <c r="I1193" i="1"/>
  <c r="B1193" i="1"/>
  <c r="I1192" i="1"/>
  <c r="B1192" i="1"/>
  <c r="I1191" i="1"/>
  <c r="B1191" i="1"/>
  <c r="I1190" i="1"/>
  <c r="B1190" i="1"/>
  <c r="I1189" i="1"/>
  <c r="B1189" i="1"/>
  <c r="I1188" i="1"/>
  <c r="B1188" i="1"/>
  <c r="I1187" i="1"/>
  <c r="B1187" i="1"/>
  <c r="I1186" i="1"/>
  <c r="B1186" i="1"/>
  <c r="I1185" i="1"/>
  <c r="B1185" i="1"/>
  <c r="I1184" i="1"/>
  <c r="B1184" i="1"/>
  <c r="I1183" i="1"/>
  <c r="B1183" i="1"/>
  <c r="I1182" i="1"/>
  <c r="B1182" i="1"/>
  <c r="I1181" i="1"/>
  <c r="B1181" i="1"/>
  <c r="I1180" i="1"/>
  <c r="B1180" i="1"/>
  <c r="I1179" i="1"/>
  <c r="B1179" i="1"/>
  <c r="I1178" i="1"/>
  <c r="B1178" i="1"/>
  <c r="I1177" i="1"/>
  <c r="B1177" i="1"/>
  <c r="I1176" i="1"/>
  <c r="E1176" i="1"/>
  <c r="B1176" i="1"/>
  <c r="I1175" i="1"/>
  <c r="B1175" i="1"/>
  <c r="I1174" i="1"/>
  <c r="B1174" i="1"/>
  <c r="I1173" i="1"/>
  <c r="B1173" i="1"/>
  <c r="I1172" i="1"/>
  <c r="B1172" i="1"/>
  <c r="I1171" i="1"/>
  <c r="B1171" i="1"/>
  <c r="I1170" i="1"/>
  <c r="E1170" i="1"/>
  <c r="B1170" i="1"/>
  <c r="I1169" i="1"/>
  <c r="B1169" i="1"/>
  <c r="I1168" i="1"/>
  <c r="B1168" i="1"/>
  <c r="I1167" i="1"/>
  <c r="B1167" i="1"/>
  <c r="I1166" i="1"/>
  <c r="B1166" i="1"/>
  <c r="I1165" i="1"/>
  <c r="B1165" i="1"/>
  <c r="I1164" i="1"/>
  <c r="B1164" i="1"/>
  <c r="I1163" i="1"/>
  <c r="B1163" i="1"/>
  <c r="I1162" i="1"/>
  <c r="B1162" i="1"/>
  <c r="I1161" i="1"/>
  <c r="B1161" i="1"/>
  <c r="I1160" i="1"/>
  <c r="B1160" i="1"/>
  <c r="I1159" i="1"/>
  <c r="B1159" i="1"/>
  <c r="I1158" i="1"/>
  <c r="B1158" i="1"/>
  <c r="I1157" i="1"/>
  <c r="B1157" i="1"/>
  <c r="I1156" i="1"/>
  <c r="E1156" i="1"/>
  <c r="B1156" i="1"/>
  <c r="I1155" i="1"/>
  <c r="B1155" i="1"/>
  <c r="I1154" i="1"/>
  <c r="B1154" i="1"/>
  <c r="I1153" i="1"/>
  <c r="B1153" i="1"/>
  <c r="I1152" i="1"/>
  <c r="E1152" i="1"/>
  <c r="B1152" i="1"/>
  <c r="I1151" i="1"/>
  <c r="B1151" i="1"/>
  <c r="I1150" i="1"/>
  <c r="B1150" i="1"/>
  <c r="I1149" i="1"/>
  <c r="B1149" i="1"/>
  <c r="I1148" i="1"/>
  <c r="B1148" i="1"/>
  <c r="I1147" i="1"/>
  <c r="B1147" i="1"/>
  <c r="I1146" i="1"/>
  <c r="B1146" i="1"/>
  <c r="I1145" i="1"/>
  <c r="B1145" i="1"/>
  <c r="I1144" i="1"/>
  <c r="B1144" i="1"/>
  <c r="I1143" i="1"/>
  <c r="E1143" i="1"/>
  <c r="B1143" i="1"/>
  <c r="I1142" i="1"/>
  <c r="B1142" i="1"/>
  <c r="I1141" i="1"/>
  <c r="B1141" i="1"/>
  <c r="I1140" i="1"/>
  <c r="B1140" i="1"/>
  <c r="I1139" i="1"/>
  <c r="E1139" i="1"/>
  <c r="B1139" i="1"/>
  <c r="I1138" i="1"/>
  <c r="B1138" i="1"/>
  <c r="I1137" i="1"/>
  <c r="B1137" i="1"/>
  <c r="I1136" i="1"/>
  <c r="B1136" i="1"/>
  <c r="I1135" i="1"/>
  <c r="E1135" i="1"/>
  <c r="B1135" i="1"/>
  <c r="I1134" i="1"/>
  <c r="B1134" i="1"/>
  <c r="I1133" i="1"/>
  <c r="B1133" i="1"/>
  <c r="I1132" i="1"/>
  <c r="B1132" i="1"/>
  <c r="I1131" i="1"/>
  <c r="B1131" i="1"/>
  <c r="I1130" i="1"/>
  <c r="B1130" i="1"/>
  <c r="I1129" i="1"/>
  <c r="B1129" i="1"/>
  <c r="I1128" i="1"/>
  <c r="E1128" i="1"/>
  <c r="B1128" i="1"/>
  <c r="I1127" i="1"/>
  <c r="B1127" i="1"/>
  <c r="I1126" i="1"/>
  <c r="B1126" i="1"/>
  <c r="I1125" i="1"/>
  <c r="B1125" i="1"/>
  <c r="I1124" i="1"/>
  <c r="B1124" i="1"/>
  <c r="I1123" i="1"/>
  <c r="B1123" i="1"/>
  <c r="I1122" i="1"/>
  <c r="E1122" i="1"/>
  <c r="B1122" i="1"/>
  <c r="I1121" i="1"/>
  <c r="B1121" i="1"/>
  <c r="I1120" i="1"/>
  <c r="B1120" i="1"/>
  <c r="I1119" i="1"/>
  <c r="B1119" i="1"/>
  <c r="I1118" i="1"/>
  <c r="B1118" i="1"/>
  <c r="I1117" i="1"/>
  <c r="B1117" i="1"/>
  <c r="I1116" i="1"/>
  <c r="B1116" i="1"/>
  <c r="I1115" i="1"/>
  <c r="B1115" i="1"/>
  <c r="I1114" i="1"/>
  <c r="B1114" i="1"/>
  <c r="I1113" i="1"/>
  <c r="B1113" i="1"/>
  <c r="I1112" i="1"/>
  <c r="B1112" i="1"/>
  <c r="I1111" i="1"/>
  <c r="B1111" i="1"/>
  <c r="I1110" i="1"/>
  <c r="B1110" i="1"/>
  <c r="I1109" i="1"/>
  <c r="B1109" i="1"/>
  <c r="I1108" i="1"/>
  <c r="B1108" i="1"/>
  <c r="I1107" i="1"/>
  <c r="B1107" i="1"/>
  <c r="I1106" i="1"/>
  <c r="B1106" i="1"/>
  <c r="I1105" i="1"/>
  <c r="B1105" i="1"/>
  <c r="I1104" i="1"/>
  <c r="E1104" i="1"/>
  <c r="B1104" i="1"/>
  <c r="I1103" i="1"/>
  <c r="B1103" i="1"/>
  <c r="I1102" i="1"/>
  <c r="B1102" i="1"/>
  <c r="I1101" i="1"/>
  <c r="B1101" i="1"/>
  <c r="I1100" i="1"/>
  <c r="B1100" i="1"/>
  <c r="I1099" i="1"/>
  <c r="B1099" i="1"/>
  <c r="I1098" i="1"/>
  <c r="E1098" i="1"/>
  <c r="B1098" i="1"/>
  <c r="I1097" i="1"/>
  <c r="B1097" i="1"/>
  <c r="I1096" i="1"/>
  <c r="B1096" i="1"/>
  <c r="I1095" i="1"/>
  <c r="B1095" i="1"/>
  <c r="I1094" i="1"/>
  <c r="B1094" i="1"/>
  <c r="I1093" i="1"/>
  <c r="B1093" i="1"/>
  <c r="I1092" i="1"/>
  <c r="E1092" i="1"/>
  <c r="B1092" i="1"/>
  <c r="I1091" i="1"/>
  <c r="B1091" i="1"/>
  <c r="I1090" i="1"/>
  <c r="B1090" i="1"/>
  <c r="I1089" i="1"/>
  <c r="B1089" i="1"/>
  <c r="I1088" i="1"/>
  <c r="B1088" i="1"/>
  <c r="I1087" i="1"/>
  <c r="B1087" i="1"/>
  <c r="I1086" i="1"/>
  <c r="E1086" i="1"/>
  <c r="B1086" i="1"/>
  <c r="I1085" i="1"/>
  <c r="B1085" i="1"/>
  <c r="I1084" i="1"/>
  <c r="B1084" i="1"/>
  <c r="I1083" i="1"/>
  <c r="B1083" i="1"/>
  <c r="I1082" i="1"/>
  <c r="B1082" i="1"/>
  <c r="I1081" i="1"/>
  <c r="B1081" i="1"/>
  <c r="I1080" i="1"/>
  <c r="E1080" i="1"/>
  <c r="B1080" i="1"/>
  <c r="I1079" i="1"/>
  <c r="B1079" i="1"/>
  <c r="I1078" i="1"/>
  <c r="B1078" i="1"/>
  <c r="I1077" i="1"/>
  <c r="B1077" i="1"/>
  <c r="I1076" i="1"/>
  <c r="B1076" i="1"/>
  <c r="I1075" i="1"/>
  <c r="B1075" i="1"/>
  <c r="I1074" i="1"/>
  <c r="E1074" i="1"/>
  <c r="B1074" i="1"/>
  <c r="I1073" i="1"/>
  <c r="B1073" i="1"/>
  <c r="I1072" i="1"/>
  <c r="B1072" i="1"/>
  <c r="I1071" i="1"/>
  <c r="B1071" i="1"/>
  <c r="I1070" i="1"/>
  <c r="B1070" i="1"/>
  <c r="I1069" i="1"/>
  <c r="B1069" i="1"/>
  <c r="I1068" i="1"/>
  <c r="E1068" i="1"/>
  <c r="B1068" i="1"/>
  <c r="I1067" i="1"/>
  <c r="B1067" i="1"/>
  <c r="I1066" i="1"/>
  <c r="B1066" i="1"/>
  <c r="I1065" i="1"/>
  <c r="B1065" i="1"/>
  <c r="I1064" i="1"/>
  <c r="B1064" i="1"/>
  <c r="I1063" i="1"/>
  <c r="B1063" i="1"/>
  <c r="I1062" i="1"/>
  <c r="E1062" i="1"/>
  <c r="B1062" i="1"/>
  <c r="I1061" i="1"/>
  <c r="B1061" i="1"/>
  <c r="I1060" i="1"/>
  <c r="B1060" i="1"/>
  <c r="I1059" i="1"/>
  <c r="B1059" i="1"/>
  <c r="I1058" i="1"/>
  <c r="B1058" i="1"/>
  <c r="I1057" i="1"/>
  <c r="B1057" i="1"/>
  <c r="I1056" i="1"/>
  <c r="E1056" i="1"/>
  <c r="B1056" i="1"/>
  <c r="I1055" i="1"/>
  <c r="B1055" i="1"/>
  <c r="I1054" i="1"/>
  <c r="B1054" i="1"/>
  <c r="I1053" i="1"/>
  <c r="B1053" i="1"/>
  <c r="I1052" i="1"/>
  <c r="B1052" i="1"/>
  <c r="I1051" i="1"/>
  <c r="B1051" i="1"/>
  <c r="I1050" i="1"/>
  <c r="E1050" i="1"/>
  <c r="B1050" i="1"/>
  <c r="I1049" i="1"/>
  <c r="B1049" i="1"/>
  <c r="I1048" i="1"/>
  <c r="B1048" i="1"/>
  <c r="I1047" i="1"/>
  <c r="B1047" i="1"/>
  <c r="I1046" i="1"/>
  <c r="B1046" i="1"/>
  <c r="I1045" i="1"/>
  <c r="B1045" i="1"/>
  <c r="I1044" i="1"/>
  <c r="E1044" i="1"/>
  <c r="B1044" i="1"/>
  <c r="I1043" i="1"/>
  <c r="B1043" i="1"/>
  <c r="I1042" i="1"/>
  <c r="B1042" i="1"/>
  <c r="I1041" i="1"/>
  <c r="B1041" i="1"/>
  <c r="I1040" i="1"/>
  <c r="B1040" i="1"/>
  <c r="I1039" i="1"/>
  <c r="B1039" i="1"/>
  <c r="I1038" i="1"/>
  <c r="E1038" i="1"/>
  <c r="B1038" i="1"/>
  <c r="I1037" i="1"/>
  <c r="B1037" i="1"/>
  <c r="I1036" i="1"/>
  <c r="B1036" i="1"/>
  <c r="I1035" i="1"/>
  <c r="B1035" i="1"/>
  <c r="I1034" i="1"/>
  <c r="B1034" i="1"/>
  <c r="I1033" i="1"/>
  <c r="B1033" i="1"/>
  <c r="I1032" i="1"/>
  <c r="E1032" i="1"/>
  <c r="B1032" i="1"/>
  <c r="I1031" i="1"/>
  <c r="B1031" i="1"/>
  <c r="I1030" i="1"/>
  <c r="B1030" i="1"/>
  <c r="I1029" i="1"/>
  <c r="B1029" i="1"/>
  <c r="I1028" i="1"/>
  <c r="B1028" i="1"/>
  <c r="I1027" i="1"/>
  <c r="B1027" i="1"/>
  <c r="I1026" i="1"/>
  <c r="E1026" i="1"/>
  <c r="B1026" i="1"/>
  <c r="I1025" i="1"/>
  <c r="B1025" i="1"/>
  <c r="I1024" i="1"/>
  <c r="B1024" i="1"/>
  <c r="I1023" i="1"/>
  <c r="B1023" i="1"/>
  <c r="I1022" i="1"/>
  <c r="B1022" i="1"/>
  <c r="I1021" i="1"/>
  <c r="B1021" i="1"/>
  <c r="I1020" i="1"/>
  <c r="E1020" i="1"/>
  <c r="B1020" i="1"/>
  <c r="I1019" i="1"/>
  <c r="B1019" i="1"/>
  <c r="I1018" i="1"/>
  <c r="B1018" i="1"/>
  <c r="I1017" i="1"/>
  <c r="B1017" i="1"/>
  <c r="I1016" i="1"/>
  <c r="B1016" i="1"/>
  <c r="I1015" i="1"/>
  <c r="B1015" i="1"/>
  <c r="I1014" i="1"/>
  <c r="E1014" i="1"/>
  <c r="B1014" i="1"/>
  <c r="I1013" i="1"/>
  <c r="B1013" i="1"/>
  <c r="I1012" i="1"/>
  <c r="B1012" i="1"/>
  <c r="I1011" i="1"/>
  <c r="B1011" i="1"/>
  <c r="I1010" i="1"/>
  <c r="B1010" i="1"/>
  <c r="I1009" i="1"/>
  <c r="B1009" i="1"/>
  <c r="I1008" i="1"/>
  <c r="E1008" i="1"/>
  <c r="B1008" i="1"/>
  <c r="I1007" i="1"/>
  <c r="B1007" i="1"/>
  <c r="I1006" i="1"/>
  <c r="B1006" i="1"/>
  <c r="I1005" i="1"/>
  <c r="B1005" i="1"/>
  <c r="I1004" i="1"/>
  <c r="B1004" i="1"/>
  <c r="I1003" i="1"/>
  <c r="B1003" i="1"/>
  <c r="I1002" i="1"/>
  <c r="E1002" i="1"/>
  <c r="B1002" i="1"/>
  <c r="I1001" i="1"/>
  <c r="B1001" i="1"/>
  <c r="I1000" i="1"/>
  <c r="B1000" i="1"/>
  <c r="I999" i="1"/>
  <c r="B999" i="1"/>
  <c r="I998" i="1"/>
  <c r="B998" i="1"/>
  <c r="I997" i="1"/>
  <c r="B997" i="1"/>
  <c r="I996" i="1"/>
  <c r="E996" i="1"/>
  <c r="B996" i="1"/>
  <c r="I995" i="1"/>
  <c r="B995" i="1"/>
  <c r="I994" i="1"/>
  <c r="B994" i="1"/>
  <c r="I993" i="1"/>
  <c r="B993" i="1"/>
  <c r="I992" i="1"/>
  <c r="B992" i="1"/>
  <c r="I991" i="1"/>
  <c r="B991" i="1"/>
  <c r="I990" i="1"/>
  <c r="E990" i="1"/>
  <c r="B990" i="1"/>
  <c r="I989" i="1"/>
  <c r="B989" i="1"/>
  <c r="I988" i="1"/>
  <c r="B988" i="1"/>
  <c r="I987" i="1"/>
  <c r="B987" i="1"/>
  <c r="I986" i="1"/>
  <c r="B986" i="1"/>
  <c r="I985" i="1"/>
  <c r="B985" i="1"/>
  <c r="I984" i="1"/>
  <c r="E984" i="1"/>
  <c r="B984" i="1"/>
  <c r="I983" i="1"/>
  <c r="B983" i="1"/>
  <c r="I982" i="1"/>
  <c r="B982" i="1"/>
  <c r="I981" i="1"/>
  <c r="B981" i="1"/>
  <c r="I980" i="1"/>
  <c r="B980" i="1"/>
  <c r="I979" i="1"/>
  <c r="B979" i="1"/>
  <c r="I978" i="1"/>
  <c r="E978" i="1"/>
  <c r="B978" i="1"/>
  <c r="I977" i="1"/>
  <c r="B977" i="1"/>
  <c r="I976" i="1"/>
  <c r="B976" i="1"/>
  <c r="I975" i="1"/>
  <c r="B975" i="1"/>
  <c r="I974" i="1"/>
  <c r="B974" i="1"/>
  <c r="I973" i="1"/>
  <c r="B973" i="1"/>
  <c r="I972" i="1"/>
  <c r="E972" i="1"/>
  <c r="B972" i="1"/>
  <c r="I971" i="1"/>
  <c r="B971" i="1"/>
  <c r="I970" i="1"/>
  <c r="B970" i="1"/>
  <c r="I969" i="1"/>
  <c r="B969" i="1"/>
  <c r="I968" i="1"/>
  <c r="B968" i="1"/>
  <c r="I967" i="1"/>
  <c r="B967" i="1"/>
  <c r="I966" i="1"/>
  <c r="E966" i="1"/>
  <c r="B966" i="1"/>
  <c r="I965" i="1"/>
  <c r="B965" i="1"/>
  <c r="I964" i="1"/>
  <c r="B964" i="1"/>
  <c r="I963" i="1"/>
  <c r="B963" i="1"/>
  <c r="I962" i="1"/>
  <c r="B962" i="1"/>
  <c r="I961" i="1"/>
  <c r="B961" i="1"/>
  <c r="I960" i="1"/>
  <c r="E960" i="1"/>
  <c r="B960" i="1"/>
  <c r="I959" i="1"/>
  <c r="B959" i="1"/>
  <c r="I958" i="1"/>
  <c r="B958" i="1"/>
  <c r="I957" i="1"/>
  <c r="B957" i="1"/>
  <c r="I956" i="1"/>
  <c r="B956" i="1"/>
  <c r="I955" i="1"/>
  <c r="B955" i="1"/>
  <c r="I954" i="1"/>
  <c r="E954" i="1"/>
  <c r="B954" i="1"/>
  <c r="I953" i="1"/>
  <c r="B953" i="1"/>
  <c r="I952" i="1"/>
  <c r="B952" i="1"/>
  <c r="I951" i="1"/>
  <c r="B951" i="1"/>
  <c r="I950" i="1"/>
  <c r="B950" i="1"/>
  <c r="I949" i="1"/>
  <c r="B949" i="1"/>
  <c r="I948" i="1"/>
  <c r="E948" i="1"/>
  <c r="B948" i="1"/>
  <c r="I947" i="1"/>
  <c r="B947" i="1"/>
  <c r="I946" i="1"/>
  <c r="B946" i="1"/>
  <c r="I945" i="1"/>
  <c r="B945" i="1"/>
  <c r="I944" i="1"/>
  <c r="B944" i="1"/>
  <c r="I943" i="1"/>
  <c r="B943" i="1"/>
  <c r="I942" i="1"/>
  <c r="E942" i="1"/>
  <c r="B942" i="1"/>
  <c r="I941" i="1"/>
  <c r="B941" i="1"/>
  <c r="I940" i="1"/>
  <c r="B940" i="1"/>
  <c r="I939" i="1"/>
  <c r="B939" i="1"/>
  <c r="I938" i="1"/>
  <c r="B938" i="1"/>
  <c r="I937" i="1"/>
  <c r="B937" i="1"/>
  <c r="I936" i="1"/>
  <c r="E936" i="1"/>
  <c r="B936" i="1"/>
  <c r="I935" i="1"/>
  <c r="B935" i="1"/>
  <c r="I934" i="1"/>
  <c r="B934" i="1"/>
  <c r="I933" i="1"/>
  <c r="B933" i="1"/>
  <c r="I932" i="1"/>
  <c r="B932" i="1"/>
  <c r="I931" i="1"/>
  <c r="B931" i="1"/>
  <c r="I930" i="1"/>
  <c r="E930" i="1"/>
  <c r="B930" i="1"/>
  <c r="I929" i="1"/>
  <c r="B929" i="1"/>
  <c r="I928" i="1"/>
  <c r="B928" i="1"/>
  <c r="I927" i="1"/>
  <c r="B927" i="1"/>
  <c r="I926" i="1"/>
  <c r="B926" i="1"/>
  <c r="I925" i="1"/>
  <c r="B925" i="1"/>
  <c r="I924" i="1"/>
  <c r="E924" i="1"/>
  <c r="B924" i="1"/>
  <c r="I923" i="1"/>
  <c r="B923" i="1"/>
  <c r="I922" i="1"/>
  <c r="B922" i="1"/>
  <c r="I921" i="1"/>
  <c r="B921" i="1"/>
  <c r="I920" i="1"/>
  <c r="B920" i="1"/>
  <c r="I919" i="1"/>
  <c r="B919" i="1"/>
  <c r="I918" i="1"/>
  <c r="E918" i="1"/>
  <c r="B918" i="1"/>
  <c r="I917" i="1"/>
  <c r="B917" i="1"/>
  <c r="I916" i="1"/>
  <c r="B916" i="1"/>
  <c r="I915" i="1"/>
  <c r="B915" i="1"/>
  <c r="I914" i="1"/>
  <c r="B914" i="1"/>
  <c r="I913" i="1"/>
  <c r="B913" i="1"/>
  <c r="I912" i="1"/>
  <c r="E912" i="1"/>
  <c r="B912" i="1"/>
  <c r="I911" i="1"/>
  <c r="B911" i="1"/>
  <c r="I910" i="1"/>
  <c r="B910" i="1"/>
  <c r="I909" i="1"/>
  <c r="B909" i="1"/>
  <c r="I908" i="1"/>
  <c r="B908" i="1"/>
  <c r="I907" i="1"/>
  <c r="B907" i="1"/>
  <c r="I906" i="1"/>
  <c r="E906" i="1"/>
  <c r="B906" i="1"/>
  <c r="I905" i="1"/>
  <c r="B905" i="1"/>
  <c r="I904" i="1"/>
  <c r="B904" i="1"/>
  <c r="I903" i="1"/>
  <c r="B903" i="1"/>
  <c r="I902" i="1"/>
  <c r="B902" i="1"/>
  <c r="I901" i="1"/>
  <c r="B901" i="1"/>
  <c r="I900" i="1"/>
  <c r="E900" i="1"/>
  <c r="B900" i="1"/>
  <c r="I899" i="1"/>
  <c r="B899" i="1"/>
  <c r="I898" i="1"/>
  <c r="B898" i="1"/>
  <c r="I897" i="1"/>
  <c r="B897" i="1"/>
  <c r="I896" i="1"/>
  <c r="B896" i="1"/>
  <c r="I895" i="1"/>
  <c r="B895" i="1"/>
  <c r="I894" i="1"/>
  <c r="E894" i="1"/>
  <c r="B894" i="1"/>
  <c r="I893" i="1"/>
  <c r="B893" i="1"/>
  <c r="I892" i="1"/>
  <c r="B892" i="1"/>
  <c r="I891" i="1"/>
  <c r="B891" i="1"/>
  <c r="I890" i="1"/>
  <c r="B890" i="1"/>
  <c r="I889" i="1"/>
  <c r="B889" i="1"/>
  <c r="I888" i="1"/>
  <c r="E888" i="1"/>
  <c r="B888" i="1"/>
  <c r="I887" i="1"/>
  <c r="B887" i="1"/>
  <c r="I886" i="1"/>
  <c r="B886" i="1"/>
  <c r="I885" i="1"/>
  <c r="B885" i="1"/>
  <c r="I884" i="1"/>
  <c r="B884" i="1"/>
  <c r="I883" i="1"/>
  <c r="B883" i="1"/>
  <c r="I882" i="1"/>
  <c r="E882" i="1"/>
  <c r="B882" i="1"/>
  <c r="I881" i="1"/>
  <c r="B881" i="1"/>
  <c r="I880" i="1"/>
  <c r="B880" i="1"/>
  <c r="I879" i="1"/>
  <c r="B879" i="1"/>
  <c r="I878" i="1"/>
  <c r="B878" i="1"/>
  <c r="I877" i="1"/>
  <c r="B877" i="1"/>
  <c r="I876" i="1"/>
  <c r="E876" i="1"/>
  <c r="B876" i="1"/>
  <c r="I875" i="1"/>
  <c r="B875" i="1"/>
  <c r="I874" i="1"/>
  <c r="B874" i="1"/>
  <c r="I873" i="1"/>
  <c r="B873" i="1"/>
  <c r="I872" i="1"/>
  <c r="B872" i="1"/>
  <c r="I871" i="1"/>
  <c r="B871" i="1"/>
  <c r="I870" i="1"/>
  <c r="E870" i="1"/>
  <c r="B870" i="1"/>
  <c r="I869" i="1"/>
  <c r="B869" i="1"/>
  <c r="I868" i="1"/>
  <c r="B868" i="1"/>
  <c r="I867" i="1"/>
  <c r="B867" i="1"/>
  <c r="I866" i="1"/>
  <c r="B866" i="1"/>
  <c r="I865" i="1"/>
  <c r="B865" i="1"/>
  <c r="I864" i="1"/>
  <c r="E864" i="1"/>
  <c r="B864" i="1"/>
  <c r="I863" i="1"/>
  <c r="B863" i="1"/>
  <c r="I862" i="1"/>
  <c r="B862" i="1"/>
  <c r="I861" i="1"/>
  <c r="B861" i="1"/>
  <c r="I860" i="1"/>
  <c r="B860" i="1"/>
  <c r="I859" i="1"/>
  <c r="B859" i="1"/>
  <c r="I858" i="1"/>
  <c r="E858" i="1"/>
  <c r="B858" i="1"/>
  <c r="I857" i="1"/>
  <c r="B857" i="1"/>
  <c r="I856" i="1"/>
  <c r="B856" i="1"/>
  <c r="I855" i="1"/>
  <c r="B855" i="1"/>
  <c r="I854" i="1"/>
  <c r="B854" i="1"/>
  <c r="I853" i="1"/>
  <c r="B853" i="1"/>
  <c r="I852" i="1"/>
  <c r="E852" i="1"/>
  <c r="B852" i="1"/>
  <c r="I851" i="1"/>
  <c r="B851" i="1"/>
  <c r="I850" i="1"/>
  <c r="B850" i="1"/>
  <c r="I849" i="1"/>
  <c r="B849" i="1"/>
  <c r="I848" i="1"/>
  <c r="B848" i="1"/>
  <c r="I847" i="1"/>
  <c r="B847" i="1"/>
  <c r="I846" i="1"/>
  <c r="E846" i="1"/>
  <c r="B846" i="1"/>
  <c r="I845" i="1"/>
  <c r="B845" i="1"/>
  <c r="I844" i="1"/>
  <c r="B844" i="1"/>
  <c r="I843" i="1"/>
  <c r="B843" i="1"/>
  <c r="I842" i="1"/>
  <c r="B842" i="1"/>
  <c r="I841" i="1"/>
  <c r="B841" i="1"/>
  <c r="I840" i="1"/>
  <c r="E840" i="1"/>
  <c r="B840" i="1"/>
  <c r="I839" i="1"/>
  <c r="B839" i="1"/>
  <c r="I838" i="1"/>
  <c r="B838" i="1"/>
  <c r="I837" i="1"/>
  <c r="B837" i="1"/>
  <c r="I836" i="1"/>
  <c r="B836" i="1"/>
  <c r="I835" i="1"/>
  <c r="B835" i="1"/>
  <c r="I834" i="1"/>
  <c r="E834" i="1"/>
  <c r="B834" i="1"/>
  <c r="I833" i="1"/>
  <c r="B833" i="1"/>
  <c r="I832" i="1"/>
  <c r="B832" i="1"/>
  <c r="I831" i="1"/>
  <c r="B831" i="1"/>
  <c r="I830" i="1"/>
  <c r="B830" i="1"/>
  <c r="I829" i="1"/>
  <c r="B829" i="1"/>
  <c r="I828" i="1"/>
  <c r="E828" i="1"/>
  <c r="B828" i="1"/>
  <c r="I827" i="1"/>
  <c r="B827" i="1"/>
  <c r="I826" i="1"/>
  <c r="B826" i="1"/>
  <c r="I825" i="1"/>
  <c r="B825" i="1"/>
  <c r="I824" i="1"/>
  <c r="B824" i="1"/>
  <c r="I823" i="1"/>
  <c r="B823" i="1"/>
  <c r="I822" i="1"/>
  <c r="E822" i="1"/>
  <c r="B822" i="1"/>
  <c r="I821" i="1"/>
  <c r="B821" i="1"/>
  <c r="I820" i="1"/>
  <c r="B820" i="1"/>
  <c r="I819" i="1"/>
  <c r="B819" i="1"/>
  <c r="I818" i="1"/>
  <c r="B818" i="1"/>
  <c r="I817" i="1"/>
  <c r="B817" i="1"/>
  <c r="I816" i="1"/>
  <c r="E816" i="1"/>
  <c r="B816" i="1"/>
  <c r="I815" i="1"/>
  <c r="B815" i="1"/>
  <c r="I814" i="1"/>
  <c r="B814" i="1"/>
  <c r="I813" i="1"/>
  <c r="B813" i="1"/>
  <c r="I812" i="1"/>
  <c r="B812" i="1"/>
  <c r="I811" i="1"/>
  <c r="B811" i="1"/>
  <c r="I810" i="1"/>
  <c r="E810" i="1"/>
  <c r="B810" i="1"/>
  <c r="I809" i="1"/>
  <c r="B809" i="1"/>
  <c r="I808" i="1"/>
  <c r="B808" i="1"/>
  <c r="I807" i="1"/>
  <c r="B807" i="1"/>
  <c r="I806" i="1"/>
  <c r="B806" i="1"/>
  <c r="I805" i="1"/>
  <c r="B805" i="1"/>
  <c r="I804" i="1"/>
  <c r="E804" i="1"/>
  <c r="B804" i="1"/>
  <c r="I803" i="1"/>
  <c r="B803" i="1"/>
  <c r="I802" i="1"/>
  <c r="B802" i="1"/>
  <c r="I801" i="1"/>
  <c r="B801" i="1"/>
  <c r="I800" i="1"/>
  <c r="B800" i="1"/>
  <c r="I799" i="1"/>
  <c r="B799" i="1"/>
  <c r="I798" i="1"/>
  <c r="E798" i="1"/>
  <c r="B798" i="1"/>
  <c r="I797" i="1"/>
  <c r="B797" i="1"/>
  <c r="I796" i="1"/>
  <c r="B796" i="1"/>
  <c r="I795" i="1"/>
  <c r="B795" i="1"/>
  <c r="I794" i="1"/>
  <c r="B794" i="1"/>
  <c r="I793" i="1"/>
  <c r="B793" i="1"/>
  <c r="I792" i="1"/>
  <c r="E792" i="1"/>
  <c r="B792" i="1"/>
  <c r="I791" i="1"/>
  <c r="B791" i="1"/>
  <c r="I790" i="1"/>
  <c r="B790" i="1"/>
  <c r="I789" i="1"/>
  <c r="B789" i="1"/>
  <c r="I788" i="1"/>
  <c r="B788" i="1"/>
  <c r="I787" i="1"/>
  <c r="B787" i="1"/>
  <c r="I786" i="1"/>
  <c r="E786" i="1"/>
  <c r="B786" i="1"/>
  <c r="I785" i="1"/>
  <c r="B785" i="1"/>
  <c r="I784" i="1"/>
  <c r="B784" i="1"/>
  <c r="I783" i="1"/>
  <c r="B783" i="1"/>
  <c r="I782" i="1"/>
  <c r="B782" i="1"/>
  <c r="I781" i="1"/>
  <c r="B781" i="1"/>
  <c r="I780" i="1"/>
  <c r="E780" i="1"/>
  <c r="B780" i="1"/>
  <c r="I779" i="1"/>
  <c r="B779" i="1"/>
  <c r="I778" i="1"/>
  <c r="B778" i="1"/>
  <c r="I777" i="1"/>
  <c r="B777" i="1"/>
  <c r="I776" i="1"/>
  <c r="B776" i="1"/>
  <c r="I775" i="1"/>
  <c r="B775" i="1"/>
  <c r="I774" i="1"/>
  <c r="E774" i="1"/>
  <c r="B774" i="1"/>
  <c r="I773" i="1"/>
  <c r="B773" i="1"/>
  <c r="I772" i="1"/>
  <c r="B772" i="1"/>
  <c r="I771" i="1"/>
  <c r="B771" i="1"/>
  <c r="I770" i="1"/>
  <c r="B770" i="1"/>
  <c r="I769" i="1"/>
  <c r="B769" i="1"/>
  <c r="I768" i="1"/>
  <c r="E768" i="1"/>
  <c r="B768" i="1"/>
  <c r="I767" i="1"/>
  <c r="B767" i="1"/>
  <c r="I766" i="1"/>
  <c r="B766" i="1"/>
  <c r="I765" i="1"/>
  <c r="B765" i="1"/>
  <c r="I764" i="1"/>
  <c r="B764" i="1"/>
  <c r="I763" i="1"/>
  <c r="B763" i="1"/>
  <c r="I762" i="1"/>
  <c r="E762" i="1"/>
  <c r="B762" i="1"/>
  <c r="I761" i="1"/>
  <c r="B761" i="1"/>
  <c r="I760" i="1"/>
  <c r="B760" i="1"/>
  <c r="I759" i="1"/>
  <c r="B759" i="1"/>
  <c r="I758" i="1"/>
  <c r="B758" i="1"/>
  <c r="I757" i="1"/>
  <c r="B757" i="1"/>
  <c r="I756" i="1"/>
  <c r="E756" i="1"/>
  <c r="B756" i="1"/>
  <c r="I755" i="1"/>
  <c r="B755" i="1"/>
  <c r="I754" i="1"/>
  <c r="B754" i="1"/>
  <c r="I753" i="1"/>
  <c r="B753" i="1"/>
  <c r="I752" i="1"/>
  <c r="B752" i="1"/>
  <c r="I751" i="1"/>
  <c r="B751" i="1"/>
  <c r="I750" i="1"/>
  <c r="E750" i="1"/>
  <c r="B750" i="1"/>
  <c r="I749" i="1"/>
  <c r="B749" i="1"/>
  <c r="I748" i="1"/>
  <c r="B748" i="1"/>
  <c r="I747" i="1"/>
  <c r="B747" i="1"/>
  <c r="I746" i="1"/>
  <c r="B746" i="1"/>
  <c r="I745" i="1"/>
  <c r="B745" i="1"/>
  <c r="I744" i="1"/>
  <c r="E744" i="1"/>
  <c r="B744" i="1"/>
  <c r="I743" i="1"/>
  <c r="B743" i="1"/>
  <c r="I742" i="1"/>
  <c r="B742" i="1"/>
  <c r="I741" i="1"/>
  <c r="B741" i="1"/>
  <c r="I740" i="1"/>
  <c r="B740" i="1"/>
  <c r="I739" i="1"/>
  <c r="B739" i="1"/>
  <c r="I738" i="1"/>
  <c r="E738" i="1"/>
  <c r="B738" i="1"/>
  <c r="I737" i="1"/>
  <c r="B737" i="1"/>
  <c r="I736" i="1"/>
  <c r="B736" i="1"/>
  <c r="I735" i="1"/>
  <c r="B735" i="1"/>
  <c r="I734" i="1"/>
  <c r="B734" i="1"/>
  <c r="I733" i="1"/>
  <c r="B733" i="1"/>
  <c r="I732" i="1"/>
  <c r="E732" i="1"/>
  <c r="B732" i="1"/>
  <c r="I731" i="1"/>
  <c r="B731" i="1"/>
  <c r="I730" i="1"/>
  <c r="B730" i="1"/>
  <c r="I729" i="1"/>
  <c r="B729" i="1"/>
  <c r="I728" i="1"/>
  <c r="B728" i="1"/>
  <c r="I727" i="1"/>
  <c r="B727" i="1"/>
  <c r="I726" i="1"/>
  <c r="E726" i="1"/>
  <c r="B726" i="1"/>
  <c r="I725" i="1"/>
  <c r="B725" i="1"/>
  <c r="I724" i="1"/>
  <c r="B724" i="1"/>
  <c r="I723" i="1"/>
  <c r="B723" i="1"/>
  <c r="I722" i="1"/>
  <c r="B722" i="1"/>
  <c r="I721" i="1"/>
  <c r="B721" i="1"/>
  <c r="I720" i="1"/>
  <c r="E720" i="1"/>
  <c r="B720" i="1"/>
  <c r="I719" i="1"/>
  <c r="B719" i="1"/>
  <c r="I718" i="1"/>
  <c r="B718" i="1"/>
  <c r="I717" i="1"/>
  <c r="B717" i="1"/>
  <c r="I716" i="1"/>
  <c r="B716" i="1"/>
  <c r="I715" i="1"/>
  <c r="B715" i="1"/>
  <c r="I714" i="1"/>
  <c r="E714" i="1"/>
  <c r="B714" i="1"/>
  <c r="I713" i="1"/>
  <c r="B713" i="1"/>
  <c r="I712" i="1"/>
  <c r="B712" i="1"/>
  <c r="I711" i="1"/>
  <c r="B711" i="1"/>
  <c r="I710" i="1"/>
  <c r="B710" i="1"/>
  <c r="I709" i="1"/>
  <c r="B709" i="1"/>
  <c r="I708" i="1"/>
  <c r="E708" i="1"/>
  <c r="B708" i="1"/>
  <c r="I707" i="1"/>
  <c r="E707" i="1"/>
  <c r="B707" i="1"/>
  <c r="I706" i="1"/>
  <c r="B706" i="1"/>
  <c r="I705" i="1"/>
  <c r="B705" i="1"/>
  <c r="I704" i="1"/>
  <c r="B704" i="1"/>
  <c r="I703" i="1"/>
  <c r="B703" i="1"/>
  <c r="I702" i="1"/>
  <c r="E702" i="1"/>
  <c r="B702" i="1"/>
  <c r="I701" i="1"/>
  <c r="B701" i="1"/>
  <c r="I700" i="1"/>
  <c r="B700" i="1"/>
  <c r="I699" i="1"/>
  <c r="B699" i="1"/>
  <c r="I698" i="1"/>
  <c r="B698" i="1"/>
  <c r="I697" i="1"/>
  <c r="B697" i="1"/>
  <c r="I696" i="1"/>
  <c r="E696" i="1"/>
  <c r="B696" i="1"/>
  <c r="I695" i="1"/>
  <c r="B695" i="1"/>
  <c r="I694" i="1"/>
  <c r="B694" i="1"/>
  <c r="I693" i="1"/>
  <c r="B693" i="1"/>
  <c r="I692" i="1"/>
  <c r="B692" i="1"/>
  <c r="I691" i="1"/>
  <c r="B691" i="1"/>
  <c r="I690" i="1"/>
  <c r="E690" i="1"/>
  <c r="B690" i="1"/>
  <c r="I689" i="1"/>
  <c r="B689" i="1"/>
  <c r="I688" i="1"/>
  <c r="B688" i="1"/>
  <c r="I687" i="1"/>
  <c r="B687" i="1"/>
  <c r="I686" i="1"/>
  <c r="B686" i="1"/>
  <c r="I685" i="1"/>
  <c r="B685" i="1"/>
  <c r="I684" i="1"/>
  <c r="E684" i="1"/>
  <c r="B684" i="1"/>
  <c r="I683" i="1"/>
  <c r="B683" i="1"/>
  <c r="I682" i="1"/>
  <c r="E682" i="1"/>
  <c r="B682" i="1"/>
  <c r="I681" i="1"/>
  <c r="B681" i="1"/>
  <c r="I680" i="1"/>
  <c r="B680" i="1"/>
  <c r="I679" i="1"/>
  <c r="B679" i="1"/>
  <c r="I678" i="1"/>
  <c r="E678" i="1"/>
  <c r="B678" i="1"/>
  <c r="I677" i="1"/>
  <c r="B677" i="1"/>
  <c r="I676" i="1"/>
  <c r="B676" i="1"/>
  <c r="I675" i="1"/>
  <c r="B675" i="1"/>
  <c r="I674" i="1"/>
  <c r="B674" i="1"/>
  <c r="I673" i="1"/>
  <c r="B673" i="1"/>
  <c r="I672" i="1"/>
  <c r="E672" i="1"/>
  <c r="B672" i="1"/>
  <c r="I671" i="1"/>
  <c r="B671" i="1"/>
  <c r="I670" i="1"/>
  <c r="B670" i="1"/>
  <c r="I669" i="1"/>
  <c r="B669" i="1"/>
  <c r="I668" i="1"/>
  <c r="B668" i="1"/>
  <c r="I667" i="1"/>
  <c r="E667" i="1"/>
  <c r="B667" i="1"/>
  <c r="I666" i="1"/>
  <c r="E666" i="1"/>
  <c r="B666" i="1"/>
  <c r="I665" i="1"/>
  <c r="B665" i="1"/>
  <c r="I664" i="1"/>
  <c r="E664" i="1"/>
  <c r="B664" i="1"/>
  <c r="I663" i="1"/>
  <c r="B663" i="1"/>
  <c r="I662" i="1"/>
  <c r="B662" i="1"/>
  <c r="I661" i="1"/>
  <c r="B661" i="1"/>
  <c r="I660" i="1"/>
  <c r="E660" i="1"/>
  <c r="B660" i="1"/>
  <c r="I659" i="1"/>
  <c r="B659" i="1"/>
  <c r="I658" i="1"/>
  <c r="B658" i="1"/>
  <c r="I657" i="1"/>
  <c r="B657" i="1"/>
  <c r="I656" i="1"/>
  <c r="B656" i="1"/>
  <c r="I655" i="1"/>
  <c r="E655" i="1"/>
  <c r="B655" i="1"/>
  <c r="I654" i="1"/>
  <c r="B654" i="1"/>
  <c r="I653" i="1"/>
  <c r="B653" i="1"/>
  <c r="I652" i="1"/>
  <c r="E652" i="1"/>
  <c r="B652" i="1"/>
  <c r="I651" i="1"/>
  <c r="B651" i="1"/>
  <c r="I650" i="1"/>
  <c r="B650" i="1"/>
  <c r="I649" i="1"/>
  <c r="E649" i="1"/>
  <c r="B649" i="1"/>
  <c r="I648" i="1"/>
  <c r="E648" i="1"/>
  <c r="B648" i="1"/>
  <c r="I647" i="1"/>
  <c r="B647" i="1"/>
  <c r="I646" i="1"/>
  <c r="E646" i="1"/>
  <c r="B646" i="1"/>
  <c r="I645" i="1"/>
  <c r="B645" i="1"/>
  <c r="I644" i="1"/>
  <c r="E644" i="1"/>
  <c r="B644" i="1"/>
  <c r="I643" i="1"/>
  <c r="E643" i="1"/>
  <c r="B643" i="1"/>
  <c r="I642" i="1"/>
  <c r="B642" i="1"/>
  <c r="I641" i="1"/>
  <c r="B641" i="1"/>
  <c r="I640" i="1"/>
  <c r="E640" i="1"/>
  <c r="B640" i="1"/>
  <c r="I639" i="1"/>
  <c r="B639" i="1"/>
  <c r="I638" i="1"/>
  <c r="B638" i="1"/>
  <c r="I637" i="1"/>
  <c r="E637" i="1"/>
  <c r="B637" i="1"/>
  <c r="I636" i="1"/>
  <c r="B636" i="1"/>
  <c r="I635" i="1"/>
  <c r="B635" i="1"/>
  <c r="I634" i="1"/>
  <c r="E634" i="1"/>
  <c r="B634" i="1"/>
  <c r="I633" i="1"/>
  <c r="B633" i="1"/>
  <c r="I632" i="1"/>
  <c r="B632" i="1"/>
  <c r="I631" i="1"/>
  <c r="E631" i="1"/>
  <c r="B631" i="1"/>
  <c r="I630" i="1"/>
  <c r="B630" i="1"/>
  <c r="I629" i="1"/>
  <c r="B629" i="1"/>
  <c r="I628" i="1"/>
  <c r="E628" i="1"/>
  <c r="B628" i="1"/>
  <c r="I627" i="1"/>
  <c r="B627" i="1"/>
  <c r="I626" i="1"/>
  <c r="B626" i="1"/>
  <c r="I625" i="1"/>
  <c r="E625" i="1"/>
  <c r="B625" i="1"/>
  <c r="I624" i="1"/>
  <c r="E624" i="1"/>
  <c r="B624" i="1"/>
  <c r="I623" i="1"/>
  <c r="B623" i="1"/>
  <c r="I622" i="1"/>
  <c r="E622" i="1"/>
  <c r="B622" i="1"/>
  <c r="I621" i="1"/>
  <c r="B621" i="1"/>
  <c r="I620" i="1"/>
  <c r="E620" i="1"/>
  <c r="B620" i="1"/>
  <c r="I619" i="1"/>
  <c r="E619" i="1"/>
  <c r="B619" i="1"/>
  <c r="I618" i="1"/>
  <c r="B618" i="1"/>
  <c r="I617" i="1"/>
  <c r="B617" i="1"/>
  <c r="I616" i="1"/>
  <c r="E616" i="1"/>
  <c r="B616" i="1"/>
  <c r="I615" i="1"/>
  <c r="B615" i="1"/>
  <c r="I614" i="1"/>
  <c r="B614" i="1"/>
  <c r="I613" i="1"/>
  <c r="E613" i="1"/>
  <c r="B613" i="1"/>
  <c r="I612" i="1"/>
  <c r="B612" i="1"/>
  <c r="I611" i="1"/>
  <c r="B611" i="1"/>
  <c r="I610" i="1"/>
  <c r="E610" i="1"/>
  <c r="B610" i="1"/>
  <c r="I609" i="1"/>
  <c r="B609" i="1"/>
  <c r="I608" i="1"/>
  <c r="B608" i="1"/>
  <c r="I607" i="1"/>
  <c r="E607" i="1"/>
  <c r="B607" i="1"/>
  <c r="I606" i="1"/>
  <c r="B606" i="1"/>
  <c r="I605" i="1"/>
  <c r="B605" i="1"/>
  <c r="I604" i="1"/>
  <c r="E604" i="1"/>
  <c r="B604" i="1"/>
  <c r="I603" i="1"/>
  <c r="B603" i="1"/>
  <c r="I602" i="1"/>
  <c r="B602" i="1"/>
  <c r="I601" i="1"/>
  <c r="E601" i="1"/>
  <c r="B601" i="1"/>
  <c r="I600" i="1"/>
  <c r="E600" i="1"/>
  <c r="B600" i="1"/>
  <c r="I599" i="1"/>
  <c r="B599" i="1"/>
  <c r="I598" i="1"/>
  <c r="E598" i="1"/>
  <c r="B598" i="1"/>
  <c r="I597" i="1"/>
  <c r="B597" i="1"/>
  <c r="I596" i="1"/>
  <c r="E596" i="1"/>
  <c r="B596" i="1"/>
  <c r="I595" i="1"/>
  <c r="E595" i="1"/>
  <c r="B595" i="1"/>
  <c r="I594" i="1"/>
  <c r="B594" i="1"/>
  <c r="I593" i="1"/>
  <c r="B593" i="1"/>
  <c r="I592" i="1"/>
  <c r="E592" i="1"/>
  <c r="B592" i="1"/>
  <c r="I591" i="1"/>
  <c r="B591" i="1"/>
  <c r="I590" i="1"/>
  <c r="B590" i="1"/>
  <c r="I589" i="1"/>
  <c r="E589" i="1"/>
  <c r="B589" i="1"/>
  <c r="I588" i="1"/>
  <c r="B588" i="1"/>
  <c r="I587" i="1"/>
  <c r="B587" i="1"/>
  <c r="I586" i="1"/>
  <c r="E586" i="1"/>
  <c r="B586" i="1"/>
  <c r="I585" i="1"/>
  <c r="B585" i="1"/>
  <c r="I584" i="1"/>
  <c r="B584" i="1"/>
  <c r="I583" i="1"/>
  <c r="E583" i="1"/>
  <c r="B583" i="1"/>
  <c r="I582" i="1"/>
  <c r="B582" i="1"/>
  <c r="I581" i="1"/>
  <c r="B581" i="1"/>
  <c r="I580" i="1"/>
  <c r="E580" i="1"/>
  <c r="B580" i="1"/>
  <c r="I579" i="1"/>
  <c r="B579" i="1"/>
  <c r="I578" i="1"/>
  <c r="B578" i="1"/>
  <c r="I577" i="1"/>
  <c r="E577" i="1"/>
  <c r="B577" i="1"/>
  <c r="I576" i="1"/>
  <c r="E576" i="1"/>
  <c r="B576" i="1"/>
  <c r="I575" i="1"/>
  <c r="B575" i="1"/>
  <c r="I574" i="1"/>
  <c r="E574" i="1"/>
  <c r="B574" i="1"/>
  <c r="I573" i="1"/>
  <c r="B573" i="1"/>
  <c r="I572" i="1"/>
  <c r="E572" i="1"/>
  <c r="B572" i="1"/>
  <c r="I571" i="1"/>
  <c r="E571" i="1"/>
  <c r="B571" i="1"/>
  <c r="I570" i="1"/>
  <c r="B570" i="1"/>
  <c r="I569" i="1"/>
  <c r="B569" i="1"/>
  <c r="I568" i="1"/>
  <c r="E568" i="1"/>
  <c r="B568" i="1"/>
  <c r="I567" i="1"/>
  <c r="B567" i="1"/>
  <c r="I566" i="1"/>
  <c r="B566" i="1"/>
  <c r="I565" i="1"/>
  <c r="E565" i="1"/>
  <c r="B565" i="1"/>
  <c r="I564" i="1"/>
  <c r="B564" i="1"/>
  <c r="I563" i="1"/>
  <c r="B563" i="1"/>
  <c r="I562" i="1"/>
  <c r="E562" i="1"/>
  <c r="B562" i="1"/>
  <c r="I561" i="1"/>
  <c r="B561" i="1"/>
  <c r="I560" i="1"/>
  <c r="B560" i="1"/>
  <c r="I559" i="1"/>
  <c r="E559" i="1"/>
  <c r="B559" i="1"/>
  <c r="I558" i="1"/>
  <c r="B558" i="1"/>
  <c r="I557" i="1"/>
  <c r="B557" i="1"/>
  <c r="I556" i="1"/>
  <c r="E556" i="1"/>
  <c r="B556" i="1"/>
  <c r="I555" i="1"/>
  <c r="B555" i="1"/>
  <c r="I554" i="1"/>
  <c r="B554" i="1"/>
  <c r="I553" i="1"/>
  <c r="E553" i="1"/>
  <c r="B553" i="1"/>
  <c r="I552" i="1"/>
  <c r="E552" i="1"/>
  <c r="B552" i="1"/>
  <c r="I551" i="1"/>
  <c r="B551" i="1"/>
  <c r="I550" i="1"/>
  <c r="E550" i="1"/>
  <c r="B550" i="1"/>
  <c r="I549" i="1"/>
  <c r="B549" i="1"/>
  <c r="I548" i="1"/>
  <c r="E548" i="1"/>
  <c r="B548" i="1"/>
  <c r="I547" i="1"/>
  <c r="E547" i="1"/>
  <c r="B547" i="1"/>
  <c r="I546" i="1"/>
  <c r="B546" i="1"/>
  <c r="I545" i="1"/>
  <c r="B545" i="1"/>
  <c r="I544" i="1"/>
  <c r="E544" i="1"/>
  <c r="B544" i="1"/>
  <c r="I543" i="1"/>
  <c r="B543" i="1"/>
  <c r="I542" i="1"/>
  <c r="B542" i="1"/>
  <c r="I541" i="1"/>
  <c r="E541" i="1"/>
  <c r="B541" i="1"/>
  <c r="I540" i="1"/>
  <c r="B540" i="1"/>
  <c r="I539" i="1"/>
  <c r="B539" i="1"/>
  <c r="I538" i="1"/>
  <c r="E538" i="1"/>
  <c r="B538" i="1"/>
  <c r="I537" i="1"/>
  <c r="B537" i="1"/>
  <c r="I536" i="1"/>
  <c r="B536" i="1"/>
  <c r="I535" i="1"/>
  <c r="E535" i="1"/>
  <c r="B535" i="1"/>
  <c r="I534" i="1"/>
  <c r="B534" i="1"/>
  <c r="I533" i="1"/>
  <c r="B533" i="1"/>
  <c r="I532" i="1"/>
  <c r="E532" i="1"/>
  <c r="B532" i="1"/>
  <c r="I531" i="1"/>
  <c r="B531" i="1"/>
  <c r="I530" i="1"/>
  <c r="B530" i="1"/>
  <c r="I529" i="1"/>
  <c r="E529" i="1"/>
  <c r="B529" i="1"/>
  <c r="I528" i="1"/>
  <c r="E528" i="1"/>
  <c r="B528" i="1"/>
  <c r="I527" i="1"/>
  <c r="B527" i="1"/>
  <c r="I526" i="1"/>
  <c r="B526" i="1"/>
  <c r="I525" i="1"/>
  <c r="E525" i="1"/>
  <c r="B525" i="1"/>
  <c r="I524" i="1"/>
  <c r="E524" i="1"/>
  <c r="B524" i="1"/>
  <c r="I523" i="1"/>
  <c r="B523" i="1"/>
  <c r="I522" i="1"/>
  <c r="B522" i="1"/>
  <c r="I521" i="1"/>
  <c r="E521" i="1"/>
  <c r="B521" i="1"/>
  <c r="I520" i="1"/>
  <c r="B520" i="1"/>
  <c r="I519" i="1"/>
  <c r="E519" i="1"/>
  <c r="B519" i="1"/>
  <c r="I518" i="1"/>
  <c r="B518" i="1"/>
  <c r="I517" i="1"/>
  <c r="B517" i="1"/>
  <c r="I516" i="1"/>
  <c r="E516" i="1"/>
  <c r="B516" i="1"/>
  <c r="I515" i="1"/>
  <c r="B515" i="1"/>
  <c r="I514" i="1"/>
  <c r="E514" i="1"/>
  <c r="B514" i="1"/>
  <c r="I513" i="1"/>
  <c r="B513" i="1"/>
  <c r="I512" i="1"/>
  <c r="B512" i="1"/>
  <c r="I511" i="1"/>
  <c r="E511" i="1"/>
  <c r="B511" i="1"/>
  <c r="I510" i="1"/>
  <c r="B510" i="1"/>
  <c r="I509" i="1"/>
  <c r="E509" i="1"/>
  <c r="B509" i="1"/>
  <c r="I508" i="1"/>
  <c r="E508" i="1"/>
  <c r="B508" i="1"/>
  <c r="I507" i="1"/>
  <c r="B507" i="1"/>
  <c r="I506" i="1"/>
  <c r="E506" i="1"/>
  <c r="B506" i="1"/>
  <c r="I505" i="1"/>
  <c r="B505" i="1"/>
  <c r="I504" i="1"/>
  <c r="E504" i="1"/>
  <c r="B504" i="1"/>
  <c r="I503" i="1"/>
  <c r="B503" i="1"/>
  <c r="I502" i="1"/>
  <c r="B502" i="1"/>
  <c r="I501" i="1"/>
  <c r="E501" i="1"/>
  <c r="B501" i="1"/>
  <c r="I500" i="1"/>
  <c r="B500" i="1"/>
  <c r="I499" i="1"/>
  <c r="E499" i="1"/>
  <c r="B499" i="1"/>
  <c r="I498" i="1"/>
  <c r="B498" i="1"/>
  <c r="I497" i="1"/>
  <c r="B497" i="1"/>
  <c r="I496" i="1"/>
  <c r="E496" i="1"/>
  <c r="B496" i="1"/>
  <c r="I495" i="1"/>
  <c r="B495" i="1"/>
  <c r="I494" i="1"/>
  <c r="E494" i="1"/>
  <c r="B494" i="1"/>
  <c r="I493" i="1"/>
  <c r="B493" i="1"/>
  <c r="I492" i="1"/>
  <c r="B492" i="1"/>
  <c r="I491" i="1"/>
  <c r="E491" i="1"/>
  <c r="B491" i="1"/>
  <c r="I490" i="1"/>
  <c r="B490" i="1"/>
  <c r="I489" i="1"/>
  <c r="B489" i="1"/>
  <c r="I488" i="1"/>
  <c r="B488" i="1"/>
  <c r="I487" i="1"/>
  <c r="E487" i="1"/>
  <c r="B487" i="1"/>
  <c r="I486" i="1"/>
  <c r="B486" i="1"/>
  <c r="I485" i="1"/>
  <c r="B485" i="1"/>
  <c r="I484" i="1"/>
  <c r="E484" i="1"/>
  <c r="B484" i="1"/>
  <c r="I483" i="1"/>
  <c r="E483" i="1"/>
  <c r="B483" i="1"/>
  <c r="I482" i="1"/>
  <c r="B482" i="1"/>
  <c r="I481" i="1"/>
  <c r="B481" i="1"/>
  <c r="I480" i="1"/>
  <c r="B480" i="1"/>
  <c r="I479" i="1"/>
  <c r="E479" i="1"/>
  <c r="B479" i="1"/>
  <c r="I478" i="1"/>
  <c r="B478" i="1"/>
  <c r="I477" i="1"/>
  <c r="B477" i="1"/>
  <c r="I476" i="1"/>
  <c r="B476" i="1"/>
  <c r="I475" i="1"/>
  <c r="E475" i="1"/>
  <c r="B475" i="1"/>
  <c r="I474" i="1"/>
  <c r="B474" i="1"/>
  <c r="I473" i="1"/>
  <c r="B473" i="1"/>
  <c r="I472" i="1"/>
  <c r="E472" i="1"/>
  <c r="B472" i="1"/>
  <c r="I471" i="1"/>
  <c r="E471" i="1"/>
  <c r="B471" i="1"/>
  <c r="I470" i="1"/>
  <c r="B470" i="1"/>
  <c r="I469" i="1"/>
  <c r="B469" i="1"/>
  <c r="I468" i="1"/>
  <c r="B468" i="1"/>
  <c r="I467" i="1"/>
  <c r="E467" i="1"/>
  <c r="B467" i="1"/>
  <c r="I466" i="1"/>
  <c r="B466" i="1"/>
  <c r="I465" i="1"/>
  <c r="B465" i="1"/>
  <c r="I464" i="1"/>
  <c r="B464" i="1"/>
  <c r="I463" i="1"/>
  <c r="E463" i="1"/>
  <c r="B463" i="1"/>
  <c r="I462" i="1"/>
  <c r="B462" i="1"/>
  <c r="I461" i="1"/>
  <c r="B461" i="1"/>
  <c r="I460" i="1"/>
  <c r="E460" i="1"/>
  <c r="B460" i="1"/>
  <c r="I459" i="1"/>
  <c r="E459" i="1"/>
  <c r="B459" i="1"/>
  <c r="I458" i="1"/>
  <c r="B458" i="1"/>
  <c r="I457" i="1"/>
  <c r="B457" i="1"/>
  <c r="I456" i="1"/>
  <c r="B456" i="1"/>
  <c r="I455" i="1"/>
  <c r="E455" i="1"/>
  <c r="B455" i="1"/>
  <c r="I454" i="1"/>
  <c r="B454" i="1"/>
  <c r="I453" i="1"/>
  <c r="B453" i="1"/>
  <c r="I452" i="1"/>
  <c r="B452" i="1"/>
  <c r="I451" i="1"/>
  <c r="E451" i="1"/>
  <c r="B451" i="1"/>
  <c r="I450" i="1"/>
  <c r="B450" i="1"/>
  <c r="I449" i="1"/>
  <c r="B449" i="1"/>
  <c r="I448" i="1"/>
  <c r="E448" i="1"/>
  <c r="B448" i="1"/>
  <c r="I447" i="1"/>
  <c r="E447" i="1"/>
  <c r="B447" i="1"/>
  <c r="I446" i="1"/>
  <c r="B446" i="1"/>
  <c r="I445" i="1"/>
  <c r="B445" i="1"/>
  <c r="I444" i="1"/>
  <c r="B444" i="1"/>
  <c r="I443" i="1"/>
  <c r="E443" i="1"/>
  <c r="B443" i="1"/>
  <c r="I442" i="1"/>
  <c r="B442" i="1"/>
  <c r="I441" i="1"/>
  <c r="B441" i="1"/>
  <c r="I440" i="1"/>
  <c r="B440" i="1"/>
  <c r="I439" i="1"/>
  <c r="E439" i="1"/>
  <c r="B439" i="1"/>
  <c r="I438" i="1"/>
  <c r="B438" i="1"/>
  <c r="I437" i="1"/>
  <c r="B437" i="1"/>
  <c r="I436" i="1"/>
  <c r="E436" i="1"/>
  <c r="B436" i="1"/>
  <c r="I435" i="1"/>
  <c r="E435" i="1"/>
  <c r="B435" i="1"/>
  <c r="I434" i="1"/>
  <c r="B434" i="1"/>
  <c r="I433" i="1"/>
  <c r="B433" i="1"/>
  <c r="I432" i="1"/>
  <c r="B432" i="1"/>
  <c r="I431" i="1"/>
  <c r="E431" i="1"/>
  <c r="B431" i="1"/>
  <c r="I430" i="1"/>
  <c r="B430" i="1"/>
  <c r="I429" i="1"/>
  <c r="B429" i="1"/>
  <c r="I428" i="1"/>
  <c r="B428" i="1"/>
  <c r="I427" i="1"/>
  <c r="E427" i="1"/>
  <c r="B427" i="1"/>
  <c r="I426" i="1"/>
  <c r="B426" i="1"/>
  <c r="I425" i="1"/>
  <c r="B425" i="1"/>
  <c r="I424" i="1"/>
  <c r="E424" i="1"/>
  <c r="B424" i="1"/>
  <c r="I423" i="1"/>
  <c r="E423" i="1"/>
  <c r="B423" i="1"/>
  <c r="I422" i="1"/>
  <c r="B422" i="1"/>
  <c r="I421" i="1"/>
  <c r="B421" i="1"/>
  <c r="I420" i="1"/>
  <c r="B420" i="1"/>
  <c r="I419" i="1"/>
  <c r="E419" i="1"/>
  <c r="B419" i="1"/>
  <c r="I418" i="1"/>
  <c r="B418" i="1"/>
  <c r="I417" i="1"/>
  <c r="B417" i="1"/>
  <c r="I416" i="1"/>
  <c r="B416" i="1"/>
  <c r="I415" i="1"/>
  <c r="E415" i="1"/>
  <c r="B415" i="1"/>
  <c r="I414" i="1"/>
  <c r="B414" i="1"/>
  <c r="I413" i="1"/>
  <c r="B413" i="1"/>
  <c r="I412" i="1"/>
  <c r="E412" i="1"/>
  <c r="B412" i="1"/>
  <c r="I411" i="1"/>
  <c r="B411" i="1"/>
  <c r="I410" i="1"/>
  <c r="E410" i="1"/>
  <c r="B410" i="1"/>
  <c r="I409" i="1"/>
  <c r="B409" i="1"/>
  <c r="I408" i="1"/>
  <c r="B408" i="1"/>
  <c r="I407" i="1"/>
  <c r="E407" i="1"/>
  <c r="B407" i="1"/>
  <c r="I406" i="1"/>
  <c r="B406" i="1"/>
  <c r="I405" i="1"/>
  <c r="E405" i="1"/>
  <c r="B405" i="1"/>
  <c r="I404" i="1"/>
  <c r="E404" i="1"/>
  <c r="B404" i="1"/>
  <c r="I403" i="1"/>
  <c r="B403" i="1"/>
  <c r="I402" i="1"/>
  <c r="B402" i="1"/>
  <c r="I401" i="1"/>
  <c r="E401" i="1"/>
  <c r="B401" i="1"/>
  <c r="I400" i="1"/>
  <c r="E400" i="1"/>
  <c r="B400" i="1"/>
  <c r="I399" i="1"/>
  <c r="B399" i="1"/>
  <c r="I398" i="1"/>
  <c r="E398" i="1"/>
  <c r="B398" i="1"/>
  <c r="I397" i="1"/>
  <c r="B397" i="1"/>
  <c r="I396" i="1"/>
  <c r="E396" i="1"/>
  <c r="B396" i="1"/>
  <c r="I395" i="1"/>
  <c r="E395" i="1"/>
  <c r="B395" i="1"/>
  <c r="I394" i="1"/>
  <c r="B394" i="1"/>
  <c r="I393" i="1"/>
  <c r="B393" i="1"/>
  <c r="I392" i="1"/>
  <c r="E392" i="1"/>
  <c r="B392" i="1"/>
  <c r="I391" i="1"/>
  <c r="B391" i="1"/>
  <c r="I390" i="1"/>
  <c r="B390" i="1"/>
  <c r="I389" i="1"/>
  <c r="E389" i="1"/>
  <c r="B389" i="1"/>
  <c r="I388" i="1"/>
  <c r="B388" i="1"/>
  <c r="I387" i="1"/>
  <c r="B387" i="1"/>
  <c r="I386" i="1"/>
  <c r="E386" i="1"/>
  <c r="B386" i="1"/>
  <c r="I385" i="1"/>
  <c r="E385" i="1"/>
  <c r="B385" i="1"/>
  <c r="I384" i="1"/>
  <c r="B384" i="1"/>
  <c r="I383" i="1"/>
  <c r="E383" i="1"/>
  <c r="B383" i="1"/>
  <c r="I382" i="1"/>
  <c r="B382" i="1"/>
  <c r="I381" i="1"/>
  <c r="B381" i="1"/>
  <c r="I380" i="1"/>
  <c r="E380" i="1"/>
  <c r="B380" i="1"/>
  <c r="I379" i="1"/>
  <c r="B379" i="1"/>
  <c r="I378" i="1"/>
  <c r="B378" i="1"/>
  <c r="I377" i="1"/>
  <c r="E377" i="1"/>
  <c r="B377" i="1"/>
  <c r="I376" i="1"/>
  <c r="E376" i="1"/>
  <c r="B376" i="1"/>
  <c r="I375" i="1"/>
  <c r="B375" i="1"/>
  <c r="I374" i="1"/>
  <c r="E374" i="1"/>
  <c r="B374" i="1"/>
  <c r="I373" i="1"/>
  <c r="E373" i="1"/>
  <c r="B373" i="1"/>
  <c r="I372" i="1"/>
  <c r="B372" i="1"/>
  <c r="I371" i="1"/>
  <c r="E371" i="1"/>
  <c r="B371" i="1"/>
  <c r="I370" i="1"/>
  <c r="B370" i="1"/>
  <c r="I369" i="1"/>
  <c r="E369" i="1"/>
  <c r="B369" i="1"/>
  <c r="I368" i="1"/>
  <c r="E368" i="1"/>
  <c r="B368" i="1"/>
  <c r="I367" i="1"/>
  <c r="B367" i="1"/>
  <c r="I366" i="1"/>
  <c r="B366" i="1"/>
  <c r="I365" i="1"/>
  <c r="E365" i="1"/>
  <c r="B365" i="1"/>
  <c r="I364" i="1"/>
  <c r="E364" i="1"/>
  <c r="B364" i="1"/>
  <c r="I363" i="1"/>
  <c r="B363" i="1"/>
  <c r="I362" i="1"/>
  <c r="E362" i="1"/>
  <c r="B362" i="1"/>
  <c r="I361" i="1"/>
  <c r="B361" i="1"/>
  <c r="I360" i="1"/>
  <c r="E360" i="1"/>
  <c r="B360" i="1"/>
  <c r="I359" i="1"/>
  <c r="E359" i="1"/>
  <c r="B359" i="1"/>
  <c r="I358" i="1"/>
  <c r="B358" i="1"/>
  <c r="I357" i="1"/>
  <c r="B357" i="1"/>
  <c r="I356" i="1"/>
  <c r="E356" i="1"/>
  <c r="B356" i="1"/>
  <c r="I355" i="1"/>
  <c r="B355" i="1"/>
  <c r="I354" i="1"/>
  <c r="B354" i="1"/>
  <c r="I353" i="1"/>
  <c r="E353" i="1"/>
  <c r="B353" i="1"/>
  <c r="I352" i="1"/>
  <c r="B352" i="1"/>
  <c r="I351" i="1"/>
  <c r="B351" i="1"/>
  <c r="I350" i="1"/>
  <c r="E350" i="1"/>
  <c r="B350" i="1"/>
  <c r="I349" i="1"/>
  <c r="E349" i="1"/>
  <c r="B349" i="1"/>
  <c r="I348" i="1"/>
  <c r="B348" i="1"/>
  <c r="I347" i="1"/>
  <c r="E347" i="1"/>
  <c r="B347" i="1"/>
  <c r="I346" i="1"/>
  <c r="B346" i="1"/>
  <c r="I345" i="1"/>
  <c r="B345" i="1"/>
  <c r="I344" i="1"/>
  <c r="E344" i="1"/>
  <c r="B344" i="1"/>
  <c r="I343" i="1"/>
  <c r="B343" i="1"/>
  <c r="I342" i="1"/>
  <c r="B342" i="1"/>
  <c r="I341" i="1"/>
  <c r="E341" i="1"/>
  <c r="B341" i="1"/>
  <c r="I340" i="1"/>
  <c r="E340" i="1"/>
  <c r="B340" i="1"/>
  <c r="I339" i="1"/>
  <c r="B339" i="1"/>
  <c r="I338" i="1"/>
  <c r="E338" i="1"/>
  <c r="B338" i="1"/>
  <c r="I337" i="1"/>
  <c r="E337" i="1"/>
  <c r="B337" i="1"/>
  <c r="I336" i="1"/>
  <c r="B336" i="1"/>
  <c r="I335" i="1"/>
  <c r="E335" i="1"/>
  <c r="B335" i="1"/>
  <c r="I334" i="1"/>
  <c r="B334" i="1"/>
  <c r="I333" i="1"/>
  <c r="E333" i="1"/>
  <c r="B333" i="1"/>
  <c r="I332" i="1"/>
  <c r="E332" i="1"/>
  <c r="B332" i="1"/>
  <c r="I331" i="1"/>
  <c r="B331" i="1"/>
  <c r="I330" i="1"/>
  <c r="B330" i="1"/>
  <c r="I329" i="1"/>
  <c r="E329" i="1"/>
  <c r="B329" i="1"/>
  <c r="I328" i="1"/>
  <c r="E328" i="1"/>
  <c r="B328" i="1"/>
  <c r="I327" i="1"/>
  <c r="B327" i="1"/>
  <c r="I326" i="1"/>
  <c r="E326" i="1"/>
  <c r="B326" i="1"/>
  <c r="I325" i="1"/>
  <c r="B325" i="1"/>
  <c r="I324" i="1"/>
  <c r="E324" i="1"/>
  <c r="B324" i="1"/>
  <c r="I323" i="1"/>
  <c r="E323" i="1"/>
  <c r="B323" i="1"/>
  <c r="I322" i="1"/>
  <c r="B322" i="1"/>
  <c r="I321" i="1"/>
  <c r="B321" i="1"/>
  <c r="I320" i="1"/>
  <c r="E320" i="1"/>
  <c r="B320" i="1"/>
  <c r="I319" i="1"/>
  <c r="E319" i="1"/>
  <c r="B319" i="1"/>
  <c r="I318" i="1"/>
  <c r="B318" i="1"/>
  <c r="I317" i="1"/>
  <c r="E317" i="1"/>
  <c r="B317" i="1"/>
  <c r="I316" i="1"/>
  <c r="B316" i="1"/>
  <c r="I315" i="1"/>
  <c r="B315" i="1"/>
  <c r="I314" i="1"/>
  <c r="E314" i="1"/>
  <c r="B314" i="1"/>
  <c r="I313" i="1"/>
  <c r="B313" i="1"/>
  <c r="I312" i="1"/>
  <c r="B312" i="1"/>
  <c r="I311" i="1"/>
  <c r="E311" i="1"/>
  <c r="B311" i="1"/>
  <c r="I310" i="1"/>
  <c r="B310" i="1"/>
  <c r="I309" i="1"/>
  <c r="E309" i="1"/>
  <c r="B309" i="1"/>
  <c r="I308" i="1"/>
  <c r="B308" i="1"/>
  <c r="I307" i="1"/>
  <c r="E307" i="1"/>
  <c r="B307" i="1"/>
  <c r="I306" i="1"/>
  <c r="E306" i="1"/>
  <c r="B306" i="1"/>
  <c r="I305" i="1"/>
  <c r="B305" i="1"/>
  <c r="I304" i="1"/>
  <c r="E304" i="1"/>
  <c r="B304" i="1"/>
  <c r="I303" i="1"/>
  <c r="E303" i="1"/>
  <c r="B303" i="1"/>
  <c r="I302" i="1"/>
  <c r="B302" i="1"/>
  <c r="I301" i="1"/>
  <c r="E301" i="1"/>
  <c r="B301" i="1"/>
  <c r="I300" i="1"/>
  <c r="B300" i="1"/>
  <c r="I299" i="1"/>
  <c r="E299" i="1"/>
  <c r="B299" i="1"/>
  <c r="I298" i="1"/>
  <c r="E298" i="1"/>
  <c r="B298" i="1"/>
  <c r="I297" i="1"/>
  <c r="B297" i="1"/>
  <c r="I296" i="1"/>
  <c r="B296" i="1"/>
  <c r="I295" i="1"/>
  <c r="E295" i="1"/>
  <c r="B295" i="1"/>
  <c r="I294" i="1"/>
  <c r="E294" i="1"/>
  <c r="B294" i="1"/>
  <c r="I293" i="1"/>
  <c r="B293" i="1"/>
  <c r="I292" i="1"/>
  <c r="B292" i="1"/>
  <c r="I291" i="1"/>
  <c r="E291" i="1"/>
  <c r="B291" i="1"/>
  <c r="I290" i="1"/>
  <c r="B290" i="1"/>
  <c r="I289" i="1"/>
  <c r="B289" i="1"/>
  <c r="I288" i="1"/>
  <c r="E288" i="1"/>
  <c r="B288" i="1"/>
  <c r="I287" i="1"/>
  <c r="E287" i="1"/>
  <c r="B287" i="1"/>
  <c r="I286" i="1"/>
  <c r="B286" i="1"/>
  <c r="I285" i="1"/>
  <c r="E285" i="1"/>
  <c r="B285" i="1"/>
  <c r="I284" i="1"/>
  <c r="B284" i="1"/>
  <c r="I283" i="1"/>
  <c r="E283" i="1"/>
  <c r="B283" i="1"/>
  <c r="I282" i="1"/>
  <c r="E282" i="1"/>
  <c r="B282" i="1"/>
  <c r="I281" i="1"/>
  <c r="B281" i="1"/>
  <c r="I280" i="1"/>
  <c r="B280" i="1"/>
  <c r="I279" i="1"/>
  <c r="E279" i="1"/>
  <c r="B279" i="1"/>
  <c r="I278" i="1"/>
  <c r="B278" i="1"/>
  <c r="I277" i="1"/>
  <c r="B277" i="1"/>
  <c r="I276" i="1"/>
  <c r="E276" i="1"/>
  <c r="B276" i="1"/>
  <c r="I275" i="1"/>
  <c r="E275" i="1"/>
  <c r="B275" i="1"/>
  <c r="I274" i="1"/>
  <c r="B274" i="1"/>
  <c r="I273" i="1"/>
  <c r="E273" i="1"/>
  <c r="B273" i="1"/>
  <c r="I272" i="1"/>
  <c r="B272" i="1"/>
  <c r="I271" i="1"/>
  <c r="E271" i="1"/>
  <c r="B271" i="1"/>
  <c r="I270" i="1"/>
  <c r="E270" i="1"/>
  <c r="B270" i="1"/>
  <c r="I269" i="1"/>
  <c r="B269" i="1"/>
  <c r="I268" i="1"/>
  <c r="B268" i="1"/>
  <c r="I267" i="1"/>
  <c r="E267" i="1"/>
  <c r="B267" i="1"/>
  <c r="I266" i="1"/>
  <c r="B266" i="1"/>
  <c r="I265" i="1"/>
  <c r="B265" i="1"/>
  <c r="I264" i="1"/>
  <c r="E264" i="1"/>
  <c r="B264" i="1"/>
  <c r="I263" i="1"/>
  <c r="E263" i="1"/>
  <c r="B263" i="1"/>
  <c r="I262" i="1"/>
  <c r="B262" i="1"/>
  <c r="I261" i="1"/>
  <c r="E261" i="1"/>
  <c r="B261" i="1"/>
  <c r="I260" i="1"/>
  <c r="B260" i="1"/>
  <c r="I259" i="1"/>
  <c r="E259" i="1"/>
  <c r="B259" i="1"/>
  <c r="I258" i="1"/>
  <c r="E258" i="1"/>
  <c r="B258" i="1"/>
  <c r="I257" i="1"/>
  <c r="B257" i="1"/>
  <c r="I256" i="1"/>
  <c r="B256" i="1"/>
  <c r="I255" i="1"/>
  <c r="E255" i="1"/>
  <c r="B255" i="1"/>
  <c r="I254" i="1"/>
  <c r="B254" i="1"/>
  <c r="I253" i="1"/>
  <c r="B253" i="1"/>
  <c r="I252" i="1"/>
  <c r="E252" i="1"/>
  <c r="B252" i="1"/>
  <c r="I251" i="1"/>
  <c r="E251" i="1"/>
  <c r="B251" i="1"/>
  <c r="I250" i="1"/>
  <c r="B250" i="1"/>
  <c r="I249" i="1"/>
  <c r="E249" i="1"/>
  <c r="B249" i="1"/>
  <c r="I248" i="1"/>
  <c r="B248" i="1"/>
  <c r="I247" i="1"/>
  <c r="E247" i="1"/>
  <c r="B247" i="1"/>
  <c r="I246" i="1"/>
  <c r="E246" i="1"/>
  <c r="B246" i="1"/>
  <c r="I245" i="1"/>
  <c r="B245" i="1"/>
  <c r="I244" i="1"/>
  <c r="B244" i="1"/>
  <c r="I243" i="1"/>
  <c r="E243" i="1"/>
  <c r="B243" i="1"/>
  <c r="I242" i="1"/>
  <c r="B242" i="1"/>
  <c r="I241" i="1"/>
  <c r="B241" i="1"/>
  <c r="I240" i="1"/>
  <c r="E240" i="1"/>
  <c r="B240" i="1"/>
  <c r="I239" i="1"/>
  <c r="E239" i="1"/>
  <c r="B239" i="1"/>
  <c r="I238" i="1"/>
  <c r="B238" i="1"/>
  <c r="I237" i="1"/>
  <c r="E237" i="1"/>
  <c r="B237" i="1"/>
  <c r="I236" i="1"/>
  <c r="B236" i="1"/>
  <c r="I235" i="1"/>
  <c r="E235" i="1"/>
  <c r="B235" i="1"/>
  <c r="I234" i="1"/>
  <c r="E234" i="1"/>
  <c r="B234" i="1"/>
  <c r="I233" i="1"/>
  <c r="B233" i="1"/>
  <c r="I232" i="1"/>
  <c r="B232" i="1"/>
  <c r="I231" i="1"/>
  <c r="E231" i="1"/>
  <c r="B231" i="1"/>
  <c r="I230" i="1"/>
  <c r="B230" i="1"/>
  <c r="I229" i="1"/>
  <c r="B229" i="1"/>
  <c r="I228" i="1"/>
  <c r="E228" i="1"/>
  <c r="B228" i="1"/>
  <c r="I227" i="1"/>
  <c r="E227" i="1"/>
  <c r="B227" i="1"/>
  <c r="I226" i="1"/>
  <c r="B226" i="1"/>
  <c r="I225" i="1"/>
  <c r="E225" i="1"/>
  <c r="B225" i="1"/>
  <c r="I224" i="1"/>
  <c r="B224" i="1"/>
  <c r="I223" i="1"/>
  <c r="E223" i="1"/>
  <c r="B223" i="1"/>
  <c r="I222" i="1"/>
  <c r="E222" i="1"/>
  <c r="B222" i="1"/>
  <c r="I221" i="1"/>
  <c r="B221" i="1"/>
  <c r="I220" i="1"/>
  <c r="B220" i="1"/>
  <c r="I219" i="1"/>
  <c r="E219" i="1"/>
  <c r="B219" i="1"/>
  <c r="I218" i="1"/>
  <c r="B218" i="1"/>
  <c r="I217" i="1"/>
  <c r="B217" i="1"/>
  <c r="I216" i="1"/>
  <c r="E216" i="1"/>
  <c r="B216" i="1"/>
  <c r="I215" i="1"/>
  <c r="E215" i="1"/>
  <c r="B215" i="1"/>
  <c r="I214" i="1"/>
  <c r="B214" i="1"/>
  <c r="I213" i="1"/>
  <c r="E213" i="1"/>
  <c r="B213" i="1"/>
  <c r="I212" i="1"/>
  <c r="B212" i="1"/>
  <c r="I211" i="1"/>
  <c r="E211" i="1"/>
  <c r="B211" i="1"/>
  <c r="I210" i="1"/>
  <c r="E210" i="1"/>
  <c r="B210" i="1"/>
  <c r="I209" i="1"/>
  <c r="B209" i="1"/>
  <c r="I208" i="1"/>
  <c r="B208" i="1"/>
  <c r="I207" i="1"/>
  <c r="E207" i="1"/>
  <c r="B207" i="1"/>
  <c r="I206" i="1"/>
  <c r="B206" i="1"/>
  <c r="I205" i="1"/>
  <c r="B205" i="1"/>
  <c r="I204" i="1"/>
  <c r="E204" i="1"/>
  <c r="B204" i="1"/>
  <c r="I203" i="1"/>
  <c r="E203" i="1"/>
  <c r="B203" i="1"/>
  <c r="I202" i="1"/>
  <c r="B202" i="1"/>
  <c r="I201" i="1"/>
  <c r="E201" i="1"/>
  <c r="B201" i="1"/>
  <c r="I200" i="1"/>
  <c r="B200" i="1"/>
  <c r="I199" i="1"/>
  <c r="E199" i="1"/>
  <c r="B199" i="1"/>
  <c r="I198" i="1"/>
  <c r="E198" i="1"/>
  <c r="B198" i="1"/>
  <c r="I197" i="1"/>
  <c r="B197" i="1"/>
  <c r="I196" i="1"/>
  <c r="B196" i="1"/>
  <c r="I195" i="1"/>
  <c r="E195" i="1"/>
  <c r="B195" i="1"/>
  <c r="I194" i="1"/>
  <c r="B194" i="1"/>
  <c r="I193" i="1"/>
  <c r="B193" i="1"/>
  <c r="I192" i="1"/>
  <c r="E192" i="1"/>
  <c r="B192" i="1"/>
  <c r="I191" i="1"/>
  <c r="E191" i="1"/>
  <c r="B191" i="1"/>
  <c r="I190" i="1"/>
  <c r="B190" i="1"/>
  <c r="I189" i="1"/>
  <c r="E189" i="1"/>
  <c r="B189" i="1"/>
  <c r="I188" i="1"/>
  <c r="B188" i="1"/>
  <c r="I187" i="1"/>
  <c r="E187" i="1"/>
  <c r="B187" i="1"/>
  <c r="I186" i="1"/>
  <c r="E186" i="1"/>
  <c r="B186" i="1"/>
  <c r="I185" i="1"/>
  <c r="B185" i="1"/>
  <c r="I184" i="1"/>
  <c r="B184" i="1"/>
  <c r="I183" i="1"/>
  <c r="E183" i="1"/>
  <c r="B183" i="1"/>
  <c r="I182" i="1"/>
  <c r="B182" i="1"/>
  <c r="I181" i="1"/>
  <c r="B181" i="1"/>
  <c r="I180" i="1"/>
  <c r="E180" i="1"/>
  <c r="B180" i="1"/>
  <c r="I179" i="1"/>
  <c r="E179" i="1"/>
  <c r="B179" i="1"/>
  <c r="I178" i="1"/>
  <c r="B178" i="1"/>
  <c r="I177" i="1"/>
  <c r="E177" i="1"/>
  <c r="B177" i="1"/>
  <c r="I176" i="1"/>
  <c r="B176" i="1"/>
  <c r="I175" i="1"/>
  <c r="E175" i="1"/>
  <c r="B175" i="1"/>
  <c r="I174" i="1"/>
  <c r="E174" i="1"/>
  <c r="B174" i="1"/>
  <c r="I173" i="1"/>
  <c r="B173" i="1"/>
  <c r="I172" i="1"/>
  <c r="B172" i="1"/>
  <c r="I171" i="1"/>
  <c r="E171" i="1"/>
  <c r="B171" i="1"/>
  <c r="I170" i="1"/>
  <c r="B170" i="1"/>
  <c r="I169" i="1"/>
  <c r="B169" i="1"/>
  <c r="I168" i="1"/>
  <c r="E168" i="1"/>
  <c r="B168" i="1"/>
  <c r="I167" i="1"/>
  <c r="E167" i="1"/>
  <c r="B167" i="1"/>
  <c r="I166" i="1"/>
  <c r="B166" i="1"/>
  <c r="I165" i="1"/>
  <c r="E165" i="1"/>
  <c r="B165" i="1"/>
  <c r="I164" i="1"/>
  <c r="B164" i="1"/>
  <c r="I163" i="1"/>
  <c r="E163" i="1"/>
  <c r="B163" i="1"/>
  <c r="I162" i="1"/>
  <c r="E162" i="1"/>
  <c r="B162" i="1"/>
  <c r="I161" i="1"/>
  <c r="B161" i="1"/>
  <c r="I160" i="1"/>
  <c r="B160" i="1"/>
  <c r="I159" i="1"/>
  <c r="E159" i="1"/>
  <c r="B159" i="1"/>
  <c r="I158" i="1"/>
  <c r="B158" i="1"/>
  <c r="I157" i="1"/>
  <c r="B157" i="1"/>
  <c r="I156" i="1"/>
  <c r="E156" i="1"/>
  <c r="B156" i="1"/>
  <c r="I155" i="1"/>
  <c r="E155" i="1"/>
  <c r="B155" i="1"/>
  <c r="I154" i="1"/>
  <c r="B154" i="1"/>
  <c r="I153" i="1"/>
  <c r="E153" i="1"/>
  <c r="B153" i="1"/>
  <c r="I152" i="1"/>
  <c r="B152" i="1"/>
  <c r="I151" i="1"/>
  <c r="E151" i="1"/>
  <c r="B151" i="1"/>
  <c r="I150" i="1"/>
  <c r="E150" i="1"/>
  <c r="B150" i="1"/>
  <c r="I149" i="1"/>
  <c r="B149" i="1"/>
  <c r="I148" i="1"/>
  <c r="B148" i="1"/>
  <c r="I147" i="1"/>
  <c r="E147" i="1"/>
  <c r="B147" i="1"/>
  <c r="I146" i="1"/>
  <c r="B146" i="1"/>
  <c r="I145" i="1"/>
  <c r="B145" i="1"/>
  <c r="I144" i="1"/>
  <c r="E144" i="1"/>
  <c r="B144" i="1"/>
  <c r="I143" i="1"/>
  <c r="E143" i="1"/>
  <c r="B143" i="1"/>
  <c r="I142" i="1"/>
  <c r="B142" i="1"/>
  <c r="I141" i="1"/>
  <c r="E141" i="1"/>
  <c r="B141" i="1"/>
  <c r="I140" i="1"/>
  <c r="B140" i="1"/>
  <c r="I139" i="1"/>
  <c r="E139" i="1"/>
  <c r="B139" i="1"/>
  <c r="I138" i="1"/>
  <c r="E138" i="1"/>
  <c r="B138" i="1"/>
  <c r="I137" i="1"/>
  <c r="B137" i="1"/>
  <c r="I136" i="1"/>
  <c r="B136" i="1"/>
  <c r="I135" i="1"/>
  <c r="E135" i="1"/>
  <c r="B135" i="1"/>
  <c r="I134" i="1"/>
  <c r="B134" i="1"/>
  <c r="I133" i="1"/>
  <c r="B133" i="1"/>
  <c r="I132" i="1"/>
  <c r="E132" i="1"/>
  <c r="B132" i="1"/>
  <c r="I131" i="1"/>
  <c r="E131" i="1"/>
  <c r="B131" i="1"/>
  <c r="I130" i="1"/>
  <c r="B130" i="1"/>
  <c r="I129" i="1"/>
  <c r="E129" i="1"/>
  <c r="B129" i="1"/>
  <c r="I128" i="1"/>
  <c r="B128" i="1"/>
  <c r="I127" i="1"/>
  <c r="E127" i="1"/>
  <c r="B127" i="1"/>
  <c r="I126" i="1"/>
  <c r="E126" i="1"/>
  <c r="B126" i="1"/>
  <c r="I125" i="1"/>
  <c r="B125" i="1"/>
  <c r="I124" i="1"/>
  <c r="B124" i="1"/>
  <c r="I123" i="1"/>
  <c r="E123" i="1"/>
  <c r="B123" i="1"/>
  <c r="I122" i="1"/>
  <c r="B122" i="1"/>
  <c r="I121" i="1"/>
  <c r="B121" i="1"/>
  <c r="I120" i="1"/>
  <c r="E120" i="1"/>
  <c r="B120" i="1"/>
  <c r="I119" i="1"/>
  <c r="E119" i="1"/>
  <c r="B119" i="1"/>
  <c r="I118" i="1"/>
  <c r="B118" i="1"/>
  <c r="I117" i="1"/>
  <c r="E117" i="1"/>
  <c r="B117" i="1"/>
  <c r="I116" i="1"/>
  <c r="B116" i="1"/>
  <c r="I115" i="1"/>
  <c r="E115" i="1"/>
  <c r="B115" i="1"/>
  <c r="I114" i="1"/>
  <c r="E114" i="1"/>
  <c r="B114" i="1"/>
  <c r="I113" i="1"/>
  <c r="B113" i="1"/>
  <c r="I112" i="1"/>
  <c r="B112" i="1"/>
  <c r="I111" i="1"/>
  <c r="E111" i="1"/>
  <c r="B111" i="1"/>
  <c r="I110" i="1"/>
  <c r="B110" i="1"/>
  <c r="I109" i="1"/>
  <c r="B109" i="1"/>
  <c r="I108" i="1"/>
  <c r="E108" i="1"/>
  <c r="B108" i="1"/>
  <c r="I107" i="1"/>
  <c r="E107" i="1"/>
  <c r="B107" i="1"/>
  <c r="I106" i="1"/>
  <c r="E106" i="1"/>
  <c r="B106" i="1"/>
  <c r="I105" i="1"/>
  <c r="B105" i="1"/>
  <c r="I104" i="1"/>
  <c r="B104" i="1"/>
  <c r="I103" i="1"/>
  <c r="E103" i="1"/>
  <c r="B103" i="1"/>
  <c r="I102" i="1"/>
  <c r="B102" i="1"/>
  <c r="I101" i="1"/>
  <c r="B101" i="1"/>
  <c r="I100" i="1"/>
  <c r="E100" i="1"/>
  <c r="B100" i="1"/>
  <c r="I99" i="1"/>
  <c r="E99" i="1"/>
  <c r="B99" i="1"/>
  <c r="I98" i="1"/>
  <c r="B98" i="1"/>
  <c r="I97" i="1"/>
  <c r="E97" i="1"/>
  <c r="B97" i="1"/>
  <c r="I96" i="1"/>
  <c r="B96" i="1"/>
  <c r="I95" i="1"/>
  <c r="E95" i="1"/>
  <c r="B95" i="1"/>
  <c r="I94" i="1"/>
  <c r="E94" i="1"/>
  <c r="B94" i="1"/>
  <c r="I93" i="1"/>
  <c r="B93" i="1"/>
  <c r="I92" i="1"/>
  <c r="B92" i="1"/>
  <c r="I91" i="1"/>
  <c r="E91" i="1"/>
  <c r="B91" i="1"/>
  <c r="I90" i="1"/>
  <c r="B90" i="1"/>
  <c r="I89" i="1"/>
  <c r="B89" i="1"/>
  <c r="I88" i="1"/>
  <c r="E88" i="1"/>
  <c r="B88" i="1"/>
  <c r="I87" i="1"/>
  <c r="E87" i="1"/>
  <c r="B87" i="1"/>
  <c r="I86" i="1"/>
  <c r="B86" i="1"/>
  <c r="I85" i="1"/>
  <c r="E85" i="1"/>
  <c r="B85" i="1"/>
  <c r="I84" i="1"/>
  <c r="B84" i="1"/>
  <c r="I83" i="1"/>
  <c r="B83" i="1"/>
  <c r="I82" i="1"/>
  <c r="E82" i="1"/>
  <c r="B82" i="1"/>
  <c r="I81" i="1"/>
  <c r="E81" i="1"/>
  <c r="B81" i="1"/>
  <c r="I80" i="1"/>
  <c r="B80" i="1"/>
  <c r="I79" i="1"/>
  <c r="E79" i="1"/>
  <c r="B79" i="1"/>
  <c r="I78" i="1"/>
  <c r="E78" i="1"/>
  <c r="B78" i="1"/>
  <c r="I77" i="1"/>
  <c r="B77" i="1"/>
  <c r="I76" i="1"/>
  <c r="E76" i="1"/>
  <c r="B76" i="1"/>
  <c r="I75" i="1"/>
  <c r="E75" i="1"/>
  <c r="B75" i="1"/>
  <c r="I74" i="1"/>
  <c r="B74" i="1"/>
  <c r="I73" i="1"/>
  <c r="E73" i="1"/>
  <c r="B73" i="1"/>
  <c r="I72" i="1"/>
  <c r="E72" i="1"/>
  <c r="B72" i="1"/>
  <c r="I71" i="1"/>
  <c r="B71" i="1"/>
  <c r="I70" i="1"/>
  <c r="E70" i="1"/>
  <c r="B70" i="1"/>
  <c r="I69" i="1"/>
  <c r="E69" i="1"/>
  <c r="B69" i="1"/>
  <c r="I68" i="1"/>
  <c r="B68" i="1"/>
  <c r="I67" i="1"/>
  <c r="E67" i="1"/>
  <c r="B67" i="1"/>
  <c r="I66" i="1"/>
  <c r="E66" i="1"/>
  <c r="B66" i="1"/>
  <c r="I65" i="1"/>
  <c r="B65" i="1"/>
  <c r="I64" i="1"/>
  <c r="E64" i="1"/>
  <c r="B64" i="1"/>
  <c r="I63" i="1"/>
  <c r="E63" i="1"/>
  <c r="B63" i="1"/>
  <c r="I62" i="1"/>
  <c r="B62" i="1"/>
  <c r="I61" i="1"/>
  <c r="E61" i="1"/>
  <c r="B61" i="1"/>
  <c r="I60" i="1"/>
  <c r="E60" i="1"/>
  <c r="B60" i="1"/>
  <c r="I59" i="1"/>
  <c r="B59" i="1"/>
  <c r="I58" i="1"/>
  <c r="E58" i="1"/>
  <c r="B58" i="1"/>
  <c r="I57" i="1"/>
  <c r="E57" i="1"/>
  <c r="B57" i="1"/>
  <c r="I56" i="1"/>
  <c r="B56" i="1"/>
  <c r="I55" i="1"/>
  <c r="E55" i="1"/>
  <c r="B55" i="1"/>
  <c r="I54" i="1"/>
  <c r="E54" i="1"/>
  <c r="B54" i="1"/>
  <c r="I53" i="1"/>
  <c r="B53" i="1"/>
  <c r="I52" i="1"/>
  <c r="E52" i="1"/>
  <c r="B52" i="1"/>
  <c r="I51" i="1"/>
  <c r="E51" i="1"/>
  <c r="B51" i="1"/>
  <c r="I50" i="1"/>
  <c r="B50" i="1"/>
  <c r="I49" i="1"/>
  <c r="E49" i="1"/>
  <c r="B49" i="1"/>
  <c r="I48" i="1"/>
  <c r="E48" i="1"/>
  <c r="B48" i="1"/>
  <c r="I47" i="1"/>
  <c r="E47" i="1"/>
  <c r="B47" i="1"/>
  <c r="I46" i="1"/>
  <c r="B46" i="1"/>
  <c r="I45" i="1"/>
  <c r="B45" i="1"/>
  <c r="I44" i="1"/>
  <c r="B44" i="1"/>
  <c r="I43" i="1"/>
  <c r="E43" i="1"/>
  <c r="B43" i="1"/>
  <c r="I42" i="1"/>
  <c r="B42" i="1"/>
  <c r="I41" i="1"/>
  <c r="B41" i="1"/>
  <c r="I40" i="1"/>
  <c r="B40" i="1"/>
  <c r="I39" i="1"/>
  <c r="E39" i="1"/>
  <c r="B39" i="1"/>
  <c r="I38" i="1"/>
  <c r="B38" i="1"/>
  <c r="I37" i="1"/>
  <c r="B37" i="1"/>
  <c r="I36" i="1"/>
  <c r="B36" i="1"/>
  <c r="I35" i="1"/>
  <c r="E35" i="1"/>
  <c r="B35" i="1"/>
  <c r="I34" i="1"/>
  <c r="B34" i="1"/>
  <c r="I33" i="1"/>
  <c r="B33" i="1"/>
  <c r="I32" i="1"/>
  <c r="B32" i="1"/>
  <c r="I31" i="1"/>
  <c r="E31" i="1"/>
  <c r="B31" i="1"/>
  <c r="I30" i="1"/>
  <c r="B30" i="1"/>
  <c r="I29" i="1"/>
  <c r="B29" i="1"/>
  <c r="I28" i="1"/>
  <c r="B28" i="1"/>
  <c r="I27" i="1"/>
  <c r="E27" i="1"/>
  <c r="B27" i="1"/>
  <c r="I26" i="1"/>
  <c r="B26" i="1"/>
  <c r="I25" i="1"/>
  <c r="B25" i="1"/>
  <c r="I24" i="1"/>
  <c r="B24" i="1"/>
  <c r="I23" i="1"/>
  <c r="E23" i="1"/>
  <c r="B23" i="1"/>
  <c r="I22" i="1"/>
  <c r="B22" i="1"/>
  <c r="I21" i="1"/>
  <c r="B21" i="1"/>
  <c r="I20" i="1"/>
  <c r="B20" i="1"/>
  <c r="I19" i="1"/>
  <c r="E19" i="1"/>
  <c r="B19" i="1"/>
  <c r="I18" i="1"/>
  <c r="B18" i="1"/>
  <c r="I17" i="1"/>
  <c r="B17" i="1"/>
  <c r="I16" i="1"/>
  <c r="B16" i="1"/>
  <c r="I15" i="1"/>
  <c r="E15" i="1"/>
  <c r="B15" i="1"/>
  <c r="I14" i="1"/>
  <c r="B14" i="1"/>
  <c r="I13" i="1"/>
  <c r="B13" i="1"/>
  <c r="I12" i="1"/>
  <c r="B12" i="1"/>
  <c r="I11" i="1"/>
  <c r="E11" i="1"/>
  <c r="B11" i="1"/>
  <c r="I10" i="1"/>
  <c r="B10" i="1"/>
  <c r="I9" i="1"/>
  <c r="B9" i="1"/>
  <c r="I8" i="1"/>
  <c r="B8" i="1"/>
  <c r="I7" i="1"/>
  <c r="E7" i="1"/>
  <c r="B7" i="1"/>
  <c r="I6" i="1"/>
  <c r="B6" i="1"/>
  <c r="I5" i="1"/>
  <c r="B5" i="1"/>
  <c r="I4" i="1"/>
  <c r="B4" i="1"/>
  <c r="I3" i="1"/>
  <c r="E3" i="1"/>
  <c r="B3" i="1"/>
  <c r="I2" i="1"/>
  <c r="B2" i="1"/>
  <c r="E2507" i="1"/>
  <c r="E289" i="1"/>
  <c r="E46" i="1"/>
  <c r="E74" i="1"/>
  <c r="E2114" i="1"/>
  <c r="E9" i="1"/>
  <c r="E2376" i="1"/>
  <c r="E37" i="1"/>
  <c r="E1438" i="1"/>
  <c r="E2069" i="1"/>
  <c r="E292" i="1"/>
  <c r="E45" i="1"/>
  <c r="E2347" i="1" l="1"/>
  <c r="E2335" i="1"/>
  <c r="E2323" i="1"/>
  <c r="E2311" i="1"/>
  <c r="E2350" i="1"/>
  <c r="E2338" i="1"/>
  <c r="E2326" i="1"/>
  <c r="E2314" i="1"/>
  <c r="E2341" i="1"/>
  <c r="E2329" i="1"/>
  <c r="E2317" i="1"/>
  <c r="E2332" i="1"/>
  <c r="E2344" i="1"/>
  <c r="E2320" i="1"/>
  <c r="E2608" i="1"/>
  <c r="E2604" i="1"/>
  <c r="E2600" i="1"/>
  <c r="E2596" i="1"/>
  <c r="E2592" i="1"/>
  <c r="E2588" i="1"/>
  <c r="E2584" i="1"/>
  <c r="E2590" i="1"/>
  <c r="E2594" i="1"/>
  <c r="E2586" i="1"/>
  <c r="E2598" i="1"/>
  <c r="E2602" i="1"/>
  <c r="E2582" i="1"/>
  <c r="E2606" i="1"/>
  <c r="E3888" i="1"/>
  <c r="E3860" i="1"/>
  <c r="E3832" i="1"/>
  <c r="E3804" i="1"/>
  <c r="E3796" i="1"/>
  <c r="E3768" i="1"/>
  <c r="E3740" i="1"/>
  <c r="E3712" i="1"/>
  <c r="E3684" i="1"/>
  <c r="E3648" i="1"/>
  <c r="E3616" i="1"/>
  <c r="E3604" i="1"/>
  <c r="E3592" i="1"/>
  <c r="E3580" i="1"/>
  <c r="E3895" i="1"/>
  <c r="E3867" i="1"/>
  <c r="E3839" i="1"/>
  <c r="E3811" i="1"/>
  <c r="E3775" i="1"/>
  <c r="E3747" i="1"/>
  <c r="E3719" i="1"/>
  <c r="E3691" i="1"/>
  <c r="E3902" i="1"/>
  <c r="E3874" i="1"/>
  <c r="E3677" i="1"/>
  <c r="E3655" i="1"/>
  <c r="E3629" i="1"/>
  <c r="E3853" i="1"/>
  <c r="E3733" i="1"/>
  <c r="E3568" i="1"/>
  <c r="E3556" i="1"/>
  <c r="E3544" i="1"/>
  <c r="E3532" i="1"/>
  <c r="E3520" i="1"/>
  <c r="E3500" i="1"/>
  <c r="E3488" i="1"/>
  <c r="E3468" i="1"/>
  <c r="E3448" i="1"/>
  <c r="E3428" i="1"/>
  <c r="E3408" i="1"/>
  <c r="E3388" i="1"/>
  <c r="E3368" i="1"/>
  <c r="E3348" i="1"/>
  <c r="E3280" i="1"/>
  <c r="E3260" i="1"/>
  <c r="E3248" i="1"/>
  <c r="E3220" i="1"/>
  <c r="E3192" i="1"/>
  <c r="E3160" i="1"/>
  <c r="E3140" i="1"/>
  <c r="E3120" i="1"/>
  <c r="E3100" i="1"/>
  <c r="E3080" i="1"/>
  <c r="E3060" i="1"/>
  <c r="E3048" i="1"/>
  <c r="E3044" i="1"/>
  <c r="E3040" i="1"/>
  <c r="E3036" i="1"/>
  <c r="E3032" i="1"/>
  <c r="E3028" i="1"/>
  <c r="E3024" i="1"/>
  <c r="E3020" i="1"/>
  <c r="E3008" i="1"/>
  <c r="E2996" i="1"/>
  <c r="E2984" i="1"/>
  <c r="E2972" i="1"/>
  <c r="E2960" i="1"/>
  <c r="E3663" i="1"/>
  <c r="E3818" i="1"/>
  <c r="E3761" i="1"/>
  <c r="E3641" i="1"/>
  <c r="E3698" i="1"/>
  <c r="E3515" i="1"/>
  <c r="E3495" i="1"/>
  <c r="E3483" i="1"/>
  <c r="E3463" i="1"/>
  <c r="E3443" i="1"/>
  <c r="E3423" i="1"/>
  <c r="E3403" i="1"/>
  <c r="E3846" i="1"/>
  <c r="E3789" i="1"/>
  <c r="E3610" i="1"/>
  <c r="E3726" i="1"/>
  <c r="E3670" i="1"/>
  <c r="E3635" i="1"/>
  <c r="E3562" i="1"/>
  <c r="E3550" i="1"/>
  <c r="E3538" i="1"/>
  <c r="E3526" i="1"/>
  <c r="E3510" i="1"/>
  <c r="E3478" i="1"/>
  <c r="E3754" i="1"/>
  <c r="E3398" i="1"/>
  <c r="E3253" i="1"/>
  <c r="E3087" i="1"/>
  <c r="E2978" i="1"/>
  <c r="E3825" i="1"/>
  <c r="E3393" i="1"/>
  <c r="E3353" i="1"/>
  <c r="E3270" i="1"/>
  <c r="E3113" i="1"/>
  <c r="E3065" i="1"/>
  <c r="E2948" i="1"/>
  <c r="E2936" i="1"/>
  <c r="E2924" i="1"/>
  <c r="E2912" i="1"/>
  <c r="E2900" i="1"/>
  <c r="E2888" i="1"/>
  <c r="E2876" i="1"/>
  <c r="E2864" i="1"/>
  <c r="E2852" i="1"/>
  <c r="E2840" i="1"/>
  <c r="E2828" i="1"/>
  <c r="E2816" i="1"/>
  <c r="E2808" i="1"/>
  <c r="E2796" i="1"/>
  <c r="E2772" i="1"/>
  <c r="E2748" i="1"/>
  <c r="E3598" i="1"/>
  <c r="E3265" i="1"/>
  <c r="E3243" i="1"/>
  <c r="E3073" i="1"/>
  <c r="E2990" i="1"/>
  <c r="E3705" i="1"/>
  <c r="E3473" i="1"/>
  <c r="E3238" i="1"/>
  <c r="E3094" i="1"/>
  <c r="E3453" i="1"/>
  <c r="E3233" i="1"/>
  <c r="E3185" i="1"/>
  <c r="E3067" i="1"/>
  <c r="E2954" i="1"/>
  <c r="E2942" i="1"/>
  <c r="E2930" i="1"/>
  <c r="E2918" i="1"/>
  <c r="E2906" i="1"/>
  <c r="E2894" i="1"/>
  <c r="E2882" i="1"/>
  <c r="E2870" i="1"/>
  <c r="E2858" i="1"/>
  <c r="E2846" i="1"/>
  <c r="E2834" i="1"/>
  <c r="E2822" i="1"/>
  <c r="E2802" i="1"/>
  <c r="E3622" i="1"/>
  <c r="E3438" i="1"/>
  <c r="E3106" i="1"/>
  <c r="E3782" i="1"/>
  <c r="E3586" i="1"/>
  <c r="E3433" i="1"/>
  <c r="E3363" i="1"/>
  <c r="E3227" i="1"/>
  <c r="E3413" i="1"/>
  <c r="E3166" i="1"/>
  <c r="E3146" i="1"/>
  <c r="E3055" i="1"/>
  <c r="E3574" i="1"/>
  <c r="E3418" i="1"/>
  <c r="E3505" i="1"/>
  <c r="E3275" i="1"/>
  <c r="E2623" i="1"/>
  <c r="E3373" i="1"/>
  <c r="E3179" i="1"/>
  <c r="E3378" i="1"/>
  <c r="E3199" i="1"/>
  <c r="E3133" i="1"/>
  <c r="E3002" i="1"/>
  <c r="E2339" i="1"/>
  <c r="E2327" i="1"/>
  <c r="E2315" i="1"/>
  <c r="E2299" i="1"/>
  <c r="E2287" i="1"/>
  <c r="E2275" i="1"/>
  <c r="E2263" i="1"/>
  <c r="E2251" i="1"/>
  <c r="E2239" i="1"/>
  <c r="E2227" i="1"/>
  <c r="E2215" i="1"/>
  <c r="E2203" i="1"/>
  <c r="E2191" i="1"/>
  <c r="E2179" i="1"/>
  <c r="E2167" i="1"/>
  <c r="E2155" i="1"/>
  <c r="E2143" i="1"/>
  <c r="E2131" i="1"/>
  <c r="E2119" i="1"/>
  <c r="E2107" i="1"/>
  <c r="E3881" i="1"/>
  <c r="E3127" i="1"/>
  <c r="E2766" i="1"/>
  <c r="E2342" i="1"/>
  <c r="E2330" i="1"/>
  <c r="E2318" i="1"/>
  <c r="E3153" i="1"/>
  <c r="E2345" i="1"/>
  <c r="E2333" i="1"/>
  <c r="E2321" i="1"/>
  <c r="E2309" i="1"/>
  <c r="E2305" i="1"/>
  <c r="E2293" i="1"/>
  <c r="E2281" i="1"/>
  <c r="E2269" i="1"/>
  <c r="E2257" i="1"/>
  <c r="E2245" i="1"/>
  <c r="E2233" i="1"/>
  <c r="E2221" i="1"/>
  <c r="E2209" i="1"/>
  <c r="E2197" i="1"/>
  <c r="E2185" i="1"/>
  <c r="E2966" i="1"/>
  <c r="E2617" i="1"/>
  <c r="E3458" i="1"/>
  <c r="E3213" i="1"/>
  <c r="E2348" i="1"/>
  <c r="E2161" i="1"/>
  <c r="E2113" i="1"/>
  <c r="E3014" i="1"/>
  <c r="E2324" i="1"/>
  <c r="E2137" i="1"/>
  <c r="E2637" i="1"/>
  <c r="E2083" i="1"/>
  <c r="E2059" i="1"/>
  <c r="E2035" i="1"/>
  <c r="E2011" i="1"/>
  <c r="E1987" i="1"/>
  <c r="E2173" i="1"/>
  <c r="E1963" i="1"/>
  <c r="E1915" i="1"/>
  <c r="E1867" i="1"/>
  <c r="E1819" i="1"/>
  <c r="E1771" i="1"/>
  <c r="E1723" i="1"/>
  <c r="E1675" i="1"/>
  <c r="E2312" i="1"/>
  <c r="E1945" i="1"/>
  <c r="E1897" i="1"/>
  <c r="E1849" i="1"/>
  <c r="E1801" i="1"/>
  <c r="E1753" i="1"/>
  <c r="E1705" i="1"/>
  <c r="E1657" i="1"/>
  <c r="E1645" i="1"/>
  <c r="E1633" i="1"/>
  <c r="E1621" i="1"/>
  <c r="E1609" i="1"/>
  <c r="E1597" i="1"/>
  <c r="E1557" i="1"/>
  <c r="E1509" i="1"/>
  <c r="E1497" i="1"/>
  <c r="E1485" i="1"/>
  <c r="E1473" i="1"/>
  <c r="E1461" i="1"/>
  <c r="E1449" i="1"/>
  <c r="E1437" i="1"/>
  <c r="E1425" i="1"/>
  <c r="E1413" i="1"/>
  <c r="E1401" i="1"/>
  <c r="E1389" i="1"/>
  <c r="E1377" i="1"/>
  <c r="E1365" i="1"/>
  <c r="E1353" i="1"/>
  <c r="E1341" i="1"/>
  <c r="E1329" i="1"/>
  <c r="E1317" i="1"/>
  <c r="E1305" i="1"/>
  <c r="E1293" i="1"/>
  <c r="E1281" i="1"/>
  <c r="E1269" i="1"/>
  <c r="E1257" i="1"/>
  <c r="E1245" i="1"/>
  <c r="E1233" i="1"/>
  <c r="E1221" i="1"/>
  <c r="E1209" i="1"/>
  <c r="E1197" i="1"/>
  <c r="E1185" i="1"/>
  <c r="E1173" i="1"/>
  <c r="E1161" i="1"/>
  <c r="E1149" i="1"/>
  <c r="E1125" i="1"/>
  <c r="E1113" i="1"/>
  <c r="E1101" i="1"/>
  <c r="E2630" i="1"/>
  <c r="E1957" i="1"/>
  <c r="E2095" i="1"/>
  <c r="E2071" i="1"/>
  <c r="E2047" i="1"/>
  <c r="E2023" i="1"/>
  <c r="E1999" i="1"/>
  <c r="E1975" i="1"/>
  <c r="E2065" i="1"/>
  <c r="E1981" i="1"/>
  <c r="E1951" i="1"/>
  <c r="E1627" i="1"/>
  <c r="E1592" i="1"/>
  <c r="E1544" i="1"/>
  <c r="E1095" i="1"/>
  <c r="E1083" i="1"/>
  <c r="E1071" i="1"/>
  <c r="E1059" i="1"/>
  <c r="E1047" i="1"/>
  <c r="E1035" i="1"/>
  <c r="E1023" i="1"/>
  <c r="E1011" i="1"/>
  <c r="E999" i="1"/>
  <c r="E987" i="1"/>
  <c r="E975" i="1"/>
  <c r="E963" i="1"/>
  <c r="E951" i="1"/>
  <c r="E939" i="1"/>
  <c r="E927" i="1"/>
  <c r="E915" i="1"/>
  <c r="E903" i="1"/>
  <c r="E891" i="1"/>
  <c r="E879" i="1"/>
  <c r="E867" i="1"/>
  <c r="E855" i="1"/>
  <c r="E843" i="1"/>
  <c r="E831" i="1"/>
  <c r="E819" i="1"/>
  <c r="E807" i="1"/>
  <c r="E795" i="1"/>
  <c r="E783" i="1"/>
  <c r="E771" i="1"/>
  <c r="E759" i="1"/>
  <c r="E747" i="1"/>
  <c r="E735" i="1"/>
  <c r="E723" i="1"/>
  <c r="E711" i="1"/>
  <c r="E3173" i="1"/>
  <c r="E2149" i="1"/>
  <c r="E1921" i="1"/>
  <c r="E1873" i="1"/>
  <c r="E1825" i="1"/>
  <c r="E1777" i="1"/>
  <c r="E1729" i="1"/>
  <c r="E1681" i="1"/>
  <c r="E2101" i="1"/>
  <c r="E2017" i="1"/>
  <c r="E1574" i="1"/>
  <c r="E1526" i="1"/>
  <c r="E1491" i="1"/>
  <c r="E1443" i="1"/>
  <c r="E1395" i="1"/>
  <c r="E1347" i="1"/>
  <c r="E1299" i="1"/>
  <c r="E1251" i="1"/>
  <c r="E1203" i="1"/>
  <c r="E1155" i="1"/>
  <c r="E1107" i="1"/>
  <c r="E2336" i="1"/>
  <c r="E2089" i="1"/>
  <c r="E2005" i="1"/>
  <c r="E1939" i="1"/>
  <c r="E1891" i="1"/>
  <c r="E1843" i="1"/>
  <c r="E1795" i="1"/>
  <c r="E1747" i="1"/>
  <c r="E1699" i="1"/>
  <c r="E1586" i="1"/>
  <c r="E1538" i="1"/>
  <c r="E1503" i="1"/>
  <c r="E1455" i="1"/>
  <c r="E1407" i="1"/>
  <c r="E1359" i="1"/>
  <c r="E1311" i="1"/>
  <c r="E1263" i="1"/>
  <c r="E1215" i="1"/>
  <c r="E1167" i="1"/>
  <c r="E1119" i="1"/>
  <c r="E3206" i="1"/>
  <c r="E1909" i="1"/>
  <c r="E1861" i="1"/>
  <c r="E1813" i="1"/>
  <c r="E1765" i="1"/>
  <c r="E1717" i="1"/>
  <c r="E1669" i="1"/>
  <c r="E1651" i="1"/>
  <c r="E1603" i="1"/>
  <c r="E1568" i="1"/>
  <c r="E1520" i="1"/>
  <c r="E1089" i="1"/>
  <c r="E1077" i="1"/>
  <c r="E1065" i="1"/>
  <c r="E1053" i="1"/>
  <c r="E1041" i="1"/>
  <c r="E1029" i="1"/>
  <c r="E1017" i="1"/>
  <c r="E1005" i="1"/>
  <c r="E993" i="1"/>
  <c r="E981" i="1"/>
  <c r="E969" i="1"/>
  <c r="E957" i="1"/>
  <c r="E945" i="1"/>
  <c r="E933" i="1"/>
  <c r="E921" i="1"/>
  <c r="E909" i="1"/>
  <c r="E897" i="1"/>
  <c r="E885" i="1"/>
  <c r="E873" i="1"/>
  <c r="E861" i="1"/>
  <c r="E849" i="1"/>
  <c r="E837" i="1"/>
  <c r="E825" i="1"/>
  <c r="E813" i="1"/>
  <c r="E801" i="1"/>
  <c r="E789" i="1"/>
  <c r="E777" i="1"/>
  <c r="E765" i="1"/>
  <c r="E753" i="1"/>
  <c r="E741" i="1"/>
  <c r="E729" i="1"/>
  <c r="E717" i="1"/>
  <c r="E705" i="1"/>
  <c r="E693" i="1"/>
  <c r="E681" i="1"/>
  <c r="E669" i="1"/>
  <c r="E3383" i="1"/>
  <c r="E2611" i="1"/>
  <c r="E2125" i="1"/>
  <c r="E2041" i="1"/>
  <c r="E1933" i="1"/>
  <c r="E1885" i="1"/>
  <c r="E1837" i="1"/>
  <c r="E1789" i="1"/>
  <c r="E1741" i="1"/>
  <c r="E1693" i="1"/>
  <c r="E1140" i="1"/>
  <c r="E1515" i="1"/>
  <c r="E1419" i="1"/>
  <c r="E1323" i="1"/>
  <c r="E1227" i="1"/>
  <c r="E1131" i="1"/>
  <c r="E1580" i="1"/>
  <c r="E1550" i="1"/>
  <c r="E663" i="1"/>
  <c r="E651" i="1"/>
  <c r="E639" i="1"/>
  <c r="E627" i="1"/>
  <c r="E615" i="1"/>
  <c r="E603" i="1"/>
  <c r="E591" i="1"/>
  <c r="E579" i="1"/>
  <c r="E567" i="1"/>
  <c r="E555" i="1"/>
  <c r="E543" i="1"/>
  <c r="E531" i="1"/>
  <c r="E675" i="1"/>
  <c r="E2053" i="1"/>
  <c r="E1993" i="1"/>
  <c r="E1639" i="1"/>
  <c r="E1467" i="1"/>
  <c r="E1371" i="1"/>
  <c r="E1275" i="1"/>
  <c r="E1179" i="1"/>
  <c r="E1144" i="1"/>
  <c r="E1969" i="1"/>
  <c r="E1532" i="1"/>
  <c r="E1148" i="1"/>
  <c r="E687" i="1"/>
  <c r="E657" i="1"/>
  <c r="E645" i="1"/>
  <c r="E633" i="1"/>
  <c r="E621" i="1"/>
  <c r="E609" i="1"/>
  <c r="E597" i="1"/>
  <c r="E585" i="1"/>
  <c r="E573" i="1"/>
  <c r="E561" i="1"/>
  <c r="E549" i="1"/>
  <c r="E537" i="1"/>
  <c r="E1903" i="1"/>
  <c r="E1855" i="1"/>
  <c r="E1807" i="1"/>
  <c r="E1759" i="1"/>
  <c r="E1711" i="1"/>
  <c r="E1663" i="1"/>
  <c r="E1562" i="1"/>
  <c r="E1431" i="1"/>
  <c r="E1335" i="1"/>
  <c r="E1239" i="1"/>
  <c r="E1927" i="1"/>
  <c r="E1610" i="1"/>
  <c r="E3896" i="1"/>
  <c r="E3812" i="1"/>
  <c r="E3748" i="1"/>
  <c r="E3720" i="1"/>
  <c r="E3664" i="1"/>
  <c r="E3656" i="1"/>
  <c r="E3903" i="1"/>
  <c r="E3819" i="1"/>
  <c r="E3783" i="1"/>
  <c r="E3755" i="1"/>
  <c r="E3727" i="1"/>
  <c r="E3805" i="1"/>
  <c r="E3762" i="1"/>
  <c r="E3833" i="1"/>
  <c r="E3790" i="1"/>
  <c r="E3741" i="1"/>
  <c r="E3826" i="1"/>
  <c r="E3734" i="1"/>
  <c r="E3797" i="1"/>
  <c r="E2736" i="1"/>
  <c r="E2732" i="1"/>
  <c r="E2734" i="1"/>
  <c r="E2737" i="1"/>
  <c r="E2735" i="1"/>
  <c r="E2733" i="1"/>
  <c r="E3264" i="1"/>
  <c r="E3252" i="1"/>
  <c r="E3212" i="1"/>
  <c r="E3172" i="1"/>
  <c r="E3152" i="1"/>
  <c r="E3112" i="1"/>
  <c r="E3056" i="1"/>
  <c r="E3205" i="1"/>
  <c r="E3061" i="1"/>
  <c r="E3139" i="1"/>
  <c r="E3126" i="1"/>
  <c r="E3086" i="1"/>
  <c r="E3259" i="1"/>
  <c r="E3198" i="1"/>
  <c r="E3237" i="1"/>
  <c r="E3119" i="1"/>
  <c r="E3093" i="1"/>
  <c r="E3247" i="1"/>
  <c r="E3242" i="1"/>
  <c r="E3159" i="1"/>
  <c r="E3226" i="1"/>
  <c r="E3274" i="1"/>
  <c r="E3269" i="1"/>
  <c r="E3219" i="1"/>
  <c r="E3191" i="1"/>
  <c r="E3079" i="1"/>
  <c r="E3066" i="1"/>
  <c r="E3908" i="1"/>
  <c r="E3880" i="1"/>
  <c r="E3852" i="1"/>
  <c r="E3824" i="1"/>
  <c r="E3788" i="1"/>
  <c r="E3760" i="1"/>
  <c r="E3732" i="1"/>
  <c r="E3704" i="1"/>
  <c r="E3676" i="1"/>
  <c r="E3887" i="1"/>
  <c r="E3859" i="1"/>
  <c r="E3831" i="1"/>
  <c r="E3795" i="1"/>
  <c r="E3767" i="1"/>
  <c r="E3739" i="1"/>
  <c r="E3711" i="1"/>
  <c r="E3894" i="1"/>
  <c r="E3866" i="1"/>
  <c r="E3690" i="1"/>
  <c r="E3901" i="1"/>
  <c r="E3838" i="1"/>
  <c r="E3781" i="1"/>
  <c r="E3328" i="1"/>
  <c r="E3288" i="1"/>
  <c r="E3718" i="1"/>
  <c r="E3654" i="1"/>
  <c r="E3873" i="1"/>
  <c r="E3746" i="1"/>
  <c r="E3817" i="1"/>
  <c r="E3774" i="1"/>
  <c r="E3697" i="1"/>
  <c r="E3683" i="1"/>
  <c r="E3845" i="1"/>
  <c r="E3802" i="1"/>
  <c r="E3661" i="1"/>
  <c r="E3810" i="1"/>
  <c r="E2651" i="1"/>
  <c r="E3322" i="1"/>
  <c r="E3295" i="1"/>
  <c r="E3669" i="1"/>
  <c r="E3725" i="1"/>
  <c r="E3345" i="1"/>
  <c r="E3647" i="1"/>
  <c r="E406" i="1"/>
  <c r="E394" i="1"/>
  <c r="E382" i="1"/>
  <c r="E370" i="1"/>
  <c r="E358" i="1"/>
  <c r="E346" i="1"/>
  <c r="E334" i="1"/>
  <c r="E322" i="1"/>
  <c r="E3753" i="1"/>
  <c r="E3300" i="1"/>
  <c r="E3305" i="1"/>
  <c r="E2692" i="1"/>
  <c r="E2644" i="1"/>
  <c r="E3333" i="1"/>
  <c r="E3315" i="1"/>
  <c r="E2725" i="1"/>
  <c r="E3338" i="1"/>
  <c r="E3310" i="1"/>
  <c r="E507" i="1"/>
  <c r="E530" i="1"/>
  <c r="E526" i="1"/>
  <c r="E522" i="1"/>
  <c r="E502" i="1"/>
  <c r="E517" i="1"/>
  <c r="E497" i="1"/>
  <c r="E3884" i="1"/>
  <c r="E3856" i="1"/>
  <c r="E3828" i="1"/>
  <c r="E3792" i="1"/>
  <c r="E3764" i="1"/>
  <c r="E3736" i="1"/>
  <c r="E3708" i="1"/>
  <c r="E3680" i="1"/>
  <c r="E3644" i="1"/>
  <c r="E3632" i="1"/>
  <c r="E3891" i="1"/>
  <c r="E3863" i="1"/>
  <c r="E3835" i="1"/>
  <c r="E3807" i="1"/>
  <c r="E3799" i="1"/>
  <c r="E3771" i="1"/>
  <c r="E3743" i="1"/>
  <c r="E3715" i="1"/>
  <c r="E3898" i="1"/>
  <c r="E3870" i="1"/>
  <c r="E3625" i="1"/>
  <c r="E3814" i="1"/>
  <c r="E3757" i="1"/>
  <c r="E3607" i="1"/>
  <c r="E3216" i="1"/>
  <c r="E3188" i="1"/>
  <c r="E3176" i="1"/>
  <c r="E3156" i="1"/>
  <c r="E3136" i="1"/>
  <c r="E3116" i="1"/>
  <c r="E3076" i="1"/>
  <c r="E3694" i="1"/>
  <c r="E3842" i="1"/>
  <c r="E3785" i="1"/>
  <c r="E3905" i="1"/>
  <c r="E3722" i="1"/>
  <c r="E3658" i="1"/>
  <c r="E3619" i="1"/>
  <c r="E3571" i="1"/>
  <c r="E3559" i="1"/>
  <c r="E3547" i="1"/>
  <c r="E3535" i="1"/>
  <c r="E3523" i="1"/>
  <c r="E3750" i="1"/>
  <c r="E3666" i="1"/>
  <c r="E3601" i="1"/>
  <c r="E3877" i="1"/>
  <c r="E3583" i="1"/>
  <c r="E3821" i="1"/>
  <c r="E3778" i="1"/>
  <c r="E3687" i="1"/>
  <c r="E3109" i="1"/>
  <c r="E3589" i="1"/>
  <c r="E3565" i="1"/>
  <c r="E3209" i="1"/>
  <c r="E3017" i="1"/>
  <c r="E2969" i="1"/>
  <c r="E2640" i="1"/>
  <c r="E2620" i="1"/>
  <c r="E3230" i="1"/>
  <c r="E3195" i="1"/>
  <c r="E3182" i="1"/>
  <c r="E3169" i="1"/>
  <c r="E3613" i="1"/>
  <c r="E3011" i="1"/>
  <c r="E2963" i="1"/>
  <c r="E3638" i="1"/>
  <c r="E3541" i="1"/>
  <c r="E3163" i="1"/>
  <c r="E2993" i="1"/>
  <c r="E3577" i="1"/>
  <c r="E3202" i="1"/>
  <c r="E2975" i="1"/>
  <c r="E3729" i="1"/>
  <c r="E3005" i="1"/>
  <c r="E2945" i="1"/>
  <c r="E2921" i="1"/>
  <c r="E2897" i="1"/>
  <c r="E2873" i="1"/>
  <c r="E2849" i="1"/>
  <c r="E2825" i="1"/>
  <c r="E2811" i="1"/>
  <c r="E2769" i="1"/>
  <c r="E3070" i="1"/>
  <c r="E2751" i="1"/>
  <c r="E3529" i="1"/>
  <c r="E3090" i="1"/>
  <c r="E3595" i="1"/>
  <c r="E3651" i="1"/>
  <c r="E3149" i="1"/>
  <c r="E3083" i="1"/>
  <c r="E2987" i="1"/>
  <c r="E2957" i="1"/>
  <c r="E2933" i="1"/>
  <c r="E2909" i="1"/>
  <c r="E2885" i="1"/>
  <c r="E2861" i="1"/>
  <c r="E2837" i="1"/>
  <c r="E2799" i="1"/>
  <c r="E2614" i="1"/>
  <c r="E3673" i="1"/>
  <c r="E3103" i="1"/>
  <c r="E2775" i="1"/>
  <c r="E2634" i="1"/>
  <c r="E3553" i="1"/>
  <c r="E3123" i="1"/>
  <c r="E2915" i="1"/>
  <c r="E2867" i="1"/>
  <c r="E2819" i="1"/>
  <c r="E2302" i="1"/>
  <c r="E2290" i="1"/>
  <c r="E2278" i="1"/>
  <c r="E2266" i="1"/>
  <c r="E2254" i="1"/>
  <c r="E2242" i="1"/>
  <c r="E2230" i="1"/>
  <c r="E2218" i="1"/>
  <c r="E2206" i="1"/>
  <c r="E2194" i="1"/>
  <c r="E2951" i="1"/>
  <c r="E2903" i="1"/>
  <c r="E2855" i="1"/>
  <c r="E2999" i="1"/>
  <c r="E2939" i="1"/>
  <c r="E2891" i="1"/>
  <c r="E2843" i="1"/>
  <c r="E3849" i="1"/>
  <c r="E3701" i="1"/>
  <c r="E3130" i="1"/>
  <c r="E3097" i="1"/>
  <c r="E2284" i="1"/>
  <c r="E2236" i="1"/>
  <c r="E2170" i="1"/>
  <c r="E2122" i="1"/>
  <c r="E2092" i="1"/>
  <c r="E2080" i="1"/>
  <c r="E2068" i="1"/>
  <c r="E2056" i="1"/>
  <c r="E2044" i="1"/>
  <c r="E2032" i="1"/>
  <c r="E2020" i="1"/>
  <c r="E2008" i="1"/>
  <c r="E1996" i="1"/>
  <c r="E1984" i="1"/>
  <c r="E1972" i="1"/>
  <c r="E2981" i="1"/>
  <c r="E2805" i="1"/>
  <c r="E2188" i="1"/>
  <c r="E3143" i="1"/>
  <c r="E2626" i="1"/>
  <c r="E2152" i="1"/>
  <c r="E2104" i="1"/>
  <c r="E2831" i="1"/>
  <c r="E2164" i="1"/>
  <c r="E2116" i="1"/>
  <c r="E2308" i="1"/>
  <c r="E2260" i="1"/>
  <c r="E2212" i="1"/>
  <c r="E2146" i="1"/>
  <c r="E2098" i="1"/>
  <c r="E2086" i="1"/>
  <c r="E2074" i="1"/>
  <c r="E2062" i="1"/>
  <c r="E2050" i="1"/>
  <c r="E2038" i="1"/>
  <c r="E2026" i="1"/>
  <c r="E2014" i="1"/>
  <c r="E2002" i="1"/>
  <c r="E1990" i="1"/>
  <c r="E1978" i="1"/>
  <c r="E1966" i="1"/>
  <c r="E1954" i="1"/>
  <c r="E1942" i="1"/>
  <c r="E1930" i="1"/>
  <c r="E1918" i="1"/>
  <c r="E1906" i="1"/>
  <c r="E1894" i="1"/>
  <c r="E1882" i="1"/>
  <c r="E1870" i="1"/>
  <c r="E1858" i="1"/>
  <c r="E1846" i="1"/>
  <c r="E1834" i="1"/>
  <c r="E1822" i="1"/>
  <c r="E1810" i="1"/>
  <c r="E1798" i="1"/>
  <c r="E1786" i="1"/>
  <c r="E1774" i="1"/>
  <c r="E1762" i="1"/>
  <c r="E1750" i="1"/>
  <c r="E1738" i="1"/>
  <c r="E1726" i="1"/>
  <c r="E1714" i="1"/>
  <c r="E1702" i="1"/>
  <c r="E1690" i="1"/>
  <c r="E1678" i="1"/>
  <c r="E1666" i="1"/>
  <c r="E2296" i="1"/>
  <c r="E2200" i="1"/>
  <c r="E2158" i="1"/>
  <c r="E2128" i="1"/>
  <c r="E1924" i="1"/>
  <c r="E1876" i="1"/>
  <c r="E1828" i="1"/>
  <c r="E1780" i="1"/>
  <c r="E1732" i="1"/>
  <c r="E1684" i="1"/>
  <c r="E1589" i="1"/>
  <c r="E1577" i="1"/>
  <c r="E1565" i="1"/>
  <c r="E1553" i="1"/>
  <c r="E1541" i="1"/>
  <c r="E1529" i="1"/>
  <c r="E1513" i="1"/>
  <c r="E1501" i="1"/>
  <c r="E1489" i="1"/>
  <c r="E1477" i="1"/>
  <c r="E1465" i="1"/>
  <c r="E1453" i="1"/>
  <c r="E1441" i="1"/>
  <c r="E1429" i="1"/>
  <c r="E1417" i="1"/>
  <c r="E1405" i="1"/>
  <c r="E1393" i="1"/>
  <c r="E1381" i="1"/>
  <c r="E1369" i="1"/>
  <c r="E1357" i="1"/>
  <c r="E1345" i="1"/>
  <c r="E1333" i="1"/>
  <c r="E1321" i="1"/>
  <c r="E1309" i="1"/>
  <c r="E1297" i="1"/>
  <c r="E1285" i="1"/>
  <c r="E1273" i="1"/>
  <c r="E1261" i="1"/>
  <c r="E1249" i="1"/>
  <c r="E1237" i="1"/>
  <c r="E1225" i="1"/>
  <c r="E1213" i="1"/>
  <c r="E1201" i="1"/>
  <c r="E1189" i="1"/>
  <c r="E1177" i="1"/>
  <c r="E1165" i="1"/>
  <c r="E1153" i="1"/>
  <c r="E1129" i="1"/>
  <c r="E1117" i="1"/>
  <c r="E1105" i="1"/>
  <c r="E2248" i="1"/>
  <c r="E2176" i="1"/>
  <c r="E2110" i="1"/>
  <c r="E1948" i="1"/>
  <c r="E1900" i="1"/>
  <c r="E1852" i="1"/>
  <c r="E1804" i="1"/>
  <c r="E1756" i="1"/>
  <c r="E1708" i="1"/>
  <c r="E1660" i="1"/>
  <c r="E1936" i="1"/>
  <c r="E1888" i="1"/>
  <c r="E1840" i="1"/>
  <c r="E1792" i="1"/>
  <c r="E1744" i="1"/>
  <c r="E1696" i="1"/>
  <c r="E1483" i="1"/>
  <c r="E1435" i="1"/>
  <c r="E1387" i="1"/>
  <c r="E1339" i="1"/>
  <c r="E1291" i="1"/>
  <c r="E1243" i="1"/>
  <c r="E1195" i="1"/>
  <c r="E1099" i="1"/>
  <c r="E1087" i="1"/>
  <c r="E1075" i="1"/>
  <c r="E1063" i="1"/>
  <c r="E1051" i="1"/>
  <c r="E1039" i="1"/>
  <c r="E1027" i="1"/>
  <c r="E1015" i="1"/>
  <c r="E1003" i="1"/>
  <c r="E991" i="1"/>
  <c r="E979" i="1"/>
  <c r="E967" i="1"/>
  <c r="E955" i="1"/>
  <c r="E943" i="1"/>
  <c r="E931" i="1"/>
  <c r="E919" i="1"/>
  <c r="E907" i="1"/>
  <c r="E895" i="1"/>
  <c r="E883" i="1"/>
  <c r="E871" i="1"/>
  <c r="E859" i="1"/>
  <c r="E847" i="1"/>
  <c r="E835" i="1"/>
  <c r="E823" i="1"/>
  <c r="E811" i="1"/>
  <c r="E799" i="1"/>
  <c r="E787" i="1"/>
  <c r="E775" i="1"/>
  <c r="E763" i="1"/>
  <c r="E751" i="1"/>
  <c r="E739" i="1"/>
  <c r="E727" i="1"/>
  <c r="E715" i="1"/>
  <c r="E1960" i="1"/>
  <c r="E1618" i="1"/>
  <c r="E1583" i="1"/>
  <c r="E1535" i="1"/>
  <c r="E2182" i="1"/>
  <c r="E1648" i="1"/>
  <c r="E1600" i="1"/>
  <c r="E1612" i="1"/>
  <c r="E2272" i="1"/>
  <c r="E1507" i="1"/>
  <c r="E1459" i="1"/>
  <c r="E1411" i="1"/>
  <c r="E1363" i="1"/>
  <c r="E1315" i="1"/>
  <c r="E1267" i="1"/>
  <c r="E1219" i="1"/>
  <c r="E1171" i="1"/>
  <c r="E1123" i="1"/>
  <c r="E1093" i="1"/>
  <c r="E1081" i="1"/>
  <c r="E1069" i="1"/>
  <c r="E1057" i="1"/>
  <c r="E1045" i="1"/>
  <c r="E1033" i="1"/>
  <c r="E1021" i="1"/>
  <c r="E1009" i="1"/>
  <c r="E997" i="1"/>
  <c r="E985" i="1"/>
  <c r="E973" i="1"/>
  <c r="E961" i="1"/>
  <c r="E949" i="1"/>
  <c r="E937" i="1"/>
  <c r="E925" i="1"/>
  <c r="E913" i="1"/>
  <c r="E901" i="1"/>
  <c r="E889" i="1"/>
  <c r="E877" i="1"/>
  <c r="E865" i="1"/>
  <c r="E853" i="1"/>
  <c r="E841" i="1"/>
  <c r="E829" i="1"/>
  <c r="E817" i="1"/>
  <c r="E805" i="1"/>
  <c r="E793" i="1"/>
  <c r="E781" i="1"/>
  <c r="E769" i="1"/>
  <c r="E757" i="1"/>
  <c r="E745" i="1"/>
  <c r="E733" i="1"/>
  <c r="E721" i="1"/>
  <c r="E709" i="1"/>
  <c r="E697" i="1"/>
  <c r="E685" i="1"/>
  <c r="E673" i="1"/>
  <c r="E3223" i="1"/>
  <c r="E1642" i="1"/>
  <c r="E1559" i="1"/>
  <c r="E1912" i="1"/>
  <c r="E1864" i="1"/>
  <c r="E1816" i="1"/>
  <c r="E1768" i="1"/>
  <c r="E1720" i="1"/>
  <c r="E1672" i="1"/>
  <c r="E1571" i="1"/>
  <c r="E1495" i="1"/>
  <c r="E1399" i="1"/>
  <c r="E1303" i="1"/>
  <c r="E1207" i="1"/>
  <c r="E1111" i="1"/>
  <c r="E703" i="1"/>
  <c r="E2134" i="1"/>
  <c r="E654" i="1"/>
  <c r="E642" i="1"/>
  <c r="E630" i="1"/>
  <c r="E618" i="1"/>
  <c r="E606" i="1"/>
  <c r="E594" i="1"/>
  <c r="E582" i="1"/>
  <c r="E570" i="1"/>
  <c r="E558" i="1"/>
  <c r="E546" i="1"/>
  <c r="E534" i="1"/>
  <c r="E1624" i="1"/>
  <c r="E1523" i="1"/>
  <c r="E1447" i="1"/>
  <c r="E1351" i="1"/>
  <c r="E1255" i="1"/>
  <c r="E1159" i="1"/>
  <c r="E679" i="1"/>
  <c r="E1654" i="1"/>
  <c r="E661" i="1"/>
  <c r="E2224" i="1"/>
  <c r="E1547" i="1"/>
  <c r="E1471" i="1"/>
  <c r="E1375" i="1"/>
  <c r="E1279" i="1"/>
  <c r="E1183" i="1"/>
  <c r="E691" i="1"/>
  <c r="E3912" i="1"/>
  <c r="E3904" i="1"/>
  <c r="E3876" i="1"/>
  <c r="E3848" i="1"/>
  <c r="E3820" i="1"/>
  <c r="E3784" i="1"/>
  <c r="E3756" i="1"/>
  <c r="E3728" i="1"/>
  <c r="E3700" i="1"/>
  <c r="E3672" i="1"/>
  <c r="E3624" i="1"/>
  <c r="E3612" i="1"/>
  <c r="E3600" i="1"/>
  <c r="E3588" i="1"/>
  <c r="E3576" i="1"/>
  <c r="E3883" i="1"/>
  <c r="E3855" i="1"/>
  <c r="E3827" i="1"/>
  <c r="E3791" i="1"/>
  <c r="E3763" i="1"/>
  <c r="E3735" i="1"/>
  <c r="E3707" i="1"/>
  <c r="E3910" i="1"/>
  <c r="E3890" i="1"/>
  <c r="E3862" i="1"/>
  <c r="E3714" i="1"/>
  <c r="E3869" i="1"/>
  <c r="E3594" i="1"/>
  <c r="E3564" i="1"/>
  <c r="E3552" i="1"/>
  <c r="E3540" i="1"/>
  <c r="E3528" i="1"/>
  <c r="E3504" i="1"/>
  <c r="E3492" i="1"/>
  <c r="E3472" i="1"/>
  <c r="E3452" i="1"/>
  <c r="E3432" i="1"/>
  <c r="E3412" i="1"/>
  <c r="E3392" i="1"/>
  <c r="E3372" i="1"/>
  <c r="E3352" i="1"/>
  <c r="E3336" i="1"/>
  <c r="E3308" i="1"/>
  <c r="E3292" i="1"/>
  <c r="E3268" i="1"/>
  <c r="E3256" i="1"/>
  <c r="E3236" i="1"/>
  <c r="E3208" i="1"/>
  <c r="E3168" i="1"/>
  <c r="E3148" i="1"/>
  <c r="E3108" i="1"/>
  <c r="E3096" i="1"/>
  <c r="E3052" i="1"/>
  <c r="E3016" i="1"/>
  <c r="E3004" i="1"/>
  <c r="E2992" i="1"/>
  <c r="E2980" i="1"/>
  <c r="E2968" i="1"/>
  <c r="E3742" i="1"/>
  <c r="E3650" i="1"/>
  <c r="E3637" i="1"/>
  <c r="E3813" i="1"/>
  <c r="E3770" i="1"/>
  <c r="E3606" i="1"/>
  <c r="E3519" i="1"/>
  <c r="E3499" i="1"/>
  <c r="E3487" i="1"/>
  <c r="E3467" i="1"/>
  <c r="E3447" i="1"/>
  <c r="E3427" i="1"/>
  <c r="E3407" i="1"/>
  <c r="E3387" i="1"/>
  <c r="E3693" i="1"/>
  <c r="E3841" i="1"/>
  <c r="E3798" i="1"/>
  <c r="E3679" i="1"/>
  <c r="E3631" i="1"/>
  <c r="E3721" i="1"/>
  <c r="E3657" i="1"/>
  <c r="E3618" i="1"/>
  <c r="E3570" i="1"/>
  <c r="E3558" i="1"/>
  <c r="E3546" i="1"/>
  <c r="E3534" i="1"/>
  <c r="E3522" i="1"/>
  <c r="E3514" i="1"/>
  <c r="E3482" i="1"/>
  <c r="E3422" i="1"/>
  <c r="E3279" i="1"/>
  <c r="E3135" i="1"/>
  <c r="E3122" i="1"/>
  <c r="E3039" i="1"/>
  <c r="E3417" i="1"/>
  <c r="E3331" i="1"/>
  <c r="E3222" i="1"/>
  <c r="E3187" i="1"/>
  <c r="E3043" i="1"/>
  <c r="E2956" i="1"/>
  <c r="E2944" i="1"/>
  <c r="E2932" i="1"/>
  <c r="E2920" i="1"/>
  <c r="E2908" i="1"/>
  <c r="E2896" i="1"/>
  <c r="E2884" i="1"/>
  <c r="E2872" i="1"/>
  <c r="E2860" i="1"/>
  <c r="E2848" i="1"/>
  <c r="E2836" i="1"/>
  <c r="E2824" i="1"/>
  <c r="E2804" i="1"/>
  <c r="E2768" i="1"/>
  <c r="E2648" i="1"/>
  <c r="E3397" i="1"/>
  <c r="E3313" i="1"/>
  <c r="E3051" i="1"/>
  <c r="E3834" i="1"/>
  <c r="E3806" i="1"/>
  <c r="E3382" i="1"/>
  <c r="E3347" i="1"/>
  <c r="E3273" i="1"/>
  <c r="E3251" i="1"/>
  <c r="E3155" i="1"/>
  <c r="E3142" i="1"/>
  <c r="E3129" i="1"/>
  <c r="E2998" i="1"/>
  <c r="E3897" i="1"/>
  <c r="E3582" i="1"/>
  <c r="E3509" i="1"/>
  <c r="E3477" i="1"/>
  <c r="E3377" i="1"/>
  <c r="E3342" i="1"/>
  <c r="E3246" i="1"/>
  <c r="E3115" i="1"/>
  <c r="E3102" i="1"/>
  <c r="E3089" i="1"/>
  <c r="E2950" i="1"/>
  <c r="E2938" i="1"/>
  <c r="E2926" i="1"/>
  <c r="E2914" i="1"/>
  <c r="E2902" i="1"/>
  <c r="E2890" i="1"/>
  <c r="E2878" i="1"/>
  <c r="E2866" i="1"/>
  <c r="E2854" i="1"/>
  <c r="E2842" i="1"/>
  <c r="E2830" i="1"/>
  <c r="E2818" i="1"/>
  <c r="E2810" i="1"/>
  <c r="E2798" i="1"/>
  <c r="E3777" i="1"/>
  <c r="E3749" i="1"/>
  <c r="E3665" i="1"/>
  <c r="E3643" i="1"/>
  <c r="E3462" i="1"/>
  <c r="E3298" i="1"/>
  <c r="E3285" i="1"/>
  <c r="E3263" i="1"/>
  <c r="E3215" i="1"/>
  <c r="E3023" i="1"/>
  <c r="E3010" i="1"/>
  <c r="E2962" i="1"/>
  <c r="E3686" i="1"/>
  <c r="E3457" i="1"/>
  <c r="E3319" i="1"/>
  <c r="E3035" i="1"/>
  <c r="E2625" i="1"/>
  <c r="E3303" i="1"/>
  <c r="E3181" i="1"/>
  <c r="E2974" i="1"/>
  <c r="E2690" i="1"/>
  <c r="E2642" i="1"/>
  <c r="E3402" i="1"/>
  <c r="E3201" i="1"/>
  <c r="E3075" i="1"/>
  <c r="E2723" i="1"/>
  <c r="E3229" i="1"/>
  <c r="E3194" i="1"/>
  <c r="E2727" i="1"/>
  <c r="E3057" i="1"/>
  <c r="E2307" i="1"/>
  <c r="E2295" i="1"/>
  <c r="E2283" i="1"/>
  <c r="E2271" i="1"/>
  <c r="E2259" i="1"/>
  <c r="E2247" i="1"/>
  <c r="E2235" i="1"/>
  <c r="E2223" i="1"/>
  <c r="E2211" i="1"/>
  <c r="E2199" i="1"/>
  <c r="E2187" i="1"/>
  <c r="E2175" i="1"/>
  <c r="E2163" i="1"/>
  <c r="E2151" i="1"/>
  <c r="E2139" i="1"/>
  <c r="E2127" i="1"/>
  <c r="E2115" i="1"/>
  <c r="E2103" i="1"/>
  <c r="E3062" i="1"/>
  <c r="E2619" i="1"/>
  <c r="E2633" i="1"/>
  <c r="E3437" i="1"/>
  <c r="E3357" i="1"/>
  <c r="E3241" i="1"/>
  <c r="E3175" i="1"/>
  <c r="E2613" i="1"/>
  <c r="E3442" i="1"/>
  <c r="E3325" i="1"/>
  <c r="E2750" i="1"/>
  <c r="E2301" i="1"/>
  <c r="E2289" i="1"/>
  <c r="E2277" i="1"/>
  <c r="E2265" i="1"/>
  <c r="E2253" i="1"/>
  <c r="E2241" i="1"/>
  <c r="E2229" i="1"/>
  <c r="E2217" i="1"/>
  <c r="E2205" i="1"/>
  <c r="E2193" i="1"/>
  <c r="E2181" i="1"/>
  <c r="E3367" i="1"/>
  <c r="E3027" i="1"/>
  <c r="E2157" i="1"/>
  <c r="E2109" i="1"/>
  <c r="E2986" i="1"/>
  <c r="E3082" i="1"/>
  <c r="E3031" i="1"/>
  <c r="E2639" i="1"/>
  <c r="E2133" i="1"/>
  <c r="E1959" i="1"/>
  <c r="E1911" i="1"/>
  <c r="E1863" i="1"/>
  <c r="E1815" i="1"/>
  <c r="E1767" i="1"/>
  <c r="E1719" i="1"/>
  <c r="E1671" i="1"/>
  <c r="E2097" i="1"/>
  <c r="E2073" i="1"/>
  <c r="E2049" i="1"/>
  <c r="E2025" i="1"/>
  <c r="E2001" i="1"/>
  <c r="E1977" i="1"/>
  <c r="E1941" i="1"/>
  <c r="E1893" i="1"/>
  <c r="E1845" i="1"/>
  <c r="E1797" i="1"/>
  <c r="E1749" i="1"/>
  <c r="E1701" i="1"/>
  <c r="E3162" i="1"/>
  <c r="E1653" i="1"/>
  <c r="E1641" i="1"/>
  <c r="E1629" i="1"/>
  <c r="E1617" i="1"/>
  <c r="E1605" i="1"/>
  <c r="E1505" i="1"/>
  <c r="E1493" i="1"/>
  <c r="E1481" i="1"/>
  <c r="E1469" i="1"/>
  <c r="E1457" i="1"/>
  <c r="E1445" i="1"/>
  <c r="E1433" i="1"/>
  <c r="E1421" i="1"/>
  <c r="E1409" i="1"/>
  <c r="E1397" i="1"/>
  <c r="E1385" i="1"/>
  <c r="E1373" i="1"/>
  <c r="E1361" i="1"/>
  <c r="E1349" i="1"/>
  <c r="E1337" i="1"/>
  <c r="E1325" i="1"/>
  <c r="E1313" i="1"/>
  <c r="E1301" i="1"/>
  <c r="E1289" i="1"/>
  <c r="E1277" i="1"/>
  <c r="E1265" i="1"/>
  <c r="E1253" i="1"/>
  <c r="E1241" i="1"/>
  <c r="E1229" i="1"/>
  <c r="E1217" i="1"/>
  <c r="E1205" i="1"/>
  <c r="E1193" i="1"/>
  <c r="E1181" i="1"/>
  <c r="E1169" i="1"/>
  <c r="E1157" i="1"/>
  <c r="E1145" i="1"/>
  <c r="E1141" i="1"/>
  <c r="E1137" i="1"/>
  <c r="E1133" i="1"/>
  <c r="E1121" i="1"/>
  <c r="E1109" i="1"/>
  <c r="E1935" i="1"/>
  <c r="E1887" i="1"/>
  <c r="E1839" i="1"/>
  <c r="E1791" i="1"/>
  <c r="E1743" i="1"/>
  <c r="E1695" i="1"/>
  <c r="E3047" i="1"/>
  <c r="E2091" i="1"/>
  <c r="E2007" i="1"/>
  <c r="E1091" i="1"/>
  <c r="E1079" i="1"/>
  <c r="E1067" i="1"/>
  <c r="E1055" i="1"/>
  <c r="E1043" i="1"/>
  <c r="E1031" i="1"/>
  <c r="E1019" i="1"/>
  <c r="E1007" i="1"/>
  <c r="E995" i="1"/>
  <c r="E983" i="1"/>
  <c r="E971" i="1"/>
  <c r="E959" i="1"/>
  <c r="E947" i="1"/>
  <c r="E935" i="1"/>
  <c r="E923" i="1"/>
  <c r="E911" i="1"/>
  <c r="E899" i="1"/>
  <c r="E887" i="1"/>
  <c r="E875" i="1"/>
  <c r="E863" i="1"/>
  <c r="E851" i="1"/>
  <c r="E839" i="1"/>
  <c r="E827" i="1"/>
  <c r="E815" i="1"/>
  <c r="E803" i="1"/>
  <c r="E791" i="1"/>
  <c r="E779" i="1"/>
  <c r="E767" i="1"/>
  <c r="E755" i="1"/>
  <c r="E743" i="1"/>
  <c r="E731" i="1"/>
  <c r="E719" i="1"/>
  <c r="E1965" i="1"/>
  <c r="E1570" i="1"/>
  <c r="E1522" i="1"/>
  <c r="E1487" i="1"/>
  <c r="E1439" i="1"/>
  <c r="E1391" i="1"/>
  <c r="E1343" i="1"/>
  <c r="E1295" i="1"/>
  <c r="E1247" i="1"/>
  <c r="E1199" i="1"/>
  <c r="E1151" i="1"/>
  <c r="E1103" i="1"/>
  <c r="E2774" i="1"/>
  <c r="E2085" i="1"/>
  <c r="E2043" i="1"/>
  <c r="E1635" i="1"/>
  <c r="E1552" i="1"/>
  <c r="E2031" i="1"/>
  <c r="E1929" i="1"/>
  <c r="E1905" i="1"/>
  <c r="E1881" i="1"/>
  <c r="E1857" i="1"/>
  <c r="E1833" i="1"/>
  <c r="E1809" i="1"/>
  <c r="E1785" i="1"/>
  <c r="E1761" i="1"/>
  <c r="E1737" i="1"/>
  <c r="E1713" i="1"/>
  <c r="E1689" i="1"/>
  <c r="E1665" i="1"/>
  <c r="E1647" i="1"/>
  <c r="E1599" i="1"/>
  <c r="E1564" i="1"/>
  <c r="E3069" i="1"/>
  <c r="E2169" i="1"/>
  <c r="E1989" i="1"/>
  <c r="E1953" i="1"/>
  <c r="E1097" i="1"/>
  <c r="E1085" i="1"/>
  <c r="E1073" i="1"/>
  <c r="E1061" i="1"/>
  <c r="E1049" i="1"/>
  <c r="E1037" i="1"/>
  <c r="E1025" i="1"/>
  <c r="E1013" i="1"/>
  <c r="E1001" i="1"/>
  <c r="E989" i="1"/>
  <c r="E977" i="1"/>
  <c r="E965" i="1"/>
  <c r="E953" i="1"/>
  <c r="E941" i="1"/>
  <c r="E929" i="1"/>
  <c r="E917" i="1"/>
  <c r="E905" i="1"/>
  <c r="E893" i="1"/>
  <c r="E881" i="1"/>
  <c r="E869" i="1"/>
  <c r="E857" i="1"/>
  <c r="E845" i="1"/>
  <c r="E833" i="1"/>
  <c r="E821" i="1"/>
  <c r="E809" i="1"/>
  <c r="E797" i="1"/>
  <c r="E785" i="1"/>
  <c r="E773" i="1"/>
  <c r="E761" i="1"/>
  <c r="E749" i="1"/>
  <c r="E737" i="1"/>
  <c r="E725" i="1"/>
  <c r="E713" i="1"/>
  <c r="E701" i="1"/>
  <c r="E689" i="1"/>
  <c r="E677" i="1"/>
  <c r="E665" i="1"/>
  <c r="E2067" i="1"/>
  <c r="E1983" i="1"/>
  <c r="E1594" i="1"/>
  <c r="E1546" i="1"/>
  <c r="E1511" i="1"/>
  <c r="E1463" i="1"/>
  <c r="E1415" i="1"/>
  <c r="E1367" i="1"/>
  <c r="E1319" i="1"/>
  <c r="E1271" i="1"/>
  <c r="E1223" i="1"/>
  <c r="E1175" i="1"/>
  <c r="E1127" i="1"/>
  <c r="E2061" i="1"/>
  <c r="E1611" i="1"/>
  <c r="E1576" i="1"/>
  <c r="E1475" i="1"/>
  <c r="E1379" i="1"/>
  <c r="E1283" i="1"/>
  <c r="E1187" i="1"/>
  <c r="E2145" i="1"/>
  <c r="E659" i="1"/>
  <c r="E647" i="1"/>
  <c r="E635" i="1"/>
  <c r="E623" i="1"/>
  <c r="E611" i="1"/>
  <c r="E599" i="1"/>
  <c r="E587" i="1"/>
  <c r="E575" i="1"/>
  <c r="E563" i="1"/>
  <c r="E551" i="1"/>
  <c r="E539" i="1"/>
  <c r="E515" i="1"/>
  <c r="E495" i="1"/>
  <c r="E403" i="1"/>
  <c r="E391" i="1"/>
  <c r="E379" i="1"/>
  <c r="E367" i="1"/>
  <c r="E355" i="1"/>
  <c r="E343" i="1"/>
  <c r="E331" i="1"/>
  <c r="E2037" i="1"/>
  <c r="E510" i="1"/>
  <c r="E490" i="1"/>
  <c r="E486" i="1"/>
  <c r="E482" i="1"/>
  <c r="E478" i="1"/>
  <c r="E474" i="1"/>
  <c r="E470" i="1"/>
  <c r="E466" i="1"/>
  <c r="E462" i="1"/>
  <c r="E458" i="1"/>
  <c r="E454" i="1"/>
  <c r="E450" i="1"/>
  <c r="E446" i="1"/>
  <c r="E442" i="1"/>
  <c r="E438" i="1"/>
  <c r="E434" i="1"/>
  <c r="E430" i="1"/>
  <c r="E426" i="1"/>
  <c r="E422" i="1"/>
  <c r="E418" i="1"/>
  <c r="E414" i="1"/>
  <c r="E2121" i="1"/>
  <c r="E1528" i="1"/>
  <c r="E1427" i="1"/>
  <c r="E1331" i="1"/>
  <c r="E1235" i="1"/>
  <c r="E1899" i="1"/>
  <c r="E1851" i="1"/>
  <c r="E1803" i="1"/>
  <c r="E1755" i="1"/>
  <c r="E1707" i="1"/>
  <c r="E1659" i="1"/>
  <c r="E1588" i="1"/>
  <c r="E1558" i="1"/>
  <c r="E683" i="1"/>
  <c r="E1947" i="1"/>
  <c r="E653" i="1"/>
  <c r="E641" i="1"/>
  <c r="E629" i="1"/>
  <c r="E617" i="1"/>
  <c r="E605" i="1"/>
  <c r="E593" i="1"/>
  <c r="E581" i="1"/>
  <c r="E569" i="1"/>
  <c r="E557" i="1"/>
  <c r="E545" i="1"/>
  <c r="E533" i="1"/>
  <c r="E505" i="1"/>
  <c r="E409" i="1"/>
  <c r="E2019" i="1"/>
  <c r="E1623" i="1"/>
  <c r="E1582" i="1"/>
  <c r="E1451" i="1"/>
  <c r="E1355" i="1"/>
  <c r="E1259" i="1"/>
  <c r="E1163" i="1"/>
  <c r="E1120" i="1"/>
  <c r="E1132" i="1"/>
  <c r="E1114" i="1"/>
  <c r="E1096" i="1"/>
  <c r="E1072" i="1"/>
  <c r="E1048" i="1"/>
  <c r="E1024" i="1"/>
  <c r="E1000" i="1"/>
  <c r="E976" i="1"/>
  <c r="E952" i="1"/>
  <c r="E928" i="1"/>
  <c r="E904" i="1"/>
  <c r="E880" i="1"/>
  <c r="E856" i="1"/>
  <c r="E832" i="1"/>
  <c r="E808" i="1"/>
  <c r="E784" i="1"/>
  <c r="E760" i="1"/>
  <c r="E736" i="1"/>
  <c r="E712" i="1"/>
  <c r="E676" i="1"/>
  <c r="E688" i="1"/>
  <c r="E658" i="1"/>
  <c r="E1084" i="1"/>
  <c r="E1060" i="1"/>
  <c r="E1036" i="1"/>
  <c r="E1012" i="1"/>
  <c r="E988" i="1"/>
  <c r="E964" i="1"/>
  <c r="E940" i="1"/>
  <c r="E916" i="1"/>
  <c r="E892" i="1"/>
  <c r="E868" i="1"/>
  <c r="E844" i="1"/>
  <c r="E820" i="1"/>
  <c r="E796" i="1"/>
  <c r="E772" i="1"/>
  <c r="E748" i="1"/>
  <c r="E724" i="1"/>
  <c r="E1108" i="1"/>
  <c r="E670" i="1"/>
  <c r="E700" i="1"/>
  <c r="E1102" i="1"/>
  <c r="E1078" i="1"/>
  <c r="E1054" i="1"/>
  <c r="E1030" i="1"/>
  <c r="E1006" i="1"/>
  <c r="E982" i="1"/>
  <c r="E958" i="1"/>
  <c r="E934" i="1"/>
  <c r="E910" i="1"/>
  <c r="E886" i="1"/>
  <c r="E862" i="1"/>
  <c r="E838" i="1"/>
  <c r="E814" i="1"/>
  <c r="E790" i="1"/>
  <c r="E766" i="1"/>
  <c r="E742" i="1"/>
  <c r="E718" i="1"/>
  <c r="E3200" i="1"/>
  <c r="E3088" i="1"/>
  <c r="E3074" i="1"/>
  <c r="E3147" i="1"/>
  <c r="E3134" i="1"/>
  <c r="E3121" i="1"/>
  <c r="E3107" i="1"/>
  <c r="E3081" i="1"/>
  <c r="E3167" i="1"/>
  <c r="E3154" i="1"/>
  <c r="E3207" i="1"/>
  <c r="E3186" i="1"/>
  <c r="E3114" i="1"/>
  <c r="E3214" i="1"/>
  <c r="E3221" i="1"/>
  <c r="E3193" i="1"/>
  <c r="E312" i="1"/>
  <c r="E316" i="1"/>
  <c r="E520" i="1"/>
  <c r="E680" i="1"/>
  <c r="E695" i="1"/>
  <c r="E1226" i="1"/>
  <c r="E1348" i="1"/>
  <c r="E1632" i="1"/>
  <c r="E1831" i="1"/>
  <c r="E1923" i="1"/>
  <c r="E2118" i="1"/>
  <c r="E2927" i="1"/>
  <c r="E71" i="1"/>
  <c r="E1615" i="1"/>
  <c r="E4" i="1"/>
  <c r="E8" i="1"/>
  <c r="E12" i="1"/>
  <c r="E16" i="1"/>
  <c r="E20" i="1"/>
  <c r="E24" i="1"/>
  <c r="E28" i="1"/>
  <c r="E32" i="1"/>
  <c r="E36" i="1"/>
  <c r="E40" i="1"/>
  <c r="E44" i="1"/>
  <c r="E56" i="1"/>
  <c r="E68" i="1"/>
  <c r="E80" i="1"/>
  <c r="E84" i="1"/>
  <c r="E92" i="1"/>
  <c r="E96" i="1"/>
  <c r="E104" i="1"/>
  <c r="E112" i="1"/>
  <c r="E116" i="1"/>
  <c r="E124" i="1"/>
  <c r="E128" i="1"/>
  <c r="E136" i="1"/>
  <c r="E140" i="1"/>
  <c r="E148" i="1"/>
  <c r="E152" i="1"/>
  <c r="E160" i="1"/>
  <c r="E164" i="1"/>
  <c r="E172" i="1"/>
  <c r="E176" i="1"/>
  <c r="E184" i="1"/>
  <c r="E188" i="1"/>
  <c r="E196" i="1"/>
  <c r="E200" i="1"/>
  <c r="E208" i="1"/>
  <c r="E212" i="1"/>
  <c r="E220" i="1"/>
  <c r="E224" i="1"/>
  <c r="E232" i="1"/>
  <c r="E236" i="1"/>
  <c r="E244" i="1"/>
  <c r="E248" i="1"/>
  <c r="E256" i="1"/>
  <c r="E260" i="1"/>
  <c r="E268" i="1"/>
  <c r="E272" i="1"/>
  <c r="E280" i="1"/>
  <c r="E284" i="1"/>
  <c r="E296" i="1"/>
  <c r="E300" i="1"/>
  <c r="E308" i="1"/>
  <c r="E325" i="1"/>
  <c r="E420" i="1"/>
  <c r="E444" i="1"/>
  <c r="E468" i="1"/>
  <c r="E492" i="1"/>
  <c r="E1383" i="1"/>
  <c r="E1821" i="1"/>
  <c r="E2055" i="1"/>
  <c r="E3636" i="1"/>
  <c r="E3581" i="1"/>
  <c r="E3593" i="1"/>
  <c r="E3563" i="1"/>
  <c r="E3551" i="1"/>
  <c r="E3539" i="1"/>
  <c r="E3527" i="1"/>
  <c r="E3623" i="1"/>
  <c r="E3605" i="1"/>
  <c r="E3599" i="1"/>
  <c r="E3630" i="1"/>
  <c r="E3575" i="1"/>
  <c r="E3533" i="1"/>
  <c r="E3587" i="1"/>
  <c r="E3557" i="1"/>
  <c r="E3617" i="1"/>
  <c r="E3569" i="1"/>
  <c r="E3521" i="1"/>
  <c r="E3611" i="1"/>
  <c r="E3545" i="1"/>
  <c r="E3344" i="1"/>
  <c r="E3327" i="1"/>
  <c r="E3321" i="1"/>
  <c r="E3294" i="1"/>
  <c r="E3287" i="1"/>
  <c r="E2729" i="1"/>
  <c r="E2650" i="1"/>
  <c r="E411" i="1"/>
  <c r="E399" i="1"/>
  <c r="E387" i="1"/>
  <c r="E375" i="1"/>
  <c r="E363" i="1"/>
  <c r="E351" i="1"/>
  <c r="E339" i="1"/>
  <c r="E310" i="1"/>
  <c r="E3900" i="1"/>
  <c r="E3872" i="1"/>
  <c r="E3844" i="1"/>
  <c r="E3816" i="1"/>
  <c r="E3780" i="1"/>
  <c r="E3752" i="1"/>
  <c r="E3724" i="1"/>
  <c r="E3696" i="1"/>
  <c r="E3668" i="1"/>
  <c r="E3660" i="1"/>
  <c r="E3640" i="1"/>
  <c r="E3911" i="1"/>
  <c r="E3907" i="1"/>
  <c r="E3879" i="1"/>
  <c r="E3851" i="1"/>
  <c r="E3823" i="1"/>
  <c r="E3787" i="1"/>
  <c r="E3759" i="1"/>
  <c r="E3731" i="1"/>
  <c r="E3703" i="1"/>
  <c r="E3886" i="1"/>
  <c r="E3858" i="1"/>
  <c r="E3738" i="1"/>
  <c r="E3603" i="1"/>
  <c r="E3646" i="1"/>
  <c r="E3512" i="1"/>
  <c r="E3480" i="1"/>
  <c r="E3460" i="1"/>
  <c r="E3440" i="1"/>
  <c r="E3420" i="1"/>
  <c r="E3400" i="1"/>
  <c r="E3380" i="1"/>
  <c r="E3244" i="1"/>
  <c r="E3232" i="1"/>
  <c r="E3204" i="1"/>
  <c r="E3184" i="1"/>
  <c r="E3132" i="1"/>
  <c r="E3092" i="1"/>
  <c r="E3072" i="1"/>
  <c r="E3809" i="1"/>
  <c r="E3766" i="1"/>
  <c r="E3689" i="1"/>
  <c r="E3615" i="1"/>
  <c r="E3837" i="1"/>
  <c r="E3794" i="1"/>
  <c r="E3567" i="1"/>
  <c r="E3555" i="1"/>
  <c r="E3543" i="1"/>
  <c r="E3531" i="1"/>
  <c r="E3507" i="1"/>
  <c r="E3475" i="1"/>
  <c r="E3455" i="1"/>
  <c r="E3435" i="1"/>
  <c r="E3415" i="1"/>
  <c r="E3395" i="1"/>
  <c r="E3717" i="1"/>
  <c r="E3675" i="1"/>
  <c r="E3597" i="1"/>
  <c r="E3653" i="1"/>
  <c r="E3627" i="1"/>
  <c r="E3909" i="1"/>
  <c r="E3893" i="1"/>
  <c r="E3745" i="1"/>
  <c r="E3502" i="1"/>
  <c r="E3490" i="1"/>
  <c r="E3585" i="1"/>
  <c r="E3470" i="1"/>
  <c r="E3375" i="1"/>
  <c r="E3266" i="1"/>
  <c r="E3218" i="1"/>
  <c r="E3013" i="1"/>
  <c r="E2965" i="1"/>
  <c r="E3865" i="1"/>
  <c r="E3549" i="1"/>
  <c r="E3517" i="1"/>
  <c r="E3485" i="1"/>
  <c r="E3465" i="1"/>
  <c r="E3078" i="1"/>
  <c r="E2995" i="1"/>
  <c r="E2636" i="1"/>
  <c r="E2628" i="1"/>
  <c r="E2616" i="1"/>
  <c r="E3830" i="1"/>
  <c r="E3609" i="1"/>
  <c r="E3445" i="1"/>
  <c r="E3099" i="1"/>
  <c r="E3025" i="1"/>
  <c r="E2977" i="1"/>
  <c r="E3801" i="1"/>
  <c r="E3773" i="1"/>
  <c r="E3425" i="1"/>
  <c r="E3225" i="1"/>
  <c r="E3190" i="1"/>
  <c r="E3033" i="1"/>
  <c r="E3710" i="1"/>
  <c r="E3682" i="1"/>
  <c r="E3591" i="1"/>
  <c r="E3573" i="1"/>
  <c r="E3525" i="1"/>
  <c r="E3405" i="1"/>
  <c r="E3355" i="1"/>
  <c r="E3211" i="1"/>
  <c r="E3041" i="1"/>
  <c r="E3019" i="1"/>
  <c r="E2971" i="1"/>
  <c r="E3390" i="1"/>
  <c r="E3058" i="1"/>
  <c r="E3045" i="1"/>
  <c r="E3385" i="1"/>
  <c r="E3350" i="1"/>
  <c r="E3430" i="1"/>
  <c r="E3277" i="1"/>
  <c r="E3197" i="1"/>
  <c r="E3111" i="1"/>
  <c r="E2747" i="1"/>
  <c r="E3282" i="1"/>
  <c r="E3151" i="1"/>
  <c r="E3085" i="1"/>
  <c r="E2989" i="1"/>
  <c r="E2959" i="1"/>
  <c r="E2935" i="1"/>
  <c r="E2911" i="1"/>
  <c r="E2887" i="1"/>
  <c r="E2863" i="1"/>
  <c r="E2839" i="1"/>
  <c r="E2815" i="1"/>
  <c r="E2801" i="1"/>
  <c r="E3370" i="1"/>
  <c r="E3365" i="1"/>
  <c r="E3171" i="1"/>
  <c r="E3105" i="1"/>
  <c r="E2610" i="1"/>
  <c r="E3634" i="1"/>
  <c r="E3561" i="1"/>
  <c r="E3063" i="1"/>
  <c r="E3053" i="1"/>
  <c r="E2771" i="1"/>
  <c r="E3118" i="1"/>
  <c r="E3037" i="1"/>
  <c r="E3007" i="1"/>
  <c r="E2947" i="1"/>
  <c r="E2923" i="1"/>
  <c r="E2899" i="1"/>
  <c r="E2875" i="1"/>
  <c r="E2851" i="1"/>
  <c r="E2827" i="1"/>
  <c r="E3249" i="1"/>
  <c r="E2953" i="1"/>
  <c r="E2905" i="1"/>
  <c r="E2857" i="1"/>
  <c r="E3450" i="1"/>
  <c r="E3254" i="1"/>
  <c r="E3410" i="1"/>
  <c r="E3029" i="1"/>
  <c r="E3001" i="1"/>
  <c r="E2941" i="1"/>
  <c r="E2893" i="1"/>
  <c r="E2845" i="1"/>
  <c r="E3165" i="1"/>
  <c r="E3138" i="1"/>
  <c r="E2298" i="1"/>
  <c r="E2286" i="1"/>
  <c r="E2274" i="1"/>
  <c r="E2262" i="1"/>
  <c r="E2250" i="1"/>
  <c r="E2238" i="1"/>
  <c r="E2226" i="1"/>
  <c r="E2214" i="1"/>
  <c r="E2202" i="1"/>
  <c r="E3621" i="1"/>
  <c r="E3049" i="1"/>
  <c r="E2983" i="1"/>
  <c r="E2807" i="1"/>
  <c r="E2929" i="1"/>
  <c r="E2881" i="1"/>
  <c r="E2833" i="1"/>
  <c r="E2765" i="1"/>
  <c r="E2622" i="1"/>
  <c r="E3158" i="1"/>
  <c r="E3579" i="1"/>
  <c r="E3497" i="1"/>
  <c r="E3261" i="1"/>
  <c r="E3125" i="1"/>
  <c r="E3021" i="1"/>
  <c r="E2917" i="1"/>
  <c r="E2869" i="1"/>
  <c r="E3178" i="1"/>
  <c r="E2268" i="1"/>
  <c r="E2220" i="1"/>
  <c r="E2088" i="1"/>
  <c r="E2076" i="1"/>
  <c r="E2064" i="1"/>
  <c r="E2052" i="1"/>
  <c r="E2040" i="1"/>
  <c r="E2028" i="1"/>
  <c r="E2016" i="1"/>
  <c r="E2004" i="1"/>
  <c r="E1992" i="1"/>
  <c r="E1980" i="1"/>
  <c r="E1968" i="1"/>
  <c r="E3537" i="1"/>
  <c r="E2148" i="1"/>
  <c r="E2100" i="1"/>
  <c r="E2821" i="1"/>
  <c r="E2178" i="1"/>
  <c r="E2130" i="1"/>
  <c r="E3234" i="1"/>
  <c r="E2142" i="1"/>
  <c r="E3239" i="1"/>
  <c r="E2292" i="1"/>
  <c r="E2244" i="1"/>
  <c r="E2196" i="1"/>
  <c r="E2094" i="1"/>
  <c r="E2082" i="1"/>
  <c r="E2070" i="1"/>
  <c r="E2058" i="1"/>
  <c r="E2046" i="1"/>
  <c r="E2034" i="1"/>
  <c r="E2022" i="1"/>
  <c r="E2010" i="1"/>
  <c r="E1998" i="1"/>
  <c r="E1986" i="1"/>
  <c r="E1974" i="1"/>
  <c r="E1962" i="1"/>
  <c r="E1950" i="1"/>
  <c r="E1938" i="1"/>
  <c r="E1926" i="1"/>
  <c r="E1914" i="1"/>
  <c r="E1902" i="1"/>
  <c r="E1890" i="1"/>
  <c r="E1878" i="1"/>
  <c r="E1866" i="1"/>
  <c r="E1854" i="1"/>
  <c r="E1842" i="1"/>
  <c r="E1830" i="1"/>
  <c r="E1818" i="1"/>
  <c r="E1806" i="1"/>
  <c r="E1794" i="1"/>
  <c r="E1782" i="1"/>
  <c r="E1770" i="1"/>
  <c r="E1758" i="1"/>
  <c r="E1746" i="1"/>
  <c r="E1734" i="1"/>
  <c r="E1722" i="1"/>
  <c r="E1710" i="1"/>
  <c r="E1698" i="1"/>
  <c r="E1686" i="1"/>
  <c r="E1674" i="1"/>
  <c r="E1662" i="1"/>
  <c r="E2172" i="1"/>
  <c r="E2124" i="1"/>
  <c r="E2795" i="1"/>
  <c r="E3145" i="1"/>
  <c r="E2256" i="1"/>
  <c r="E2112" i="1"/>
  <c r="E1932" i="1"/>
  <c r="E1884" i="1"/>
  <c r="E1836" i="1"/>
  <c r="E1788" i="1"/>
  <c r="E1740" i="1"/>
  <c r="E1692" i="1"/>
  <c r="E1585" i="1"/>
  <c r="E1573" i="1"/>
  <c r="E1561" i="1"/>
  <c r="E1549" i="1"/>
  <c r="E1537" i="1"/>
  <c r="E1525" i="1"/>
  <c r="E1517" i="1"/>
  <c r="E2166" i="1"/>
  <c r="E2136" i="1"/>
  <c r="E1944" i="1"/>
  <c r="E3271" i="1"/>
  <c r="E2304" i="1"/>
  <c r="E1614" i="1"/>
  <c r="E1579" i="1"/>
  <c r="E1531" i="1"/>
  <c r="E1496" i="1"/>
  <c r="E1448" i="1"/>
  <c r="E1400" i="1"/>
  <c r="E1352" i="1"/>
  <c r="E1304" i="1"/>
  <c r="E1256" i="1"/>
  <c r="E1208" i="1"/>
  <c r="E1160" i="1"/>
  <c r="E1112" i="1"/>
  <c r="E2280" i="1"/>
  <c r="E2160" i="1"/>
  <c r="E1644" i="1"/>
  <c r="E1596" i="1"/>
  <c r="E1138" i="1"/>
  <c r="E2154" i="1"/>
  <c r="E2106" i="1"/>
  <c r="E1478" i="1"/>
  <c r="E1430" i="1"/>
  <c r="E1382" i="1"/>
  <c r="E1334" i="1"/>
  <c r="E1286" i="1"/>
  <c r="E1238" i="1"/>
  <c r="E1190" i="1"/>
  <c r="E1142" i="1"/>
  <c r="E2232" i="1"/>
  <c r="E1490" i="1"/>
  <c r="E1442" i="1"/>
  <c r="E1394" i="1"/>
  <c r="E1346" i="1"/>
  <c r="E1298" i="1"/>
  <c r="E1250" i="1"/>
  <c r="E1202" i="1"/>
  <c r="E1154" i="1"/>
  <c r="E1106" i="1"/>
  <c r="E1638" i="1"/>
  <c r="E1555" i="1"/>
  <c r="E1472" i="1"/>
  <c r="E1424" i="1"/>
  <c r="E1376" i="1"/>
  <c r="E1328" i="1"/>
  <c r="E1280" i="1"/>
  <c r="E1232" i="1"/>
  <c r="E1184" i="1"/>
  <c r="E1136" i="1"/>
  <c r="E2208" i="1"/>
  <c r="E1620" i="1"/>
  <c r="E1956" i="1"/>
  <c r="E1591" i="1"/>
  <c r="E1460" i="1"/>
  <c r="E1364" i="1"/>
  <c r="E1268" i="1"/>
  <c r="E1172" i="1"/>
  <c r="E668" i="1"/>
  <c r="E1896" i="1"/>
  <c r="E1848" i="1"/>
  <c r="E1800" i="1"/>
  <c r="E1752" i="1"/>
  <c r="E1704" i="1"/>
  <c r="E1656" i="1"/>
  <c r="E1484" i="1"/>
  <c r="E1454" i="1"/>
  <c r="E1388" i="1"/>
  <c r="E1358" i="1"/>
  <c r="E1292" i="1"/>
  <c r="E1262" i="1"/>
  <c r="E1196" i="1"/>
  <c r="E1166" i="1"/>
  <c r="E1100" i="1"/>
  <c r="E1076" i="1"/>
  <c r="E1052" i="1"/>
  <c r="E1028" i="1"/>
  <c r="E1004" i="1"/>
  <c r="E980" i="1"/>
  <c r="E956" i="1"/>
  <c r="E932" i="1"/>
  <c r="E908" i="1"/>
  <c r="E884" i="1"/>
  <c r="E860" i="1"/>
  <c r="E836" i="1"/>
  <c r="E812" i="1"/>
  <c r="E788" i="1"/>
  <c r="E764" i="1"/>
  <c r="E740" i="1"/>
  <c r="E716" i="1"/>
  <c r="E698" i="1"/>
  <c r="E1650" i="1"/>
  <c r="E1094" i="1"/>
  <c r="E1070" i="1"/>
  <c r="E1046" i="1"/>
  <c r="E1022" i="1"/>
  <c r="E998" i="1"/>
  <c r="E974" i="1"/>
  <c r="E950" i="1"/>
  <c r="E926" i="1"/>
  <c r="E902" i="1"/>
  <c r="E878" i="1"/>
  <c r="E854" i="1"/>
  <c r="E830" i="1"/>
  <c r="E806" i="1"/>
  <c r="E782" i="1"/>
  <c r="E758" i="1"/>
  <c r="E734" i="1"/>
  <c r="E710" i="1"/>
  <c r="E662" i="1"/>
  <c r="E650" i="1"/>
  <c r="E638" i="1"/>
  <c r="E626" i="1"/>
  <c r="E614" i="1"/>
  <c r="E602" i="1"/>
  <c r="E590" i="1"/>
  <c r="E578" i="1"/>
  <c r="E566" i="1"/>
  <c r="E554" i="1"/>
  <c r="E542" i="1"/>
  <c r="E2190" i="1"/>
  <c r="E1920" i="1"/>
  <c r="E1872" i="1"/>
  <c r="E1824" i="1"/>
  <c r="E1776" i="1"/>
  <c r="E1728" i="1"/>
  <c r="E1680" i="1"/>
  <c r="E1543" i="1"/>
  <c r="E1508" i="1"/>
  <c r="E1412" i="1"/>
  <c r="E1316" i="1"/>
  <c r="E1220" i="1"/>
  <c r="E1124" i="1"/>
  <c r="E692" i="1"/>
  <c r="E2184" i="1"/>
  <c r="E1608" i="1"/>
  <c r="E1502" i="1"/>
  <c r="E1436" i="1"/>
  <c r="E1406" i="1"/>
  <c r="E1340" i="1"/>
  <c r="E1310" i="1"/>
  <c r="E1244" i="1"/>
  <c r="E1214" i="1"/>
  <c r="E1118" i="1"/>
  <c r="E1088" i="1"/>
  <c r="E1064" i="1"/>
  <c r="E1040" i="1"/>
  <c r="E1016" i="1"/>
  <c r="E992" i="1"/>
  <c r="E968" i="1"/>
  <c r="E944" i="1"/>
  <c r="E920" i="1"/>
  <c r="E896" i="1"/>
  <c r="E872" i="1"/>
  <c r="E848" i="1"/>
  <c r="E824" i="1"/>
  <c r="E800" i="1"/>
  <c r="E776" i="1"/>
  <c r="E752" i="1"/>
  <c r="E728" i="1"/>
  <c r="E674" i="1"/>
  <c r="E1908" i="1"/>
  <c r="E1860" i="1"/>
  <c r="E1812" i="1"/>
  <c r="E1764" i="1"/>
  <c r="E1716" i="1"/>
  <c r="E1668" i="1"/>
  <c r="E1567" i="1"/>
  <c r="E1466" i="1"/>
  <c r="E1370" i="1"/>
  <c r="E1274" i="1"/>
  <c r="E1178" i="1"/>
  <c r="E704" i="1"/>
  <c r="E1474" i="1"/>
  <c r="E1426" i="1"/>
  <c r="E1378" i="1"/>
  <c r="E1330" i="1"/>
  <c r="E1282" i="1"/>
  <c r="E1234" i="1"/>
  <c r="E1186" i="1"/>
  <c r="E1504" i="1"/>
  <c r="E1456" i="1"/>
  <c r="E1408" i="1"/>
  <c r="E1360" i="1"/>
  <c r="E1312" i="1"/>
  <c r="E1264" i="1"/>
  <c r="E1216" i="1"/>
  <c r="E1168" i="1"/>
  <c r="E1468" i="1"/>
  <c r="E1420" i="1"/>
  <c r="E1372" i="1"/>
  <c r="E1324" i="1"/>
  <c r="E1276" i="1"/>
  <c r="E1228" i="1"/>
  <c r="E1180" i="1"/>
  <c r="E1498" i="1"/>
  <c r="E1450" i="1"/>
  <c r="E1402" i="1"/>
  <c r="E1354" i="1"/>
  <c r="E1306" i="1"/>
  <c r="E1258" i="1"/>
  <c r="E1210" i="1"/>
  <c r="E1162" i="1"/>
  <c r="E1480" i="1"/>
  <c r="E1384" i="1"/>
  <c r="E1288" i="1"/>
  <c r="E1192" i="1"/>
  <c r="E1432" i="1"/>
  <c r="E1336" i="1"/>
  <c r="E1240" i="1"/>
  <c r="E1492" i="1"/>
  <c r="E1462" i="1"/>
  <c r="E1396" i="1"/>
  <c r="E1366" i="1"/>
  <c r="E1300" i="1"/>
  <c r="E1270" i="1"/>
  <c r="E1204" i="1"/>
  <c r="E1174" i="1"/>
  <c r="E1486" i="1"/>
  <c r="E1390" i="1"/>
  <c r="E1294" i="1"/>
  <c r="E1198" i="1"/>
  <c r="E321" i="1"/>
  <c r="E352" i="1"/>
  <c r="E361" i="1"/>
  <c r="E388" i="1"/>
  <c r="E397" i="1"/>
  <c r="E540" i="1"/>
  <c r="E564" i="1"/>
  <c r="E588" i="1"/>
  <c r="E612" i="1"/>
  <c r="E636" i="1"/>
  <c r="E706" i="1"/>
  <c r="E1211" i="1"/>
  <c r="E1222" i="1"/>
  <c r="E1327" i="1"/>
  <c r="E1595" i="1"/>
  <c r="E1606" i="1"/>
  <c r="E1735" i="1"/>
  <c r="E1827" i="1"/>
  <c r="E2108" i="1"/>
  <c r="E313" i="1"/>
  <c r="E348" i="1"/>
  <c r="E357" i="1"/>
  <c r="E384" i="1"/>
  <c r="E393" i="1"/>
  <c r="E416" i="1"/>
  <c r="E440" i="1"/>
  <c r="E464" i="1"/>
  <c r="E488" i="1"/>
  <c r="E671" i="1"/>
  <c r="E686" i="1"/>
  <c r="E722" i="1"/>
  <c r="E754" i="1"/>
  <c r="E770" i="1"/>
  <c r="E802" i="1"/>
  <c r="E818" i="1"/>
  <c r="E850" i="1"/>
  <c r="E866" i="1"/>
  <c r="E898" i="1"/>
  <c r="E914" i="1"/>
  <c r="E946" i="1"/>
  <c r="E962" i="1"/>
  <c r="E994" i="1"/>
  <c r="E1010" i="1"/>
  <c r="E1042" i="1"/>
  <c r="E1058" i="1"/>
  <c r="E1090" i="1"/>
  <c r="E1322" i="1"/>
  <c r="E1444" i="1"/>
  <c r="E1725" i="1"/>
  <c r="E1971" i="1"/>
  <c r="E2079" i="1"/>
  <c r="E699" i="1"/>
  <c r="E1287" i="1"/>
  <c r="E2077" i="1"/>
  <c r="E5" i="1"/>
  <c r="E13" i="1"/>
  <c r="E17" i="1"/>
  <c r="E21" i="1"/>
  <c r="E25" i="1"/>
  <c r="E29" i="1"/>
  <c r="E33" i="1"/>
  <c r="E41" i="1"/>
  <c r="E53" i="1"/>
  <c r="E65" i="1"/>
  <c r="E77" i="1"/>
  <c r="E89" i="1"/>
  <c r="E93" i="1"/>
  <c r="E101" i="1"/>
  <c r="E105" i="1"/>
  <c r="E109" i="1"/>
  <c r="E113" i="1"/>
  <c r="E121" i="1"/>
  <c r="E125" i="1"/>
  <c r="E133" i="1"/>
  <c r="E137" i="1"/>
  <c r="E145" i="1"/>
  <c r="E149" i="1"/>
  <c r="E157" i="1"/>
  <c r="E161" i="1"/>
  <c r="E169" i="1"/>
  <c r="E173" i="1"/>
  <c r="E181" i="1"/>
  <c r="E185" i="1"/>
  <c r="E193" i="1"/>
  <c r="E197" i="1"/>
  <c r="E205" i="1"/>
  <c r="E209" i="1"/>
  <c r="E217" i="1"/>
  <c r="E221" i="1"/>
  <c r="E229" i="1"/>
  <c r="E233" i="1"/>
  <c r="E241" i="1"/>
  <c r="E245" i="1"/>
  <c r="E253" i="1"/>
  <c r="E257" i="1"/>
  <c r="E265" i="1"/>
  <c r="E269" i="1"/>
  <c r="E277" i="1"/>
  <c r="E281" i="1"/>
  <c r="E293" i="1"/>
  <c r="E297" i="1"/>
  <c r="E305" i="1"/>
  <c r="E512" i="1"/>
  <c r="E536" i="1"/>
  <c r="E560" i="1"/>
  <c r="E584" i="1"/>
  <c r="E608" i="1"/>
  <c r="E632" i="1"/>
  <c r="E656" i="1"/>
  <c r="E1150" i="1"/>
  <c r="E1479" i="1"/>
  <c r="E1534" i="1"/>
  <c r="E1731" i="1"/>
  <c r="E1995" i="1"/>
  <c r="E3868" i="1"/>
  <c r="E3840" i="1"/>
  <c r="E3776" i="1"/>
  <c r="E3692" i="1"/>
  <c r="E3875" i="1"/>
  <c r="E3847" i="1"/>
  <c r="E3699" i="1"/>
  <c r="E3882" i="1"/>
  <c r="E3854" i="1"/>
  <c r="E3642" i="1"/>
  <c r="E3685" i="1"/>
  <c r="E3713" i="1"/>
  <c r="E3889" i="1"/>
  <c r="E3671" i="1"/>
  <c r="E3649" i="1"/>
  <c r="E3861" i="1"/>
  <c r="E3769" i="1"/>
  <c r="E3706" i="1"/>
  <c r="E3678" i="1"/>
  <c r="E3228" i="1"/>
  <c r="E3180" i="1"/>
  <c r="E3128" i="1"/>
  <c r="E3068" i="1"/>
  <c r="E2991" i="1"/>
  <c r="E3174" i="1"/>
  <c r="E3161" i="1"/>
  <c r="E2632" i="1"/>
  <c r="E2624" i="1"/>
  <c r="E2612" i="1"/>
  <c r="E3003" i="1"/>
  <c r="E2985" i="1"/>
  <c r="E3141" i="1"/>
  <c r="E2997" i="1"/>
  <c r="E3101" i="1"/>
  <c r="E3015" i="1"/>
  <c r="E2638" i="1"/>
  <c r="E2773" i="1"/>
  <c r="E3009" i="1"/>
  <c r="E2979" i="1"/>
  <c r="E2949" i="1"/>
  <c r="E2925" i="1"/>
  <c r="E2901" i="1"/>
  <c r="E2877" i="1"/>
  <c r="E2853" i="1"/>
  <c r="E2829" i="1"/>
  <c r="E2943" i="1"/>
  <c r="E2919" i="1"/>
  <c r="E2895" i="1"/>
  <c r="E2871" i="1"/>
  <c r="E2847" i="1"/>
  <c r="E2823" i="1"/>
  <c r="E2809" i="1"/>
  <c r="E2767" i="1"/>
  <c r="E2967" i="1"/>
  <c r="E2749" i="1"/>
  <c r="E2618" i="1"/>
  <c r="E2937" i="1"/>
  <c r="E2889" i="1"/>
  <c r="E2841" i="1"/>
  <c r="E3095" i="1"/>
  <c r="E2931" i="1"/>
  <c r="E2883" i="1"/>
  <c r="E2835" i="1"/>
  <c r="E2973" i="1"/>
  <c r="E2803" i="1"/>
  <c r="E2306" i="1"/>
  <c r="E2294" i="1"/>
  <c r="E2282" i="1"/>
  <c r="E2270" i="1"/>
  <c r="E2258" i="1"/>
  <c r="E2246" i="1"/>
  <c r="E2234" i="1"/>
  <c r="E2222" i="1"/>
  <c r="E2210" i="1"/>
  <c r="E2198" i="1"/>
  <c r="E2961" i="1"/>
  <c r="E2913" i="1"/>
  <c r="E2865" i="1"/>
  <c r="E2817" i="1"/>
  <c r="E2955" i="1"/>
  <c r="E2907" i="1"/>
  <c r="E2859" i="1"/>
  <c r="E2300" i="1"/>
  <c r="E2252" i="1"/>
  <c r="E2204" i="1"/>
  <c r="E2144" i="1"/>
  <c r="E2096" i="1"/>
  <c r="E2084" i="1"/>
  <c r="E2072" i="1"/>
  <c r="E2060" i="1"/>
  <c r="E2048" i="1"/>
  <c r="E2036" i="1"/>
  <c r="E2024" i="1"/>
  <c r="E2012" i="1"/>
  <c r="E2000" i="1"/>
  <c r="E1988" i="1"/>
  <c r="E1976" i="1"/>
  <c r="E2174" i="1"/>
  <c r="E2126" i="1"/>
  <c r="E2797" i="1"/>
  <c r="E2276" i="1"/>
  <c r="E2228" i="1"/>
  <c r="E2186" i="1"/>
  <c r="E2168" i="1"/>
  <c r="E2120" i="1"/>
  <c r="E2090" i="1"/>
  <c r="E2078" i="1"/>
  <c r="E2066" i="1"/>
  <c r="E2054" i="1"/>
  <c r="E2042" i="1"/>
  <c r="E2030" i="1"/>
  <c r="E2018" i="1"/>
  <c r="E2006" i="1"/>
  <c r="E1994" i="1"/>
  <c r="E1982" i="1"/>
  <c r="E1970" i="1"/>
  <c r="E1958" i="1"/>
  <c r="E1946" i="1"/>
  <c r="E1934" i="1"/>
  <c r="E1922" i="1"/>
  <c r="E1910" i="1"/>
  <c r="E1898" i="1"/>
  <c r="E1886" i="1"/>
  <c r="E1874" i="1"/>
  <c r="E1862" i="1"/>
  <c r="E1850" i="1"/>
  <c r="E1838" i="1"/>
  <c r="E1826" i="1"/>
  <c r="E1814" i="1"/>
  <c r="E1802" i="1"/>
  <c r="E1790" i="1"/>
  <c r="E1778" i="1"/>
  <c r="E1766" i="1"/>
  <c r="E1754" i="1"/>
  <c r="E1742" i="1"/>
  <c r="E1730" i="1"/>
  <c r="E1718" i="1"/>
  <c r="E1706" i="1"/>
  <c r="E1694" i="1"/>
  <c r="E1682" i="1"/>
  <c r="E1670" i="1"/>
  <c r="E1658" i="1"/>
  <c r="E2150" i="1"/>
  <c r="E2102" i="1"/>
  <c r="E2138" i="1"/>
  <c r="E1928" i="1"/>
  <c r="E1880" i="1"/>
  <c r="E1832" i="1"/>
  <c r="E1784" i="1"/>
  <c r="E1736" i="1"/>
  <c r="E1688" i="1"/>
  <c r="E2216" i="1"/>
  <c r="E2162" i="1"/>
  <c r="E1593" i="1"/>
  <c r="E1581" i="1"/>
  <c r="E1569" i="1"/>
  <c r="E1545" i="1"/>
  <c r="E1533" i="1"/>
  <c r="E1521" i="1"/>
  <c r="E2288" i="1"/>
  <c r="E2192" i="1"/>
  <c r="E2156" i="1"/>
  <c r="E2240" i="1"/>
  <c r="E1640" i="1"/>
  <c r="E1940" i="1"/>
  <c r="E1916" i="1"/>
  <c r="E1892" i="1"/>
  <c r="E1868" i="1"/>
  <c r="E1844" i="1"/>
  <c r="E1820" i="1"/>
  <c r="E1796" i="1"/>
  <c r="E1772" i="1"/>
  <c r="E1748" i="1"/>
  <c r="E1724" i="1"/>
  <c r="E1700" i="1"/>
  <c r="E1676" i="1"/>
  <c r="E1622" i="1"/>
  <c r="E1587" i="1"/>
  <c r="E1539" i="1"/>
  <c r="E1634" i="1"/>
  <c r="E1551" i="1"/>
  <c r="E1616" i="1"/>
  <c r="E2180" i="1"/>
  <c r="E2264" i="1"/>
  <c r="E1652" i="1"/>
  <c r="E1556" i="1"/>
  <c r="E1646" i="1"/>
  <c r="E1904" i="1"/>
  <c r="E1856" i="1"/>
  <c r="E1808" i="1"/>
  <c r="E1760" i="1"/>
  <c r="E1712" i="1"/>
  <c r="E1664" i="1"/>
  <c r="E1604" i="1"/>
  <c r="E1563" i="1"/>
  <c r="E2132" i="1"/>
  <c r="E1964" i="1"/>
  <c r="E1628" i="1"/>
  <c r="E1598" i="1"/>
  <c r="E1952" i="1"/>
  <c r="E1527" i="1"/>
  <c r="E3361" i="1"/>
  <c r="E3493" i="1"/>
  <c r="E3359" i="1"/>
  <c r="E2603" i="1"/>
  <c r="E2577" i="1"/>
  <c r="E2556" i="1"/>
  <c r="E2552" i="1"/>
  <c r="E2548" i="1"/>
  <c r="E2544" i="1"/>
  <c r="E2540" i="1"/>
  <c r="E2536" i="1"/>
  <c r="E2532" i="1"/>
  <c r="E2528" i="1"/>
  <c r="E2524" i="1"/>
  <c r="E2520" i="1"/>
  <c r="E2516" i="1"/>
  <c r="E2512" i="1"/>
  <c r="E2607" i="1"/>
  <c r="E2581" i="1"/>
  <c r="E2597" i="1"/>
  <c r="E2575" i="1"/>
  <c r="E2605" i="1"/>
  <c r="E2583" i="1"/>
  <c r="E2558" i="1"/>
  <c r="E2545" i="1"/>
  <c r="E2523" i="1"/>
  <c r="E2497" i="1"/>
  <c r="E2475" i="1"/>
  <c r="E2449" i="1"/>
  <c r="E2427" i="1"/>
  <c r="E2401" i="1"/>
  <c r="E2379" i="1"/>
  <c r="E2375" i="1"/>
  <c r="E2371" i="1"/>
  <c r="E2367" i="1"/>
  <c r="E2363" i="1"/>
  <c r="E2359" i="1"/>
  <c r="E2355" i="1"/>
  <c r="E2351" i="1"/>
  <c r="E2595" i="1"/>
  <c r="E2571" i="1"/>
  <c r="E2549" i="1"/>
  <c r="E2527" i="1"/>
  <c r="E2514" i="1"/>
  <c r="E2501" i="1"/>
  <c r="E2479" i="1"/>
  <c r="E2453" i="1"/>
  <c r="E2431" i="1"/>
  <c r="E2405" i="1"/>
  <c r="E2383" i="1"/>
  <c r="E2553" i="1"/>
  <c r="E2531" i="1"/>
  <c r="E2518" i="1"/>
  <c r="E2505" i="1"/>
  <c r="E2483" i="1"/>
  <c r="E2457" i="1"/>
  <c r="E2435" i="1"/>
  <c r="E2409" i="1"/>
  <c r="E2387" i="1"/>
  <c r="E2599" i="1"/>
  <c r="E2585" i="1"/>
  <c r="E2557" i="1"/>
  <c r="E2535" i="1"/>
  <c r="E2522" i="1"/>
  <c r="E2509" i="1"/>
  <c r="E2487" i="1"/>
  <c r="E2461" i="1"/>
  <c r="E2439" i="1"/>
  <c r="E2413" i="1"/>
  <c r="E2391" i="1"/>
  <c r="E2579" i="1"/>
  <c r="E2565" i="1"/>
  <c r="E2543" i="1"/>
  <c r="E2530" i="1"/>
  <c r="E2517" i="1"/>
  <c r="E2495" i="1"/>
  <c r="E2469" i="1"/>
  <c r="E2447" i="1"/>
  <c r="E2421" i="1"/>
  <c r="E2399" i="1"/>
  <c r="E2593" i="1"/>
  <c r="E2569" i="1"/>
  <c r="E2547" i="1"/>
  <c r="E2534" i="1"/>
  <c r="E2521" i="1"/>
  <c r="E2499" i="1"/>
  <c r="E2473" i="1"/>
  <c r="E2451" i="1"/>
  <c r="E2425" i="1"/>
  <c r="E2403" i="1"/>
  <c r="E2377" i="1"/>
  <c r="E2373" i="1"/>
  <c r="E2369" i="1"/>
  <c r="E2365" i="1"/>
  <c r="E2361" i="1"/>
  <c r="E2357" i="1"/>
  <c r="E2353" i="1"/>
  <c r="E2537" i="1"/>
  <c r="E2511" i="1"/>
  <c r="E2491" i="1"/>
  <c r="E2481" i="1"/>
  <c r="E2441" i="1"/>
  <c r="E2415" i="1"/>
  <c r="E2395" i="1"/>
  <c r="E2385" i="1"/>
  <c r="E2561" i="1"/>
  <c r="E2551" i="1"/>
  <c r="E2546" i="1"/>
  <c r="E2541" i="1"/>
  <c r="E2526" i="1"/>
  <c r="E2465" i="1"/>
  <c r="E2455" i="1"/>
  <c r="E2445" i="1"/>
  <c r="E2515" i="1"/>
  <c r="E2419" i="1"/>
  <c r="E2591" i="1"/>
  <c r="E2519" i="1"/>
  <c r="E2423" i="1"/>
  <c r="E2559" i="1"/>
  <c r="E2554" i="1"/>
  <c r="E2539" i="1"/>
  <c r="E2529" i="1"/>
  <c r="E2489" i="1"/>
  <c r="E2463" i="1"/>
  <c r="E2443" i="1"/>
  <c r="E2433" i="1"/>
  <c r="E2393" i="1"/>
  <c r="E2513" i="1"/>
  <c r="E2503" i="1"/>
  <c r="E2493" i="1"/>
  <c r="E2417" i="1"/>
  <c r="E2407" i="1"/>
  <c r="E2397" i="1"/>
  <c r="E2459" i="1"/>
  <c r="E2437" i="1"/>
  <c r="E2587" i="1"/>
  <c r="E2542" i="1"/>
  <c r="E2563" i="1"/>
  <c r="E2429" i="1"/>
  <c r="E2411" i="1"/>
  <c r="E2389" i="1"/>
  <c r="E2601" i="1"/>
  <c r="E2573" i="1"/>
  <c r="E2467" i="1"/>
  <c r="E2477" i="1"/>
  <c r="E2471" i="1"/>
  <c r="E2589" i="1"/>
  <c r="E2381" i="1"/>
  <c r="E2555" i="1"/>
  <c r="E2538" i="1"/>
  <c r="E2485" i="1"/>
  <c r="E2525" i="1"/>
  <c r="E59" i="1"/>
  <c r="E1879" i="1"/>
  <c r="E2492" i="1"/>
  <c r="E2488" i="1"/>
  <c r="E2484" i="1"/>
  <c r="E2480" i="1"/>
  <c r="E2476" i="1"/>
  <c r="E2472" i="1"/>
  <c r="E2468" i="1"/>
  <c r="E2464" i="1"/>
  <c r="E2460" i="1"/>
  <c r="E2456" i="1"/>
  <c r="E2452" i="1"/>
  <c r="E2448" i="1"/>
  <c r="E2444" i="1"/>
  <c r="E2440" i="1"/>
  <c r="E2436" i="1"/>
  <c r="E2432" i="1"/>
  <c r="E2428" i="1"/>
  <c r="E2462" i="1"/>
  <c r="E2466" i="1"/>
  <c r="E2470" i="1"/>
  <c r="E2474" i="1"/>
  <c r="E2482" i="1"/>
  <c r="E2434" i="1"/>
  <c r="E2486" i="1"/>
  <c r="E2438" i="1"/>
  <c r="E2450" i="1"/>
  <c r="E2430" i="1"/>
  <c r="E2458" i="1"/>
  <c r="E2478" i="1"/>
  <c r="E2442" i="1"/>
  <c r="E2490" i="1"/>
  <c r="E2454" i="1"/>
  <c r="E2446" i="1"/>
  <c r="E3324" i="1"/>
  <c r="E3312" i="1"/>
  <c r="E3284" i="1"/>
  <c r="E3318" i="1"/>
  <c r="E3291" i="1"/>
  <c r="E3307" i="1"/>
  <c r="E3302" i="1"/>
  <c r="E3297" i="1"/>
  <c r="E2722" i="1"/>
  <c r="E2647" i="1"/>
  <c r="E3341" i="1"/>
  <c r="E3330" i="1"/>
  <c r="E3335" i="1"/>
  <c r="E2726" i="1"/>
  <c r="E527" i="1"/>
  <c r="E523" i="1"/>
  <c r="E503" i="1"/>
  <c r="E518" i="1"/>
  <c r="E498" i="1"/>
  <c r="E402" i="1"/>
  <c r="E390" i="1"/>
  <c r="E378" i="1"/>
  <c r="E366" i="1"/>
  <c r="E354" i="1"/>
  <c r="E342" i="1"/>
  <c r="E330" i="1"/>
  <c r="E318" i="1"/>
  <c r="E513" i="1"/>
  <c r="E493" i="1"/>
  <c r="E489" i="1"/>
  <c r="E485" i="1"/>
  <c r="E481" i="1"/>
  <c r="E477" i="1"/>
  <c r="E473" i="1"/>
  <c r="E469" i="1"/>
  <c r="E465" i="1"/>
  <c r="E461" i="1"/>
  <c r="E457" i="1"/>
  <c r="E453" i="1"/>
  <c r="E449" i="1"/>
  <c r="E445" i="1"/>
  <c r="E441" i="1"/>
  <c r="E437" i="1"/>
  <c r="E433" i="1"/>
  <c r="E429" i="1"/>
  <c r="E425" i="1"/>
  <c r="E421" i="1"/>
  <c r="E417" i="1"/>
  <c r="E413" i="1"/>
  <c r="E2029" i="1"/>
  <c r="E2" i="1"/>
  <c r="E6" i="1"/>
  <c r="E10" i="1"/>
  <c r="E14" i="1"/>
  <c r="E18" i="1"/>
  <c r="E22" i="1"/>
  <c r="E26" i="1"/>
  <c r="E30" i="1"/>
  <c r="E34" i="1"/>
  <c r="E38" i="1"/>
  <c r="E42" i="1"/>
  <c r="E50" i="1"/>
  <c r="E62" i="1"/>
  <c r="E86" i="1"/>
  <c r="E90" i="1"/>
  <c r="E98" i="1"/>
  <c r="E102" i="1"/>
  <c r="E110" i="1"/>
  <c r="E118" i="1"/>
  <c r="E122" i="1"/>
  <c r="E130" i="1"/>
  <c r="E134" i="1"/>
  <c r="E142" i="1"/>
  <c r="E146" i="1"/>
  <c r="E154" i="1"/>
  <c r="E158" i="1"/>
  <c r="E166" i="1"/>
  <c r="E170" i="1"/>
  <c r="E178" i="1"/>
  <c r="E182" i="1"/>
  <c r="E190" i="1"/>
  <c r="E194" i="1"/>
  <c r="E202" i="1"/>
  <c r="E206" i="1"/>
  <c r="E214" i="1"/>
  <c r="E218" i="1"/>
  <c r="E226" i="1"/>
  <c r="E230" i="1"/>
  <c r="E238" i="1"/>
  <c r="E242" i="1"/>
  <c r="E250" i="1"/>
  <c r="E254" i="1"/>
  <c r="E262" i="1"/>
  <c r="E266" i="1"/>
  <c r="E274" i="1"/>
  <c r="E278" i="1"/>
  <c r="E286" i="1"/>
  <c r="E290" i="1"/>
  <c r="E302" i="1"/>
  <c r="E327" i="1"/>
  <c r="E336" i="1"/>
  <c r="E345" i="1"/>
  <c r="E372" i="1"/>
  <c r="E381" i="1"/>
  <c r="E408" i="1"/>
  <c r="E432" i="1"/>
  <c r="E456" i="1"/>
  <c r="E480" i="1"/>
  <c r="E1130" i="1"/>
  <c r="E1146" i="1"/>
  <c r="E1191" i="1"/>
  <c r="E1246" i="1"/>
  <c r="E1575" i="1"/>
  <c r="E1630" i="1"/>
  <c r="E1783" i="1"/>
  <c r="E1875" i="1"/>
  <c r="E2013" i="1"/>
  <c r="E2567" i="1"/>
  <c r="E2784" i="1"/>
  <c r="E2760" i="1"/>
  <c r="E2790" i="1"/>
  <c r="E2787" i="1"/>
  <c r="E2721" i="1"/>
  <c r="E2699" i="1"/>
  <c r="E2673" i="1"/>
  <c r="E2703" i="1"/>
  <c r="E2677" i="1"/>
  <c r="E2655" i="1"/>
  <c r="E2742" i="1"/>
  <c r="E2707" i="1"/>
  <c r="E2681" i="1"/>
  <c r="E2754" i="1"/>
  <c r="E2719" i="1"/>
  <c r="E2671" i="1"/>
  <c r="E2745" i="1"/>
  <c r="E2697" i="1"/>
  <c r="E2675" i="1"/>
  <c r="E2701" i="1"/>
  <c r="E2679" i="1"/>
  <c r="E2653" i="1"/>
  <c r="E2778" i="1"/>
  <c r="E2683" i="1"/>
  <c r="E2663" i="1"/>
  <c r="E2717" i="1"/>
  <c r="E2793" i="1"/>
  <c r="E2757" i="1"/>
  <c r="E2687" i="1"/>
  <c r="E2667" i="1"/>
  <c r="E2657" i="1"/>
  <c r="E2661" i="1"/>
  <c r="E2715" i="1"/>
  <c r="E2705" i="1"/>
  <c r="E2730" i="1"/>
  <c r="E2685" i="1"/>
  <c r="E2665" i="1"/>
  <c r="E2669" i="1"/>
  <c r="E2781" i="1"/>
  <c r="E2689" i="1"/>
  <c r="E2659" i="1"/>
  <c r="E2713" i="1"/>
  <c r="E2763" i="1"/>
  <c r="E2711" i="1"/>
  <c r="E2709" i="1"/>
  <c r="E83" i="1"/>
  <c r="E2550" i="1"/>
  <c r="E2508" i="1"/>
  <c r="E2504" i="1"/>
  <c r="E2500" i="1"/>
  <c r="E2496" i="1"/>
  <c r="E2510" i="1"/>
  <c r="E2506" i="1"/>
  <c r="E2498" i="1"/>
  <c r="E2494" i="1"/>
  <c r="E2502" i="1"/>
  <c r="E315" i="1"/>
  <c r="E428" i="1"/>
  <c r="E452" i="1"/>
  <c r="E476" i="1"/>
  <c r="E500" i="1"/>
  <c r="E694" i="1"/>
  <c r="E730" i="1"/>
  <c r="E746" i="1"/>
  <c r="E778" i="1"/>
  <c r="E794" i="1"/>
  <c r="E826" i="1"/>
  <c r="E842" i="1"/>
  <c r="E874" i="1"/>
  <c r="E890" i="1"/>
  <c r="E922" i="1"/>
  <c r="E938" i="1"/>
  <c r="E970" i="1"/>
  <c r="E986" i="1"/>
  <c r="E1018" i="1"/>
  <c r="E1034" i="1"/>
  <c r="E1066" i="1"/>
  <c r="E1082" i="1"/>
  <c r="E1115" i="1"/>
  <c r="E1126" i="1"/>
  <c r="E1252" i="1"/>
  <c r="E1514" i="1"/>
  <c r="E1636" i="1"/>
  <c r="E1687" i="1"/>
  <c r="E1779" i="1"/>
  <c r="E2140" i="1"/>
  <c r="E2533" i="1"/>
  <c r="E1188" i="1"/>
  <c r="E1236" i="1"/>
  <c r="E1284" i="1"/>
  <c r="E1332" i="1"/>
  <c r="E1380" i="1"/>
  <c r="E1428" i="1"/>
  <c r="E1476" i="1"/>
  <c r="E1524" i="1"/>
  <c r="E1572" i="1"/>
  <c r="E1607" i="1"/>
  <c r="E1655" i="1"/>
  <c r="E1703" i="1"/>
  <c r="E1751" i="1"/>
  <c r="E1799" i="1"/>
  <c r="E1847" i="1"/>
  <c r="E1895" i="1"/>
  <c r="E1943" i="1"/>
  <c r="E2093" i="1"/>
  <c r="E2141" i="1"/>
  <c r="E2398" i="1"/>
  <c r="E1110" i="1"/>
  <c r="E1158" i="1"/>
  <c r="E1206" i="1"/>
  <c r="E1254" i="1"/>
  <c r="E1302" i="1"/>
  <c r="E1350" i="1"/>
  <c r="E1398" i="1"/>
  <c r="E1446" i="1"/>
  <c r="E1494" i="1"/>
  <c r="E1542" i="1"/>
  <c r="E1590" i="1"/>
  <c r="E1973" i="1"/>
  <c r="E1516" i="1"/>
  <c r="E1949" i="1"/>
  <c r="E1979" i="1"/>
  <c r="E2105" i="1"/>
  <c r="E3340" i="1"/>
  <c r="E3283" i="1"/>
  <c r="E3323" i="1"/>
  <c r="E3317" i="1"/>
  <c r="E3290" i="1"/>
  <c r="E2646" i="1"/>
  <c r="E3316" i="1"/>
  <c r="E3296" i="1"/>
  <c r="E3301" i="1"/>
  <c r="E3339" i="1"/>
  <c r="E3334" i="1"/>
  <c r="E3329" i="1"/>
  <c r="E3311" i="1"/>
  <c r="E3289" i="1"/>
  <c r="E3306" i="1"/>
  <c r="E2792" i="1"/>
  <c r="E2780" i="1"/>
  <c r="E2756" i="1"/>
  <c r="E2744" i="1"/>
  <c r="E2786" i="1"/>
  <c r="E2777" i="1"/>
  <c r="E2741" i="1"/>
  <c r="E2789" i="1"/>
  <c r="E2762" i="1"/>
  <c r="E2783" i="1"/>
  <c r="E2759" i="1"/>
  <c r="E2753" i="1"/>
  <c r="E2343" i="1"/>
  <c r="E2331" i="1"/>
  <c r="E2319" i="1"/>
  <c r="E2346" i="1"/>
  <c r="E2334" i="1"/>
  <c r="E2322" i="1"/>
  <c r="E2310" i="1"/>
  <c r="E2349" i="1"/>
  <c r="E2337" i="1"/>
  <c r="E2325" i="1"/>
  <c r="E2313" i="1"/>
  <c r="E2316" i="1"/>
  <c r="E2340" i="1"/>
  <c r="E3892" i="1"/>
  <c r="E3864" i="1"/>
  <c r="E3836" i="1"/>
  <c r="E3808" i="1"/>
  <c r="E3800" i="1"/>
  <c r="E3772" i="1"/>
  <c r="E3744" i="1"/>
  <c r="E3716" i="1"/>
  <c r="E3688" i="1"/>
  <c r="E3652" i="1"/>
  <c r="E3620" i="1"/>
  <c r="E3608" i="1"/>
  <c r="E3596" i="1"/>
  <c r="E3584" i="1"/>
  <c r="E3572" i="1"/>
  <c r="E3899" i="1"/>
  <c r="E3871" i="1"/>
  <c r="E3843" i="1"/>
  <c r="E3815" i="1"/>
  <c r="E3779" i="1"/>
  <c r="E3751" i="1"/>
  <c r="E3723" i="1"/>
  <c r="E3695" i="1"/>
  <c r="E3906" i="1"/>
  <c r="E3878" i="1"/>
  <c r="E3850" i="1"/>
  <c r="E3829" i="1"/>
  <c r="E3786" i="1"/>
  <c r="E3885" i="1"/>
  <c r="E3709" i="1"/>
  <c r="E3681" i="1"/>
  <c r="E3659" i="1"/>
  <c r="E3633" i="1"/>
  <c r="E3560" i="1"/>
  <c r="E3548" i="1"/>
  <c r="E3536" i="1"/>
  <c r="E3524" i="1"/>
  <c r="E3508" i="1"/>
  <c r="E3476" i="1"/>
  <c r="E3456" i="1"/>
  <c r="E3436" i="1"/>
  <c r="E3416" i="1"/>
  <c r="E3396" i="1"/>
  <c r="E3376" i="1"/>
  <c r="E3356" i="1"/>
  <c r="E3332" i="1"/>
  <c r="E3320" i="1"/>
  <c r="E3304" i="1"/>
  <c r="E3272" i="1"/>
  <c r="E3240" i="1"/>
  <c r="E3224" i="1"/>
  <c r="E3196" i="1"/>
  <c r="E3164" i="1"/>
  <c r="E3144" i="1"/>
  <c r="E3124" i="1"/>
  <c r="E3104" i="1"/>
  <c r="E3084" i="1"/>
  <c r="E3064" i="1"/>
  <c r="E3012" i="1"/>
  <c r="E3000" i="1"/>
  <c r="E2988" i="1"/>
  <c r="E2976" i="1"/>
  <c r="E2964" i="1"/>
  <c r="E3737" i="1"/>
  <c r="E3667" i="1"/>
  <c r="E3602" i="1"/>
  <c r="E3857" i="1"/>
  <c r="E3645" i="1"/>
  <c r="E3503" i="1"/>
  <c r="E3491" i="1"/>
  <c r="E3471" i="1"/>
  <c r="E3451" i="1"/>
  <c r="E3431" i="1"/>
  <c r="E3411" i="1"/>
  <c r="E3391" i="1"/>
  <c r="E3822" i="1"/>
  <c r="E3765" i="1"/>
  <c r="E3702" i="1"/>
  <c r="E3614" i="1"/>
  <c r="E3793" i="1"/>
  <c r="E3566" i="1"/>
  <c r="E3554" i="1"/>
  <c r="E3542" i="1"/>
  <c r="E3530" i="1"/>
  <c r="E3518" i="1"/>
  <c r="E3498" i="1"/>
  <c r="E3486" i="1"/>
  <c r="E3730" i="1"/>
  <c r="E3674" i="1"/>
  <c r="E3639" i="1"/>
  <c r="E3758" i="1"/>
  <c r="E3446" i="1"/>
  <c r="E3314" i="1"/>
  <c r="E3231" i="1"/>
  <c r="E3183" i="1"/>
  <c r="E3170" i="1"/>
  <c r="E3157" i="1"/>
  <c r="E3026" i="1"/>
  <c r="E3441" i="1"/>
  <c r="E3366" i="1"/>
  <c r="E3235" i="1"/>
  <c r="E3091" i="1"/>
  <c r="E3030" i="1"/>
  <c r="E2982" i="1"/>
  <c r="E2952" i="1"/>
  <c r="E2940" i="1"/>
  <c r="E2928" i="1"/>
  <c r="E2916" i="1"/>
  <c r="E2904" i="1"/>
  <c r="E2892" i="1"/>
  <c r="E2880" i="1"/>
  <c r="E2868" i="1"/>
  <c r="E2856" i="1"/>
  <c r="E2844" i="1"/>
  <c r="E2832" i="1"/>
  <c r="E2820" i="1"/>
  <c r="E2800" i="1"/>
  <c r="E2764" i="1"/>
  <c r="E2728" i="1"/>
  <c r="E2724" i="1"/>
  <c r="E3421" i="1"/>
  <c r="E3326" i="1"/>
  <c r="E3278" i="1"/>
  <c r="E3217" i="1"/>
  <c r="E3038" i="1"/>
  <c r="E3578" i="1"/>
  <c r="E3401" i="1"/>
  <c r="E3299" i="1"/>
  <c r="E3286" i="1"/>
  <c r="E3203" i="1"/>
  <c r="E3177" i="1"/>
  <c r="E3059" i="1"/>
  <c r="E3046" i="1"/>
  <c r="E3150" i="1"/>
  <c r="E3137" i="1"/>
  <c r="E3054" i="1"/>
  <c r="E3006" i="1"/>
  <c r="E2958" i="1"/>
  <c r="E2946" i="1"/>
  <c r="E2934" i="1"/>
  <c r="E2922" i="1"/>
  <c r="E2910" i="1"/>
  <c r="E2898" i="1"/>
  <c r="E2886" i="1"/>
  <c r="E2874" i="1"/>
  <c r="E2862" i="1"/>
  <c r="E2850" i="1"/>
  <c r="E2838" i="1"/>
  <c r="E2826" i="1"/>
  <c r="E2814" i="1"/>
  <c r="E2806" i="1"/>
  <c r="E2794" i="1"/>
  <c r="E3381" i="1"/>
  <c r="E3346" i="1"/>
  <c r="E3250" i="1"/>
  <c r="E3189" i="1"/>
  <c r="E3071" i="1"/>
  <c r="E3337" i="1"/>
  <c r="E3626" i="1"/>
  <c r="E3513" i="1"/>
  <c r="E3293" i="1"/>
  <c r="E3262" i="1"/>
  <c r="E3131" i="1"/>
  <c r="E3386" i="1"/>
  <c r="E3267" i="1"/>
  <c r="E3050" i="1"/>
  <c r="E2994" i="1"/>
  <c r="E3406" i="1"/>
  <c r="E3210" i="1"/>
  <c r="E3018" i="1"/>
  <c r="E3255" i="1"/>
  <c r="E3245" i="1"/>
  <c r="E2649" i="1"/>
  <c r="E2627" i="1"/>
  <c r="E3098" i="1"/>
  <c r="E3022" i="1"/>
  <c r="E2615" i="1"/>
  <c r="E2303" i="1"/>
  <c r="E2291" i="1"/>
  <c r="E2279" i="1"/>
  <c r="E2267" i="1"/>
  <c r="E2255" i="1"/>
  <c r="E2243" i="1"/>
  <c r="E2231" i="1"/>
  <c r="E2219" i="1"/>
  <c r="E2207" i="1"/>
  <c r="E2195" i="1"/>
  <c r="E2183" i="1"/>
  <c r="E2171" i="1"/>
  <c r="E2159" i="1"/>
  <c r="E2147" i="1"/>
  <c r="E2135" i="1"/>
  <c r="E2123" i="1"/>
  <c r="E2111" i="1"/>
  <c r="E2099" i="1"/>
  <c r="E3461" i="1"/>
  <c r="E3343" i="1"/>
  <c r="E2643" i="1"/>
  <c r="E3466" i="1"/>
  <c r="E3117" i="1"/>
  <c r="E3034" i="1"/>
  <c r="E2746" i="1"/>
  <c r="E2609" i="1"/>
  <c r="E3426" i="1"/>
  <c r="E3110" i="1"/>
  <c r="E3481" i="1"/>
  <c r="E2770" i="1"/>
  <c r="E2297" i="1"/>
  <c r="E2285" i="1"/>
  <c r="E2273" i="1"/>
  <c r="E2261" i="1"/>
  <c r="E2249" i="1"/>
  <c r="E2237" i="1"/>
  <c r="E2225" i="1"/>
  <c r="E2213" i="1"/>
  <c r="E2201" i="1"/>
  <c r="E2189" i="1"/>
  <c r="E3351" i="1"/>
  <c r="E3371" i="1"/>
  <c r="E2970" i="1"/>
  <c r="E2621" i="1"/>
  <c r="E3590" i="1"/>
  <c r="E2691" i="1"/>
  <c r="E2165" i="1"/>
  <c r="E2117" i="1"/>
  <c r="E3077" i="1"/>
  <c r="E2177" i="1"/>
  <c r="E2129" i="1"/>
  <c r="E3309" i="1"/>
  <c r="E3042" i="1"/>
  <c r="E1937" i="1"/>
  <c r="E1889" i="1"/>
  <c r="E1841" i="1"/>
  <c r="E1793" i="1"/>
  <c r="E1745" i="1"/>
  <c r="E1697" i="1"/>
  <c r="E2153" i="1"/>
  <c r="E2087" i="1"/>
  <c r="E2063" i="1"/>
  <c r="E2039" i="1"/>
  <c r="E2015" i="1"/>
  <c r="E1991" i="1"/>
  <c r="E1967" i="1"/>
  <c r="E1919" i="1"/>
  <c r="E1871" i="1"/>
  <c r="E1823" i="1"/>
  <c r="E1775" i="1"/>
  <c r="E1727" i="1"/>
  <c r="E1679" i="1"/>
  <c r="E1649" i="1"/>
  <c r="E1637" i="1"/>
  <c r="E1625" i="1"/>
  <c r="E1613" i="1"/>
  <c r="E1601" i="1"/>
  <c r="E2635" i="1"/>
  <c r="E2081" i="1"/>
  <c r="E2057" i="1"/>
  <c r="E2033" i="1"/>
  <c r="E2009" i="1"/>
  <c r="E1985" i="1"/>
  <c r="E1961" i="1"/>
  <c r="E1913" i="1"/>
  <c r="E1865" i="1"/>
  <c r="E1817" i="1"/>
  <c r="E1769" i="1"/>
  <c r="E1721" i="1"/>
  <c r="E1673" i="1"/>
  <c r="E2580" i="1"/>
  <c r="E2576" i="1"/>
  <c r="E2572" i="1"/>
  <c r="E2568" i="1"/>
  <c r="E2564" i="1"/>
  <c r="E2560" i="1"/>
  <c r="E2570" i="1"/>
  <c r="E2562" i="1"/>
  <c r="E2566" i="1"/>
  <c r="E2574" i="1"/>
  <c r="E3360" i="1"/>
  <c r="E3494" i="1"/>
  <c r="E3362" i="1"/>
  <c r="E2424" i="1"/>
  <c r="E2420" i="1"/>
  <c r="E2416" i="1"/>
  <c r="E2412" i="1"/>
  <c r="E2408" i="1"/>
  <c r="E2404" i="1"/>
  <c r="E2400" i="1"/>
  <c r="E2396" i="1"/>
  <c r="E2392" i="1"/>
  <c r="E2388" i="1"/>
  <c r="E2384" i="1"/>
  <c r="E2380" i="1"/>
  <c r="E2414" i="1"/>
  <c r="E2418" i="1"/>
  <c r="E2422" i="1"/>
  <c r="E2426" i="1"/>
  <c r="E2378" i="1"/>
  <c r="E2374" i="1"/>
  <c r="E2370" i="1"/>
  <c r="E2366" i="1"/>
  <c r="E2362" i="1"/>
  <c r="E2358" i="1"/>
  <c r="E2354" i="1"/>
  <c r="E2386" i="1"/>
  <c r="E2390" i="1"/>
  <c r="E2410" i="1"/>
  <c r="E2364" i="1"/>
  <c r="E2372" i="1"/>
  <c r="E2356" i="1"/>
  <c r="E2402" i="1"/>
  <c r="E2382" i="1"/>
  <c r="E2352" i="1"/>
  <c r="E2406" i="1"/>
  <c r="E3516" i="1"/>
  <c r="E3496" i="1"/>
  <c r="E3484" i="1"/>
  <c r="E3464" i="1"/>
  <c r="E3444" i="1"/>
  <c r="E3424" i="1"/>
  <c r="E3404" i="1"/>
  <c r="E3384" i="1"/>
  <c r="E3364" i="1"/>
  <c r="E3276" i="1"/>
  <c r="E3511" i="1"/>
  <c r="E3479" i="1"/>
  <c r="E3459" i="1"/>
  <c r="E3439" i="1"/>
  <c r="E3419" i="1"/>
  <c r="E3399" i="1"/>
  <c r="E3506" i="1"/>
  <c r="E3349" i="1"/>
  <c r="E3501" i="1"/>
  <c r="E3379" i="1"/>
  <c r="E3469" i="1"/>
  <c r="E3374" i="1"/>
  <c r="E3449" i="1"/>
  <c r="E3369" i="1"/>
  <c r="E3429" i="1"/>
  <c r="E3281" i="1"/>
  <c r="E3414" i="1"/>
  <c r="E3409" i="1"/>
  <c r="E3389" i="1"/>
  <c r="E3454" i="1"/>
  <c r="E3394" i="1"/>
  <c r="E3434" i="1"/>
  <c r="E3354" i="1"/>
  <c r="E3489" i="1"/>
  <c r="E3474" i="1"/>
  <c r="E1116" i="1"/>
  <c r="E1164" i="1"/>
  <c r="E1212" i="1"/>
  <c r="E1260" i="1"/>
  <c r="E1308" i="1"/>
  <c r="E1356" i="1"/>
  <c r="E1404" i="1"/>
  <c r="E1452" i="1"/>
  <c r="E1500" i="1"/>
  <c r="E1548" i="1"/>
  <c r="E1631" i="1"/>
  <c r="E1955" i="1"/>
  <c r="E2075" i="1"/>
  <c r="E1134" i="1"/>
  <c r="E1147" i="1"/>
  <c r="E1182" i="1"/>
  <c r="E1230" i="1"/>
  <c r="E1278" i="1"/>
  <c r="E1326" i="1"/>
  <c r="E1374" i="1"/>
  <c r="E1422" i="1"/>
  <c r="E1470" i="1"/>
  <c r="E1518" i="1"/>
  <c r="E1566" i="1"/>
  <c r="E1667" i="1"/>
  <c r="E1691" i="1"/>
  <c r="E1715" i="1"/>
  <c r="E1739" i="1"/>
  <c r="E1763" i="1"/>
  <c r="E1787" i="1"/>
  <c r="E1811" i="1"/>
  <c r="E1835" i="1"/>
  <c r="E1859" i="1"/>
  <c r="E1883" i="1"/>
  <c r="E1907" i="1"/>
  <c r="E1931" i="1"/>
  <c r="E2788" i="1"/>
  <c r="E2776" i="1"/>
  <c r="E2752" i="1"/>
  <c r="E2740" i="1"/>
  <c r="E2720" i="1"/>
  <c r="E2716" i="1"/>
  <c r="E2712" i="1"/>
  <c r="E2708" i="1"/>
  <c r="E2704" i="1"/>
  <c r="E2700" i="1"/>
  <c r="E2696" i="1"/>
  <c r="E2688" i="1"/>
  <c r="E2684" i="1"/>
  <c r="E2680" i="1"/>
  <c r="E2676" i="1"/>
  <c r="E2672" i="1"/>
  <c r="E2668" i="1"/>
  <c r="E2664" i="1"/>
  <c r="E2660" i="1"/>
  <c r="E2656" i="1"/>
  <c r="E2652" i="1"/>
  <c r="E2782" i="1"/>
  <c r="E2686" i="1"/>
  <c r="E2791" i="1"/>
  <c r="E2755" i="1"/>
  <c r="E2785" i="1"/>
  <c r="E2706" i="1"/>
  <c r="E2658" i="1"/>
  <c r="E2758" i="1"/>
  <c r="E2710" i="1"/>
  <c r="E2662" i="1"/>
  <c r="E2714" i="1"/>
  <c r="E2666" i="1"/>
  <c r="E2678" i="1"/>
  <c r="E2702" i="1"/>
  <c r="E2682" i="1"/>
  <c r="E2670" i="1"/>
  <c r="E2718" i="1"/>
  <c r="E2761" i="1"/>
  <c r="E2674" i="1"/>
  <c r="E2698" i="1"/>
  <c r="E2743" i="1"/>
</calcChain>
</file>

<file path=xl/sharedStrings.xml><?xml version="1.0" encoding="utf-8"?>
<sst xmlns="http://schemas.openxmlformats.org/spreadsheetml/2006/main" count="23387" uniqueCount="5716">
  <si>
    <t>Code</t>
  </si>
  <si>
    <t>Nombre</t>
  </si>
  <si>
    <t>Cód. Atributo</t>
  </si>
  <si>
    <t>Nombre Atributo</t>
  </si>
  <si>
    <t>Tipo</t>
  </si>
  <si>
    <t>LineId</t>
  </si>
  <si>
    <t>Cód. Valor</t>
  </si>
  <si>
    <t>Nombre Valor</t>
  </si>
  <si>
    <t>Padre</t>
  </si>
  <si>
    <t>A0000003</t>
  </si>
  <si>
    <t>Ancho Vinilo Textil</t>
  </si>
  <si>
    <t>500 mm</t>
  </si>
  <si>
    <t>Premium</t>
  </si>
  <si>
    <t>Cad-Cut Premium Plus 241 Neon Rosa</t>
  </si>
  <si>
    <t>A0000004</t>
  </si>
  <si>
    <t>Cad-Cut Premium Plus 181 Neon Naranja</t>
  </si>
  <si>
    <t>A0000005</t>
  </si>
  <si>
    <t>Cad-Cut Premium Plus 301 Neon Azul</t>
  </si>
  <si>
    <t>A0000006</t>
  </si>
  <si>
    <t>Cad-Cut Premium Plus 401 Neon Verde</t>
  </si>
  <si>
    <t>A0000007</t>
  </si>
  <si>
    <t>Terciopelo</t>
  </si>
  <si>
    <t>Flock 001 Blanco</t>
  </si>
  <si>
    <t>A0000008</t>
  </si>
  <si>
    <t>Flock 100 Amarillo Limón</t>
  </si>
  <si>
    <t>A0000009</t>
  </si>
  <si>
    <t>Flock 110 Amarillo</t>
  </si>
  <si>
    <t>A0000010</t>
  </si>
  <si>
    <t>Flock 180 Naranja</t>
  </si>
  <si>
    <t>A0000011</t>
  </si>
  <si>
    <t>Flock 210 Rojo Señal</t>
  </si>
  <si>
    <t>A0000014</t>
  </si>
  <si>
    <t>Flock 270 Rojo Borgoña</t>
  </si>
  <si>
    <t>A0000015</t>
  </si>
  <si>
    <t>Flock 245 Magenta</t>
  </si>
  <si>
    <t>A0000016</t>
  </si>
  <si>
    <t>Flock 310 Azul Hielo</t>
  </si>
  <si>
    <t>A0000017</t>
  </si>
  <si>
    <t>Flock 300 Azul Real</t>
  </si>
  <si>
    <t>A0000018</t>
  </si>
  <si>
    <t>Flock 320 Azul Cielo</t>
  </si>
  <si>
    <t>A0000019</t>
  </si>
  <si>
    <t>Flock 350 Azul Naval</t>
  </si>
  <si>
    <t>A0000020</t>
  </si>
  <si>
    <t>Flock 400 Verde</t>
  </si>
  <si>
    <t>A0000021</t>
  </si>
  <si>
    <t>Flock 390 Aqua</t>
  </si>
  <si>
    <t>A0000022</t>
  </si>
  <si>
    <t>Flock 405 Verde Lima</t>
  </si>
  <si>
    <t>A0000049</t>
  </si>
  <si>
    <t>Anchos Bobina de Lona</t>
  </si>
  <si>
    <t>1,37 M</t>
  </si>
  <si>
    <t>Tipo de Lona</t>
  </si>
  <si>
    <t>Mesh</t>
  </si>
  <si>
    <t>A0000050</t>
  </si>
  <si>
    <t>1,60 M</t>
  </si>
  <si>
    <t>A0000057</t>
  </si>
  <si>
    <t>1,06 M</t>
  </si>
  <si>
    <t>Frontlit</t>
  </si>
  <si>
    <t>A0000058</t>
  </si>
  <si>
    <t>A0000059</t>
  </si>
  <si>
    <t>A0001242</t>
  </si>
  <si>
    <t>Capacidad Cartucho</t>
  </si>
  <si>
    <t>440 ml</t>
  </si>
  <si>
    <t>Tipo de Cartucho</t>
  </si>
  <si>
    <t>EcoSolMax 2</t>
  </si>
  <si>
    <t>Color de Tinta</t>
  </si>
  <si>
    <t>Amarillo</t>
  </si>
  <si>
    <t>A0001243</t>
  </si>
  <si>
    <t>Cyan</t>
  </si>
  <si>
    <t>A0001237</t>
  </si>
  <si>
    <t>Light Cyan</t>
  </si>
  <si>
    <t>A0001244</t>
  </si>
  <si>
    <t>Light Magenta</t>
  </si>
  <si>
    <t>A0001245</t>
  </si>
  <si>
    <t>Magenta</t>
  </si>
  <si>
    <t>A0001236</t>
  </si>
  <si>
    <t>Negro</t>
  </si>
  <si>
    <t>A0001252</t>
  </si>
  <si>
    <t>880 ml</t>
  </si>
  <si>
    <t>A0001253</t>
  </si>
  <si>
    <t>A0001254</t>
  </si>
  <si>
    <t>A0001255</t>
  </si>
  <si>
    <t>A0001256</t>
  </si>
  <si>
    <t>A0001257</t>
  </si>
  <si>
    <t>A0002816</t>
  </si>
  <si>
    <t>Anchos para Rotulación</t>
  </si>
  <si>
    <t>1,52 Metros</t>
  </si>
  <si>
    <t>Serie MCX</t>
  </si>
  <si>
    <t>MCX-00 Blanco Brillo</t>
  </si>
  <si>
    <t>Tipo de Vinilo</t>
  </si>
  <si>
    <t>Fundido</t>
  </si>
  <si>
    <t>Acabado Rotulación</t>
  </si>
  <si>
    <t>Brillo</t>
  </si>
  <si>
    <t>Duración</t>
  </si>
  <si>
    <t>Hasta 10 Años</t>
  </si>
  <si>
    <t>Aplicación Vinilo Rotulación</t>
  </si>
  <si>
    <t>Wrapping</t>
  </si>
  <si>
    <t>A0002818</t>
  </si>
  <si>
    <t>MCX-10 Negro Brillo</t>
  </si>
  <si>
    <t>A0002817</t>
  </si>
  <si>
    <t>MCX-12 Negro Mate</t>
  </si>
  <si>
    <t>Mate</t>
  </si>
  <si>
    <t>A0002837</t>
  </si>
  <si>
    <t>MCX-22 Gris Tiza Brillo</t>
  </si>
  <si>
    <t>A0000112</t>
  </si>
  <si>
    <t>Acabado</t>
  </si>
  <si>
    <t>Acabado Brillo</t>
  </si>
  <si>
    <t>Anchos Bobina</t>
  </si>
  <si>
    <t>1,60 Metros</t>
  </si>
  <si>
    <t>Monomérico</t>
  </si>
  <si>
    <t>Hasta 3 Años</t>
  </si>
  <si>
    <t>Aplicación</t>
  </si>
  <si>
    <t>Impresión</t>
  </si>
  <si>
    <t>Tipo de Adhesivo</t>
  </si>
  <si>
    <t>Permanente</t>
  </si>
  <si>
    <t>A0000114</t>
  </si>
  <si>
    <t>1,37 Metros</t>
  </si>
  <si>
    <t>A0000115</t>
  </si>
  <si>
    <t>1,05 Metros</t>
  </si>
  <si>
    <t>A0000116</t>
  </si>
  <si>
    <t>Acabado Mate</t>
  </si>
  <si>
    <t>A0000118</t>
  </si>
  <si>
    <t>A0000119</t>
  </si>
  <si>
    <t>A0000120</t>
  </si>
  <si>
    <t>Adhesivo Gris</t>
  </si>
  <si>
    <t>A0000122</t>
  </si>
  <si>
    <t>A0000123</t>
  </si>
  <si>
    <t>A0000124</t>
  </si>
  <si>
    <t>Removible</t>
  </si>
  <si>
    <t>A0000126</t>
  </si>
  <si>
    <t>A0000127</t>
  </si>
  <si>
    <t>A0000131</t>
  </si>
  <si>
    <t>Calandrado Intermedio</t>
  </si>
  <si>
    <t>Hasta 5 Años</t>
  </si>
  <si>
    <t>A0000156</t>
  </si>
  <si>
    <t>Polimérico</t>
  </si>
  <si>
    <t>Hasta 7 años</t>
  </si>
  <si>
    <t>A0000158</t>
  </si>
  <si>
    <t>A0000159</t>
  </si>
  <si>
    <t>A0000160</t>
  </si>
  <si>
    <t>A0000162</t>
  </si>
  <si>
    <t>A0000163</t>
  </si>
  <si>
    <t>A0000164</t>
  </si>
  <si>
    <t>Transparente</t>
  </si>
  <si>
    <t>A0000166</t>
  </si>
  <si>
    <t>A0000167</t>
  </si>
  <si>
    <t>A0000168</t>
  </si>
  <si>
    <t>Fácil Aplicación (Metascape)</t>
  </si>
  <si>
    <t>A0000170</t>
  </si>
  <si>
    <t>A0000172</t>
  </si>
  <si>
    <t>A0000174</t>
  </si>
  <si>
    <t>A0000175</t>
  </si>
  <si>
    <t>A0000176</t>
  </si>
  <si>
    <t>Fácil Aplicación (Metascape) y Adhesivo Gris</t>
  </si>
  <si>
    <t>A0000178</t>
  </si>
  <si>
    <t>A0000179</t>
  </si>
  <si>
    <t>A0000180</t>
  </si>
  <si>
    <t>Alto Agarre</t>
  </si>
  <si>
    <t>A0000182</t>
  </si>
  <si>
    <t>A0000190</t>
  </si>
  <si>
    <t>Hasta 2 Años</t>
  </si>
  <si>
    <t>A0000194</t>
  </si>
  <si>
    <t>A0000204</t>
  </si>
  <si>
    <t>A0000205</t>
  </si>
  <si>
    <t>A0000206</t>
  </si>
  <si>
    <t>A0000207</t>
  </si>
  <si>
    <t>A0000208</t>
  </si>
  <si>
    <t>Hasta 4 Años</t>
  </si>
  <si>
    <t>A0000209</t>
  </si>
  <si>
    <t>A0000212</t>
  </si>
  <si>
    <t>A0000214</t>
  </si>
  <si>
    <t>A0000216</t>
  </si>
  <si>
    <t>A0000218</t>
  </si>
  <si>
    <t>A0000220</t>
  </si>
  <si>
    <t>A0000222</t>
  </si>
  <si>
    <t>Alto Agarre y Adhesivo Gris</t>
  </si>
  <si>
    <t>A0000224</t>
  </si>
  <si>
    <t>A0000226</t>
  </si>
  <si>
    <t>A0000228</t>
  </si>
  <si>
    <t>A0000230</t>
  </si>
  <si>
    <t>Translúcido</t>
  </si>
  <si>
    <t>A0000231</t>
  </si>
  <si>
    <t>A0000235</t>
  </si>
  <si>
    <t>Tipo de Laminado</t>
  </si>
  <si>
    <t>Laminado Mate</t>
  </si>
  <si>
    <t>A0000237</t>
  </si>
  <si>
    <t>A0000238</t>
  </si>
  <si>
    <t>A0000239</t>
  </si>
  <si>
    <t>ASI</t>
  </si>
  <si>
    <t>Laminado Brillo</t>
  </si>
  <si>
    <t>A0000241</t>
  </si>
  <si>
    <t>A0000242</t>
  </si>
  <si>
    <t>A0000243</t>
  </si>
  <si>
    <t>A0000245</t>
  </si>
  <si>
    <t>A0000247</t>
  </si>
  <si>
    <t>A0000249</t>
  </si>
  <si>
    <t>A0000250</t>
  </si>
  <si>
    <t>A0000252</t>
  </si>
  <si>
    <t>A0000253</t>
  </si>
  <si>
    <t>A0000254</t>
  </si>
  <si>
    <t>A0000256</t>
  </si>
  <si>
    <t>A0000257</t>
  </si>
  <si>
    <t>A0000258</t>
  </si>
  <si>
    <t>A0000259</t>
  </si>
  <si>
    <t>A0000260</t>
  </si>
  <si>
    <t>A0000261</t>
  </si>
  <si>
    <t>A0000262</t>
  </si>
  <si>
    <t>Laminados aplicaciones especiales</t>
  </si>
  <si>
    <t>Decor 001 Artisan</t>
  </si>
  <si>
    <t>Laminado Texturizado</t>
  </si>
  <si>
    <t>A0000263</t>
  </si>
  <si>
    <t>A0000264</t>
  </si>
  <si>
    <t>Decor 002 Arena</t>
  </si>
  <si>
    <t>A0000265</t>
  </si>
  <si>
    <t>A0000266</t>
  </si>
  <si>
    <t>Decor 003 Cepillado</t>
  </si>
  <si>
    <t>A0000267</t>
  </si>
  <si>
    <t>A0000268</t>
  </si>
  <si>
    <t>A0000269</t>
  </si>
  <si>
    <t>A0002838</t>
  </si>
  <si>
    <t>MCX-26 Gris Nardo Brillo</t>
  </si>
  <si>
    <t>A0002839</t>
  </si>
  <si>
    <t>MCX-28 Gris Café Racer Brillo</t>
  </si>
  <si>
    <t>A0002833</t>
  </si>
  <si>
    <t>MCX-36 Amarillo Monza Brillo</t>
  </si>
  <si>
    <t>A0002779</t>
  </si>
  <si>
    <t>MCX-39 Calabaza Firefox Brillo Metalizado</t>
  </si>
  <si>
    <t>A0002822</t>
  </si>
  <si>
    <t>MCX-46 Rojo Volcán Brillo Metalizado</t>
  </si>
  <si>
    <t>A0002835</t>
  </si>
  <si>
    <t>MCX-48 Rojo Cooper Brillo Brillo</t>
  </si>
  <si>
    <t>A0002834</t>
  </si>
  <si>
    <t>MCX-51 Azul Miami Brillo</t>
  </si>
  <si>
    <t>A0002827</t>
  </si>
  <si>
    <t>MCX-54 Azul Bávaro Mate Metalizado</t>
  </si>
  <si>
    <t>A0002836</t>
  </si>
  <si>
    <t>MCX-58 Azul Lapis Brillo</t>
  </si>
  <si>
    <t>A0002824</t>
  </si>
  <si>
    <t>MCX-59 Azul Abisal Brillo Metalizado</t>
  </si>
  <si>
    <t>A0002828</t>
  </si>
  <si>
    <t>MCX-63 Verde Velocidad Mate Metalizado</t>
  </si>
  <si>
    <t>A0002821</t>
  </si>
  <si>
    <t>MCX-67 Verde Bullit Brillo Metalizado</t>
  </si>
  <si>
    <t>A0002830</t>
  </si>
  <si>
    <t>MCX-73 Cobre Capri Mate Metalizado</t>
  </si>
  <si>
    <t>A0002823</t>
  </si>
  <si>
    <t>MCX-84 Azul Electrico Brillo Metalizado</t>
  </si>
  <si>
    <t>A0002820</t>
  </si>
  <si>
    <t>MCX-86 Azul Nightlife Brillo Metalizado</t>
  </si>
  <si>
    <t>A0002829</t>
  </si>
  <si>
    <t>MCX-87 Azul Ciruela Mate Metalizado</t>
  </si>
  <si>
    <t>A0002826</t>
  </si>
  <si>
    <t>MCX-94 Plata Iridio Brillo Metalizado</t>
  </si>
  <si>
    <t>A0002831</t>
  </si>
  <si>
    <t>MCX-96 Acero Mate Metalizado</t>
  </si>
  <si>
    <t>A0002832</t>
  </si>
  <si>
    <t>MCX-97 Acero Carbon Mate Metalizado</t>
  </si>
  <si>
    <t>A0002825</t>
  </si>
  <si>
    <t>MCX-98 Piedra Brillo Metalizado</t>
  </si>
  <si>
    <t>A0002819</t>
  </si>
  <si>
    <t>MCX-99 Negro Brillo Metalizado</t>
  </si>
  <si>
    <t>A0000311</t>
  </si>
  <si>
    <t>0,61 Metros</t>
  </si>
  <si>
    <t>XE Brillo</t>
  </si>
  <si>
    <t>XE Brillo 200 Blanco</t>
  </si>
  <si>
    <t>Opaco</t>
  </si>
  <si>
    <t>A0000270</t>
  </si>
  <si>
    <t>1,22 Metros</t>
  </si>
  <si>
    <t>A0000316</t>
  </si>
  <si>
    <t>XE Brillo 210 Negro</t>
  </si>
  <si>
    <t>A0000275</t>
  </si>
  <si>
    <t>A0000313</t>
  </si>
  <si>
    <t>XE Brillo 220 Gris Ligero</t>
  </si>
  <si>
    <t>A0000272</t>
  </si>
  <si>
    <t>A0000314</t>
  </si>
  <si>
    <t>XE Brillo 221 Gris</t>
  </si>
  <si>
    <t>A0000273</t>
  </si>
  <si>
    <t>A0000315</t>
  </si>
  <si>
    <t>XE Brillo 224 Gris Oscuro</t>
  </si>
  <si>
    <t>A0000274</t>
  </si>
  <si>
    <t>A0000317</t>
  </si>
  <si>
    <t>XE Brillo 230 Amarillo Limón</t>
  </si>
  <si>
    <t>A0000276</t>
  </si>
  <si>
    <t>A0000318</t>
  </si>
  <si>
    <t>XE Brillo 232 Amarillo Medio</t>
  </si>
  <si>
    <t>A0000277</t>
  </si>
  <si>
    <t>A0000321</t>
  </si>
  <si>
    <t>XE Brillo 233 Naranja</t>
  </si>
  <si>
    <t>A0000280</t>
  </si>
  <si>
    <t>A0000319</t>
  </si>
  <si>
    <t>XE Brillo 235 Amarillo Botón</t>
  </si>
  <si>
    <t>A0000278</t>
  </si>
  <si>
    <t>A0000320</t>
  </si>
  <si>
    <t>XE Brillo 237 Amarillo Melón</t>
  </si>
  <si>
    <t>A0000279</t>
  </si>
  <si>
    <t>A0000322</t>
  </si>
  <si>
    <t>XE Brillo 240 Amapola</t>
  </si>
  <si>
    <t>A0000281</t>
  </si>
  <si>
    <t>A0000325</t>
  </si>
  <si>
    <t>XE Brillo 243 Rojo Cereza</t>
  </si>
  <si>
    <t>A0000284</t>
  </si>
  <si>
    <t>A0000326</t>
  </si>
  <si>
    <t>XE Brillo 245 Rojo Borgoña</t>
  </si>
  <si>
    <t>A0000285</t>
  </si>
  <si>
    <t>A0000324</t>
  </si>
  <si>
    <t>XE Brillo 246 Rojo Llama</t>
  </si>
  <si>
    <t>A0000283</t>
  </si>
  <si>
    <t>A0000323</t>
  </si>
  <si>
    <t>M4 Brillo</t>
  </si>
  <si>
    <t>M4 Brillo 247 Rojo Carmesí</t>
  </si>
  <si>
    <t>A0000282</t>
  </si>
  <si>
    <t>XE Brillo 247 Rojo Carmesí</t>
  </si>
  <si>
    <t>A0000328</t>
  </si>
  <si>
    <t>XE Brillo 250 Azul Pálido</t>
  </si>
  <si>
    <t>A0000287</t>
  </si>
  <si>
    <t>A0000330</t>
  </si>
  <si>
    <t>XE Brillo 252 Azul Oceano</t>
  </si>
  <si>
    <t>A0000289</t>
  </si>
  <si>
    <t>A0000331</t>
  </si>
  <si>
    <t>XE Brillo 254 Azul Medio</t>
  </si>
  <si>
    <t>A0000290</t>
  </si>
  <si>
    <t>A0000332</t>
  </si>
  <si>
    <t>XE Brillo 255 Azul Ultramarino</t>
  </si>
  <si>
    <t>A0000291</t>
  </si>
  <si>
    <t>A0000329</t>
  </si>
  <si>
    <t>XE Brillo 258 Azul Cielo</t>
  </si>
  <si>
    <t>A0000288</t>
  </si>
  <si>
    <t>A0000335</t>
  </si>
  <si>
    <t>XE Brillo 259 Azul Cobalto</t>
  </si>
  <si>
    <t>A0000294</t>
  </si>
  <si>
    <t>A0000336</t>
  </si>
  <si>
    <t>XE Brillo 261 Verde Cesped</t>
  </si>
  <si>
    <t>A0000295</t>
  </si>
  <si>
    <t>A0000338</t>
  </si>
  <si>
    <t>XE Brillo 263 Verde Medio</t>
  </si>
  <si>
    <t>A0000297</t>
  </si>
  <si>
    <t>A0000341</t>
  </si>
  <si>
    <t>XE Brillo 264 Verde Bosque</t>
  </si>
  <si>
    <t>A0000300</t>
  </si>
  <si>
    <t>A0000343</t>
  </si>
  <si>
    <t>XE Brillo 265 Verde Azulado</t>
  </si>
  <si>
    <t>A0000302</t>
  </si>
  <si>
    <t>A0000340</t>
  </si>
  <si>
    <t>XE Brillo 267 Verde Forestal</t>
  </si>
  <si>
    <t>A0000299</t>
  </si>
  <si>
    <t>A0000339</t>
  </si>
  <si>
    <t>XE Brillo 268 Verde Prado</t>
  </si>
  <si>
    <t>A0000298</t>
  </si>
  <si>
    <t>A0000337</t>
  </si>
  <si>
    <t>XE Brillo 269 Verde Trébol</t>
  </si>
  <si>
    <t>A0000296</t>
  </si>
  <si>
    <t>A0000347</t>
  </si>
  <si>
    <t>XE Brillo 270 Crema</t>
  </si>
  <si>
    <t>A0000306</t>
  </si>
  <si>
    <t>A0000348</t>
  </si>
  <si>
    <t>XE Brillo 271 Marrón</t>
  </si>
  <si>
    <t>A0000307</t>
  </si>
  <si>
    <t>A0000346</t>
  </si>
  <si>
    <t>XE Brillo 272 Almendra</t>
  </si>
  <si>
    <t>A0000305</t>
  </si>
  <si>
    <t>A0000342</t>
  </si>
  <si>
    <t>XE Brillo 273 Verde Tráfico</t>
  </si>
  <si>
    <t>A0000301</t>
  </si>
  <si>
    <t>A0000333</t>
  </si>
  <si>
    <t>XE Brillo 275 Azul Oriental</t>
  </si>
  <si>
    <t>A0000292</t>
  </si>
  <si>
    <t>A0000327</t>
  </si>
  <si>
    <t>XE Brillo 277 Azul Cáscara</t>
  </si>
  <si>
    <t>A0000286</t>
  </si>
  <si>
    <t>A0000334</t>
  </si>
  <si>
    <t>XE Brillo 278 Azul Vikingo</t>
  </si>
  <si>
    <t>A0000293</t>
  </si>
  <si>
    <t>A0000344</t>
  </si>
  <si>
    <t>XE Brillo 282 Magenta</t>
  </si>
  <si>
    <t>A0000303</t>
  </si>
  <si>
    <t>A0000345</t>
  </si>
  <si>
    <t>XE Brillo 283 Púrpura</t>
  </si>
  <si>
    <t>A0000304</t>
  </si>
  <si>
    <t>A0000349</t>
  </si>
  <si>
    <t>XE Brillo 290 Plata</t>
  </si>
  <si>
    <t>A0000308</t>
  </si>
  <si>
    <t>A0000350</t>
  </si>
  <si>
    <t>XE Brillo 291 Oro</t>
  </si>
  <si>
    <t>A0000309</t>
  </si>
  <si>
    <t>A0000351</t>
  </si>
  <si>
    <t>XE Brillo 292 Gris Carbón</t>
  </si>
  <si>
    <t>A0000310</t>
  </si>
  <si>
    <t>A0000100</t>
  </si>
  <si>
    <t>Ventana</t>
  </si>
  <si>
    <t>A0000099</t>
  </si>
  <si>
    <t>A0002057</t>
  </si>
  <si>
    <t>A0000383</t>
  </si>
  <si>
    <t>XE Mate</t>
  </si>
  <si>
    <t>XE Mate 301M Blanco</t>
  </si>
  <si>
    <t>A0000352</t>
  </si>
  <si>
    <t>A0000385</t>
  </si>
  <si>
    <t>XE Mate 311M Negro</t>
  </si>
  <si>
    <t>A0000354</t>
  </si>
  <si>
    <t>A0000386</t>
  </si>
  <si>
    <t>XE Mate 320M Gris Ligero</t>
  </si>
  <si>
    <t>A0000355</t>
  </si>
  <si>
    <t>A0000384</t>
  </si>
  <si>
    <t>XE Mate 324M Gris Oscuro</t>
  </si>
  <si>
    <t>A0000353</t>
  </si>
  <si>
    <t>A0000387</t>
  </si>
  <si>
    <t>XE Mate 330M Amarillo Limón</t>
  </si>
  <si>
    <t>A0000356</t>
  </si>
  <si>
    <t>A0000388</t>
  </si>
  <si>
    <t>XE Mate 332M Amarillo Medio</t>
  </si>
  <si>
    <t>A0000357</t>
  </si>
  <si>
    <t>A0000390</t>
  </si>
  <si>
    <t>XE Mate 333M Naranja</t>
  </si>
  <si>
    <t>A0000359</t>
  </si>
  <si>
    <t>A0000389</t>
  </si>
  <si>
    <t>XE Mate 334M Amarillo Girasol</t>
  </si>
  <si>
    <t>A0000358</t>
  </si>
  <si>
    <t>A0000391</t>
  </si>
  <si>
    <t>XE Mate 340M Amapola</t>
  </si>
  <si>
    <t>A0000360</t>
  </si>
  <si>
    <t>A0000392</t>
  </si>
  <si>
    <t>XE Mate 341M Rojo Tomate</t>
  </si>
  <si>
    <t>A0000361</t>
  </si>
  <si>
    <t>A0000393</t>
  </si>
  <si>
    <t>XE Mate 343M Rojo Cereza</t>
  </si>
  <si>
    <t>A0000362</t>
  </si>
  <si>
    <t>A0000394</t>
  </si>
  <si>
    <t>XE Mate 345M Rojo Borgoña</t>
  </si>
  <si>
    <t>A0000363</t>
  </si>
  <si>
    <t>A0000396</t>
  </si>
  <si>
    <t>XE Mate 352M Azul Oceano</t>
  </si>
  <si>
    <t>A0000365</t>
  </si>
  <si>
    <t>A0000397</t>
  </si>
  <si>
    <t>XE Mate 353M Azul Marino</t>
  </si>
  <si>
    <t>A0000366</t>
  </si>
  <si>
    <t>A0000398</t>
  </si>
  <si>
    <t>XE Mate 354M Azul Medio</t>
  </si>
  <si>
    <t>A0000367</t>
  </si>
  <si>
    <t>A0000399</t>
  </si>
  <si>
    <t>XE Mate 355M Azul Ultramarino</t>
  </si>
  <si>
    <t>A0000368</t>
  </si>
  <si>
    <t>A0000395</t>
  </si>
  <si>
    <t>XE Mate 358M Azul Cielo</t>
  </si>
  <si>
    <t>A0000364</t>
  </si>
  <si>
    <t>A0000400</t>
  </si>
  <si>
    <t>XE Mate 359M Azul Cobalto</t>
  </si>
  <si>
    <t>A0000369</t>
  </si>
  <si>
    <t>A0000401</t>
  </si>
  <si>
    <t>XE Mate 360M Verde Lima</t>
  </si>
  <si>
    <t>A0000370</t>
  </si>
  <si>
    <t>A0000402</t>
  </si>
  <si>
    <t>XE Mate 361M Verde Cesped</t>
  </si>
  <si>
    <t>A0000371</t>
  </si>
  <si>
    <t>A0000403</t>
  </si>
  <si>
    <t>XE Mate 362M Verde Cactus</t>
  </si>
  <si>
    <t>A0000372</t>
  </si>
  <si>
    <t>A0000405</t>
  </si>
  <si>
    <t>XE Mate 364M Verde Bosque</t>
  </si>
  <si>
    <t>A0000374</t>
  </si>
  <si>
    <t>A0000406</t>
  </si>
  <si>
    <t>XE Mate 366M Verde Turquesa</t>
  </si>
  <si>
    <t>A0000375</t>
  </si>
  <si>
    <t>A0000404</t>
  </si>
  <si>
    <t>XE Mate 368M Verde Prado</t>
  </si>
  <si>
    <t>A0000373</t>
  </si>
  <si>
    <t>A0000410</t>
  </si>
  <si>
    <t>XE Mate 370M Crema</t>
  </si>
  <si>
    <t>A0000379</t>
  </si>
  <si>
    <t>A0000380</t>
  </si>
  <si>
    <t>XE Mate 372M Chocolate</t>
  </si>
  <si>
    <t>A0000407</t>
  </si>
  <si>
    <t>XE Mate 381M Rosa</t>
  </si>
  <si>
    <t>A0000376</t>
  </si>
  <si>
    <t>A0000408</t>
  </si>
  <si>
    <t>XE Mate 382M Magenta</t>
  </si>
  <si>
    <t>A0000377</t>
  </si>
  <si>
    <t>A0000409</t>
  </si>
  <si>
    <t>XE Mate 383M Púrpura</t>
  </si>
  <si>
    <t>A0000378</t>
  </si>
  <si>
    <t>A0000412</t>
  </si>
  <si>
    <t>XE Mate 390M Plata</t>
  </si>
  <si>
    <t>A0000381</t>
  </si>
  <si>
    <t>A0000413</t>
  </si>
  <si>
    <t>XE Mate 391M Oro</t>
  </si>
  <si>
    <t>A0000382</t>
  </si>
  <si>
    <t>M4 Mate</t>
  </si>
  <si>
    <t>M4 Mate 391M Oro</t>
  </si>
  <si>
    <t>A0000983</t>
  </si>
  <si>
    <t>Blanco</t>
  </si>
  <si>
    <t>Reflectante</t>
  </si>
  <si>
    <t>A0000104</t>
  </si>
  <si>
    <t>M7 Serie</t>
  </si>
  <si>
    <t>M7 100 Blanco Brillo</t>
  </si>
  <si>
    <t>A0000103</t>
  </si>
  <si>
    <t>A0000106</t>
  </si>
  <si>
    <t>M7 101M Blanco Mate</t>
  </si>
  <si>
    <t>A0000105</t>
  </si>
  <si>
    <t>A0000110</t>
  </si>
  <si>
    <t>M7 110 Negro Brillo</t>
  </si>
  <si>
    <t>A0000109</t>
  </si>
  <si>
    <t>A0000468</t>
  </si>
  <si>
    <t>M7 111M Negro Mate</t>
  </si>
  <si>
    <t>A0000111</t>
  </si>
  <si>
    <t>A0001456</t>
  </si>
  <si>
    <t>M7 112 Mandarina 1,22 x 50m</t>
  </si>
  <si>
    <t>A0001423</t>
  </si>
  <si>
    <t>A0001457</t>
  </si>
  <si>
    <t>M7 113 Naranja Quemada 1,22 x 50m</t>
  </si>
  <si>
    <t>A0001424</t>
  </si>
  <si>
    <t>A0001461</t>
  </si>
  <si>
    <t>M7 114 Granate 1,22 x 50m</t>
  </si>
  <si>
    <t>A0001428</t>
  </si>
  <si>
    <t>A0001463</t>
  </si>
  <si>
    <t>M7 115 Azul Maíz 1,22 x 50m</t>
  </si>
  <si>
    <t>A0001430</t>
  </si>
  <si>
    <t>A0001464</t>
  </si>
  <si>
    <t>M7 116 Azul Almirante 1,22 x 50m</t>
  </si>
  <si>
    <t>A0001431</t>
  </si>
  <si>
    <t>A0001465</t>
  </si>
  <si>
    <t>M7 117 Oxford 1,22 x 50m</t>
  </si>
  <si>
    <t>A0001432</t>
  </si>
  <si>
    <t>A0001466</t>
  </si>
  <si>
    <t>M7 118 Azul Reflex 1,22 x 50m</t>
  </si>
  <si>
    <t>A0001433</t>
  </si>
  <si>
    <t>A0001467</t>
  </si>
  <si>
    <t>M7 119 Azul Prusiano 1,22 x 50m</t>
  </si>
  <si>
    <t>A0001434</t>
  </si>
  <si>
    <t>A0001480</t>
  </si>
  <si>
    <t>A0001447</t>
  </si>
  <si>
    <t>M7 120 Estaño 1,22 x 50m</t>
  </si>
  <si>
    <t>A0000464</t>
  </si>
  <si>
    <t>M7 121 Gris Ligero</t>
  </si>
  <si>
    <t>A0000415</t>
  </si>
  <si>
    <t>A0000463</t>
  </si>
  <si>
    <t>M7 122 Gris Palo</t>
  </si>
  <si>
    <t>A0000414</t>
  </si>
  <si>
    <t>A0000465</t>
  </si>
  <si>
    <t>M7 123 Gris Medio</t>
  </si>
  <si>
    <t>A0000416</t>
  </si>
  <si>
    <t>A0000466</t>
  </si>
  <si>
    <t>M7 124 Gris Oscuro</t>
  </si>
  <si>
    <t>A0000417</t>
  </si>
  <si>
    <t>A0000467</t>
  </si>
  <si>
    <t>M7 125 Gris Nimbo</t>
  </si>
  <si>
    <t>A0000418</t>
  </si>
  <si>
    <t>A0001481</t>
  </si>
  <si>
    <t>M7 127 Gris Ceniza 1,22 x 50m</t>
  </si>
  <si>
    <t>A0001448</t>
  </si>
  <si>
    <t>A0001482</t>
  </si>
  <si>
    <t>M7 128 Gris Sombra 1,22 x 50m</t>
  </si>
  <si>
    <t>A0001449</t>
  </si>
  <si>
    <t>A0000469</t>
  </si>
  <si>
    <t>M7 130 Amarillo Limón</t>
  </si>
  <si>
    <t>A0000419</t>
  </si>
  <si>
    <t>A0000471</t>
  </si>
  <si>
    <t>M7 131 Amarillo Grirasol</t>
  </si>
  <si>
    <t>A0000421</t>
  </si>
  <si>
    <t>A0000472</t>
  </si>
  <si>
    <t>M7 132 Amarillo Medio</t>
  </si>
  <si>
    <t>A0000422</t>
  </si>
  <si>
    <t>A0000475</t>
  </si>
  <si>
    <t>M7 133 Naranja</t>
  </si>
  <si>
    <t>A0000425</t>
  </si>
  <si>
    <t>A0000474</t>
  </si>
  <si>
    <t>M7 134 Naranja Mandarina</t>
  </si>
  <si>
    <t>A0000424</t>
  </si>
  <si>
    <t>A0001453</t>
  </si>
  <si>
    <t>M7 135 Albaricoque 1,22 x 50m</t>
  </si>
  <si>
    <t>A0001420</t>
  </si>
  <si>
    <t>A0000470</t>
  </si>
  <si>
    <t>M7 136 Amarillo Brillante</t>
  </si>
  <si>
    <t>A0000420</t>
  </si>
  <si>
    <t>A0000473</t>
  </si>
  <si>
    <t>M7 137 Amarillo Melón</t>
  </si>
  <si>
    <t>A0000423</t>
  </si>
  <si>
    <t>A0001454</t>
  </si>
  <si>
    <t>M7 138 Azafrán 1,22 x 50m</t>
  </si>
  <si>
    <t>A0001421</t>
  </si>
  <si>
    <t>A0001455</t>
  </si>
  <si>
    <t>M7 139 Calabaza 1,22 x 50m</t>
  </si>
  <si>
    <t>A0001422</t>
  </si>
  <si>
    <t>A0000477</t>
  </si>
  <si>
    <t>M7 140 Amapola</t>
  </si>
  <si>
    <t>A0000427</t>
  </si>
  <si>
    <t>A0000479</t>
  </si>
  <si>
    <t>M7 141 Rojo Llama</t>
  </si>
  <si>
    <t>A0000429</t>
  </si>
  <si>
    <t>A0000480</t>
  </si>
  <si>
    <t>M7 142 Rojo Tomate</t>
  </si>
  <si>
    <t>A0000430</t>
  </si>
  <si>
    <t>A0000481</t>
  </si>
  <si>
    <t>M7 143 Rojo Cereza</t>
  </si>
  <si>
    <t>A0000431</t>
  </si>
  <si>
    <t>A0000478</t>
  </si>
  <si>
    <t>M7 144 Rojo Medio</t>
  </si>
  <si>
    <t>A0000428</t>
  </si>
  <si>
    <t>A0000483</t>
  </si>
  <si>
    <t>M7 145 Rojo Borgoña</t>
  </si>
  <si>
    <t>A0000433</t>
  </si>
  <si>
    <t>A0001458</t>
  </si>
  <si>
    <t>M7 146 Rubí 1,22 x 50m</t>
  </si>
  <si>
    <t>A0001425</t>
  </si>
  <si>
    <t>A0001459</t>
  </si>
  <si>
    <t>M7 147 Rojo Rosa 1,22 x 50m</t>
  </si>
  <si>
    <t>A0001426</t>
  </si>
  <si>
    <t>A0000482</t>
  </si>
  <si>
    <t>M7 148 Rojo Profundo</t>
  </si>
  <si>
    <t>A0000432</t>
  </si>
  <si>
    <t>A0001460</t>
  </si>
  <si>
    <t>M7 149 Rojo Carmesí 1,22 x 50m</t>
  </si>
  <si>
    <t>A0001427</t>
  </si>
  <si>
    <t>A0000485</t>
  </si>
  <si>
    <t>M7 150 Azul Pálido</t>
  </si>
  <si>
    <t>A0000435</t>
  </si>
  <si>
    <t>A0000486</t>
  </si>
  <si>
    <t>M7 151 Azul Olímpico</t>
  </si>
  <si>
    <t>A0000436</t>
  </si>
  <si>
    <t>A0000487</t>
  </si>
  <si>
    <t>M7 152 Azul Oceano</t>
  </si>
  <si>
    <t>A0000437</t>
  </si>
  <si>
    <t>A0000488</t>
  </si>
  <si>
    <t>M7 153 Azul Marino</t>
  </si>
  <si>
    <t>A0000438</t>
  </si>
  <si>
    <t>A0000489</t>
  </si>
  <si>
    <t>M7 154 Azul Medio</t>
  </si>
  <si>
    <t>A0000439</t>
  </si>
  <si>
    <t>A0000490</t>
  </si>
  <si>
    <t>M7 155 Azul Ultramarino</t>
  </si>
  <si>
    <t>A0000440</t>
  </si>
  <si>
    <t>A0000493</t>
  </si>
  <si>
    <t>M7 156 Azul Naval</t>
  </si>
  <si>
    <t>A0000443</t>
  </si>
  <si>
    <t>A0000494</t>
  </si>
  <si>
    <t>M7 157 Azul Media Noche</t>
  </si>
  <si>
    <t>A0000444</t>
  </si>
  <si>
    <t>A0000491</t>
  </si>
  <si>
    <t>M7 158 Azul Brillo</t>
  </si>
  <si>
    <t>A0000441</t>
  </si>
  <si>
    <t>A0001462</t>
  </si>
  <si>
    <t>M7 159 Azul Cielo 1,22 x 50m</t>
  </si>
  <si>
    <t>A0001429</t>
  </si>
  <si>
    <t>A0000495</t>
  </si>
  <si>
    <t>M7 160 Verde Lima</t>
  </si>
  <si>
    <t>A0000445</t>
  </si>
  <si>
    <t>A0000496</t>
  </si>
  <si>
    <t>M7 161 Verde Cesped</t>
  </si>
  <si>
    <t>A0000446</t>
  </si>
  <si>
    <t>A0000497</t>
  </si>
  <si>
    <t>M7 162 Verde Esmeralda</t>
  </si>
  <si>
    <t>A0000447</t>
  </si>
  <si>
    <t>A0000498</t>
  </si>
  <si>
    <t>M7 163 Verde Medio</t>
  </si>
  <si>
    <t>A0000448</t>
  </si>
  <si>
    <t>A0000499</t>
  </si>
  <si>
    <t>M7 164 Verde Bosque</t>
  </si>
  <si>
    <t>A0000449</t>
  </si>
  <si>
    <t>A0000501</t>
  </si>
  <si>
    <t>M7 165 Verde Azulado</t>
  </si>
  <si>
    <t>A0000451</t>
  </si>
  <si>
    <t>A0000502</t>
  </si>
  <si>
    <t>M7 166 Verde Turquesa</t>
  </si>
  <si>
    <t>A0000452</t>
  </si>
  <si>
    <t>A0001470</t>
  </si>
  <si>
    <t>M7 167 Verde Poseidón 1,22 x 50m</t>
  </si>
  <si>
    <t>A0001437</t>
  </si>
  <si>
    <t>A0001471</t>
  </si>
  <si>
    <t>M7 168 Verde Laguna 1,22 x 50m</t>
  </si>
  <si>
    <t>A0001438</t>
  </si>
  <si>
    <t>A0001472</t>
  </si>
  <si>
    <t>M7 169 Verde Cazador 1,22 x 50m</t>
  </si>
  <si>
    <t>A0001439</t>
  </si>
  <si>
    <t>A0000509</t>
  </si>
  <si>
    <t>M7 170 Crema</t>
  </si>
  <si>
    <t>A0000459</t>
  </si>
  <si>
    <t>A0000476</t>
  </si>
  <si>
    <t>M7 171 Marrón</t>
  </si>
  <si>
    <t>A0000426</t>
  </si>
  <si>
    <t>A0000508</t>
  </si>
  <si>
    <t>M7 172 Almendra</t>
  </si>
  <si>
    <t>A0000458</t>
  </si>
  <si>
    <t>A0000500</t>
  </si>
  <si>
    <t>M7 173 Verde Tráfico</t>
  </si>
  <si>
    <t>A0000450</t>
  </si>
  <si>
    <t>A0001476</t>
  </si>
  <si>
    <t>M7 174 Marrón Quemado 1,22 x 50m</t>
  </si>
  <si>
    <t>A0001443</t>
  </si>
  <si>
    <t>A0001477</t>
  </si>
  <si>
    <t>M7 175 Crema Claro 1,22 x 50m</t>
  </si>
  <si>
    <t>A0001444</t>
  </si>
  <si>
    <t>A0000592</t>
  </si>
  <si>
    <t>Tipo de Transportador</t>
  </si>
  <si>
    <t>Plástico</t>
  </si>
  <si>
    <t>Agarre</t>
  </si>
  <si>
    <t>Bajo Agarre</t>
  </si>
  <si>
    <t>A0000593</t>
  </si>
  <si>
    <t>Medio Agarre</t>
  </si>
  <si>
    <t>A0000594</t>
  </si>
  <si>
    <t>Plástico sin Burbujas</t>
  </si>
  <si>
    <t>A0000595</t>
  </si>
  <si>
    <t>A0000596</t>
  </si>
  <si>
    <t>A0000597</t>
  </si>
  <si>
    <t>A0000598</t>
  </si>
  <si>
    <t>Papel</t>
  </si>
  <si>
    <t>A0000599</t>
  </si>
  <si>
    <t>Medio/Alto Agarre</t>
  </si>
  <si>
    <t>A0000600</t>
  </si>
  <si>
    <t>A0000601</t>
  </si>
  <si>
    <t>A0000602</t>
  </si>
  <si>
    <t>A0000603</t>
  </si>
  <si>
    <t>A0000604</t>
  </si>
  <si>
    <t>A0000605</t>
  </si>
  <si>
    <t>A0000606</t>
  </si>
  <si>
    <t>SportsFilm</t>
  </si>
  <si>
    <t>Cad-Cut Sportsfilm 001 Blanco</t>
  </si>
  <si>
    <t>A0000607</t>
  </si>
  <si>
    <t>Cad-Cut Sportsfilm 004 Beige</t>
  </si>
  <si>
    <t>A0000608</t>
  </si>
  <si>
    <t>Cad-Cut Sportsfilm 005 Crema</t>
  </si>
  <si>
    <t>A0000609</t>
  </si>
  <si>
    <t>Cad-Cut Sportsfilm 100 Amarillo Limón</t>
  </si>
  <si>
    <t>A0000610</t>
  </si>
  <si>
    <t>Cad-Cut Sportsfilm 110 Amarillo</t>
  </si>
  <si>
    <t>A0000611</t>
  </si>
  <si>
    <t>Cad-Cut Sportsfilm 106 Amarillo Girasol</t>
  </si>
  <si>
    <t>A0000612</t>
  </si>
  <si>
    <t>Cad-Cut Sportsfilm 185 Naranja Ligero</t>
  </si>
  <si>
    <t>A0000613</t>
  </si>
  <si>
    <t>Cad-Cut Sportsfilm 180 Naranja</t>
  </si>
  <si>
    <t>A0000614</t>
  </si>
  <si>
    <t>Cad-Cut Sportsfilm 210 Rojo Señal</t>
  </si>
  <si>
    <t>A0000615</t>
  </si>
  <si>
    <t>Cad-Cut Sportsfilm 200 Rojo</t>
  </si>
  <si>
    <t>A0000616</t>
  </si>
  <si>
    <t>Cad-Cut Sportsfilm 270 Rojo Borgoña</t>
  </si>
  <si>
    <t>A0000617</t>
  </si>
  <si>
    <t>Cad-Cut Sportsfilm 255 Pastel Rosa</t>
  </si>
  <si>
    <t>A0000618</t>
  </si>
  <si>
    <t>Cad-Cut Sportsfilm 252 Rosa</t>
  </si>
  <si>
    <t>A0000619</t>
  </si>
  <si>
    <t>Cad-Cut Sportsfilm 250 Fucsia</t>
  </si>
  <si>
    <t>A0000620</t>
  </si>
  <si>
    <t>Cad-Cut Sportsfilm 285 Pastel Púrpura</t>
  </si>
  <si>
    <t>A0000621</t>
  </si>
  <si>
    <t>Cad-Cut Sportsfilm 280 Púrpura</t>
  </si>
  <si>
    <t>A0000622</t>
  </si>
  <si>
    <t>Cad-Cut Sportsfilm 321 Azul Pastel</t>
  </si>
  <si>
    <t>A0000623</t>
  </si>
  <si>
    <t>Cad-Cut Sportsfilm 320 Azul Ligero</t>
  </si>
  <si>
    <t>A0000624</t>
  </si>
  <si>
    <t>Cad-Cut Sportsfilm 300 Azul Real</t>
  </si>
  <si>
    <t>A0000625</t>
  </si>
  <si>
    <t>Cad-Cut Sportsfilm 350 Azul Naval</t>
  </si>
  <si>
    <t>A0000626</t>
  </si>
  <si>
    <t>Cad-Cut Sportsfilm 380 Verde Turquesa</t>
  </si>
  <si>
    <t>A0000627</t>
  </si>
  <si>
    <t>Cad-Cut Sportsfilm 420 Verde Pastel</t>
  </si>
  <si>
    <t>A0000628</t>
  </si>
  <si>
    <t>Cad-Cut Sportsfilm 421 Verde Manzana</t>
  </si>
  <si>
    <t>A0000629</t>
  </si>
  <si>
    <t>Cad-Cut Sportsfilm 422 Verde Ligero</t>
  </si>
  <si>
    <t>A0000630</t>
  </si>
  <si>
    <t>Cad-Cut Sportsfilm 400 Verde</t>
  </si>
  <si>
    <t>A0000631</t>
  </si>
  <si>
    <t>Cad-Cut Sportsfilm 410 Verde Oscuro</t>
  </si>
  <si>
    <t>A0000632</t>
  </si>
  <si>
    <t>Cad-Cut Sportsfilm 430 Verde Oliva</t>
  </si>
  <si>
    <t>A0000633</t>
  </si>
  <si>
    <t>Cad-Cut Sportsfilm 550 Marrón</t>
  </si>
  <si>
    <t>A0000634</t>
  </si>
  <si>
    <t>Cad-Cut Sportsfilm 730 Gris</t>
  </si>
  <si>
    <t>A0000635</t>
  </si>
  <si>
    <t>Cad-Cut Sportsfilm 780 Gris Oscuro</t>
  </si>
  <si>
    <t>A0000636</t>
  </si>
  <si>
    <t>Cad-Cut Sportsfilm 700 Negro</t>
  </si>
  <si>
    <t>A0000637</t>
  </si>
  <si>
    <t>Cad-Cut Sportsfilm 815 Plata</t>
  </si>
  <si>
    <t>A0000638</t>
  </si>
  <si>
    <t>Cad-Cut Sportsfilm 115 Oro</t>
  </si>
  <si>
    <t>A0000639</t>
  </si>
  <si>
    <t>Cad-Cut Sportsfilm 101 Neon Amarillo</t>
  </si>
  <si>
    <t>A0000640</t>
  </si>
  <si>
    <t>Cad-Cut Sportsfilm 181 Neon Naranja</t>
  </si>
  <si>
    <t>A0000641</t>
  </si>
  <si>
    <t>Cad-Cut Sportsfilm 241 Neon Rosa</t>
  </si>
  <si>
    <t>A0000642</t>
  </si>
  <si>
    <t>Cad-Cut Sportsfilm 301 Neon Azul</t>
  </si>
  <si>
    <t>A0000643</t>
  </si>
  <si>
    <t>Cad-Cut Sportsfilm 401 Neon Verde</t>
  </si>
  <si>
    <t>A0000644</t>
  </si>
  <si>
    <t>Cad-Cut Premium Plus 001 Blanco</t>
  </si>
  <si>
    <t>A0000645</t>
  </si>
  <si>
    <t>Cad-Cut Premium Plus 005 Crema</t>
  </si>
  <si>
    <t>A0000646</t>
  </si>
  <si>
    <t>Cad-Cut Premium Plus 100 Amarillo Limón</t>
  </si>
  <si>
    <t>A0000647</t>
  </si>
  <si>
    <t>Cad-Cut Premium Plus 110 Amarillo</t>
  </si>
  <si>
    <t>A0000648</t>
  </si>
  <si>
    <t>Cad-Cut Premium Plus 106 Amarillo Girasol</t>
  </si>
  <si>
    <t>A0000649</t>
  </si>
  <si>
    <t>Cad-Cut Premium Plus 185 Naranja Ligero</t>
  </si>
  <si>
    <t>A0000650</t>
  </si>
  <si>
    <t>Cad-Cut Premium Plus 180 Naranja</t>
  </si>
  <si>
    <t>A0000651</t>
  </si>
  <si>
    <t>Cad-Cut Premium Plus 210 Rojo Señal</t>
  </si>
  <si>
    <t>A0000652</t>
  </si>
  <si>
    <t>Cad-Cut Premium Plus 200 Rojo</t>
  </si>
  <si>
    <t>A0000653</t>
  </si>
  <si>
    <t>Cad-Cut Premium Plus 270 Rojo Borgoña</t>
  </si>
  <si>
    <t>A0000654</t>
  </si>
  <si>
    <t>Cad-Cut Premium Plus 255 Pastel Rosa</t>
  </si>
  <si>
    <t>A0000655</t>
  </si>
  <si>
    <t>Cad-Cut Premium Plus 252 Rosa</t>
  </si>
  <si>
    <t>A0000656</t>
  </si>
  <si>
    <t>Cad-Cut Premium Plus 250 Fucsia</t>
  </si>
  <si>
    <t>A0000657</t>
  </si>
  <si>
    <t>Cad-Cut Premium Plus 285 Pastel Púrpura</t>
  </si>
  <si>
    <t>A0000658</t>
  </si>
  <si>
    <t>Cad-Cut Premium Plus 280 Púrpura</t>
  </si>
  <si>
    <t>A0000659</t>
  </si>
  <si>
    <t>Cad-Cut Premium Plus 321 Azul Pastel500mm</t>
  </si>
  <si>
    <t>A0000660</t>
  </si>
  <si>
    <t>Cad-Cut Premium Plus 320 Azul Ligero</t>
  </si>
  <si>
    <t>A0000661</t>
  </si>
  <si>
    <t>Cad-Cut Premium Plus 300 Azul Real</t>
  </si>
  <si>
    <t>A0000662</t>
  </si>
  <si>
    <t>Cad-Cut Premium Plus 350 Azul Naval</t>
  </si>
  <si>
    <t>A0000663</t>
  </si>
  <si>
    <t>Cad-Cut Premium Plus 380 Verde Turquesa</t>
  </si>
  <si>
    <t>A0000664</t>
  </si>
  <si>
    <t>Cad-Cut Premium Plus 420 Verde Pastel</t>
  </si>
  <si>
    <t>A0000665</t>
  </si>
  <si>
    <t>Cad-Cut Premium Plus 421 Verde Manzana</t>
  </si>
  <si>
    <t>A0000666</t>
  </si>
  <si>
    <t>Cad-Cut Premium Plus 422 Verde Ligero</t>
  </si>
  <si>
    <t>A0000667</t>
  </si>
  <si>
    <t>Cad-Cut Premium Plus 400 Verde</t>
  </si>
  <si>
    <t>A0000668</t>
  </si>
  <si>
    <t>Cad-Cut Premium Plus 410 Verde Oscuro</t>
  </si>
  <si>
    <t>A0000669</t>
  </si>
  <si>
    <t>Cad-Cut Premium Plus 430 Verde Oliva</t>
  </si>
  <si>
    <t>A0000670</t>
  </si>
  <si>
    <t>Cad-Cut Premium Plus 550 Marrón</t>
  </si>
  <si>
    <t>A0000671</t>
  </si>
  <si>
    <t>Cad-Cut Premium Plus 730 Gris</t>
  </si>
  <si>
    <t>A0000672</t>
  </si>
  <si>
    <t>Cad-Cut Premium Plus 780 Gris Oscuro</t>
  </si>
  <si>
    <t>A0000673</t>
  </si>
  <si>
    <t>Cad-Cut Premium Plus 700 Negro</t>
  </si>
  <si>
    <t>A0000674</t>
  </si>
  <si>
    <t>Cad-Cut Premium Plus 815 Plata</t>
  </si>
  <si>
    <t>A0000675</t>
  </si>
  <si>
    <t>Cad-Cut Premium Plus 115 Oro</t>
  </si>
  <si>
    <t>A0000676</t>
  </si>
  <si>
    <t>Cad-Cut Premium Plus 101 Neon Amarillo</t>
  </si>
  <si>
    <t>A0000677</t>
  </si>
  <si>
    <t>Flock 530 Marrón</t>
  </si>
  <si>
    <t>A0000678</t>
  </si>
  <si>
    <t>Flock 550 Marrón Oscuro</t>
  </si>
  <si>
    <t>A0000679</t>
  </si>
  <si>
    <t>Flock 730 Cool Gris</t>
  </si>
  <si>
    <t>A0000680</t>
  </si>
  <si>
    <t>Flock 780 Gris Oscuro</t>
  </si>
  <si>
    <t>A0000681</t>
  </si>
  <si>
    <t>Flock 700 Negro</t>
  </si>
  <si>
    <t>A0000682</t>
  </si>
  <si>
    <t>Flock 101 Neon Amarillo</t>
  </si>
  <si>
    <t>A0000683</t>
  </si>
  <si>
    <t>Flock 181 Neon Naranja</t>
  </si>
  <si>
    <t>A0000684</t>
  </si>
  <si>
    <t>Flock 241 Neon Rosa</t>
  </si>
  <si>
    <t>A0000685</t>
  </si>
  <si>
    <t>Flock 401 Neon Verde</t>
  </si>
  <si>
    <t>A0000702</t>
  </si>
  <si>
    <t>A0000703</t>
  </si>
  <si>
    <t>A0000704</t>
  </si>
  <si>
    <t>A0000705</t>
  </si>
  <si>
    <t>A0000706</t>
  </si>
  <si>
    <t>A0000707</t>
  </si>
  <si>
    <t>A0000708</t>
  </si>
  <si>
    <t>A0000709</t>
  </si>
  <si>
    <t>A0000710</t>
  </si>
  <si>
    <t>A0000711</t>
  </si>
  <si>
    <t>A0000712</t>
  </si>
  <si>
    <t>A0000713</t>
  </si>
  <si>
    <t>A0000714</t>
  </si>
  <si>
    <t>A0000715</t>
  </si>
  <si>
    <t>A0000716</t>
  </si>
  <si>
    <t>A0000717</t>
  </si>
  <si>
    <t>A0000718</t>
  </si>
  <si>
    <t>A0000719</t>
  </si>
  <si>
    <t>A0000720</t>
  </si>
  <si>
    <t>A0000721</t>
  </si>
  <si>
    <t>A0000722</t>
  </si>
  <si>
    <t>A0000723</t>
  </si>
  <si>
    <t>A0000724</t>
  </si>
  <si>
    <t>A0000725</t>
  </si>
  <si>
    <t>A0000726</t>
  </si>
  <si>
    <t>A0000727</t>
  </si>
  <si>
    <t>A0000728</t>
  </si>
  <si>
    <t>A0000729</t>
  </si>
  <si>
    <t>A0000730</t>
  </si>
  <si>
    <t>A0000731</t>
  </si>
  <si>
    <t>A0000732</t>
  </si>
  <si>
    <t>A0000733</t>
  </si>
  <si>
    <t>A0000734</t>
  </si>
  <si>
    <t>A0000735</t>
  </si>
  <si>
    <t>A0000736</t>
  </si>
  <si>
    <t>A0000737</t>
  </si>
  <si>
    <t>A0000738</t>
  </si>
  <si>
    <t>A0000739</t>
  </si>
  <si>
    <t>A0000740</t>
  </si>
  <si>
    <t>A0000741</t>
  </si>
  <si>
    <t>A0000742</t>
  </si>
  <si>
    <t>A0000743</t>
  </si>
  <si>
    <t>A0000744</t>
  </si>
  <si>
    <t>A0000745</t>
  </si>
  <si>
    <t>A0000746</t>
  </si>
  <si>
    <t>A0000747</t>
  </si>
  <si>
    <t>A0000748</t>
  </si>
  <si>
    <t>A0000749</t>
  </si>
  <si>
    <t>A0000750</t>
  </si>
  <si>
    <t>Sublistop</t>
  </si>
  <si>
    <t>Sublistop 001 Blanco</t>
  </si>
  <si>
    <t>A0000751</t>
  </si>
  <si>
    <t>Sublistop 005 Crema</t>
  </si>
  <si>
    <t>A0000752</t>
  </si>
  <si>
    <t>Sublistop 110 Amarillo</t>
  </si>
  <si>
    <t>A0000753</t>
  </si>
  <si>
    <t>Sublistop 185 Naranja Ligero</t>
  </si>
  <si>
    <t>A0000754</t>
  </si>
  <si>
    <t>Sublistop 200 Rojo</t>
  </si>
  <si>
    <t>A0000755</t>
  </si>
  <si>
    <t>Sublistop 320 Azul Ligero</t>
  </si>
  <si>
    <t>A0000756</t>
  </si>
  <si>
    <t>Sublistop 380 Verde Turquesa</t>
  </si>
  <si>
    <t>A0000757</t>
  </si>
  <si>
    <t>Sublistop 422 Verde Ligero</t>
  </si>
  <si>
    <t>A0000758</t>
  </si>
  <si>
    <t>Sublistop 730 Gris</t>
  </si>
  <si>
    <t>A0000759</t>
  </si>
  <si>
    <t>Sublistop 815 Plata</t>
  </si>
  <si>
    <t>A0000760</t>
  </si>
  <si>
    <t>Sublistop 115 Oro</t>
  </si>
  <si>
    <t>A0000762</t>
  </si>
  <si>
    <t>Silicone</t>
  </si>
  <si>
    <t>Silicone 200 001 Blanco</t>
  </si>
  <si>
    <t>A0000763</t>
  </si>
  <si>
    <t>Silicone 200 200 Rojo</t>
  </si>
  <si>
    <t>A0000764</t>
  </si>
  <si>
    <t>Silicone 200 320 Azul Ligero</t>
  </si>
  <si>
    <t>A0000765</t>
  </si>
  <si>
    <t>Silicone 200 300 Azul Real</t>
  </si>
  <si>
    <t>A0000766</t>
  </si>
  <si>
    <t>Silicone 200 730 Gris</t>
  </si>
  <si>
    <t>A0000767</t>
  </si>
  <si>
    <t>Silicone 200 700 Negro</t>
  </si>
  <si>
    <t>A0000768</t>
  </si>
  <si>
    <t>Silicone 200 400 Verde</t>
  </si>
  <si>
    <t>A0000769</t>
  </si>
  <si>
    <t>Silicone 500 001 Blanco</t>
  </si>
  <si>
    <t>A0000770</t>
  </si>
  <si>
    <t>Silicone 500 500 Rojo</t>
  </si>
  <si>
    <t>A0000771</t>
  </si>
  <si>
    <t>Silicone 500 320 Azul Ligero</t>
  </si>
  <si>
    <t>A0000772</t>
  </si>
  <si>
    <t>Silicone 500 300 Azul Real</t>
  </si>
  <si>
    <t>A0000773</t>
  </si>
  <si>
    <t>Silicone 500 730 Gris</t>
  </si>
  <si>
    <t>A0000774</t>
  </si>
  <si>
    <t>Silicone 500 700 Negro</t>
  </si>
  <si>
    <t>A0000775</t>
  </si>
  <si>
    <t>Silicone 500 400 Verde</t>
  </si>
  <si>
    <t>A0001478</t>
  </si>
  <si>
    <t>M7 176 Marfil 1,22 x 50m</t>
  </si>
  <si>
    <t>A0001445</t>
  </si>
  <si>
    <t>A0000484</t>
  </si>
  <si>
    <t>M7 177 Azul Cáscara</t>
  </si>
  <si>
    <t>A0000434</t>
  </si>
  <si>
    <t>A0000870</t>
  </si>
  <si>
    <t>Piezas de Repuesto</t>
  </si>
  <si>
    <t>A0000492</t>
  </si>
  <si>
    <t>M7 178 Azul Vikingo</t>
  </si>
  <si>
    <t>A0000984</t>
  </si>
  <si>
    <t>A0000986</t>
  </si>
  <si>
    <t>Laminado Suelo</t>
  </si>
  <si>
    <t>Anchos Laminados Aplicaciones Especiales</t>
  </si>
  <si>
    <t>1.37Metros</t>
  </si>
  <si>
    <t>A0000987</t>
  </si>
  <si>
    <t>A0001013</t>
  </si>
  <si>
    <t>A0001014</t>
  </si>
  <si>
    <t>A0001015</t>
  </si>
  <si>
    <t>A0001016</t>
  </si>
  <si>
    <t>A0001017</t>
  </si>
  <si>
    <t>A0001018</t>
  </si>
  <si>
    <t>A0001019</t>
  </si>
  <si>
    <t>220 ml</t>
  </si>
  <si>
    <t>A0001025</t>
  </si>
  <si>
    <t>A0001026</t>
  </si>
  <si>
    <t>A0001027</t>
  </si>
  <si>
    <t>A0001028</t>
  </si>
  <si>
    <t>A0001029</t>
  </si>
  <si>
    <t>A0001030</t>
  </si>
  <si>
    <t>A0001032</t>
  </si>
  <si>
    <t>A0001033</t>
  </si>
  <si>
    <t>A0001034</t>
  </si>
  <si>
    <t>A0001035</t>
  </si>
  <si>
    <t>A0001036</t>
  </si>
  <si>
    <t>A0001038</t>
  </si>
  <si>
    <t>Light Negro</t>
  </si>
  <si>
    <t>A0001039</t>
  </si>
  <si>
    <t>A0001040</t>
  </si>
  <si>
    <t>A0001041</t>
  </si>
  <si>
    <t>A0001042</t>
  </si>
  <si>
    <t>A0001043</t>
  </si>
  <si>
    <t>A0001044</t>
  </si>
  <si>
    <t>A0001045</t>
  </si>
  <si>
    <t>500 ml</t>
  </si>
  <si>
    <t>A0001046</t>
  </si>
  <si>
    <t>A0001047</t>
  </si>
  <si>
    <t>A0001048</t>
  </si>
  <si>
    <t>A0001049</t>
  </si>
  <si>
    <t>A0001050</t>
  </si>
  <si>
    <t>A0001051</t>
  </si>
  <si>
    <t>A0001052</t>
  </si>
  <si>
    <t>A0001067</t>
  </si>
  <si>
    <t>Anti-Graffiti</t>
  </si>
  <si>
    <t>A0001072</t>
  </si>
  <si>
    <t>Microperforado</t>
  </si>
  <si>
    <t>A0001073</t>
  </si>
  <si>
    <t>A0001081</t>
  </si>
  <si>
    <t>Ancho de Impresión</t>
  </si>
  <si>
    <t>162 cm</t>
  </si>
  <si>
    <t>A0001083</t>
  </si>
  <si>
    <t>A0001097</t>
  </si>
  <si>
    <t>A0001100</t>
  </si>
  <si>
    <t>76 cm</t>
  </si>
  <si>
    <t>A0001104</t>
  </si>
  <si>
    <t>A0001106</t>
  </si>
  <si>
    <t>A0001181</t>
  </si>
  <si>
    <t>A0001203</t>
  </si>
  <si>
    <t>A0001234</t>
  </si>
  <si>
    <t>EcoSolMax 1</t>
  </si>
  <si>
    <t>A0001235</t>
  </si>
  <si>
    <t>A0000442</t>
  </si>
  <si>
    <t>A0001238</t>
  </si>
  <si>
    <t>A0001239</t>
  </si>
  <si>
    <t>A0001240</t>
  </si>
  <si>
    <t>A0001241</t>
  </si>
  <si>
    <t>A0001446</t>
  </si>
  <si>
    <t>M7 179 Flor de Melocotón 1,22 x 50m</t>
  </si>
  <si>
    <t>A0000505</t>
  </si>
  <si>
    <t>M7 180 Lila</t>
  </si>
  <si>
    <t>A0001246</t>
  </si>
  <si>
    <t>A0001247</t>
  </si>
  <si>
    <t>A0001248</t>
  </si>
  <si>
    <t>A0001249</t>
  </si>
  <si>
    <t>A0001250</t>
  </si>
  <si>
    <t>A0001251</t>
  </si>
  <si>
    <t>A0000455</t>
  </si>
  <si>
    <t>A0000504</t>
  </si>
  <si>
    <t>M7 181 Rosa</t>
  </si>
  <si>
    <t>A0000454</t>
  </si>
  <si>
    <t>a0001260</t>
  </si>
  <si>
    <t>A0001268</t>
  </si>
  <si>
    <t>A0000503</t>
  </si>
  <si>
    <t>M7 182 Magenta</t>
  </si>
  <si>
    <t>A0000453</t>
  </si>
  <si>
    <t>A0000506</t>
  </si>
  <si>
    <t>M7 183 Violeta</t>
  </si>
  <si>
    <t>A0000456</t>
  </si>
  <si>
    <t>A0000507</t>
  </si>
  <si>
    <t>M7 184 Malva</t>
  </si>
  <si>
    <t>A0000457</t>
  </si>
  <si>
    <t>A0001468</t>
  </si>
  <si>
    <t>M7 185 Azul Oscuro 1,22 x 50m</t>
  </si>
  <si>
    <t>A0001435</t>
  </si>
  <si>
    <t>A0001565</t>
  </si>
  <si>
    <t>M7 186 Lavanda 1,22 x 50m</t>
  </si>
  <si>
    <t>A0001564</t>
  </si>
  <si>
    <t>A0001469</t>
  </si>
  <si>
    <t>M7 187 Violeta Oscuro 1,22 x 50m</t>
  </si>
  <si>
    <t>A0001436</t>
  </si>
  <si>
    <t>A0001487</t>
  </si>
  <si>
    <t>M7 188 Aguamarina 1,22 x 50m</t>
  </si>
  <si>
    <t>A0001486</t>
  </si>
  <si>
    <t>A0000511</t>
  </si>
  <si>
    <t>M7 190 Plata</t>
  </si>
  <si>
    <t>A0000461</t>
  </si>
  <si>
    <t>A0000510</t>
  </si>
  <si>
    <t>M7 191 Oro</t>
  </si>
  <si>
    <t>A0000460</t>
  </si>
  <si>
    <t>A0000512</t>
  </si>
  <si>
    <t>M7 192 Gris Carbón</t>
  </si>
  <si>
    <t>A0000462</t>
  </si>
  <si>
    <t>A0001535</t>
  </si>
  <si>
    <t>M7 193 Gunmetal 1,22 x 50m</t>
  </si>
  <si>
    <t>A0001534</t>
  </si>
  <si>
    <t>A0001483</t>
  </si>
  <si>
    <t>M7 194 Acero 1,22 x 50m</t>
  </si>
  <si>
    <t>A0001450</t>
  </si>
  <si>
    <t>A0001484</t>
  </si>
  <si>
    <t>M7 195 Aluminio 1,22 x 50m</t>
  </si>
  <si>
    <t>A0001451</t>
  </si>
  <si>
    <t>A0001485</t>
  </si>
  <si>
    <t>M7 196 Grafito 1,22 x 50m</t>
  </si>
  <si>
    <t>A0001452</t>
  </si>
  <si>
    <t>A0001473</t>
  </si>
  <si>
    <t>M7 197 Verde Saltamontes 1,22 x 50m</t>
  </si>
  <si>
    <t>A0001440</t>
  </si>
  <si>
    <t>A0001474</t>
  </si>
  <si>
    <t>M7 198 Verde Natural 1,22 x 50m</t>
  </si>
  <si>
    <t>A0001441</t>
  </si>
  <si>
    <t>A0001475</t>
  </si>
  <si>
    <t>M7 199 Verde Manzana 1,22 x 50m</t>
  </si>
  <si>
    <t>A0001442</t>
  </si>
  <si>
    <t>A0000535</t>
  </si>
  <si>
    <t>A0000529</t>
  </si>
  <si>
    <t>A0000843</t>
  </si>
  <si>
    <t>A0000536</t>
  </si>
  <si>
    <t>A0000847</t>
  </si>
  <si>
    <t>A0000537</t>
  </si>
  <si>
    <t>A0000531</t>
  </si>
  <si>
    <t>A0000844</t>
  </si>
  <si>
    <t>A0000102</t>
  </si>
  <si>
    <t>Metascape</t>
  </si>
  <si>
    <t>Fácil Aplicación</t>
  </si>
  <si>
    <t>A0000101</t>
  </si>
  <si>
    <t>A0002056</t>
  </si>
  <si>
    <t>A0001566</t>
  </si>
  <si>
    <t>A0000513</t>
  </si>
  <si>
    <t>M7 MetaEscape</t>
  </si>
  <si>
    <t>M7A 100 Blanco Brillo</t>
  </si>
  <si>
    <t>A0000515</t>
  </si>
  <si>
    <t>M7A 110 Negro Brillo</t>
  </si>
  <si>
    <t>A0000516</t>
  </si>
  <si>
    <t>M7A 111M Negro Mate</t>
  </si>
  <si>
    <t>A0001690</t>
  </si>
  <si>
    <t>A0001490</t>
  </si>
  <si>
    <t>A0000514</t>
  </si>
  <si>
    <t>M7A 125 Gris Nimbo</t>
  </si>
  <si>
    <t>A0000518</t>
  </si>
  <si>
    <t>M7A 131 Amarillo Girasol</t>
  </si>
  <si>
    <t>A0000519</t>
  </si>
  <si>
    <t>M7A 133 Naranja</t>
  </si>
  <si>
    <t>A0001488</t>
  </si>
  <si>
    <t>A0000517</t>
  </si>
  <si>
    <t>M7A 136 Amarillo Brillante</t>
  </si>
  <si>
    <t>A0001689</t>
  </si>
  <si>
    <t>A0000520</t>
  </si>
  <si>
    <t>M7A 142 Rojo Tomate</t>
  </si>
  <si>
    <t>A0000521</t>
  </si>
  <si>
    <t>M7A 143 Rojo Cereza</t>
  </si>
  <si>
    <t>A0001526</t>
  </si>
  <si>
    <t>A0000522</t>
  </si>
  <si>
    <t>M7A 148 Rojo Profundo</t>
  </si>
  <si>
    <t>A0001489</t>
  </si>
  <si>
    <t>A0001648</t>
  </si>
  <si>
    <t>A0000523</t>
  </si>
  <si>
    <t>M7A 154 Azul Medio</t>
  </si>
  <si>
    <t>A0000524</t>
  </si>
  <si>
    <t>M7A 155 Azul Ultramarino</t>
  </si>
  <si>
    <t>A0000525</t>
  </si>
  <si>
    <t>M7A 156 Azul Naval</t>
  </si>
  <si>
    <t>A0000526</t>
  </si>
  <si>
    <t>M7A 164 Verde Bosque</t>
  </si>
  <si>
    <t>A0000527</t>
  </si>
  <si>
    <t>M7A 190 Plata</t>
  </si>
  <si>
    <t>A0000528</t>
  </si>
  <si>
    <t>M7A 192 Gris Carbón</t>
  </si>
  <si>
    <t>A0001492</t>
  </si>
  <si>
    <t>M7A 198 Verde Natural 1,22 x 50m</t>
  </si>
  <si>
    <t>A0000538</t>
  </si>
  <si>
    <t>A0000845</t>
  </si>
  <si>
    <t>A0000532</t>
  </si>
  <si>
    <t>A0000539</t>
  </si>
  <si>
    <t>A0000533</t>
  </si>
  <si>
    <t>A0001537</t>
  </si>
  <si>
    <t>A0001551</t>
  </si>
  <si>
    <t>A0000848</t>
  </si>
  <si>
    <t>A0000540</t>
  </si>
  <si>
    <t>A0000534</t>
  </si>
  <si>
    <t>A0000541</t>
  </si>
  <si>
    <t>MT Translúcido</t>
  </si>
  <si>
    <t>MT600 Blanco</t>
  </si>
  <si>
    <t>A0000548</t>
  </si>
  <si>
    <t>MT610 Negro</t>
  </si>
  <si>
    <t>A0001660</t>
  </si>
  <si>
    <t>Wrapping de Vehículos</t>
  </si>
  <si>
    <t>MetaGlide (Reposicionable) y Fácil Aplicación (Metascape)</t>
  </si>
  <si>
    <t>Metros por Bobina</t>
  </si>
  <si>
    <t>10 Metros</t>
  </si>
  <si>
    <t>A0001661</t>
  </si>
  <si>
    <t>25 Metros</t>
  </si>
  <si>
    <t>A0001662</t>
  </si>
  <si>
    <t>Laminado Wrapping Vehículos</t>
  </si>
  <si>
    <t>A0001663</t>
  </si>
  <si>
    <t>A0001664</t>
  </si>
  <si>
    <t>A0001665</t>
  </si>
  <si>
    <t>A0001667</t>
  </si>
  <si>
    <t>A0001679</t>
  </si>
  <si>
    <t>50 Metros</t>
  </si>
  <si>
    <t>A0001680</t>
  </si>
  <si>
    <t>A0001681</t>
  </si>
  <si>
    <t>A0001685</t>
  </si>
  <si>
    <t>A0000545</t>
  </si>
  <si>
    <t>MT620 Gris Ligero</t>
  </si>
  <si>
    <t>A0000544</t>
  </si>
  <si>
    <t>MT621 Gris Oscuro</t>
  </si>
  <si>
    <t>A0001700</t>
  </si>
  <si>
    <t>A0001818</t>
  </si>
  <si>
    <t>Cad-Cut Sportsfilm 370 Menta Pastel</t>
  </si>
  <si>
    <t>A0001819</t>
  </si>
  <si>
    <t>Cad-Cut Sportsfilm 215 Oro Rosa</t>
  </si>
  <si>
    <t>A0000549</t>
  </si>
  <si>
    <t>MT630 Amarillo Limón</t>
  </si>
  <si>
    <t>A0000556</t>
  </si>
  <si>
    <t>MT633 Naranja</t>
  </si>
  <si>
    <t>A0000550</t>
  </si>
  <si>
    <t>MT635 Amarillo Botón</t>
  </si>
  <si>
    <t>A0000551</t>
  </si>
  <si>
    <t>MT636 Mandarina</t>
  </si>
  <si>
    <t>A0000558</t>
  </si>
  <si>
    <t>MT640 Rojo Ligero</t>
  </si>
  <si>
    <t>A0000560</t>
  </si>
  <si>
    <t>MT641 Rojo Tomate</t>
  </si>
  <si>
    <t>A0000546</t>
  </si>
  <si>
    <t>MT642 Rojo Carmesí</t>
  </si>
  <si>
    <t>A0000562</t>
  </si>
  <si>
    <t>MT643 Rojo Cardenal</t>
  </si>
  <si>
    <t>A0000564</t>
  </si>
  <si>
    <t>MT645 Rojo Vino</t>
  </si>
  <si>
    <t>A0000561</t>
  </si>
  <si>
    <t>MT647 Rojo Escarlata</t>
  </si>
  <si>
    <t>A0000563</t>
  </si>
  <si>
    <t>MT649 Burdeos</t>
  </si>
  <si>
    <t>A0000567</t>
  </si>
  <si>
    <t>MT651 Azul Olímpico</t>
  </si>
  <si>
    <t>A0000553</t>
  </si>
  <si>
    <t>MT653 Azul Intenso</t>
  </si>
  <si>
    <t>A0000555</t>
  </si>
  <si>
    <t>MT654 Azul Medio</t>
  </si>
  <si>
    <t>A0000557</t>
  </si>
  <si>
    <t>MT659 Azul Cobalto</t>
  </si>
  <si>
    <t>A0000554</t>
  </si>
  <si>
    <t>MT660 Verde Lima</t>
  </si>
  <si>
    <t>A0000569</t>
  </si>
  <si>
    <t>MT665 Verde Azulado</t>
  </si>
  <si>
    <t>A0000570</t>
  </si>
  <si>
    <t>MT666 Verde Turquesa</t>
  </si>
  <si>
    <t>A0000571</t>
  </si>
  <si>
    <t>MT667 Verde Forestal</t>
  </si>
  <si>
    <t>A0000543</t>
  </si>
  <si>
    <t>MT668 Verde Prado</t>
  </si>
  <si>
    <t>A0000572</t>
  </si>
  <si>
    <t>MT669 Verde Trébol</t>
  </si>
  <si>
    <t>A0000566</t>
  </si>
  <si>
    <t>MT670 Marfil</t>
  </si>
  <si>
    <t>A0000568</t>
  </si>
  <si>
    <t>MT672 Marrón</t>
  </si>
  <si>
    <t>A0000559</t>
  </si>
  <si>
    <t>MT675 Azul Oriental</t>
  </si>
  <si>
    <t>A0000547</t>
  </si>
  <si>
    <t>MT676 Azul Proceso</t>
  </si>
  <si>
    <t>A0000565</t>
  </si>
  <si>
    <t>MT677 Azul Real</t>
  </si>
  <si>
    <t>A0002343</t>
  </si>
  <si>
    <t>Cad-Cut Sportsfilm 254 Rosa Vintage</t>
  </si>
  <si>
    <t>A0000573</t>
  </si>
  <si>
    <t>MT678 Cathay Verde</t>
  </si>
  <si>
    <t>A0000574</t>
  </si>
  <si>
    <t>MT679 Verde Menta</t>
  </si>
  <si>
    <t>A0000575</t>
  </si>
  <si>
    <t>MT683 Violeta</t>
  </si>
  <si>
    <t>A0000542</t>
  </si>
  <si>
    <t>MT684 Rose</t>
  </si>
  <si>
    <t>A0000552</t>
  </si>
  <si>
    <t>MT685 Frambuesa</t>
  </si>
  <si>
    <t>A0002095</t>
  </si>
  <si>
    <t>MM-CC00 Blanco Brillo</t>
  </si>
  <si>
    <t>Calandrado Fundido</t>
  </si>
  <si>
    <t>A0002094</t>
  </si>
  <si>
    <t>MM-CC01M Blanco Mate</t>
  </si>
  <si>
    <t>A0002046</t>
  </si>
  <si>
    <t>MM-CC10 Negro Brillo</t>
  </si>
  <si>
    <t>A0002091</t>
  </si>
  <si>
    <t>MM-CC11 Negro Mate</t>
  </si>
  <si>
    <t>A0002103</t>
  </si>
  <si>
    <t>MM-CC13 Naranja Señal Brillo</t>
  </si>
  <si>
    <t>A0002093</t>
  </si>
  <si>
    <t>MM-CC21 Gris Detroit Brillo</t>
  </si>
  <si>
    <t>A0002096</t>
  </si>
  <si>
    <t>MM-CC29 Gris Nardo Brillo</t>
  </si>
  <si>
    <t>A0002102</t>
  </si>
  <si>
    <t>MM-CC31 Daytona Brillo</t>
  </si>
  <si>
    <t>A0002104</t>
  </si>
  <si>
    <t>MM-CC42 Rojo Brillo</t>
  </si>
  <si>
    <t>A0002105</t>
  </si>
  <si>
    <t>MM-CC48 Carmín Brillo</t>
  </si>
  <si>
    <t>A0002109</t>
  </si>
  <si>
    <t>MM-CC52 Azul Francés Brillo</t>
  </si>
  <si>
    <t>A0002110</t>
  </si>
  <si>
    <t>MM-CC55 Azul Fénix Brillo</t>
  </si>
  <si>
    <t>A0002106</t>
  </si>
  <si>
    <t>MM-CC62 Verde Java Brillo</t>
  </si>
  <si>
    <t>A0002108</t>
  </si>
  <si>
    <t>MM-CC65 Verde Azulado Brillo</t>
  </si>
  <si>
    <t>A0002101</t>
  </si>
  <si>
    <t>MM-CC67 Verde Neon Brillo</t>
  </si>
  <si>
    <t>A0002107</t>
  </si>
  <si>
    <t>MM-CC69 Verde Carrera Brillo</t>
  </si>
  <si>
    <t>A0002100</t>
  </si>
  <si>
    <t>MM-CC90 Plata Brillo</t>
  </si>
  <si>
    <t>A0002098</t>
  </si>
  <si>
    <t>MM-CC93 Gunmetal Mate</t>
  </si>
  <si>
    <t>A0002099</t>
  </si>
  <si>
    <t>MM-CC95 Aluminio Brillo</t>
  </si>
  <si>
    <t>A0002097</t>
  </si>
  <si>
    <t>MM-CC96 Grafito Brillo</t>
  </si>
  <si>
    <t>A0002891</t>
  </si>
  <si>
    <t>EZ Color Mate</t>
  </si>
  <si>
    <t>EZ Color EC1024 Gris Medio Mate</t>
  </si>
  <si>
    <t>Hasta 6 Años</t>
  </si>
  <si>
    <t>Alto Agarre y Fácil Aplicación</t>
  </si>
  <si>
    <t>A0002682</t>
  </si>
  <si>
    <t>A0002885</t>
  </si>
  <si>
    <t>EZ Color Brillo</t>
  </si>
  <si>
    <t>EZ Color EC3745 Negro Brillo</t>
  </si>
  <si>
    <t>A0002683</t>
  </si>
  <si>
    <t>EZ Color EC1270 Gris Oscuro Brillo</t>
  </si>
  <si>
    <t>A0002676</t>
  </si>
  <si>
    <t>EZ Color EC1295 Verde Medio Mate</t>
  </si>
  <si>
    <t>A0002874</t>
  </si>
  <si>
    <t>EZ Color EC1955 Blanco Mate</t>
  </si>
  <si>
    <t>A0002672</t>
  </si>
  <si>
    <t>A0002886</t>
  </si>
  <si>
    <t>EZ Color EC1982 Plata Mate</t>
  </si>
  <si>
    <t>A0002684</t>
  </si>
  <si>
    <t>A0002888</t>
  </si>
  <si>
    <t>EZ Color EC4267 Amarillo Girasol Mate</t>
  </si>
  <si>
    <t>A0002871</t>
  </si>
  <si>
    <t>A0002877</t>
  </si>
  <si>
    <t>EZ Color EC2235 Verde Medio Brillo</t>
  </si>
  <si>
    <t>A0002880</t>
  </si>
  <si>
    <t>EZ Color EC2472 Rojo Cardenal Brillo</t>
  </si>
  <si>
    <t>A0002677</t>
  </si>
  <si>
    <t>A0002889</t>
  </si>
  <si>
    <t>EZ Color EC3048 Amarillo Brillo</t>
  </si>
  <si>
    <t>A0002872</t>
  </si>
  <si>
    <t>A0002875</t>
  </si>
  <si>
    <t>A0002671</t>
  </si>
  <si>
    <t>EZ Color EC3281 Blanco Brillo</t>
  </si>
  <si>
    <t>A0002887</t>
  </si>
  <si>
    <t>EZ Color EC3477 Oro Mate</t>
  </si>
  <si>
    <t>A0002848</t>
  </si>
  <si>
    <t>A0002873</t>
  </si>
  <si>
    <t>A0002669</t>
  </si>
  <si>
    <t>A0002890</t>
  </si>
  <si>
    <t>EZ Color EC4267 Amarillo Girasol</t>
  </si>
  <si>
    <t>A0002870</t>
  </si>
  <si>
    <t>A0002882</t>
  </si>
  <si>
    <t>EZ Color EC5555 Naranja Brillo</t>
  </si>
  <si>
    <t>A0002679</t>
  </si>
  <si>
    <t>A0002876</t>
  </si>
  <si>
    <t>EZ Color EC7112 Azul Brillo</t>
  </si>
  <si>
    <t>A0002673</t>
  </si>
  <si>
    <t>A0002878</t>
  </si>
  <si>
    <t>EZ Color EC7288 Azul Medio Mate</t>
  </si>
  <si>
    <t>A0002674</t>
  </si>
  <si>
    <t>A0002883</t>
  </si>
  <si>
    <t>EZ Color EC7422 Naranja Mate</t>
  </si>
  <si>
    <t>A0002680</t>
  </si>
  <si>
    <t>A0002719</t>
  </si>
  <si>
    <t>EZ Color EC9284 Negro Mate</t>
  </si>
  <si>
    <t>A0002670</t>
  </si>
  <si>
    <t>A0002881</t>
  </si>
  <si>
    <t>EZ Color EC9882 Rojo Cardenal Mate</t>
  </si>
  <si>
    <t>A0002678</t>
  </si>
  <si>
    <t>A0002884</t>
  </si>
  <si>
    <t>EZ Color EC9944 Gris Medio Brillo</t>
  </si>
  <si>
    <t>A0002681</t>
  </si>
  <si>
    <t>A0000871</t>
  </si>
  <si>
    <t>Pizarra</t>
  </si>
  <si>
    <t>A0000872</t>
  </si>
  <si>
    <t>Atributo</t>
  </si>
  <si>
    <t>Valor</t>
  </si>
  <si>
    <t>Codigo HTML del color</t>
  </si>
  <si>
    <t>Tipo de Atributo</t>
  </si>
  <si>
    <t>#ffffff</t>
  </si>
  <si>
    <t>300 mm</t>
  </si>
  <si>
    <t>0,76 Metros</t>
  </si>
  <si>
    <t>Hoja 70x100 cm</t>
  </si>
  <si>
    <t>500mm</t>
  </si>
  <si>
    <t>750mm</t>
  </si>
  <si>
    <t>0,760 Metros</t>
  </si>
  <si>
    <t>1 Litro</t>
  </si>
  <si>
    <t>#FEDD00</t>
  </si>
  <si>
    <t>#23A3C7</t>
  </si>
  <si>
    <t>#6CD1EF</t>
  </si>
  <si>
    <t>#F1B2DC</t>
  </si>
  <si>
    <t>#9D9994</t>
  </si>
  <si>
    <t>#D9017A</t>
  </si>
  <si>
    <t>#000000</t>
  </si>
  <si>
    <t>Violeta</t>
  </si>
  <si>
    <t>#87189D</t>
  </si>
  <si>
    <t>Naranja</t>
  </si>
  <si>
    <t>#FFA400</t>
  </si>
  <si>
    <t>Limpieza</t>
  </si>
  <si>
    <t>#D9D9D6</t>
  </si>
  <si>
    <t>Flúor Rosa</t>
  </si>
  <si>
    <t>#E93CAC</t>
  </si>
  <si>
    <t>Flúor Amarillo</t>
  </si>
  <si>
    <t>#FCE300</t>
  </si>
  <si>
    <t>#545859</t>
  </si>
  <si>
    <t>#FFC72C</t>
  </si>
  <si>
    <t>#FF8200</t>
  </si>
  <si>
    <t>#FFCD00</t>
  </si>
  <si>
    <t>#C8102E</t>
  </si>
  <si>
    <t>#BA0C2F</t>
  </si>
  <si>
    <t>#A6192E</t>
  </si>
  <si>
    <t>#004C97</t>
  </si>
  <si>
    <t>#003087</t>
  </si>
  <si>
    <t>#00205B</t>
  </si>
  <si>
    <t>#006747</t>
  </si>
  <si>
    <t>#A7A8A9</t>
  </si>
  <si>
    <t>#53565A</t>
  </si>
  <si>
    <t>M7A 135 Albaricoque</t>
  </si>
  <si>
    <t>#ED8B00</t>
  </si>
  <si>
    <t>M7A 149 Rojo Carmesí</t>
  </si>
  <si>
    <t>M7A 118 Azul Reflex</t>
  </si>
  <si>
    <t>#001489</t>
  </si>
  <si>
    <t>M7A 119 Azul Prusiano</t>
  </si>
  <si>
    <t>#13294B</t>
  </si>
  <si>
    <t>M7A 198 Verde Natural</t>
  </si>
  <si>
    <t>#A4D233</t>
  </si>
  <si>
    <t>M7A 145 Rojo Borgoña</t>
  </si>
  <si>
    <t>#651C32</t>
  </si>
  <si>
    <t>M7A 151 Azul Olímpico</t>
  </si>
  <si>
    <t>#00A3E0</t>
  </si>
  <si>
    <t>M7A 194 Acero</t>
  </si>
  <si>
    <t>#8C8985</t>
  </si>
  <si>
    <t>M7A 101M Blanco Mate</t>
  </si>
  <si>
    <t>M7A 196 Grafito</t>
  </si>
  <si>
    <t>#373A36</t>
  </si>
  <si>
    <t>M7A 162 Verde Esmeralda</t>
  </si>
  <si>
    <t>#00AF66</t>
  </si>
  <si>
    <t>M7A 122 Gris Palo</t>
  </si>
  <si>
    <t>#D0D3D4</t>
  </si>
  <si>
    <t>M7A 121 Gris Ligero</t>
  </si>
  <si>
    <t>#75787B</t>
  </si>
  <si>
    <t>M7A 124 Gris Oscuro</t>
  </si>
  <si>
    <t>#707372</t>
  </si>
  <si>
    <t>M7A 195 Aluminio</t>
  </si>
  <si>
    <t>#A8A9A8</t>
  </si>
  <si>
    <t>M7A 193 Gunmetal</t>
  </si>
  <si>
    <t>#63666A</t>
  </si>
  <si>
    <t>M7A 191 Oro</t>
  </si>
  <si>
    <t>#C99700</t>
  </si>
  <si>
    <t>M7 105 Transparente</t>
  </si>
  <si>
    <t>#9EA2A2</t>
  </si>
  <si>
    <t>#C1C6C8</t>
  </si>
  <si>
    <t>#919388</t>
  </si>
  <si>
    <t>#54585A</t>
  </si>
  <si>
    <t>#FFB81C</t>
  </si>
  <si>
    <t>#E35205</t>
  </si>
  <si>
    <t>#FF6A13</t>
  </si>
  <si>
    <t>#FFA300</t>
  </si>
  <si>
    <t>#E03C31</t>
  </si>
  <si>
    <t>#D22630</t>
  </si>
  <si>
    <t>#DA291C</t>
  </si>
  <si>
    <t>#6F263D</t>
  </si>
  <si>
    <t>#41B6E6</t>
  </si>
  <si>
    <t>#0077C8</t>
  </si>
  <si>
    <t>#0057B8</t>
  </si>
  <si>
    <t>#041C2C</t>
  </si>
  <si>
    <t>#0047BB</t>
  </si>
  <si>
    <t>#78D64B</t>
  </si>
  <si>
    <t>#43B02A</t>
  </si>
  <si>
    <t>#00965E</t>
  </si>
  <si>
    <t>#007749</t>
  </si>
  <si>
    <t>#008C95</t>
  </si>
  <si>
    <t>#00B2A9</t>
  </si>
  <si>
    <t>#ECD898</t>
  </si>
  <si>
    <t>#4F2C1D</t>
  </si>
  <si>
    <t>#DFD1A7</t>
  </si>
  <si>
    <t>#034638</t>
  </si>
  <si>
    <t>#8DC8E8</t>
  </si>
  <si>
    <t>#06038D</t>
  </si>
  <si>
    <t>#A77BCA</t>
  </si>
  <si>
    <t>#F99FC9</t>
  </si>
  <si>
    <t>#CE0F69</t>
  </si>
  <si>
    <t>#5F259F</t>
  </si>
  <si>
    <t>#5F2167</t>
  </si>
  <si>
    <t>#8A8D8F</t>
  </si>
  <si>
    <t>#84754E</t>
  </si>
  <si>
    <t>M7 112 Mandarina</t>
  </si>
  <si>
    <t>#FE5000</t>
  </si>
  <si>
    <t>M7 113 Naranja Quemada</t>
  </si>
  <si>
    <t>#D14124</t>
  </si>
  <si>
    <t>M7 114 Granate</t>
  </si>
  <si>
    <t>#862633</t>
  </si>
  <si>
    <t>M7 115 Azul Maíz</t>
  </si>
  <si>
    <t>#418FDE</t>
  </si>
  <si>
    <t>M7 116 Azul Almirante</t>
  </si>
  <si>
    <t>#003C71</t>
  </si>
  <si>
    <t>M7 117 Oxford</t>
  </si>
  <si>
    <t>#001A70</t>
  </si>
  <si>
    <t>M7 118 Azul Reflex</t>
  </si>
  <si>
    <t>M7 119 Azul Prusiano</t>
  </si>
  <si>
    <t>M7 120 Estaño</t>
  </si>
  <si>
    <t>#808991</t>
  </si>
  <si>
    <t>M7 126 Gris Tormenta x 50m</t>
  </si>
  <si>
    <t>#24282B</t>
  </si>
  <si>
    <t>M7 127 Gris Ceniza</t>
  </si>
  <si>
    <t>M7 128 Gris Sombra</t>
  </si>
  <si>
    <t>#616568</t>
  </si>
  <si>
    <t>M7 135 Albaricoque</t>
  </si>
  <si>
    <t>#DC8633</t>
  </si>
  <si>
    <t>M7 138 Azafrán</t>
  </si>
  <si>
    <t>#E97D2C</t>
  </si>
  <si>
    <t>M7 139 Calabaza</t>
  </si>
  <si>
    <t>#E25A06</t>
  </si>
  <si>
    <t>M7 146 Rubí</t>
  </si>
  <si>
    <t>#DA2B1D</t>
  </si>
  <si>
    <t>M7 147 Rojo Rosa</t>
  </si>
  <si>
    <t>#C62734</t>
  </si>
  <si>
    <t>M7 149 Rojo Carmesí</t>
  </si>
  <si>
    <t>#D90025</t>
  </si>
  <si>
    <t>M7 159 Azul Cielo</t>
  </si>
  <si>
    <t>#64C2E4</t>
  </si>
  <si>
    <t>M7 167 Verde Poseidón</t>
  </si>
  <si>
    <t>#00697A</t>
  </si>
  <si>
    <t>M7 168 Verde Laguna</t>
  </si>
  <si>
    <t>#003B42</t>
  </si>
  <si>
    <t>M7 169 Verde Cazador</t>
  </si>
  <si>
    <t>#006B55</t>
  </si>
  <si>
    <t>M7 174 Marrón Quemado</t>
  </si>
  <si>
    <t>#7D3F16</t>
  </si>
  <si>
    <t>M7 175 Crema Claro</t>
  </si>
  <si>
    <t>#F5E1A0</t>
  </si>
  <si>
    <t>M7 176 Marfil</t>
  </si>
  <si>
    <t>#E0D3A5</t>
  </si>
  <si>
    <t>M7 179 Flor de Melocotón</t>
  </si>
  <si>
    <t>#EAC9B5</t>
  </si>
  <si>
    <t>M7 185 Azul Oscuro</t>
  </si>
  <si>
    <t>#11214A</t>
  </si>
  <si>
    <t>M7 186 Lavanda</t>
  </si>
  <si>
    <t>#65517A</t>
  </si>
  <si>
    <t>M7 187 Violeta Oscuro</t>
  </si>
  <si>
    <t>#311D64</t>
  </si>
  <si>
    <t>M7 188 Aguamarina</t>
  </si>
  <si>
    <t>#4CCFB8</t>
  </si>
  <si>
    <t>M7 193 Gunmetal</t>
  </si>
  <si>
    <t>#6B6E6D</t>
  </si>
  <si>
    <t>M7 194 Acero</t>
  </si>
  <si>
    <t>#8B8984</t>
  </si>
  <si>
    <t>M7 195 Aluminio</t>
  </si>
  <si>
    <t>M7 196 Grafito</t>
  </si>
  <si>
    <t>#323731</t>
  </si>
  <si>
    <t>M7 197 Verde Saltamontes</t>
  </si>
  <si>
    <t>#00B44A</t>
  </si>
  <si>
    <t>M7 198 Verde Natural</t>
  </si>
  <si>
    <t>#A3D00D</t>
  </si>
  <si>
    <t>M7 199 Verde Manzana</t>
  </si>
  <si>
    <t>#6DAF23</t>
  </si>
  <si>
    <t>#7F3035</t>
  </si>
  <si>
    <t>#1B365D</t>
  </si>
  <si>
    <t>#284734</t>
  </si>
  <si>
    <t>#307FE2</t>
  </si>
  <si>
    <t>#00AB84</t>
  </si>
  <si>
    <t>#CE0058</t>
  </si>
  <si>
    <t>#AA8066</t>
  </si>
  <si>
    <t>#F2CD00</t>
  </si>
  <si>
    <t>#E3E829</t>
  </si>
  <si>
    <t>#FFD700</t>
  </si>
  <si>
    <t>#AB9113</t>
  </si>
  <si>
    <t>#FFAA4D</t>
  </si>
  <si>
    <t>#FF8F1C</t>
  </si>
  <si>
    <t>#E4002B</t>
  </si>
  <si>
    <t>#FF3EB5</t>
  </si>
  <si>
    <t>#FF92DA</t>
  </si>
  <si>
    <t>#76232F</t>
  </si>
  <si>
    <t>#654EA3</t>
  </si>
  <si>
    <t>#FCA9E6</t>
  </si>
  <si>
    <t>#0032A0</t>
  </si>
  <si>
    <t>#009ACE</t>
  </si>
  <si>
    <t>#E6EEEC</t>
  </si>
  <si>
    <t>#1C1F2A</t>
  </si>
  <si>
    <t>#00857D</t>
  </si>
  <si>
    <t>#006F44</t>
  </si>
  <si>
    <t>#44D62C</t>
  </si>
  <si>
    <t>#1D3C34</t>
  </si>
  <si>
    <t>#A9EE8A</t>
  </si>
  <si>
    <t>#78BE21</t>
  </si>
  <si>
    <t>#509E2F</t>
  </si>
  <si>
    <t>#585C3B</t>
  </si>
  <si>
    <t>#98A4AE</t>
  </si>
  <si>
    <t>#212322</t>
  </si>
  <si>
    <t>Cad-Cut Premium Plus 004 Beige</t>
  </si>
  <si>
    <t>#E2C6A5</t>
  </si>
  <si>
    <t>Cad-Cut Premium Plus 419 Menta</t>
  </si>
  <si>
    <t>#00B388</t>
  </si>
  <si>
    <t>Cad-Cut Premium Plus 340 Azul Dove</t>
  </si>
  <si>
    <t>#557088</t>
  </si>
  <si>
    <t>Cad-Cut Premium Plus 740 Gris Medio</t>
  </si>
  <si>
    <t>Cad-Cut Premium Plus 254 Rosa Vintage</t>
  </si>
  <si>
    <t>#9D848E</t>
  </si>
  <si>
    <t>Cad-Cut Premium Plus 370 Menta Pastel</t>
  </si>
  <si>
    <t>#B9EFA3</t>
  </si>
  <si>
    <t>Cad-Cut Premium Plus 215 Rosé</t>
  </si>
  <si>
    <t>#E7B2A5</t>
  </si>
  <si>
    <t>Cad-Cut Premium Plus 253 Cereza</t>
  </si>
  <si>
    <t>#D00070</t>
  </si>
  <si>
    <t>Cad-Cut Premium Plus 105 Amarillo Pastel</t>
  </si>
  <si>
    <t>#ECF166</t>
  </si>
  <si>
    <t>#6191B4</t>
  </si>
  <si>
    <t>Silicone 100 001 Blanco</t>
  </si>
  <si>
    <t>Silicone 100 200 Rojo</t>
  </si>
  <si>
    <t>Silicone 100 300 Azul Real</t>
  </si>
  <si>
    <t>Silicone 100 320 Azul Ligero</t>
  </si>
  <si>
    <t>Silicone 100 400 Verde</t>
  </si>
  <si>
    <t>Silicone 100 700 Negro</t>
  </si>
  <si>
    <t>Silicone 100 730 Gris</t>
  </si>
  <si>
    <t>#1D1F2A</t>
  </si>
  <si>
    <t>Cad-Cut Sportsfilm 419 Menta</t>
  </si>
  <si>
    <t>Cad-Cut Sportsfilm 340 Azul Dove</t>
  </si>
  <si>
    <t>Cad-Cut Sportsfilm 740 Gris Medio</t>
  </si>
  <si>
    <t>Cad-Cut Sportsfilm 215 Rosé</t>
  </si>
  <si>
    <t>Cad-Cut Sportsfilm 253 Cereza</t>
  </si>
  <si>
    <t>Cad-Cut Sportsfilm 105 Amarillo Pastel</t>
  </si>
  <si>
    <t>#b4918f</t>
  </si>
  <si>
    <t>Cad-Cut Sportsfilm 340 Azul Paloma</t>
  </si>
  <si>
    <t>#54738f</t>
  </si>
  <si>
    <t>#F3DD3E</t>
  </si>
  <si>
    <t>Sublistop 100 Amarillo Limón</t>
  </si>
  <si>
    <t>Sublistop 101 Neon Amarillo</t>
  </si>
  <si>
    <t>Sublistop 106 Amarillo Girasol</t>
  </si>
  <si>
    <t>Sublistop 180 Naranja</t>
  </si>
  <si>
    <t>Sublistop 181 Neon Naranja</t>
  </si>
  <si>
    <t>Sublistop 210 Rojo Señal</t>
  </si>
  <si>
    <t>Sublistop 241 Neon Rosa</t>
  </si>
  <si>
    <t>Sublistop 250 Fucsia</t>
  </si>
  <si>
    <t>Sublistop 252 Rosa</t>
  </si>
  <si>
    <t>Sublistop 255 Pastel Rosa</t>
  </si>
  <si>
    <t>Sublistop 270 Rojo Borgoña</t>
  </si>
  <si>
    <t>Sublistop 280 Púrpura</t>
  </si>
  <si>
    <t>Sublistop 285 Pastel Púrpura</t>
  </si>
  <si>
    <t>Sublistop 300 Azul Real</t>
  </si>
  <si>
    <t>Sublistop 301 Neon Azul</t>
  </si>
  <si>
    <t>Sublistop 321 Azul Pastel500mm</t>
  </si>
  <si>
    <t>Sublistop 350 Azul Naval</t>
  </si>
  <si>
    <t>Sublistop 400 Verde</t>
  </si>
  <si>
    <t>Sublistop 401 Neon Verde</t>
  </si>
  <si>
    <t>Sublistop 410 Verde Oscuro</t>
  </si>
  <si>
    <t>Sublistop 420 Verde Pastel</t>
  </si>
  <si>
    <t>Sublistop 421 Verde Manzana</t>
  </si>
  <si>
    <t>Sublistop 430 Verde Oliva</t>
  </si>
  <si>
    <t>Sublistop 550 Marrón</t>
  </si>
  <si>
    <t>Sublistop 700 Negro</t>
  </si>
  <si>
    <t>Sublistop 780 Gris Oscuro</t>
  </si>
  <si>
    <t>Sublistop 004 Beige</t>
  </si>
  <si>
    <t>Sublistop 419 Menta</t>
  </si>
  <si>
    <t>Sublistop 340 Azul Dove</t>
  </si>
  <si>
    <t>Sublistop 740 Gris Medio</t>
  </si>
  <si>
    <t>Sublistop 254 Rosa Vintage</t>
  </si>
  <si>
    <t>Sublistop 370 Menta Pastel</t>
  </si>
  <si>
    <t>Sublistop 215 Rosé</t>
  </si>
  <si>
    <t>Sublistop 253 Cereza</t>
  </si>
  <si>
    <t>Sublistop 105 Amarillo Pastel</t>
  </si>
  <si>
    <t>#FFAD00</t>
  </si>
  <si>
    <t>#ff3700</t>
  </si>
  <si>
    <t>Flock 200 Rojo</t>
  </si>
  <si>
    <t>#0033A0</t>
  </si>
  <si>
    <t>#71C5E8</t>
  </si>
  <si>
    <t>#00AEC7</t>
  </si>
  <si>
    <t>#A4D65E</t>
  </si>
  <si>
    <t>#5B3427</t>
  </si>
  <si>
    <t>Flock 255 Rosa Pastel</t>
  </si>
  <si>
    <t>#F2ACB9</t>
  </si>
  <si>
    <t>Flock 253 Cereza</t>
  </si>
  <si>
    <t>#CF578A</t>
  </si>
  <si>
    <t>Flock 280 Morado</t>
  </si>
  <si>
    <t>#5E366E</t>
  </si>
  <si>
    <t>Flock 419 Menta</t>
  </si>
  <si>
    <t>7EDDD3</t>
  </si>
  <si>
    <t>M4 Brillo 200 Blanco</t>
  </si>
  <si>
    <t>M4 Brillo 205 Transparente</t>
  </si>
  <si>
    <t>M4 Brillo 210 Negro</t>
  </si>
  <si>
    <t>M4 Brillo 220 Gris Ligero</t>
  </si>
  <si>
    <t>M4 Brillo 221 Gris</t>
  </si>
  <si>
    <t>M4 Brillo 224 Gris Oscuro</t>
  </si>
  <si>
    <t>M4 Brillo 230 Amarillo Limón</t>
  </si>
  <si>
    <t>M4 Brillo 232 Amarillo Medio</t>
  </si>
  <si>
    <t>M4 Brillo 233 Naranja</t>
  </si>
  <si>
    <t>M4 Brillo 235 Amarillo Botón</t>
  </si>
  <si>
    <t>M4 Brillo 237 Amarillo Melón</t>
  </si>
  <si>
    <t>M4 Brillo 240 Amapola</t>
  </si>
  <si>
    <t>M4 Brillo 243 Rojo Cereza</t>
  </si>
  <si>
    <t>M4 Brillo 245 Rojo Borgoña</t>
  </si>
  <si>
    <t>M4 Brillo 246 Rojo Llama</t>
  </si>
  <si>
    <t>M4 Brillo 250 Azul Pálido</t>
  </si>
  <si>
    <t>M4 Brillo 252 Azul Oceano</t>
  </si>
  <si>
    <t>M4 Brillo 254 Azul Medio</t>
  </si>
  <si>
    <t>M4 Brillo 255 Azul Ultramarino</t>
  </si>
  <si>
    <t>M4 Brillo 258 Azul Cielo</t>
  </si>
  <si>
    <t>#0095C8</t>
  </si>
  <si>
    <t>M4 Brillo 259 Azul Cobalto</t>
  </si>
  <si>
    <t>M4 Brillo 261 Verde Cesped</t>
  </si>
  <si>
    <t>M4 Brillo 263 Verde Medio</t>
  </si>
  <si>
    <t>M4 Brillo 264 Verde Bosque</t>
  </si>
  <si>
    <t>M4 Brillo 265 Verde Azulado</t>
  </si>
  <si>
    <t>M4 Brillo 267 Verde Forestal</t>
  </si>
  <si>
    <t>M4 Brillo 268 Verde Prado</t>
  </si>
  <si>
    <t>M4 Brillo 269 Verde Trébol</t>
  </si>
  <si>
    <t>M4 Brillo 270 Crema</t>
  </si>
  <si>
    <t>M4 Brillo 271 Marrón</t>
  </si>
  <si>
    <t>M4 Brillo 272 Almendra</t>
  </si>
  <si>
    <t>M4 Brillo 273 Verde Tráfico</t>
  </si>
  <si>
    <t>M4 Brillo 275 Azul Oriental</t>
  </si>
  <si>
    <t>M4 Brillo 277 Azul Cáscara</t>
  </si>
  <si>
    <t>M4 Brillo 278 Azul Vikingo</t>
  </si>
  <si>
    <t>M4 Brillo 282 Magenta</t>
  </si>
  <si>
    <t>M4 Brillo 283 Púrpura</t>
  </si>
  <si>
    <t>#582C83</t>
  </si>
  <si>
    <t>M4 Brillo 290 Plata</t>
  </si>
  <si>
    <t>M4 Brillo 291 Oro</t>
  </si>
  <si>
    <t>M4 Brillo 292 Gris Carbón</t>
  </si>
  <si>
    <t>M4 Mate 301M Blanco</t>
  </si>
  <si>
    <t>M4 Mate 311M Negro</t>
  </si>
  <si>
    <t>M4 Mate 320M Gris Ligero</t>
  </si>
  <si>
    <t>M4 Mate 324M Gris Oscuro</t>
  </si>
  <si>
    <t>M4 Mate 330M Amarillo Limón</t>
  </si>
  <si>
    <t>M4 Mate 332M Amarillo Medio</t>
  </si>
  <si>
    <t>M4 Mate 333M Naranja</t>
  </si>
  <si>
    <t>M4 Mate 334M Amarillo Girasol</t>
  </si>
  <si>
    <t>M4 Mate 340M Amapola</t>
  </si>
  <si>
    <t>M4 Mate 341M Rojo Tomate</t>
  </si>
  <si>
    <t>M4 Mate 343M Rojo Cereza</t>
  </si>
  <si>
    <t>M4 Mate 345M Rojo Borgoña</t>
  </si>
  <si>
    <t>M4 Mate 352M Azul Oceano</t>
  </si>
  <si>
    <t>M4 Mate 353M Azul Marino</t>
  </si>
  <si>
    <t>M4 Mate 354M Azul Medio</t>
  </si>
  <si>
    <t>M4 Mate 355M Azul Ultramarino</t>
  </si>
  <si>
    <t>M4 Mate 358M Azul Cielo</t>
  </si>
  <si>
    <t>M4 Mate 359M Azul Cobalto</t>
  </si>
  <si>
    <t>M4 Mate 360M Verde Lima</t>
  </si>
  <si>
    <t>M4 Mate 361M Verde Cesped</t>
  </si>
  <si>
    <t>M4 Mate 362M Verde Cactus</t>
  </si>
  <si>
    <t>M4 Mate 364M Verde Bosque</t>
  </si>
  <si>
    <t>M4 Mate 366M Verde Turquesa</t>
  </si>
  <si>
    <t>M4 Mate 368M Verde Prado</t>
  </si>
  <si>
    <t>M4 Mate 370M Crema</t>
  </si>
  <si>
    <t>M4 Mate 372M Chocolate</t>
  </si>
  <si>
    <t>M4 Mate 381M Rosa</t>
  </si>
  <si>
    <t>M4 Mate 382M Magenta</t>
  </si>
  <si>
    <t>M4 Mate 383M Púrpura</t>
  </si>
  <si>
    <t>M4 Mate 390M Plata</t>
  </si>
  <si>
    <t>Pared</t>
  </si>
  <si>
    <t>Suelo</t>
  </si>
  <si>
    <t>Impresión Latex</t>
  </si>
  <si>
    <t>Impresión Solvente</t>
  </si>
  <si>
    <t>Impresión UV</t>
  </si>
  <si>
    <t>Backlit</t>
  </si>
  <si>
    <t>Blockout</t>
  </si>
  <si>
    <t>Laminado UV</t>
  </si>
  <si>
    <t>Adhesivo Gris Permanente</t>
  </si>
  <si>
    <t>Removible Adhesivo Gris</t>
  </si>
  <si>
    <t>Ultra Removible</t>
  </si>
  <si>
    <t>Removible Adhesivo Gris Fácil Aplicación</t>
  </si>
  <si>
    <t>Removible Fácil Aplicación</t>
  </si>
  <si>
    <t>Permanente Opacante</t>
  </si>
  <si>
    <t>Vinilo</t>
  </si>
  <si>
    <t>Electroestático</t>
  </si>
  <si>
    <t>Rojo</t>
  </si>
  <si>
    <t>#e62e1b</t>
  </si>
  <si>
    <t>Verde</t>
  </si>
  <si>
    <t>#308446</t>
  </si>
  <si>
    <t>Azul</t>
  </si>
  <si>
    <t>#17f1cd</t>
  </si>
  <si>
    <t>M</t>
  </si>
  <si>
    <t>L</t>
  </si>
  <si>
    <t>XL</t>
  </si>
  <si>
    <t>UV</t>
  </si>
  <si>
    <t>Ecosolvente</t>
  </si>
  <si>
    <t>137 cm</t>
  </si>
  <si>
    <t>51 cm</t>
  </si>
  <si>
    <t>Eco So lMax 1</t>
  </si>
  <si>
    <t>Eco Sol Max 2</t>
  </si>
  <si>
    <t>Eco Sol Max 3</t>
  </si>
  <si>
    <t>EcoUv</t>
  </si>
  <si>
    <t>SBL3</t>
  </si>
  <si>
    <t>TrueVis 2</t>
  </si>
  <si>
    <t>30 Metros</t>
  </si>
  <si>
    <t>15 Metros</t>
  </si>
  <si>
    <t>MM-CC Colour Change 10 Negro Brillo</t>
  </si>
  <si>
    <t>#25282A</t>
  </si>
  <si>
    <t>MM-CC Colour Change 11 Negro Mate</t>
  </si>
  <si>
    <t>#3D3935</t>
  </si>
  <si>
    <t>MM-CC Colour Change 21 Gris Detroit Brillo</t>
  </si>
  <si>
    <t>#7C878E</t>
  </si>
  <si>
    <t>MM-CC Colour Change 01M Blanco Mate</t>
  </si>
  <si>
    <t>MM-CC Colour Change 00 Blanco Brillo</t>
  </si>
  <si>
    <t>MM-CC Colour Change 29 Gris Nardo Brillo</t>
  </si>
  <si>
    <t>MM-CC Colour Change 96 Grafito Brillo</t>
  </si>
  <si>
    <t>#505458</t>
  </si>
  <si>
    <t>MM-CC Colour Change 93 Gunmetal Mate</t>
  </si>
  <si>
    <t>#828680</t>
  </si>
  <si>
    <t>MM-CC Colour Change 95 Aluminio Brillo</t>
  </si>
  <si>
    <t>#ABB0A8</t>
  </si>
  <si>
    <t>MM-CC Colour Change 90 Plata Brillo</t>
  </si>
  <si>
    <t>#B0B0AE</t>
  </si>
  <si>
    <t>MM-CC Colour Change 67 Verde Neon Brillo</t>
  </si>
  <si>
    <t>#B7BF10</t>
  </si>
  <si>
    <t>MM-CC Colour Change 31 Daytona Brillo</t>
  </si>
  <si>
    <t>MM-CC Colour Change 12 Mandarina Brillo</t>
  </si>
  <si>
    <t>#FC4C02</t>
  </si>
  <si>
    <t>MM-CC Colour Change 42 Rojo Brillo</t>
  </si>
  <si>
    <t>#D22730</t>
  </si>
  <si>
    <t>MM-CC Colour Change 48 Carmín Brillo</t>
  </si>
  <si>
    <t>#AF272F</t>
  </si>
  <si>
    <t>MM-CC Colour Change 62 Verde Java Brillo</t>
  </si>
  <si>
    <t>#4C8D2B</t>
  </si>
  <si>
    <t>MM-CC Colour Change 69 Verde Carrera Brillo</t>
  </si>
  <si>
    <t>#005844</t>
  </si>
  <si>
    <t>MM-CC Colour Change 65 Verde Azulado Brillo</t>
  </si>
  <si>
    <t>#007681</t>
  </si>
  <si>
    <t>MM-CC Colour Change 52 Azul Francés Brillo</t>
  </si>
  <si>
    <t>MM-CC Colour Change 55 Azul Fénix Brillo</t>
  </si>
  <si>
    <t>#001E60</t>
  </si>
  <si>
    <t>Glitter 920 Oro 500mm</t>
  </si>
  <si>
    <t>Glitter 921 Plata 500mm</t>
  </si>
  <si>
    <t>Glitter 922 Azul 500mm</t>
  </si>
  <si>
    <t>Glitter 923 Rojo 500mm</t>
  </si>
  <si>
    <t>Glitter 924 Púrpura 500mm</t>
  </si>
  <si>
    <t>Glitter 925 Verde 500mm</t>
  </si>
  <si>
    <t>Glitter 926 Marrón 500mm</t>
  </si>
  <si>
    <t>Glitter 927 Rosa 500mm</t>
  </si>
  <si>
    <t>Glitter 928 Negro 500mm</t>
  </si>
  <si>
    <t>Glitter 929 Multi 500mm</t>
  </si>
  <si>
    <t>Glitter 930 Azul Colonia 500mm</t>
  </si>
  <si>
    <t>Glitter 931 Naranja 500mm</t>
  </si>
  <si>
    <t>Glitter 932 Verde Kelly 500mm</t>
  </si>
  <si>
    <t>Glitter 933 Verde Oscuro 500mm</t>
  </si>
  <si>
    <t>Glitter 934 Blanco 500mm</t>
  </si>
  <si>
    <t>Glitter 935 Holo Oro 500mm</t>
  </si>
  <si>
    <t>Glitter 936 Neon Amarillo 500mm</t>
  </si>
  <si>
    <t>Glitter 937 Neon Verde 500mm</t>
  </si>
  <si>
    <t>Glitter 938 Neon Azul 500mm</t>
  </si>
  <si>
    <t>Glitter 939 Neon Naranja 500mm</t>
  </si>
  <si>
    <t>Glitter 940 Neon Púrpura 500mm</t>
  </si>
  <si>
    <t>Glitter 941 Neon Rosa 500mm</t>
  </si>
  <si>
    <t>Glitter 942 Azul Real 500mm</t>
  </si>
  <si>
    <t>Glitter 943 Hot Rosa 500mm</t>
  </si>
  <si>
    <t>Glitter 944 Azul Naval 500mm</t>
  </si>
  <si>
    <t>Glitter 945 Old Oro 500mm</t>
  </si>
  <si>
    <t>Glitter 946 Lavanda 500mm</t>
  </si>
  <si>
    <t>Glitter 947 Negro Oro 500mm</t>
  </si>
  <si>
    <t>Glitter 948 Confetti 500mm</t>
  </si>
  <si>
    <t>Glitter 949 Negro Plata 500mm</t>
  </si>
  <si>
    <t>Glitter 950 Azul Ligero 500mm</t>
  </si>
  <si>
    <t>Glitter 951 Holo Gris 500mm</t>
  </si>
  <si>
    <t>Glitter 952 Rojo Cereza 500mm</t>
  </si>
  <si>
    <t>Glitter 953 Verde Ligero 500mm</t>
  </si>
  <si>
    <t>Glitter 954 Berenjena 500mm</t>
  </si>
  <si>
    <t>Glitter 962 Beach Blue 500mm</t>
  </si>
  <si>
    <t>Glitter 966 Medium Pink 500mm</t>
  </si>
  <si>
    <t>Glitter 996 Holo Rosa 500mm</t>
  </si>
  <si>
    <t>Glitter 955 Holo Blanco 500mm</t>
  </si>
  <si>
    <t>Glitter 967 Palacio 500mm</t>
  </si>
  <si>
    <t>Glitter 961 Amarillo Pastel 500mm</t>
  </si>
  <si>
    <t>Glitter 969 Van Gogh 500mm</t>
  </si>
  <si>
    <t>Glitter 975 Naranja Florida 500mm</t>
  </si>
  <si>
    <t>Glitter 958 Rojo Borgoña 500mm</t>
  </si>
  <si>
    <t>Glitter 964 Coral Arcoiris 500mm</t>
  </si>
  <si>
    <t>Glitter 965 Ciruela Arcoiris 500mm</t>
  </si>
  <si>
    <t>Glitter 970 Orquídea 500mm</t>
  </si>
  <si>
    <t>Glitter 971 Down Under 500mm</t>
  </si>
  <si>
    <t>Glitter 978 Marrón Claro 500mm</t>
  </si>
  <si>
    <t>Glitter 960 Rose Gold Claro 500mm</t>
  </si>
  <si>
    <t>Glitter 957 Rose Gold 500mm</t>
  </si>
  <si>
    <t>Glitter 963 Gold Vintage 500mm</t>
  </si>
  <si>
    <t>Glitter 968 Coronado Gold 500mm</t>
  </si>
  <si>
    <t>Glitter 972 Anochecer 500mm</t>
  </si>
  <si>
    <t>Glitter 959 Sandía 500mm</t>
  </si>
  <si>
    <t>Glitter 956 Negro Holo 500mm</t>
  </si>
  <si>
    <t>Effect 900 Rainbow 500mm</t>
  </si>
  <si>
    <t>Effect 901 Spectrum 500mm</t>
  </si>
  <si>
    <t>Effect 902 Sparkle Plata 500mm</t>
  </si>
  <si>
    <t>Effect 903 Sparkle Oro 500mm</t>
  </si>
  <si>
    <t>Effect 904 Sparkle Rojo 500mm</t>
  </si>
  <si>
    <t>Effect 905 Sparkle Azul Ligero 500mm</t>
  </si>
  <si>
    <t>Effect 906 Sparkle Azul 500mm</t>
  </si>
  <si>
    <t>Effect 907 Sparkle Púrpura 500mm</t>
  </si>
  <si>
    <t>Effect 908 Sparkle Verde 500mm</t>
  </si>
  <si>
    <t>Effect 909 Sparkle Rosa 500mm</t>
  </si>
  <si>
    <t>Effect 913 Crystal 500mm</t>
  </si>
  <si>
    <t>Effect 914 Multi 500mm</t>
  </si>
  <si>
    <t>Effect 915 Sparkle Negro 500mm</t>
  </si>
  <si>
    <t>3101 Smooth Silver</t>
  </si>
  <si>
    <t>3102 Smooth Gold</t>
  </si>
  <si>
    <t>3162 Smooth Rose Gold</t>
  </si>
  <si>
    <t>3163 Smooth Champagne</t>
  </si>
  <si>
    <t>3161 Smooth Satin Copper</t>
  </si>
  <si>
    <t>3164 Smooth Bronze</t>
  </si>
  <si>
    <t>6501 Fine Brush Silver</t>
  </si>
  <si>
    <t>4402 Florentine Leaf Gold</t>
  </si>
  <si>
    <t>6562 Fine Brush Rose Gold</t>
  </si>
  <si>
    <t>6563 Fine Brush Champagne</t>
  </si>
  <si>
    <t>6561 Fine Brush Satin Copper</t>
  </si>
  <si>
    <t>6564 Fine Brush Bronze</t>
  </si>
  <si>
    <t>C201 Metal Flake Silver</t>
  </si>
  <si>
    <t>C202 Metal Flake Gold</t>
  </si>
  <si>
    <t>C203 Metal Flake Red</t>
  </si>
  <si>
    <t>C204 Metal Flake Royal Blue</t>
  </si>
  <si>
    <t>K301 Diamond Plate Silver</t>
  </si>
  <si>
    <t>7301 1-3/8" Lens Silver</t>
  </si>
  <si>
    <t>7303 1-3/8" Lens Red</t>
  </si>
  <si>
    <t>7304 1-3/8" Lens Royal Blue</t>
  </si>
  <si>
    <t>7901 Rainbow Brite Overall Silver</t>
  </si>
  <si>
    <t>0201 1/4" Mosaic Silver</t>
  </si>
  <si>
    <t>036 Glow Efx Soft White</t>
  </si>
  <si>
    <t>6502 Fine Brush Gold</t>
  </si>
  <si>
    <t>1967 Large Engine Turn Gold</t>
  </si>
  <si>
    <t>J264 Hammered Leaf Gold</t>
  </si>
  <si>
    <t>Fibra de Carbono Rojo</t>
  </si>
  <si>
    <t>Fibra de Carbono Azul</t>
  </si>
  <si>
    <t>Fibra de Carbono Oro</t>
  </si>
  <si>
    <t>Fibra de Carbono Plata</t>
  </si>
  <si>
    <t>Fibra de Carbono Blanco</t>
  </si>
  <si>
    <t>Fibra de Carbono Negro</t>
  </si>
  <si>
    <t>Frost</t>
  </si>
  <si>
    <t>Dusted</t>
  </si>
  <si>
    <t>Silver</t>
  </si>
  <si>
    <t>Crystal</t>
  </si>
  <si>
    <t>Opal</t>
  </si>
  <si>
    <t>Certificado Antideslizante</t>
  </si>
  <si>
    <t>R9</t>
  </si>
  <si>
    <t>Select</t>
  </si>
  <si>
    <t>R10</t>
  </si>
  <si>
    <t>Homologado ITV</t>
  </si>
  <si>
    <t xml:space="preserve">Si </t>
  </si>
  <si>
    <t>No</t>
  </si>
  <si>
    <t>Textura</t>
  </si>
  <si>
    <t>Artisan</t>
  </si>
  <si>
    <t>Arena</t>
  </si>
  <si>
    <t>Cepillado</t>
  </si>
  <si>
    <t>Efecto Tela</t>
  </si>
  <si>
    <t>Número de artículo</t>
  </si>
  <si>
    <t>Descripción de artículo</t>
  </si>
  <si>
    <t>Activo</t>
  </si>
  <si>
    <t>Integrable</t>
  </si>
  <si>
    <t>Producto Padre</t>
  </si>
  <si>
    <t>Precio de Venta</t>
  </si>
  <si>
    <t>ML Cad-Cut Premium Plus 241 Neon Rosa 500mm</t>
  </si>
  <si>
    <t>Sí</t>
  </si>
  <si>
    <t>Si</t>
  </si>
  <si>
    <t>ML Cad-Cut Premium Plus 181 Neon Naranja 500mm</t>
  </si>
  <si>
    <t>ML Cad-Cut Premium Plus 301 Neon Azul 500mm</t>
  </si>
  <si>
    <t>ML Cad-Cut Premium Plus 401 Neon Verde 500mm</t>
  </si>
  <si>
    <t>ML Cad-Cut Flock 001 Blanco 500mm</t>
  </si>
  <si>
    <t>ML Cad-Cut Flock 100 Amarillo Limón 500mm</t>
  </si>
  <si>
    <t>ML Cad-Cut Flock 110 Amarillo 500mm</t>
  </si>
  <si>
    <t>ML Cad-Cut Flock 180 Naranja 500mm</t>
  </si>
  <si>
    <t>ML Cad-Cut Flock 210 Rojo Señal 500mm</t>
  </si>
  <si>
    <t>ML Cad-Cut Flock 270 Rojo Borgoña 500mm</t>
  </si>
  <si>
    <t>ML Cad-Cut Flock 245 Magenta 500mm</t>
  </si>
  <si>
    <t>ML Cad-Cut Flock 310 Azul Hielo 500mm</t>
  </si>
  <si>
    <t>ML Cad-Cut Flock 300 Azul Real 500mm</t>
  </si>
  <si>
    <t>ML Cad-Cut Flock 320 Azul Cielo 500mm</t>
  </si>
  <si>
    <t>ML Cad-Cut Flock 350 Azul Naval 500mm</t>
  </si>
  <si>
    <t>ML Cad-Cut Flock 400 Verde 500mm</t>
  </si>
  <si>
    <t>ML Cad-Cut Flock 390 Aqua 500mm</t>
  </si>
  <si>
    <t>ML Cad-Cut Flock 405 Verde Lima 500mm</t>
  </si>
  <si>
    <t>A0000048</t>
  </si>
  <si>
    <t>Lona CityWRAP con liner mate, Mesh 270g 1,06x50</t>
  </si>
  <si>
    <t>Lona CityWRAP con liner mate, Mesh 270g 1,37x50</t>
  </si>
  <si>
    <t>Lona CityWRAP con liner mate, Mesh 270g 1,60x50</t>
  </si>
  <si>
    <t>Lona DeluxeFront 510g,mate 1,06x50m</t>
  </si>
  <si>
    <t>Lona DeluxeFront 510g,mate 1,37x50m</t>
  </si>
  <si>
    <t>Lona DeluxeFront 510g,mate 1,60m x 50m</t>
  </si>
  <si>
    <t>A0000062</t>
  </si>
  <si>
    <t>Lona DeluxeFront 510g,mate 3,20x50m</t>
  </si>
  <si>
    <t>A0000065</t>
  </si>
  <si>
    <t>Lona DeluxeLITE mate,Backlite 510g  1,60x50m</t>
  </si>
  <si>
    <t>A0000068</t>
  </si>
  <si>
    <t>Lona DeluxeLITE mate,Backlite 510g  3,20x50m</t>
  </si>
  <si>
    <t>A0002418</t>
  </si>
  <si>
    <t>1007-12-152 - M2 Micro Satin Universal 1,52x75m</t>
  </si>
  <si>
    <t>A0002569</t>
  </si>
  <si>
    <t>1007-12-310 - M2 Micro Satin Universal 3,10x75m</t>
  </si>
  <si>
    <t>A0002419</t>
  </si>
  <si>
    <t>1007-12-320 - M2 Micro Satin Universal 3,20x75m</t>
  </si>
  <si>
    <t>A0002472</t>
  </si>
  <si>
    <t>1011-11-160 - M2 Heavy Banner 250gr 1,60x50m</t>
  </si>
  <si>
    <t>A0002471</t>
  </si>
  <si>
    <t>1011-11-260 - M2 Heavy Banner 250gr 2,60x50m</t>
  </si>
  <si>
    <t>A0002470</t>
  </si>
  <si>
    <t>1011-11-320 - M2 Heavy Banner 250gr 3,20x50m</t>
  </si>
  <si>
    <t>A0002459</t>
  </si>
  <si>
    <t>1011-12-160 - M2 Heavy Banner Uni 270gr (UV Flat Bed) 1,60x50m</t>
  </si>
  <si>
    <t>A0002460</t>
  </si>
  <si>
    <t>1011-12-260 - M2 Heavy Banner Uni 270gr (UV Flat Bed) 2,60x50m</t>
  </si>
  <si>
    <t>A0002461</t>
  </si>
  <si>
    <t>1011-12-320 - M2 Heavy Banner Uni 270gr (UV Flat Bed) 3,20x50m</t>
  </si>
  <si>
    <t>A0002768</t>
  </si>
  <si>
    <t>1016-11-152 - M2 Micro Double Satin 1,52x45m</t>
  </si>
  <si>
    <t>A0002441</t>
  </si>
  <si>
    <t>1017-11-155 - M2 Elasto 245g 1,55x70m</t>
  </si>
  <si>
    <t>Rollo Metamark MD 100 (100mc) Brillo 1,6 x 50m</t>
  </si>
  <si>
    <t>Rollo Metamark MD 100 (100mc) Brillo 1,37x50m</t>
  </si>
  <si>
    <t>Rollo Metamark MD 100 (100mc) Brillo 1,05x50m</t>
  </si>
  <si>
    <t>Rollo Metamark MD 101 (100mc) Mate 1,6 x 50m</t>
  </si>
  <si>
    <t>Rollo Metamark MD 101 (100mc) Mate 1,37x50m</t>
  </si>
  <si>
    <t>Rollo Metamark MD 101 (100mc) Mate 1,05x50m</t>
  </si>
  <si>
    <t>Rollo Metamark MD 100B (100mc Adh Gris) Brillo 1,6 x 50m</t>
  </si>
  <si>
    <t>Rollo Metamark MD 100B (100mc Adh Gris) Brillo 1,37x50m</t>
  </si>
  <si>
    <t>Rollo Metamark MD 100B (100mc Adh Gris) Brillo 1,05x50m</t>
  </si>
  <si>
    <t>Rollo Metamark MD 100R (100mc Adh Removible) Brillo 1,6 x 50m</t>
  </si>
  <si>
    <t>Rollo Metamark MD 100R (100mc Adh Removible) Brillo 1,37x50m</t>
  </si>
  <si>
    <t>Rollo Metamark MD 100R (100mc Adh Removible) Brillo 1,05x50m</t>
  </si>
  <si>
    <t>Rollo Metamark MD3 200 (70mc) Brillo 1,05x50m</t>
  </si>
  <si>
    <t>A0002969</t>
  </si>
  <si>
    <t>Rollo Metamark MD5 100 (70mc) Brillo 1,05x25m</t>
  </si>
  <si>
    <t>A0000994</t>
  </si>
  <si>
    <t>Rollo Metamark MD5 100 (70mc) Brillo 1,05x50m</t>
  </si>
  <si>
    <t>A0001714</t>
  </si>
  <si>
    <t>Rollo Metamark MD5 100 (70mc) Brillo 1,37x25m</t>
  </si>
  <si>
    <t>Rollo Metamark MD5 100 (70mc) Brillo 1,37x50m</t>
  </si>
  <si>
    <t>A0001878</t>
  </si>
  <si>
    <t>Rollo Metamark MD5 100 (70mc) Brillo 1,6 x 25m</t>
  </si>
  <si>
    <t>Rollo Metamark MD5 100 (70mc) Brillo 1,6 x 50m</t>
  </si>
  <si>
    <t>Rollo Metamark MD5 101M (70mc) Mate 1,05x50m</t>
  </si>
  <si>
    <t>Rollo Metamark MD5 101M (70mc) Mate 1,37x50m</t>
  </si>
  <si>
    <t>Rollo Metamark MD5 101M (70mc) Mate 1,6 x 50m</t>
  </si>
  <si>
    <t>Rollo Metamark MD5 105 (70mc) Transparente 1,05x50m</t>
  </si>
  <si>
    <t>Rollo Metamark MD5 105 (70mc) Transparente 1,37x50m</t>
  </si>
  <si>
    <t>Rollo Metamark MD5 105 (70mc) Transparente 1,6 x 50m</t>
  </si>
  <si>
    <t>Rollo Metamark MD5A 100 (70mc) Brillo MetaScape 1,37x50m</t>
  </si>
  <si>
    <t>Rollo Metamark MD5A 100 (70mc) Brillo MetaScape 1,6 x 50m</t>
  </si>
  <si>
    <t>Rollo Metamark MD5A-B 100 (70mc Adh Gris) Brillo MetaScape 1,05x50m</t>
  </si>
  <si>
    <t>Rollo Metamark MD5A-B 100 (70mc Adh Gris) Brillo MetaScape 1,37x50m</t>
  </si>
  <si>
    <t>Rollo Metamark MD5A-B 100 (70mc Adh Gris) Brillo MetaScape 1,6 x 50m</t>
  </si>
  <si>
    <t>A0002369</t>
  </si>
  <si>
    <t>Rollo Metamark MD5A-H 100 (70mc) Brillo MetaScape Alto Agarre 1,37x50m</t>
  </si>
  <si>
    <t>A0002663</t>
  </si>
  <si>
    <t>Rollo Metamark MD5A-H 100 (70mc) Brillo MetaScape Alto Agarre 1,60x50m</t>
  </si>
  <si>
    <t>Rollo Metamark MetaDot (100mc) Micro Adhesivo de Fácil Apli Transparente 1,37x50m</t>
  </si>
  <si>
    <t>A0000191</t>
  </si>
  <si>
    <t>Rollo Metamark MetaDot (100mc) Micro Adhesivo de Fácil Apli Mate 1,37x50m</t>
  </si>
  <si>
    <t>A0002919</t>
  </si>
  <si>
    <t>Rollo MetaWrap MDX (50mc Adh Gris) MeaScape Brillo 1,37x10m</t>
  </si>
  <si>
    <t>Rollo MetaWrap MDX (50mc) Brillo 1,37x50m</t>
  </si>
  <si>
    <t>Rollo MetaWrap MDX (50mc) Brillo 1,60 x 50m</t>
  </si>
  <si>
    <t>A0001546</t>
  </si>
  <si>
    <t>Rollo MetaWrap MDX (50mc) Brillo 1,60x25m</t>
  </si>
  <si>
    <t>Rollo Metamark MDP 200 (100mc Imp. y Corte) Brillo 1,52x50m</t>
  </si>
  <si>
    <t>Rollo Metamark MDP 200 (100mc Imp. y Corte) Brillo 1,37x50m</t>
  </si>
  <si>
    <t>Rollo Metamark MDP 301 (100mc Imp. y Corte) Mate 1,37x50m</t>
  </si>
  <si>
    <t>Rollo Metamark MDP-H-200 (100mc Alto Agarre) Brillo 1,6 x 50m</t>
  </si>
  <si>
    <t>A0000217</t>
  </si>
  <si>
    <t>Rollo Metamark MDP-H-200 (100mc Alto Agarre) Brillo 1,37x50m</t>
  </si>
  <si>
    <t>Rollo Metamark MDP-H-301M (100mc Alto Agarre) Mate 1,6 x 50m</t>
  </si>
  <si>
    <t>Rollo Metamark MDP-H-301M (100mc Alto Agarre) Mate 1,37x50m</t>
  </si>
  <si>
    <t>Rollo Metamark MDPHB-200 (100mc Alto Agarre - Adh Gris) Brillo 1,6 x 50m</t>
  </si>
  <si>
    <t>Rollo Metamark MDPHB-200 (100mc Alto Agarre - Adh Gris) Brillo 1,37x50m</t>
  </si>
  <si>
    <t>Rollo Metamark MDPHB-301M (100mc Alto Agarre - Adh Gris) Mate 1,6 x 50m</t>
  </si>
  <si>
    <t>Rollo Metamark MDPHB-301M (100mc Alto Agarre - Adh Gris) Mate 1,37x50m</t>
  </si>
  <si>
    <t>Rollo Metamark MDT (80mc Translúcido) Satin 1,52x50m</t>
  </si>
  <si>
    <t>Rollo Metamark MDT (80mc Translúcido) Satin 1,37x50m</t>
  </si>
  <si>
    <t>Rollo Metaguard MG 102 Mate 1,6 x 50m</t>
  </si>
  <si>
    <t>Rollo Metaguard MG 102 Mate 1,37x50m</t>
  </si>
  <si>
    <t>Rollo Metaguard MG 102 Mate 1,05x50m</t>
  </si>
  <si>
    <t>Rollo Metaguard MG 105 Brillo 1,6 x 50m</t>
  </si>
  <si>
    <t>Rollo Metaguard MG 105 Brillo 1,37x50m</t>
  </si>
  <si>
    <t>Rollo Metaguard MG 105 Brillo 1,05x50m</t>
  </si>
  <si>
    <t>Rollo Metaguard MG 302 Mate 1,6 x 50m</t>
  </si>
  <si>
    <t>Rollo Metaguard MG 302 Mate 1,37x50m</t>
  </si>
  <si>
    <t>Rollo Metaguard MG 305 Brillo 1,6 x 50m</t>
  </si>
  <si>
    <t>Rollo Metaguard MG 305 Brillo 1,37x50m</t>
  </si>
  <si>
    <t>Rollo Metaguard MG 702 Mate 1,6 x 50m</t>
  </si>
  <si>
    <t>Rollo Metaguard MG 702 Mate 1,37x50m</t>
  </si>
  <si>
    <t>Rollo Metaguard MG 702 Mate 1,05x50m</t>
  </si>
  <si>
    <t>Rollo Metaguard MG 705 Brillo 1,6 x 50m</t>
  </si>
  <si>
    <t>Rollo Metaguard MG 705 Brillo 1,37x50m</t>
  </si>
  <si>
    <t>Rollo Metaguard MG 705 Brillo 1,05x50m</t>
  </si>
  <si>
    <t>Rollo MetaGuard UV 102 Mate 1,6 x 50m</t>
  </si>
  <si>
    <t>Rollo MetaGuard UV 102 Mate 1,37x50m</t>
  </si>
  <si>
    <t>Rollo MetaGuard UV 105 Brillo 1,6 x 50m</t>
  </si>
  <si>
    <t>Rollo MetaGuard UV 105 Brillo 1,37x50m</t>
  </si>
  <si>
    <t>Rollo MetaGuard Decor 001 Artisan 1,52x25m</t>
  </si>
  <si>
    <t>Rollo MetaGuard Decor 001 Artisan 1,37x25m</t>
  </si>
  <si>
    <t>Rollo MetaGuard Decor 002 Arena 1,52x25m</t>
  </si>
  <si>
    <t>Rollo MetaGuard Decor 002 Arena 1,37x25m</t>
  </si>
  <si>
    <t>Rollo MetaGuard Decor 003 Cepillado 1,52x25m</t>
  </si>
  <si>
    <t>Rollo MetaGuard Decor 003 Cepillado 1,37x25m</t>
  </si>
  <si>
    <t>Rollo MetaWrap Laminado MG-X 105 Brillo 1,6x50m</t>
  </si>
  <si>
    <t>Rollo MetaWrap Laminado MG-X 105 Brillo 1,37x50m</t>
  </si>
  <si>
    <t>A0002442</t>
  </si>
  <si>
    <t>1017-11-255 - M2 Elasto 245g 2,55x70m</t>
  </si>
  <si>
    <t>A0002443</t>
  </si>
  <si>
    <t>1017-11-310 - M2 Elasto 245g 3,10x70m</t>
  </si>
  <si>
    <t>A0002421</t>
  </si>
  <si>
    <t>1018-11-160 - M2 Deco Display 1,60x100m</t>
  </si>
  <si>
    <t>A0002422</t>
  </si>
  <si>
    <t>1018-11-255 - M2 Deco Display 2,55x100m</t>
  </si>
  <si>
    <t>A0002423</t>
  </si>
  <si>
    <t>1018-11-320 - M2 Deco Display 3,20x100m</t>
  </si>
  <si>
    <t>A0002400</t>
  </si>
  <si>
    <t>1019-11-160 - M2 Deco Creasefree ancho 1,60m</t>
  </si>
  <si>
    <t>A0002401</t>
  </si>
  <si>
    <t>1019-11-320 - M2 Deco Creasefree ancho 3,20m</t>
  </si>
  <si>
    <t>A0002548</t>
  </si>
  <si>
    <t>1020-11-160 - M2 Creasless Banner 220g 1,6x100m</t>
  </si>
  <si>
    <t>A0002667</t>
  </si>
  <si>
    <t>1020-11-260 - M2 Creasless Banner 220g 2,6x100m</t>
  </si>
  <si>
    <t>A0002528</t>
  </si>
  <si>
    <t>1020-11-320 - M2 Creasless Banner 220g 3,2x100m</t>
  </si>
  <si>
    <t>A0002846</t>
  </si>
  <si>
    <t>1021-11-155 - M2 DSP 210 Display ancho 1,55m</t>
  </si>
  <si>
    <t>A0002395</t>
  </si>
  <si>
    <t>1021-11-160 - M2 DSP 210 Display ancho 1,60m x 100m</t>
  </si>
  <si>
    <t>A0002396</t>
  </si>
  <si>
    <t>1021-11-255 - M2 DSP 210 Display ancho 2,55m</t>
  </si>
  <si>
    <t>A0002397</t>
  </si>
  <si>
    <t>1021-11-320 - M2 DSP 210 Display ancho 3,20m</t>
  </si>
  <si>
    <t>A0002725</t>
  </si>
  <si>
    <t>1022-11-155 - M2 Satin Eco 1,55x100m</t>
  </si>
  <si>
    <t>A0002532</t>
  </si>
  <si>
    <t>1025-11-155 -  M2 Royal Majestic 230g 1,55x50m</t>
  </si>
  <si>
    <t>A0002533</t>
  </si>
  <si>
    <t>1025-11-320 - M2 Royal Majestic 230g 3,20x50m</t>
  </si>
  <si>
    <t>A0002403</t>
  </si>
  <si>
    <t>1030-11-155 - M2 Blockout Blanco ancho 1,55m</t>
  </si>
  <si>
    <t>A0002402</t>
  </si>
  <si>
    <t>1030-11-310 - M2 Blockout Blanco ancho 3,10m</t>
  </si>
  <si>
    <t>A0002455</t>
  </si>
  <si>
    <t>1044-16-155 - M2 Roll-Up BlackBack 155x50m</t>
  </si>
  <si>
    <t>A0002456</t>
  </si>
  <si>
    <t>1044-16-260 - M2 Roll-Up BlackBack 2,60x50m</t>
  </si>
  <si>
    <t>A0002457</t>
  </si>
  <si>
    <t>1044-16-310 - M2 Roll-Up BlackBack 3,10x50m</t>
  </si>
  <si>
    <t>A0002398</t>
  </si>
  <si>
    <t>1055-16-155 - M2 Subli BlackBack ancho 1,55m</t>
  </si>
  <si>
    <t>A0002625</t>
  </si>
  <si>
    <t>1055-16-155E - M2 Subli BlackBack Eco ancho 1,55m x 50m</t>
  </si>
  <si>
    <t>A0002704</t>
  </si>
  <si>
    <t>1055-16-260E - M2 Subli BlackBack Eco ancho 2,60m</t>
  </si>
  <si>
    <t>A0002399</t>
  </si>
  <si>
    <t>1055-16-310 - M2 Subli BlackBack ancho 3,10m</t>
  </si>
  <si>
    <t>A0002570</t>
  </si>
  <si>
    <t>1055-16-315 - M2 Subli BlackBack ancho 3,15m</t>
  </si>
  <si>
    <t>A0002619</t>
  </si>
  <si>
    <t>1055-16-315E - M2 Subli BlackBack Eco ancho 3,15m x 50m</t>
  </si>
  <si>
    <t>A0002415</t>
  </si>
  <si>
    <t>1056-16-160 - M2 Blackback Soft 1,60x50m</t>
  </si>
  <si>
    <t>A0002424</t>
  </si>
  <si>
    <t>1056-16-220 - M2 Blackback Soft 2,20x50m</t>
  </si>
  <si>
    <t>A0002425</t>
  </si>
  <si>
    <t>1056-16-260 - M2 Blackback Soft 2,60x50m</t>
  </si>
  <si>
    <t>A0002426</t>
  </si>
  <si>
    <t>1056-16-320 - M2 Blackback Soft 3,20x50m</t>
  </si>
  <si>
    <t>A0002642</t>
  </si>
  <si>
    <t>1068-20-155 - M2 Premium Canvas Renaissance 1,55x50m</t>
  </si>
  <si>
    <t>A0002613</t>
  </si>
  <si>
    <t>1068-20-255 - M2 Premium Canvas Renaissance 2,55x50m</t>
  </si>
  <si>
    <t>A0002849</t>
  </si>
  <si>
    <t>1068-20-310 - M2 Premium Canvas Renaissance 3,10x50m</t>
  </si>
  <si>
    <t>A0002531</t>
  </si>
  <si>
    <t>1075-11-155 - M2 Voile 55g 1,60x100m</t>
  </si>
  <si>
    <t>A0002530</t>
  </si>
  <si>
    <t>1075-11-310 - M2 Voile 55g 3,10x100m</t>
  </si>
  <si>
    <t>A0002409</t>
  </si>
  <si>
    <t>1100-11-160 - M2 Flag ancho 1,60m</t>
  </si>
  <si>
    <t>A0002841</t>
  </si>
  <si>
    <t>1100-11-255 - M2 Flag ancho 2,55m</t>
  </si>
  <si>
    <t>A0002842</t>
  </si>
  <si>
    <t>1100-11-255 - M2 Flag ancho 2,60m</t>
  </si>
  <si>
    <t>A0002476</t>
  </si>
  <si>
    <t>1100-11-320 - M2 Flag ancho 3,20m</t>
  </si>
  <si>
    <t>A0002592</t>
  </si>
  <si>
    <t>1200-11-155 - M2 Air Flag 115gr 1,55x100m</t>
  </si>
  <si>
    <t>A0002593</t>
  </si>
  <si>
    <t>1200-11-310 - M2 Air Flag 115gr 3,10x100m</t>
  </si>
  <si>
    <t>A0002588</t>
  </si>
  <si>
    <t>1301-11-320 - M2 Krea Mesh Light 3,20x100m</t>
  </si>
  <si>
    <t>A0002427</t>
  </si>
  <si>
    <t>1302-11-160 - M2 Krea Mesh Heavy 1,60x100m</t>
  </si>
  <si>
    <t>A0002428</t>
  </si>
  <si>
    <t>1302-11-320 - M2 Krea Mesh Heavy 3,20x100m</t>
  </si>
  <si>
    <t>A0002433</t>
  </si>
  <si>
    <t>2018-11-155 - M2 Soundless Tissue - ancho 1,55m</t>
  </si>
  <si>
    <t>A0002435</t>
  </si>
  <si>
    <t>2018-11-310 - M2 Soundless Tissue ancho 3,10m x 50m</t>
  </si>
  <si>
    <t>A0002621</t>
  </si>
  <si>
    <t>2019-10-300 - M2 Kreana 180g 3x50m</t>
  </si>
  <si>
    <t>A0002534</t>
  </si>
  <si>
    <t>2020-10-300 - M2 Screen Kreana Blockout 340g 3,0x50m</t>
  </si>
  <si>
    <t>A0002535</t>
  </si>
  <si>
    <t>2021-10-300 - M2 Screen Kreana 380g 3x50m</t>
  </si>
  <si>
    <t>A0002444</t>
  </si>
  <si>
    <t>3003-11-160 - M2 Tafetta 55gr 1,60x100m</t>
  </si>
  <si>
    <t>A0002722</t>
  </si>
  <si>
    <t>3022-10-153 - M2 Micro Satin Eco 1,53x100m</t>
  </si>
  <si>
    <t>A0002631</t>
  </si>
  <si>
    <t>4000-10-160 - M2 Toalla Printtex 1,60x50m</t>
  </si>
  <si>
    <t>A0002445</t>
  </si>
  <si>
    <t>4001-10-150-W - M2 Krea Velvet (terciopelo) 300gr 1,50m ancho</t>
  </si>
  <si>
    <t>A0002446</t>
  </si>
  <si>
    <t>4001-10-300 - M2 Krea Velvet FR (terciopelo) 300gr 3m ancho</t>
  </si>
  <si>
    <t>A0002370</t>
  </si>
  <si>
    <t>4012-10-155 - M2 Toalla Velour 1,55</t>
  </si>
  <si>
    <t>A0002603</t>
  </si>
  <si>
    <t>4039-10-320 - M2 Cotton Optic Pre-Washed 105gr 3,20x100m</t>
  </si>
  <si>
    <t>A0002429</t>
  </si>
  <si>
    <t>7100-10-160 - M2 Event Fleece PES300 1,60x25m</t>
  </si>
  <si>
    <t>A0002440</t>
  </si>
  <si>
    <t>7105-11-160 - M2 Fleece Carpet 900FR - moqueta 1,60x25m</t>
  </si>
  <si>
    <t>A0002449</t>
  </si>
  <si>
    <t>7106-11-160 - M2 Fleece Carpet 1200FR - alfombra de lana 1,60x25m</t>
  </si>
  <si>
    <t>A0002450</t>
  </si>
  <si>
    <t>8038-10-165 - M2 Fleece Blanket 250gr - mantel de lana 1,65x50m</t>
  </si>
  <si>
    <t>A0002571</t>
  </si>
  <si>
    <t>8080-10-160 - M2 Premium Carpet 1200FR - alfombra 1,60x35m</t>
  </si>
  <si>
    <t>A0002572</t>
  </si>
  <si>
    <t>8082-10-160 - M2 Premium Carpet Ecoline 1700 grm2 - alfombra 1,6x35m</t>
  </si>
  <si>
    <t>A0002612</t>
  </si>
  <si>
    <t>909-11-160 - M2 Speedy Prime 190g 1,60x100</t>
  </si>
  <si>
    <t>A0002732</t>
  </si>
  <si>
    <t>909-11-260 - M2 Speedy Prime 190g 2,60x100</t>
  </si>
  <si>
    <t>A0002542</t>
  </si>
  <si>
    <t>909-11-320 - M2 Speedy Prime 190g 3,20x100</t>
  </si>
  <si>
    <t>A0002436</t>
  </si>
  <si>
    <t>911-11-160 - M2 Speedy 190g 1,60x100</t>
  </si>
  <si>
    <t>A0002437</t>
  </si>
  <si>
    <t>911-11-220 - M2 Speedy 190g 2,20x100</t>
  </si>
  <si>
    <t>A0002438</t>
  </si>
  <si>
    <t>911-11-260 - M2 Speedy 190g 2,60x100</t>
  </si>
  <si>
    <t>A0002439</t>
  </si>
  <si>
    <t>911-11-320 - M2 Speedy 190g 3,20x100</t>
  </si>
  <si>
    <t>A0002430</t>
  </si>
  <si>
    <t>913-11-160 - M2 Speedy Hybrid 180g ancho 1,60m</t>
  </si>
  <si>
    <t>A0002431</t>
  </si>
  <si>
    <t>913-11-260 - M2 Speedy Hybrid 180g ancho 2,60m</t>
  </si>
  <si>
    <t>A0002432</t>
  </si>
  <si>
    <t>913-11-320 - M2 Speedy Hybrid 180g ancho 3,20m</t>
  </si>
  <si>
    <t>A0001817</t>
  </si>
  <si>
    <t>Belt, 150S2M2428LW-C</t>
  </si>
  <si>
    <t>Cartucho Ecopure 440ml EM2 Amarillo</t>
  </si>
  <si>
    <t>Cartucho Ecopure 440ml EM2 Cyan</t>
  </si>
  <si>
    <t>Cartucho Ecopure 440ml EM2 Light Cyan</t>
  </si>
  <si>
    <t>Cartucho Ecopure 440ml EM2 Light Magenta</t>
  </si>
  <si>
    <t>Cartucho Ecopure 440ml EM2 Magenta</t>
  </si>
  <si>
    <t>Cartucho Ecopure 440ml EM2 Negro</t>
  </si>
  <si>
    <t>Cartucho Ecopure 880ml EM2 Amarillo</t>
  </si>
  <si>
    <t>Cartucho Ecopure 880ml EM2 Cyan</t>
  </si>
  <si>
    <t>Cartucho Ecopure 880ml EM2 Light Cyan</t>
  </si>
  <si>
    <t>Cartucho Ecopure 880ml EM2 Light Magenta</t>
  </si>
  <si>
    <t>Cartucho Ecopure 880ml EM2 Magenta</t>
  </si>
  <si>
    <t>Cartucho Ecopure 880ml EM2 Negro</t>
  </si>
  <si>
    <t>A0002350</t>
  </si>
  <si>
    <t>Cartucho Skynnet Amarillo 440ml EM2</t>
  </si>
  <si>
    <t>A0002346</t>
  </si>
  <si>
    <t>Cartucho Skynnet Cyan 440ml EM2</t>
  </si>
  <si>
    <t>A0002345</t>
  </si>
  <si>
    <t>Cartucho Skynnet Light Cyan 440ml EM2</t>
  </si>
  <si>
    <t>A0002348</t>
  </si>
  <si>
    <t>Cartucho Skynnet Light Magenta 440ml EM2</t>
  </si>
  <si>
    <t>A0002347</t>
  </si>
  <si>
    <t>Cartucho Skynnet Light Negro 440ml EM2</t>
  </si>
  <si>
    <t>A0002349</t>
  </si>
  <si>
    <t>Cartucho Skynnet Magenta 440ml EM2</t>
  </si>
  <si>
    <t>A0002344</t>
  </si>
  <si>
    <t>Cartucho Skynnet Negro 440ml EM2</t>
  </si>
  <si>
    <t>A0002927</t>
  </si>
  <si>
    <t>M2  WindowWRAP Microperforado 1,06x50m</t>
  </si>
  <si>
    <t>A0002157</t>
  </si>
  <si>
    <t>M2  WindowWRAP Microperforado 1,37x50</t>
  </si>
  <si>
    <t>A0002959</t>
  </si>
  <si>
    <t>M2  WindowWRAP Microperforado 1,52x50</t>
  </si>
  <si>
    <t>A0002923</t>
  </si>
  <si>
    <t>M2  WindowWRAP Microperforado Homologado 1,06x50m</t>
  </si>
  <si>
    <t>A0001730</t>
  </si>
  <si>
    <t>M2  WindowWRAP Microperforado Homologado 1,37x50</t>
  </si>
  <si>
    <t>A0002895</t>
  </si>
  <si>
    <t>M2 Fibra de Carbono Cast 1,52 x 50m</t>
  </si>
  <si>
    <t>A0002500</t>
  </si>
  <si>
    <t>M2 Fluorescente Nivel 3 (10 años) CRG 92000 Amarillo 1,22x45,7m</t>
  </si>
  <si>
    <t>A0002501</t>
  </si>
  <si>
    <t>M2 Fluorescente Nivel 3 (10 años) CRG 92000 Naranja 1,22x45,7m</t>
  </si>
  <si>
    <t>A0002529</t>
  </si>
  <si>
    <t>M2 Hi-SCal EF-40801 Antigrafiti (10 años) 1,22x45,7m</t>
  </si>
  <si>
    <t>A0001496</t>
  </si>
  <si>
    <t>M2 Isee2 Fibra de Carbono Cast 1,524 x 50m</t>
  </si>
  <si>
    <t>A0002925</t>
  </si>
  <si>
    <t>M2 Mactac 8279 - 03 Copper Brillo 1,23m x 50m</t>
  </si>
  <si>
    <t>M2 MetaCast MCX 00 Blanco Brillo 1,52x30m</t>
  </si>
  <si>
    <t>M2 MetaCast MCX 10 Negro Brillo 1,52x30m</t>
  </si>
  <si>
    <t>M2 MetaCast MCX 12 Negro Mate 1,52x30m</t>
  </si>
  <si>
    <t>M2 MetaCast MCX 22 Chalk Grey Brillo 1,52x30m</t>
  </si>
  <si>
    <t>M2 MetaCast MCX 26 Nardo Grey Brillo 1,52x30m</t>
  </si>
  <si>
    <t>M2 MetaCast MCX 28 Café Racer Brillo 1,52x30m</t>
  </si>
  <si>
    <t>M2 MetaCast MCX 36 Monza Yellow Brillo 1,52x30m</t>
  </si>
  <si>
    <t>M2 MetaCast MCX 39 FireFox Brillo Metalizado 1,52x30m</t>
  </si>
  <si>
    <t>M2 MetaCast MCX 46 Volcano Red Brillo Metalizado 1,52x30m</t>
  </si>
  <si>
    <t>M2 MetaCast MCX 48 Cooper Red Brillo 1,52x30m</t>
  </si>
  <si>
    <t>M2 MetaCast MCX 51 Miami Blue Brillo 1,52x30m</t>
  </si>
  <si>
    <t>M2 MetaCast MCX 54 Bavarian Blue Mate Metalizado 1,52x30m</t>
  </si>
  <si>
    <t>M2 MetaCast MCX 58 Lapis Blue Brillo 1,52x30m</t>
  </si>
  <si>
    <t>M2 MetaCast MCX 59 Blue Abyss Brillo Metalizado 1,52x30m</t>
  </si>
  <si>
    <t>M2 MetaCast MCX 63 Speed Green Mate Metalizado 1,52x30m</t>
  </si>
  <si>
    <t>M2 MetaCast MCX 67 Bullitt Green Brillo Metalizado 1,52x30m</t>
  </si>
  <si>
    <t>M2 MetaCast MCX 73 Capri Bronce Mate Metalizado 1,52x30m</t>
  </si>
  <si>
    <t>M2 MetaCast MCX 84 Electric Storm Brillo Metalizado 1,52x30m</t>
  </si>
  <si>
    <t>M2 MetaCast MCX 86 Nightlife Brillo Metalizado 1,52x30m</t>
  </si>
  <si>
    <t>M2 MetaCast MCX 87 Plum Crazy Mate Metalizado 1,52x30m</t>
  </si>
  <si>
    <t>M2 MetaCast MCX 94 Pure Iridium Brillo Metalizado 1,52x30m</t>
  </si>
  <si>
    <t>M2 MetaCast MCX 96 Urban Steel Mate Metalizado 1,52x30m</t>
  </si>
  <si>
    <t>M2 MetaCast MCX 97 Carbon Steel Mate Metalizado 1,52x30m</t>
  </si>
  <si>
    <t>M2 MetaCast MCX 98 Blizzard Stone Brillo Metalizado 1,52x30m</t>
  </si>
  <si>
    <t>M2 MetaCast MCX 99 Negro Brillo Metalizado 1,52x30m</t>
  </si>
  <si>
    <t>A0002020</t>
  </si>
  <si>
    <t>M2 Metamark Aura 139 Flourescente Amarillo 1,22x50m</t>
  </si>
  <si>
    <t>A0002026</t>
  </si>
  <si>
    <t>M2 Metamark Aura 139 Flourescente Rojo 1,22x50m</t>
  </si>
  <si>
    <t>M2 Metamark M4 Brillo 200 Blanco 0,61 x 50m</t>
  </si>
  <si>
    <t>M2 Metamark M4 Brillo 200 Blanco 1,22 x 50m</t>
  </si>
  <si>
    <t>M2 Metamark M4 Brillo 210 Negro 0,61 x 50m</t>
  </si>
  <si>
    <t>M2 Metamark M4 Brillo 210 Negro 1,22 x 50m</t>
  </si>
  <si>
    <t>M2 Metamark M4 Brillo 220 Gris Ligero 0,61 x 50m</t>
  </si>
  <si>
    <t>M2 Metamark M4 Brillo 220 Gris Ligero 1,22 x 50m</t>
  </si>
  <si>
    <t>M2 Metamark M4 Brillo 221 Gris 0,61 x 50m</t>
  </si>
  <si>
    <t>M2 Metamark M4 Brillo 221 Gris 1,22 x 50m</t>
  </si>
  <si>
    <t>M2 Metamark M4 Brillo 224 Gris Oscuro 0,61 x 50m</t>
  </si>
  <si>
    <t>M2 Metamark M4 Brillo 224 Gris Oscuro 1,22 x 50m</t>
  </si>
  <si>
    <t>A0001953</t>
  </si>
  <si>
    <t>M2 Metamark M4 Brillo 226 Gris Tormenta 0,61 x 50m</t>
  </si>
  <si>
    <t>A0001568</t>
  </si>
  <si>
    <t>M2 Metamark M4 Brillo 226 Gris Tormenta 1,22 x 50m</t>
  </si>
  <si>
    <t>M2 Metamark M4 Brillo 230 Amarillo Limón  0,61 x 50m</t>
  </si>
  <si>
    <t>M2 Metamark M4 Brillo 230 Amarillo Limón  1,22 x 50m</t>
  </si>
  <si>
    <t>M2 Metamark M4 Brillo 232 Amarillo Medio 0,61 x 50m</t>
  </si>
  <si>
    <t>revisa los filtros</t>
  </si>
  <si>
    <t>M2 Metamark M4 Brillo 232 Amarillo Medio 1,22 x 50m</t>
  </si>
  <si>
    <t>M2 Metamark M4 Brillo 233 Naranja 0,61 x 50m</t>
  </si>
  <si>
    <t>M2 Metamark M4 Brillo 233 Naranja 1,22 x 50m</t>
  </si>
  <si>
    <t>M2 Metamark M4 Brillo 235 Amarillo Botón 0,61 x 50m</t>
  </si>
  <si>
    <t>M2 Metamark M4 Brillo 235 Amarillo Botón 1,22 x 50m</t>
  </si>
  <si>
    <t>M2 Metamark M4 Brillo 237 Amarillo Melón 0,61 x 50m</t>
  </si>
  <si>
    <t>M2 Metamark M4 Brillo 237 Amarillo Melón 1,22 x 50m</t>
  </si>
  <si>
    <t>M2 Metamark M4 Brillo 240 Amapola 0,61 x 50m</t>
  </si>
  <si>
    <t>M2 Metamark M4 Brillo 240 Amapola 1,22 x 50m</t>
  </si>
  <si>
    <t>M2 Metamark M4 Brillo 243 Rojo Cereza 0,61 x 50m</t>
  </si>
  <si>
    <t>M2 Metamark M4 Brillo 243 Rojo Cereza 1,22 x 50m</t>
  </si>
  <si>
    <t>M2 Metamark M4 Brillo 245 Rojo Borgoña 0,61 x 50m</t>
  </si>
  <si>
    <t>M2 Metamark M4 Brillo 245 Rojo Borgoña 1,22 x 50m</t>
  </si>
  <si>
    <t>M2 Metamark M4 Brillo 246 Rojo Llama 0,61 x 50m</t>
  </si>
  <si>
    <t>M2 Metamark M4 Brillo 246 Rojo Llama 1,22 x 50m</t>
  </si>
  <si>
    <t>M2 Metamark M4 Brillo 247 Rojo Carmesí 0,61 x 50m</t>
  </si>
  <si>
    <t>M2 Metamark M4 Brillo 247 Rojo Carmesí 1,22 x 50m</t>
  </si>
  <si>
    <t>M2 Metamark M4 Brillo 250 Azul Pálido 0,61 x 50m</t>
  </si>
  <si>
    <t>M2 Metamark M4 Brillo 250 Azul Pálido 1,22 x 50m</t>
  </si>
  <si>
    <t>M2 Metamark M4 Brillo 252 Azul Oceano 0,61 x 50m</t>
  </si>
  <si>
    <t>M2 Metamark M4 Brillo 252 Azul Oceano 1,22 x 50m</t>
  </si>
  <si>
    <t>M2 Metamark M4 Brillo 254 Azul Medio 0,61 x 50m</t>
  </si>
  <si>
    <t>M2 Metamark M4 Brillo 254 Azul Medio 1,22 x 50m</t>
  </si>
  <si>
    <t>M2 Metamark M4 Brillo 255 Azul Ultramarino 0,61 x 50m</t>
  </si>
  <si>
    <t>M2 Metamark M4 Brillo 255 Azul Ultramarino 1,22 x 50m</t>
  </si>
  <si>
    <t>M2 Metamark M4 Brillo 258 Azul Cielo 0,61 x 50m</t>
  </si>
  <si>
    <t>M2 Metamark M4 Brillo 258 Azul Cielo 1,22 x 50m</t>
  </si>
  <si>
    <t>M2 Metamark M4 Brillo 259 Azul Cobalto 0,61 x 50m</t>
  </si>
  <si>
    <t>M2 Metamark M4 Brillo 259 Azul Cobalto 1,22 x 50m</t>
  </si>
  <si>
    <t>M2 Metamark M4 Brillo 261 Verde Cesped 0,61 x 50m</t>
  </si>
  <si>
    <t>M2 Metamark M4 Brillo 261 Verde Cesped 1,22 x 50m</t>
  </si>
  <si>
    <t>M2 Metamark M4 Brillo 263 Verde Medio 0,61 x 50m</t>
  </si>
  <si>
    <t>M2 Metamark M4 Brillo 263 Verde Medio 1,22 x 50m</t>
  </si>
  <si>
    <t>M2 Metamark M4 Brillo 264 Verde Bosque 0,61 x 50m</t>
  </si>
  <si>
    <t>M2 Metamark M4 Brillo 264 Verde Bosque 1,22 x 50m</t>
  </si>
  <si>
    <t>M2 Metamark M4 Brillo 265 Verde Azulado 0,61 x 50m</t>
  </si>
  <si>
    <t>M2 Metamark M4 Brillo 265 Verde Azulado 1,22 x 50m</t>
  </si>
  <si>
    <t>M2 Metamark M4 Brillo 267 Verde Forestal 0,61 x 50m</t>
  </si>
  <si>
    <t>M2 Metamark M4 Brillo 267 Verde Forestal 1,22 x 50m</t>
  </si>
  <si>
    <t>M2 Metamark M4 Brillo 268 Verde Prado 0,61 x 50m</t>
  </si>
  <si>
    <t>M2 Metamark M4 Brillo 268 Verde Prado 1,22 x 50m</t>
  </si>
  <si>
    <t>M2 Metamark M4 Brillo 269 Verde Trébol 0,61 x 50m</t>
  </si>
  <si>
    <t>M2 Metamark M4 Brillo 269 Verde Trébol 1,22 x 50m</t>
  </si>
  <si>
    <t>M2 Metamark M4 Brillo 270 Crema 0,61 x 50m</t>
  </si>
  <si>
    <t>M2 Metamark M4 Brillo 270 Crema 1,22 x 50m</t>
  </si>
  <si>
    <t>M2 Metamark M4 Brillo 271 Marrón 0,61 x 50m</t>
  </si>
  <si>
    <t>M2 Metamark M4 Brillo 271 Marrón 1,22 x 50m</t>
  </si>
  <si>
    <t>M2 Metamark M4 Brillo 272 Almendra 0,61 x 50m</t>
  </si>
  <si>
    <t>M2 Metamark M4 Brillo 272 Almendra 1,22 x 50m</t>
  </si>
  <si>
    <t>M2 Metamark M4 Brillo 273 Verde Tráfico 0,61 x 50m</t>
  </si>
  <si>
    <t>M2 Metamark M4 Brillo 273 Verde Tráfico 1,22 x 50m</t>
  </si>
  <si>
    <t>M2 Metamark M4 Brillo 275 Azul Oriental 0,61 x 50m</t>
  </si>
  <si>
    <t>M2 Metamark M4 Brillo 275 Azul Oriental 1,22 x 50m</t>
  </si>
  <si>
    <t>M2 Metamark M4 Brillo 277 Azul Cáscara 0,61 x 50m</t>
  </si>
  <si>
    <t>M2 Metamark M4 Brillo 277 Azul Cáscara 1,22 x 50m</t>
  </si>
  <si>
    <t>M2 Metamark M4 Brillo 278 Azul Vikingo 0,61 x 50m</t>
  </si>
  <si>
    <t>M2 Metamark M4 Brillo 278 Azul Vikingo 1,22 x 50m</t>
  </si>
  <si>
    <t>M2 Metamark M4 Brillo 282 Magenta 0,61 x 50m</t>
  </si>
  <si>
    <t>M2 Metamark M4 Brillo 282 Magenta 1,22 x 50m</t>
  </si>
  <si>
    <t>M2 Metamark M4 Brillo 283 Púrpura 0,61 x 50m</t>
  </si>
  <si>
    <t>M2 Metamark M4 Brillo 283 Púrpura 1,22 x 50m</t>
  </si>
  <si>
    <t>M2 Metamark M4 Brillo 290 Plata 0,61 x 50m</t>
  </si>
  <si>
    <t>M2 Metamark M4 Brillo 290 Plata 1,22 x 50m</t>
  </si>
  <si>
    <t>M2 Metamark M4 Brillo 291 Oro 0,61 x 50m</t>
  </si>
  <si>
    <t>M2 Metamark M4 Brillo 291 Oro 1,22 x 50m</t>
  </si>
  <si>
    <t>M2 Metamark M4 Brillo 292 Gris Carbón  0,61 x 50m</t>
  </si>
  <si>
    <t>M2 Metamark M4 Brillo 292 Gris Carbón  1,22 x 50m</t>
  </si>
  <si>
    <t>M2 Metamark M4 Frosted Window Monomérico 0,61 x 50m</t>
  </si>
  <si>
    <t>M2 Metamark M4 Frosted Window Monomérico 1,22 x 50m</t>
  </si>
  <si>
    <t>M2 Metamark M4 Frosted Window Monomérico 1,60 x 50m</t>
  </si>
  <si>
    <t>M2 Metamark M4 Mate 301M Blanco 0,61 x 50m</t>
  </si>
  <si>
    <t>M2 Metamark M4 Mate 301M Blanco 1,22 x 50m</t>
  </si>
  <si>
    <t>A0002215</t>
  </si>
  <si>
    <t>M2 Metamark M4 Mate 301M Blanco Consumo Interno</t>
  </si>
  <si>
    <t>M2 Metamark M4 Mate 311M Negro 0,61 x 50m</t>
  </si>
  <si>
    <t>M2 Metamark M4 Mate 311M Negro 1,22 x 50m</t>
  </si>
  <si>
    <t>A0002172</t>
  </si>
  <si>
    <t>M2 Metamark M4 Mate 311M Negro Consumo Interno</t>
  </si>
  <si>
    <t>M2 Metamark M4 Mate 320M Gris Ligero 0,61 x 50m</t>
  </si>
  <si>
    <t>M2 Metamark M4 Mate 320M Gris Ligero 1,22 x 50m</t>
  </si>
  <si>
    <t>M2 Metamark M4 Mate 324M Gris Oscuro 0,61 x 50m</t>
  </si>
  <si>
    <t>M2 Metamark M4 Mate 324M Gris Oscuro 1,22 x 50m</t>
  </si>
  <si>
    <t>A0002216</t>
  </si>
  <si>
    <t>M2 Metamark M4 Mate 324M Gris Oscuro Consumo Interno</t>
  </si>
  <si>
    <t>M2 Metamark M4 Mate 330M Amarillo Limón 0,61 x 50m</t>
  </si>
  <si>
    <t>M2 Metamark M4 Mate 330M Amarillo Limón 1,22 x 50m</t>
  </si>
  <si>
    <t>M2 Metamark M4 Mate 332M Amarillo Medio 0,61 x 50m</t>
  </si>
  <si>
    <t>M2 Metamark M4 Mate 332M Amarillo Medio 1,22 x 50m</t>
  </si>
  <si>
    <t>M2 Metamark M4 Mate 333M Naranja 0,61 x 50m</t>
  </si>
  <si>
    <t>M2 Metamark M4 Mate 333M Naranja 1,22 x 50m</t>
  </si>
  <si>
    <t>M2 Metamark M4 Mate 334M Amarillo Girasol 0,61 x 50m</t>
  </si>
  <si>
    <t>M2 Metamark M4 Mate 334M Amarillo Girasol 1,22 x 50m</t>
  </si>
  <si>
    <t>M2 Metamark M4 Mate 340M Amapola 0,61 x 50m</t>
  </si>
  <si>
    <t>M2 Metamark M4 Mate 340M Amapola 1,22 x 50m</t>
  </si>
  <si>
    <t>M2 Metamark M4 Mate 341M Rojo Tomate 0,61 x 50m</t>
  </si>
  <si>
    <t>M2 Metamark M4 Mate 341M Rojo Tomate 1,22 x 50m</t>
  </si>
  <si>
    <t>M2 Metamark M4 Mate 343M Rojo Cereza 0,61 x 50m</t>
  </si>
  <si>
    <t>M2 Metamark M4 Mate 343M Rojo Cereza 1,22 x 50m</t>
  </si>
  <si>
    <t>M2 Metamark M4 Mate 345M Rojo Borgoña 0,61 x 50m</t>
  </si>
  <si>
    <t>M2 Metamark M4 Mate 345M Rojo Borgoña 1,22 x 50m</t>
  </si>
  <si>
    <t>M2 Metamark M4 Mate 352M Azul Oceano 0,61 x 50m</t>
  </si>
  <si>
    <t>M2 Metamark M4 Mate 352M Azul Oceano 1,22 x 50m</t>
  </si>
  <si>
    <t>M2 Metamark M4 Mate 353M Azul Marino 0,61 x 50m</t>
  </si>
  <si>
    <t>M2 Metamark M4 Mate 353M Azul Marino 1,22 x 50m</t>
  </si>
  <si>
    <t>M2 Metamark M4 Mate 354M Azul Medio 0,61 x 50m</t>
  </si>
  <si>
    <t>M2 Metamark M4 Mate 354M Azul Medio 1,22 x 50m</t>
  </si>
  <si>
    <t>M2 Metamark M4 Mate 355M Azul Ultramarino 0,61 x 50m</t>
  </si>
  <si>
    <t>M2 Metamark M4 Mate 355M Azul Ultramarino 1,22 x 50m</t>
  </si>
  <si>
    <t>M2 Metamark M4 Mate 358M Azul Cielo 0,61 x 50m</t>
  </si>
  <si>
    <t>M2 Metamark M4 Mate 358M Azul Cielo 1,22 x 50m</t>
  </si>
  <si>
    <t>M2 Metamark M4 Mate 359M Azul Cobalto 0,61 x 50m</t>
  </si>
  <si>
    <t>M2 Metamark M4 Mate 359M Azul Cobalto 1,22 x 50m</t>
  </si>
  <si>
    <t>M2 Metamark M4 Mate 360M Verde Lima 0,61 x 50m</t>
  </si>
  <si>
    <t>M2 Metamark M4 Mate 360M Verde Lima 1,22 x 50m</t>
  </si>
  <si>
    <t>M2 Metamark M4 Mate 361M Verde Cesped 0,61 x 50m</t>
  </si>
  <si>
    <t>M2 Metamark M4 Mate 361M Verde Cesped 1,22 x 50m</t>
  </si>
  <si>
    <t>M2 Metamark M4 Mate 362M Verde Cactus 0,61 x 50m</t>
  </si>
  <si>
    <t>M2 Metamark M4 Mate 362M Verde Cactus 1,22 x 50m</t>
  </si>
  <si>
    <t>M2 Metamark M4 Mate 364M Verde Bosque 0,61 x 50m</t>
  </si>
  <si>
    <t>M2 Metamark M4 Mate 364M Verde Bosque 1,22 x 50m</t>
  </si>
  <si>
    <t>M2 Metamark M4 Mate 366M Verde Turquesa 0,61 x 50m</t>
  </si>
  <si>
    <t>M2 Metamark M4 Mate 366M Verde Turquesa 1,22 x 50m</t>
  </si>
  <si>
    <t>M2 Metamark M4 Mate 368M Verde Prado 0,61 x 50m</t>
  </si>
  <si>
    <t>M2 Metamark M4 Mate 368M Verde Prado 1,22 x 50m</t>
  </si>
  <si>
    <t>M2 Metamark M4 Mate 370M Crema 0,61 x 50m</t>
  </si>
  <si>
    <t>M2 Metamark M4 Mate 370M Crema 1,22 x 50m</t>
  </si>
  <si>
    <t>A0001718</t>
  </si>
  <si>
    <t>M2 Metamark M4 Mate 372M Chocolate 0,61x 50m</t>
  </si>
  <si>
    <t>M2 Metamark M4 Mate 372M Chocolate 1,22 x 50m</t>
  </si>
  <si>
    <t>A0002214</t>
  </si>
  <si>
    <t>M2 Metamark M4 Mate 372M Chocolate Consumo Interno</t>
  </si>
  <si>
    <t>M2 Metamark M4 Mate 381M Rosa 0,61 x 50m</t>
  </si>
  <si>
    <t>M2 Metamark M4 Mate 381M Rosa 1,22 x 50m</t>
  </si>
  <si>
    <t>M2 Metamark M4 Mate 382M Magenta 0,61 x 50m</t>
  </si>
  <si>
    <t>M2 Metamark M4 Mate 382M Magenta 1,22 x 50m</t>
  </si>
  <si>
    <t>A0002477</t>
  </si>
  <si>
    <t>M2 Metamark M4 Mate 382M Magenta Consumo Interno 1,22</t>
  </si>
  <si>
    <t>M2 Metamark M4 Mate 383M Púrpura 0,61 x 50m</t>
  </si>
  <si>
    <t>M2 Metamark M4 Mate 383M Púrpura 1,22 x 50m</t>
  </si>
  <si>
    <t>M2 Metamark M4 Mate 390M Plata 0,61 x 50m</t>
  </si>
  <si>
    <t>M2 Metamark M4 Mate 390M Plata 1,22 x 50m</t>
  </si>
  <si>
    <t>M2 Metamark M4 Mate 391M Oro 0,61 x 50m</t>
  </si>
  <si>
    <t>M2 Metamark M4 Mate 391M Oro 1,22 x 50m</t>
  </si>
  <si>
    <t>A0001647</t>
  </si>
  <si>
    <t>M2 Metamark M5000 Reflectante Blanco 0,61 x 45m</t>
  </si>
  <si>
    <t>M2 Metamark M5000 Reflectante Blanco 1,22 x 45m</t>
  </si>
  <si>
    <t>M2 Metamark M7 100 Blanco Brillo 0,61 x 50m</t>
  </si>
  <si>
    <t>M2 Metamark M7 100 Blanco Brillo 1,22 x 50m</t>
  </si>
  <si>
    <t>M2 Metamark M7 101M Blanco Mate 0,61 x 50m</t>
  </si>
  <si>
    <t>M2 Metamark M7 101M Blanco Mate 1,22 x 50m</t>
  </si>
  <si>
    <t>M2 Metamark M7 110 Negro Brillo 0,61 x 50m</t>
  </si>
  <si>
    <t>M2 Metamark M7 110 Negro Brillo 1,22 x 50m</t>
  </si>
  <si>
    <t>M2 Metamark M7 111M Negro Mate 0,61 x 50m</t>
  </si>
  <si>
    <t>M2 Metamark M7 111M Negro Mate 1,22 x 50m</t>
  </si>
  <si>
    <t>M2 Metamark M7 112 Mandarina 0,61 x 50m</t>
  </si>
  <si>
    <t>M2 Metamark M7 112 Mandarina 1,22 x 50m</t>
  </si>
  <si>
    <t>M2 Metamark M7 113 Naranja Quemada 0,61 x 50m</t>
  </si>
  <si>
    <t>M2 Metamark M7 113 Naranja Quemada 1,22 x 50m</t>
  </si>
  <si>
    <t>M2 Metamark M7 114 Granate 0,61 x 50m</t>
  </si>
  <si>
    <t>M2 Metamark M7 114 Granate 1,22 x 50m</t>
  </si>
  <si>
    <t>M2 Metamark M7 115 Azul Maíz 0,61 x 50m</t>
  </si>
  <si>
    <t>M2 Metamark M7 115 Azul Maíz 1,22 x 50m</t>
  </si>
  <si>
    <t>A0000585</t>
  </si>
  <si>
    <t>Roll-up ExcelROLL 85x200cm</t>
  </si>
  <si>
    <t>A0000586</t>
  </si>
  <si>
    <t>Roll-up ExcelROLL 100x200cm</t>
  </si>
  <si>
    <t>Rollo Transportador AT 60n PP (bajo agarre) 1,22x100m</t>
  </si>
  <si>
    <t>Rollo Transportador AT 65 PP (medio agarre) 1,22x100m</t>
  </si>
  <si>
    <t>Rollo Transportador AT75.1 PT. PE (alto agarre) Sin Burbujas 1,22x100m</t>
  </si>
  <si>
    <t>Rollo Transportador AT 60n PP (bajo agarre) 0,61x100m</t>
  </si>
  <si>
    <t>Rollo Transportador AT 65 PP (medio agarre) 0,61x100m</t>
  </si>
  <si>
    <t>Rollo Transportador AT75.1 PT. PE (alto agarre) Sin Burbujas 0,61x100m</t>
  </si>
  <si>
    <t>Rollo Transportador GXP-750 Conformable (Papel Medio agarre) 1,22x100m</t>
  </si>
  <si>
    <t>Rollo Transportador GXP-775 Conformable (Papel medio/alto agarre) 1.22x100m</t>
  </si>
  <si>
    <t>Rollo Transportador GXP-550 (Papel medio agarre) 1,22x91,4m</t>
  </si>
  <si>
    <t>Rollo Transportador GXP-575 (Papel medio/alto agarre) 1,22x91,4m</t>
  </si>
  <si>
    <t>Rollo Transportador GXP-750 Conform (Papel Medio agarre) 0,61x100m</t>
  </si>
  <si>
    <t>Rollo Transportador GXP-775 Conformable (Papel medio/alto agarre) 0,61x100m</t>
  </si>
  <si>
    <t>Rollo Transportador GXP-550 (Papel medio agarre) 0,61x91,4m</t>
  </si>
  <si>
    <t>Rollo Transportador GXP-575 (Papel medio/alto agarre) 0,61x91,4m</t>
  </si>
  <si>
    <t>ML Cad-Cut Sportsfilm 001 Blanco 500mm</t>
  </si>
  <si>
    <t>ML Cad-Cut Sportsfilm 004 Beige 500mm</t>
  </si>
  <si>
    <t>ML Cad-Cut Sportsfilm 005 Crema 500mm</t>
  </si>
  <si>
    <t>ML Cad-Cut Sportsfilm 100 Amarillo Limón 500mm</t>
  </si>
  <si>
    <t>ML Cad-Cut Sportsfilm 110 Amarillo 500mm</t>
  </si>
  <si>
    <t>ML Cad-Cut Sportsfilm 106 Amarillo Girasol 500mm</t>
  </si>
  <si>
    <t>ML Cad-Cut Sportsfilm 185 Naranja Ligero 500mm</t>
  </si>
  <si>
    <t>ML Cad-Cut Sportsfilm 180 Naranja 500mm</t>
  </si>
  <si>
    <t>ML Cad-Cut Sportsfilm 210 Rojo Señal 500mm</t>
  </si>
  <si>
    <t>ML Cad-Cut Sportsfilm 200 Rojo 500mm</t>
  </si>
  <si>
    <t>ML Cad-Cut Sportsfilm 270 Rojo Borgoña 500mm</t>
  </si>
  <si>
    <t>ML Cad-Cut Sportsfilm 255 Pastel Rosa 500mm</t>
  </si>
  <si>
    <t>ML Cad-Cut Sportsfilm 252 Rosa 500mm</t>
  </si>
  <si>
    <t>ML Cad-Cut Sportsfilm 250 Fucsia 500mm</t>
  </si>
  <si>
    <t>ML Cad-Cut Sportsfilm 285 Pastel Púrpura 500mm</t>
  </si>
  <si>
    <t>ML Cad-Cut Sportsfilm 280 Púrpura 500mm</t>
  </si>
  <si>
    <t>ML Cad-Cut Sportsfilm 321 Azul Pastel 500mm</t>
  </si>
  <si>
    <t>ML Cad-Cut Sportsfilm 320 Azul Ligero 500mm</t>
  </si>
  <si>
    <t>ML Cad-Cut Sportsfilm 300 Azul Real 500mm</t>
  </si>
  <si>
    <t>ML Cad-Cut Sportsfilm 350 Azul Naval 500mm</t>
  </si>
  <si>
    <t>ML Cad-Cut Sportsfilm 380 Verde Turquesa 500mm</t>
  </si>
  <si>
    <t>ML Cad-Cut Sportsfilm 420 Verde Pastel 500mm</t>
  </si>
  <si>
    <t>ML Cad-Cut Sportsfilm 421 Verde Manzana 500mm</t>
  </si>
  <si>
    <t>ML Cad-Cut Sportsfilm 422 Verde Ligero 500mm</t>
  </si>
  <si>
    <t>ML Cad-Cut Sportsfilm 400 Verde 500mm</t>
  </si>
  <si>
    <t>ML Cad-Cut Sportsfilm 410 Verde Oscuro 500mm</t>
  </si>
  <si>
    <t>ML Cad-Cut Sportsfilm 430 Verde Oliva 500mm</t>
  </si>
  <si>
    <t>ML Cad-Cut Sportsfilm 550 Marrón 500mm</t>
  </si>
  <si>
    <t>ML Cad-Cut Sportsfilm 730 Gris 500mm</t>
  </si>
  <si>
    <t>ML Cad-Cut Sportsfilm 780 Gris Oscuro 500mm</t>
  </si>
  <si>
    <t>ML Cad-Cut Sportsfilm 700 Negro 500mm</t>
  </si>
  <si>
    <t>ML Cad-Cut Sportsfilm 815 Plata 500mm</t>
  </si>
  <si>
    <t>ML Cad-Cut Sportsfilm 115 Oro 500mm</t>
  </si>
  <si>
    <t>ML Cad-Cut Sportsfilm 101 Neon Amarillo 500mm</t>
  </si>
  <si>
    <t>ML Cad-Cut Sportsfilm 181 Neon Naranja 500mm</t>
  </si>
  <si>
    <t>ML Cad-Cut Sportsfilm 241 Neon Rosa 500mm</t>
  </si>
  <si>
    <t>ML Cad-Cut Sportsfilm 301 Neon Azul 500mm</t>
  </si>
  <si>
    <t>ML Cad-Cut Sportsfilm 401 Neon Verde 500mm</t>
  </si>
  <si>
    <t>ML Cad-Cut Premium Plus 001 Blanco 500mm</t>
  </si>
  <si>
    <t>ML Cad-Cut Premium Plus 005 Crema 500mm</t>
  </si>
  <si>
    <t>ML Cad-Cut Premium Plus 100 Amarillo Limón 500mm</t>
  </si>
  <si>
    <t>ML Cad-Cut Premium Plus 110 Amarillo 500mm</t>
  </si>
  <si>
    <t>ML Cad-Cut Premium Plus 106 Amarillo Girasol 500mm</t>
  </si>
  <si>
    <t>ML Cad-Cut Premium Plus 185 Naranja Ligero 500mm</t>
  </si>
  <si>
    <t>ML Cad-Cut Premium Plus 180 Naranja 500mm</t>
  </si>
  <si>
    <t>ML Cad-Cut Premium Plus 210 Rojo Señal 500mm</t>
  </si>
  <si>
    <t>ML Cad-Cut Premium Plus 200 Rojo 500mm</t>
  </si>
  <si>
    <t>ML Cad-Cut Premium Plus 270 Rojo Borgoña 500mm</t>
  </si>
  <si>
    <t>ML Cad-Cut Premium Plus 255 Pastel Rosa 500mm</t>
  </si>
  <si>
    <t>ML Cad-Cut Premium Plus 252 Rosa 500mm</t>
  </si>
  <si>
    <t>ML Cad-Cut Premium Plus 250 Fucsia 500mm</t>
  </si>
  <si>
    <t>ML Cad-Cut Premium Plus 285 Pastel Púrpura 500mm</t>
  </si>
  <si>
    <t>ML Cad-Cut Premium Plus 280 Púrpura 500mm</t>
  </si>
  <si>
    <t>ML Cad-Cut Premium Plus 321 Azul Pastel500mm</t>
  </si>
  <si>
    <t>ML Cad-Cut Premium Plus 320 Azul Ligero 500mm</t>
  </si>
  <si>
    <t>ML Cad-Cut Premium Plus 300 Azul Real 500mm</t>
  </si>
  <si>
    <t>ML Cad-Cut Premium Plus 350 Azul Naval 500mm</t>
  </si>
  <si>
    <t>ML Cad-Cut Premium Plus 380 Verde Turquesa 500mm</t>
  </si>
  <si>
    <t>ML Cad-Cut Premium Plus 420 Verde Pastel 500mm</t>
  </si>
  <si>
    <t>ML Cad-Cut Premium Plus 421 Verde Manzana 500mm</t>
  </si>
  <si>
    <t>ML Cad-Cut Premium Plus 422 Verde Ligero 500mm</t>
  </si>
  <si>
    <t>ML Cad-Cut Premium Plus 400 Verde 500mm</t>
  </si>
  <si>
    <t>ML Cad-Cut Premium Plus 410 Verde Oscuro 500mm</t>
  </si>
  <si>
    <t>ML Cad-Cut Premium Plus 430 Verde Oliva 500mm</t>
  </si>
  <si>
    <t>ML Cad-Cut Premium Plus 550 Marrón 500mm</t>
  </si>
  <si>
    <t>ML Cad-Cut Premium Plus 730 Gris 500mm</t>
  </si>
  <si>
    <t>ML Cad-Cut Premium Plus 780 Gris Oscuro 500mm</t>
  </si>
  <si>
    <t>ML Cad-Cut Premium Plus 700 Negro 500mm</t>
  </si>
  <si>
    <t>ML Cad-Cut Premium Plus 815 Plata 500mm</t>
  </si>
  <si>
    <t>ML Cad-Cut Premium Plus 115 Oro 500mm</t>
  </si>
  <si>
    <t>ML Cad-Cut Premium Plus 101 Neon Amarillo 500mm</t>
  </si>
  <si>
    <t>ML Cad-Cut Flock 530 Marrón 500mm</t>
  </si>
  <si>
    <t>ML Cad-Cut Flock 550 Marrón Oscuro 500mm</t>
  </si>
  <si>
    <t>ML Cad-Cut Flock 730 Cool Gris 500mm</t>
  </si>
  <si>
    <t>ML Cad-Cut Flock 780 Gris Oscuro 500mm</t>
  </si>
  <si>
    <t>ML Cad-Cut Flock 700 Negro 500mm</t>
  </si>
  <si>
    <t>ML Cad-Cut Flock 101 Neon Amarillo 500mm</t>
  </si>
  <si>
    <t>ML Cad-Cut Flock 181 Neon Naranja 500mm</t>
  </si>
  <si>
    <t>ML Cad-Cut Flock 241 Neon Rosa 500mm</t>
  </si>
  <si>
    <t>ML Cad-Cut Flock 401 Neon Verde 500mm</t>
  </si>
  <si>
    <t>ML Cad-Cut Glitter 934 Blanco 500mm</t>
  </si>
  <si>
    <t>ML Cad-Cut Glitter 931 Naranja 500mm</t>
  </si>
  <si>
    <t>ML Cad-Cut Glitter 952 Rojo Cereza 500mm</t>
  </si>
  <si>
    <t>ML Cad-Cut Glitter 923 Rojo 500mm</t>
  </si>
  <si>
    <t>ML Cad-Cut Glitter 996 Holo Rosa 500mm</t>
  </si>
  <si>
    <t>ML Cad-Cut Glitter 943 Hot Rosa 500mm</t>
  </si>
  <si>
    <t>ML Cad-Cut Glitter 927 Rosa 500mm</t>
  </si>
  <si>
    <t>ML Cad-Cut Glitter 946 Lavanda 500mm</t>
  </si>
  <si>
    <t>ML Cad-Cut Glitter 924 Púrpura 500mm</t>
  </si>
  <si>
    <t>ML Cad-Cut Glitter 954 Berenjena 500mm</t>
  </si>
  <si>
    <t>ML Cad-Cut Glitter 950 Azul Ligero 500mm</t>
  </si>
  <si>
    <t>ML Cad-Cut Glitter 930 Azul Colonia 500mm</t>
  </si>
  <si>
    <t>ML Cad-Cut Glitter 922 Azul 500mm</t>
  </si>
  <si>
    <t>ML Cad-Cut Glitter 942 Azul Real 500mm</t>
  </si>
  <si>
    <t>ML Cad-Cut Glitter 944 Azul Naval 500mm</t>
  </si>
  <si>
    <t>ML Cad-Cut Glitter 953 Verde Ligero 500mm</t>
  </si>
  <si>
    <t>ML Cad-Cut Glitter 925 Verde 500mm</t>
  </si>
  <si>
    <t>ML Cad-Cut Glitter 932 Verde Kelly 500mm</t>
  </si>
  <si>
    <t>ML Cad-Cut Glitter 926 Marrón 500mm</t>
  </si>
  <si>
    <t>ML Cad-Cut Glitter 951 Holo Gris 500mm</t>
  </si>
  <si>
    <t>ML Cad-Cut Glitter 921 Plata 500mm</t>
  </si>
  <si>
    <t>ML Cad-Cut Glitter 949 Negro Plata 500mm</t>
  </si>
  <si>
    <t>ML Cad-Cut Glitter 929 Multi 500mm</t>
  </si>
  <si>
    <t>ML Cad-Cut Glitter 948 Confetti 500mm</t>
  </si>
  <si>
    <t>ML Cad-Cut Glitter 935 Holo Oro 500mm</t>
  </si>
  <si>
    <t>ML Cad-Cut Glitter 920 Oro 500mm</t>
  </si>
  <si>
    <t>ML Cad-Cut Glitter 947 Negro Oro 500mm</t>
  </si>
  <si>
    <t>ML Cad-Cut Glitter 928 Negro 500mm</t>
  </si>
  <si>
    <t>ML Cad-Cut Glitter 936 Neon Amarillo 500mm</t>
  </si>
  <si>
    <t>ML Cad-Cut Glitter 939 Neon Naranja 500mm</t>
  </si>
  <si>
    <t>ML Cad-Cut Glitter 941 Neon Rosa 500mm</t>
  </si>
  <si>
    <t>ML Cad-Cut Glitter 938 Neon Azul 500mm</t>
  </si>
  <si>
    <t>ML Cad-Cut Glitter 937 Neon Verde 500mm</t>
  </si>
  <si>
    <t>ML Cad-Cut Glitter 940 Neon Púrpura 500mm</t>
  </si>
  <si>
    <t>ML Cad-Cut Glitter 945 Old Oro 500mm</t>
  </si>
  <si>
    <t>ML Cad-Cut Glitter 933 Verde Oscuro 500mm</t>
  </si>
  <si>
    <t>ML Cad-Cut Effect 900 Rainbow 500mm</t>
  </si>
  <si>
    <t>ML Cad-Cut Effect 901 Spectrum 500mm</t>
  </si>
  <si>
    <t>ML Cad-Cut Effect 902 Sparkle Plata 500mm</t>
  </si>
  <si>
    <t>ML Cad-Cut Effect 903 Sparkle Oro 500mm</t>
  </si>
  <si>
    <t>ML Cad-Cut Effect 904 Sparkle Rojo 500mm</t>
  </si>
  <si>
    <t>ML Cad-Cut Effect 905 Sparkle Azul Ligero 500mm</t>
  </si>
  <si>
    <t>ML Cad-Cut Effect 906 Sparkle Azul 500mm</t>
  </si>
  <si>
    <t>ML Cad-Cut Effect 907 Sparkle Púrpura 500mm</t>
  </si>
  <si>
    <t>ML Cad-Cut Effect 908 Sparkle Verde 500mm</t>
  </si>
  <si>
    <t>ML Cad-Cut Effect 909 Sparkle Rosa 500mm</t>
  </si>
  <si>
    <t>ML Cad-Cut Effect 913 Crystal 500mm</t>
  </si>
  <si>
    <t>ML Cad-Cut Effect 914 Multi 500mm</t>
  </si>
  <si>
    <t>ML Cad-Cut Premium Plus Sublistop 001 Blanco 500mm</t>
  </si>
  <si>
    <t>ML Cad-Cut Premium Plus Sublistop 005 Crema 500mm</t>
  </si>
  <si>
    <t>ML Cad-Cut Premium Plus Sublistop 110 Amarillo 500mm</t>
  </si>
  <si>
    <t>ML Cad-Cut Premium Plus Sublistop 185 Naranja Ligero 500mm</t>
  </si>
  <si>
    <t>ML Cad-Cut Premium Plus Sublistop 200 Rojo 500mm</t>
  </si>
  <si>
    <t>ML Cad-Cut Premium Plus Sublistop 320 Azul Ligero 500mm</t>
  </si>
  <si>
    <t>ML Cad-Cut Premium Plus Sublistop 380 Verde Turquesa 500mm</t>
  </si>
  <si>
    <t>ML Cad-Cut Premium Plus Sublistop 422 Verde Ligero 500mm</t>
  </si>
  <si>
    <t>ML Cad-Cut Premium Plus Sublistop 730 Gris 500mm</t>
  </si>
  <si>
    <t>ML Cad-Cut Premium Plus Sublistop 815 Plata 500mm</t>
  </si>
  <si>
    <t>ML Cad-Cut Premium Plus Sublistop 115 Oro 500mm</t>
  </si>
  <si>
    <t>ML Cad-Cut Silicone 200 001 Blanco 500mm</t>
  </si>
  <si>
    <t>ML Cad-Cut Silicone 200 200 Rojo 500mm</t>
  </si>
  <si>
    <t>ML Cad-Cut Silicone 200 320 Azul Ligero 500mm</t>
  </si>
  <si>
    <t>ML Cad-Cut Silicone 200 300 Azul Real 500mm</t>
  </si>
  <si>
    <t>ML Cad-Cut Silicone 200 730 Gris 500mm</t>
  </si>
  <si>
    <t>ML Cad-Cut Silicone 200 700 Negro 500mm</t>
  </si>
  <si>
    <t>ML Cad-Cut Silicone 200 400 Verde 500mm</t>
  </si>
  <si>
    <t>ML Cad-Cut Silicone 500 001 Blanco 500mm</t>
  </si>
  <si>
    <t>ML Cad-Cut Silicone 500 500 Rojo 500mm</t>
  </si>
  <si>
    <t>ML Cad-Cut Silicone 500 320 Azul Ligero 500mm</t>
  </si>
  <si>
    <t>ML Cad-Cut Silicone 500 300 Azul Real 500mm</t>
  </si>
  <si>
    <t>ML Cad-Cut Silicone 500 730 Gris 500mm</t>
  </si>
  <si>
    <t>ML Cad-Cut Silicone 500 700 Negro 500mm</t>
  </si>
  <si>
    <t>ML Cad-Cut Silicone 500 400 Verde 500mm</t>
  </si>
  <si>
    <t>A0000776</t>
  </si>
  <si>
    <t>Rollo Cad-Color Sportsfilm 500mmX25m</t>
  </si>
  <si>
    <t>A0000777</t>
  </si>
  <si>
    <t>Rollo Cad-Color Sportsfilm 750mmX25m</t>
  </si>
  <si>
    <t>A0000778</t>
  </si>
  <si>
    <t>Rollo Cad-Color Sublistop 500mmX25m</t>
  </si>
  <si>
    <t>A0000779</t>
  </si>
  <si>
    <t>Rollo Cad-Color SuperTEK Sublistop 500mmX25m</t>
  </si>
  <si>
    <t>A0000781</t>
  </si>
  <si>
    <t>Rollo Cad-Color SuperTEK Transparente Mate 500mmX25m</t>
  </si>
  <si>
    <t>A0000782</t>
  </si>
  <si>
    <t>Rollo Cad-Color Premium 500mmX25m</t>
  </si>
  <si>
    <t>A0000783</t>
  </si>
  <si>
    <t>Rollo Cad-Color Solvent Flock 500mmX25m</t>
  </si>
  <si>
    <t>A0000785</t>
  </si>
  <si>
    <t>Rollo Cad-Color FoilTEK 500mmX25m</t>
  </si>
  <si>
    <t>A0000786</t>
  </si>
  <si>
    <t>Magic Mask + Cad Color 500mmX50m</t>
  </si>
  <si>
    <t>M2 Metamark M7 116 Azul Almirante 0,61 x 50m</t>
  </si>
  <si>
    <t>M2 Metamark M7 116 Azul Almirante 1,22 x 50m</t>
  </si>
  <si>
    <t>M2 Metamark M7 117 Oxford 0,61 x 50m</t>
  </si>
  <si>
    <t>M2 Metamark M7 117 Oxford 1,22 x 50m</t>
  </si>
  <si>
    <t>M2 Metamark M7 118 Azul Reflex 0,61 x 50m</t>
  </si>
  <si>
    <t>A0000849</t>
  </si>
  <si>
    <t>Hora de mano de Obra</t>
  </si>
  <si>
    <t>A0000851</t>
  </si>
  <si>
    <t>Desplazamiento</t>
  </si>
  <si>
    <t>A0000854</t>
  </si>
  <si>
    <t>Transistor TR 2SC4131 GB (A)</t>
  </si>
  <si>
    <t>A0000855</t>
  </si>
  <si>
    <t>Transistor TR, FET 2SJ535 (A)</t>
  </si>
  <si>
    <t>A0000856</t>
  </si>
  <si>
    <t>1000001053 - Fusible, Fuse 04533. 15MR (A)</t>
  </si>
  <si>
    <t>A0000859</t>
  </si>
  <si>
    <t>Jeringa 20ml (A)</t>
  </si>
  <si>
    <t>A0000860</t>
  </si>
  <si>
    <t>DX4 Large Damper (A)</t>
  </si>
  <si>
    <t>A0000861</t>
  </si>
  <si>
    <t>Rollo antideslizante Tesa 60950 25mmx15m Negro</t>
  </si>
  <si>
    <t>A0000862</t>
  </si>
  <si>
    <t>Rollo antideslizante Tesa 60951 50mmx15m Amarillo/Negro</t>
  </si>
  <si>
    <t>A0000863</t>
  </si>
  <si>
    <t>Rollo antideslizante Tesa 60952 25mmx15m Transparente</t>
  </si>
  <si>
    <t>A0000864</t>
  </si>
  <si>
    <t>Rollo antideslizante Tesa 60953 25mmx15m Fotoluminiscente</t>
  </si>
  <si>
    <t>A0000865</t>
  </si>
  <si>
    <t>Rollo cinta americana Tesa 4613 Gris 48mmx50m</t>
  </si>
  <si>
    <t>A0000866</t>
  </si>
  <si>
    <t>6701409200 - Assy cap top VS 640</t>
  </si>
  <si>
    <t>A0000867</t>
  </si>
  <si>
    <t>Wiper Scraper XC 540</t>
  </si>
  <si>
    <t>A0000868</t>
  </si>
  <si>
    <t>SP-300 Filter (M) Serge Mist (A)</t>
  </si>
  <si>
    <t>A0000869</t>
  </si>
  <si>
    <t>1000000415 - FILTER(M),SERGE MIST 3 SJ-540</t>
  </si>
  <si>
    <t>1000001383 - Pad Cutter GX-500</t>
  </si>
  <si>
    <t>M2 Metamark M7 118 Azul Reflex 1,22 x 50m</t>
  </si>
  <si>
    <t>M2 Metamark M7 119 Azul Prusiano 0,61 x 50m</t>
  </si>
  <si>
    <t>A0000873</t>
  </si>
  <si>
    <t>Lápiz sellador de bordes</t>
  </si>
  <si>
    <t>A0000878</t>
  </si>
  <si>
    <t>Pinzas de descarte</t>
  </si>
  <si>
    <t>A0000879</t>
  </si>
  <si>
    <t>Imanes para fijación 43mm</t>
  </si>
  <si>
    <t>A0000880</t>
  </si>
  <si>
    <t>Espátula naranja soft 10cm</t>
  </si>
  <si>
    <t>A0000881</t>
  </si>
  <si>
    <t>Espátula negra 10cm</t>
  </si>
  <si>
    <t>A0000882</t>
  </si>
  <si>
    <t>Fieltro adhesivo para espátula</t>
  </si>
  <si>
    <t>A0000883</t>
  </si>
  <si>
    <t>Rollo Precinto Tesa 4122 PVC Extra Fuerte 50mm X 66m Tte.</t>
  </si>
  <si>
    <t>A0000884</t>
  </si>
  <si>
    <t>Rollo Precinto Tesa 4120 PVC Estándar 50mm X 66m Blanco.</t>
  </si>
  <si>
    <t>A0000885</t>
  </si>
  <si>
    <t>Rollo Precinto Tesa 4120 PVC Estándar 50mm X 66m Tte.</t>
  </si>
  <si>
    <t>A0000886</t>
  </si>
  <si>
    <t>Rollo Precinto Tesa 4120 PVC Estándar 50mm X 132m Tte.</t>
  </si>
  <si>
    <t>A0000887</t>
  </si>
  <si>
    <t>Rollo Precinto Tesa 4120 PVC Estándar 50mm X 66m Marrón.</t>
  </si>
  <si>
    <t>A0000888</t>
  </si>
  <si>
    <t>Rollo Precinto Tesa 4120 PVC Estándar 50mm X 132m Marrón.</t>
  </si>
  <si>
    <t>A0000889</t>
  </si>
  <si>
    <t>Rollo Precinto Tesa 4089 PP 50mm X 132m Marrón.</t>
  </si>
  <si>
    <t>A0000890</t>
  </si>
  <si>
    <t>Rollo Precinto Tesa 4089 PP 50mm X 66m Marrón.</t>
  </si>
  <si>
    <t>A0000891</t>
  </si>
  <si>
    <t>Rollo Precinto Tesa 4089 PP 50mm X 132m Blanco.</t>
  </si>
  <si>
    <t>A0000892</t>
  </si>
  <si>
    <t>Rollo Precinto Tesa 4089 PP 50mm X 66m Blanco.</t>
  </si>
  <si>
    <t>A0000893</t>
  </si>
  <si>
    <t>Rollo Precinto Tesa 4089 PP 50mm X 132m Tte.</t>
  </si>
  <si>
    <t>A0000894</t>
  </si>
  <si>
    <t>Rollo Precinto Tesa 4122 PVC Extra Fuerte 50mm X 66m Marrón.</t>
  </si>
  <si>
    <t>A0000895</t>
  </si>
  <si>
    <t>Rollo Precinto Tesa 4089 PP 50mm X 66m Tte.</t>
  </si>
  <si>
    <t>A0000896</t>
  </si>
  <si>
    <t>Rollo Precinto Tesa 4280 PP 48mm X 66m Tte.</t>
  </si>
  <si>
    <t>A0000897</t>
  </si>
  <si>
    <t>Rollo Precinto Tesa 4280 PP 50mm X 132m Tte.</t>
  </si>
  <si>
    <t>A0000898</t>
  </si>
  <si>
    <t>Rollo Precinto Tesa 4280 PP 50mm X 132m Marrón.</t>
  </si>
  <si>
    <t>A0000899</t>
  </si>
  <si>
    <t>Rollo Precinto Tesa 4280 PP 48mm X 66m Marrón.</t>
  </si>
  <si>
    <t>A0000900</t>
  </si>
  <si>
    <t>Rollo Precinto Tesa 64264 PP 48mm X 66m Marrón.</t>
  </si>
  <si>
    <t>A0000901</t>
  </si>
  <si>
    <t>Rollo Precinto Tesa 64264 PP 48mm X 66m Tte.</t>
  </si>
  <si>
    <t>A0000902</t>
  </si>
  <si>
    <t>Rollo Precinto Tesa 64264 PP 48mm X 126m Tte.</t>
  </si>
  <si>
    <t>A0000903</t>
  </si>
  <si>
    <t>Rollo Precinto Tesa 64264 PP 48mm X 126m Marron.</t>
  </si>
  <si>
    <t>A0000904</t>
  </si>
  <si>
    <t>Rollo Doble Cara Tesa 4964 S. Tejido 25mm X 50m.</t>
  </si>
  <si>
    <t>A0000905</t>
  </si>
  <si>
    <t>Rollo Precinto Tesa 4124 PVC Fuerte 50mm X 66m Tte.</t>
  </si>
  <si>
    <t>A0000906</t>
  </si>
  <si>
    <t>Rollo Doble Cara Tesa 4964 S. Tejido 30mm X 50m.</t>
  </si>
  <si>
    <t>A0000907</t>
  </si>
  <si>
    <t>Rollo PreciDoble Caracnto Tesa 4964 S. Tejido 50mm X 50m.</t>
  </si>
  <si>
    <t>A0000908</t>
  </si>
  <si>
    <t>Rollo Doble Cara Tesa 4934 S. Tejido 25mm X 25m.</t>
  </si>
  <si>
    <t>A0000909</t>
  </si>
  <si>
    <t>Rollo Doble Cara Tesa 4934 S. Tejido 50mm X 25m.</t>
  </si>
  <si>
    <t>A0000910</t>
  </si>
  <si>
    <t>Rollo Doble Cara Tesa 62510 Espuma Polietileno (PE) 19mm X 50m Blanco.</t>
  </si>
  <si>
    <t>A0000911</t>
  </si>
  <si>
    <t>Rollo Doble Cara Tesa 4965 Poliester (PET) 19mm X 50m</t>
  </si>
  <si>
    <t>A0000912</t>
  </si>
  <si>
    <t>Rollo Doble Cara Tesa 4965 Poliester (PET) 25mm X 50m</t>
  </si>
  <si>
    <t>A0000913</t>
  </si>
  <si>
    <t>Rollo Doble Cara Tesa 4965 Poliester (PET) 38mm X 50m</t>
  </si>
  <si>
    <t>A0000914</t>
  </si>
  <si>
    <t>Rollo Doble Cara Tesa ACXplus 7054 12mm X 25m. 0,5mm Tte.</t>
  </si>
  <si>
    <t>A0000915</t>
  </si>
  <si>
    <t>Rollo Precinto Tesa 4124 PVC Fuerte 50mm X 66m Marrón.</t>
  </si>
  <si>
    <t>A0000916</t>
  </si>
  <si>
    <t>Rollo Doble Cara Tesa ACXplus 7054 19mm X 25m. 0,5mm Tte.</t>
  </si>
  <si>
    <t>A0000918</t>
  </si>
  <si>
    <t>Rollo Doble Cara Tesa ACXplus 7055 12mm X 25m. 1mm Tte.</t>
  </si>
  <si>
    <t>A0000919</t>
  </si>
  <si>
    <t>Rollo Doble Cara Tesa ACXplus 7055 19mm X 25m. 1mm Tte.</t>
  </si>
  <si>
    <t>A0000920</t>
  </si>
  <si>
    <t>Rollo Doble Cara Tesa ACXplus 7055 25mm X 25m. 1mm Tte.</t>
  </si>
  <si>
    <t>A0000921</t>
  </si>
  <si>
    <t>Rollo Doble Cara Tesa ACXplus 7063 12mm X 25m. 0,8mm Negro. Alta. Adhe</t>
  </si>
  <si>
    <t>A0000922</t>
  </si>
  <si>
    <t>Rollo Doble Cara Tesa ACXplus 7063 15mm X 25m. 0,8mm Negro. Alta. Adhe</t>
  </si>
  <si>
    <t>A0000923</t>
  </si>
  <si>
    <t>Rollo Doble Cara Tesa ACXplus 7063 19mm X 25m. 0,8mm Negro. Alta. Adhe</t>
  </si>
  <si>
    <t>A0000924</t>
  </si>
  <si>
    <t>Rollo Doble Cara Tesa ACXplus 7063 25mm X 25m. 0,8mm Negro. Alta. Adhe</t>
  </si>
  <si>
    <t>A0000925</t>
  </si>
  <si>
    <t>Rollo Doble Cara Tesa ACXplus 7065 12mm X 25m. 1,2mm Negro. Alta. Adhe</t>
  </si>
  <si>
    <t>A0000926</t>
  </si>
  <si>
    <t>Rollo Doble Cara Tesa ACXplus 7065 15mm X 25m. 1,2mm Negro. Alta. Adhe</t>
  </si>
  <si>
    <t>A0000927</t>
  </si>
  <si>
    <t>Rollo Precinto Tesa 4100 PVC Rugoso 50mm X 66m Blanco.</t>
  </si>
  <si>
    <t>A0000928</t>
  </si>
  <si>
    <t>Rollo Doble Cara Tesa ACXplus 7065 19mm X 25m. 1,2mm Negro. Alta. Adhe</t>
  </si>
  <si>
    <t>A0000929</t>
  </si>
  <si>
    <t>Rollo Doble Cara Tesa ACXplus 7065 25mm X 25m. 1,2mm Negro. Alta. Adhe</t>
  </si>
  <si>
    <t>A0000930</t>
  </si>
  <si>
    <t>Rollo Doble Cara Tesa ACXplus 7066 12mm X 18m. 1,5mm Negro. Alta. Adhe</t>
  </si>
  <si>
    <t>A0000931</t>
  </si>
  <si>
    <t>Rollo Doble Cara Tesa ACXplus 7074 12mm X 25m. 1mm Negro. Alta. Resist</t>
  </si>
  <si>
    <t>A0000932</t>
  </si>
  <si>
    <t>Rollo Doble Cara Tesa ACXplus 7074 15mm X 25m. 1mm Negro. Alta. Resist</t>
  </si>
  <si>
    <t>A0000933</t>
  </si>
  <si>
    <t>Rollo Doble Cara Tesa ACXplus 7074 19mm X 25m. 1mm Negro. Alta. Resist</t>
  </si>
  <si>
    <t>A0000934</t>
  </si>
  <si>
    <t>Rollo Doble Cara Tesa ACXplus 7074 25mm X 25m. 1mm Negro. Alta. Resist</t>
  </si>
  <si>
    <t>A0000935</t>
  </si>
  <si>
    <t>Rollo Doble Cara Tesa ACXplus 7076 12mm X 18m. 1,5mm Negro. Alta. Resist</t>
  </si>
  <si>
    <t>A0000936</t>
  </si>
  <si>
    <t>Rollo Doble Cara Tesa ACXplus 7076 25mm X 18m. 1,5mm Negro. Alta. Resist</t>
  </si>
  <si>
    <t>A0000937</t>
  </si>
  <si>
    <t>Rollo Doble Cara Tesa ACXplus 7078 12mm X 18m. 2mm Negro. Alta. Resist</t>
  </si>
  <si>
    <t>A0000938</t>
  </si>
  <si>
    <t>Rollo Precinto Tesa 4100 PVC Rugoso 50mm X 66m Tte.</t>
  </si>
  <si>
    <t>A0000939</t>
  </si>
  <si>
    <t>Rollo Doble Cara Tesa ACXplus 7078 19mm X 18m. 2mm Negro. Alta. Resist</t>
  </si>
  <si>
    <t>A0000940</t>
  </si>
  <si>
    <t>Rollo Doble Cara Tesa ACXplus 7078 25mm X 18m. 2mm Negro. Alta. Resist</t>
  </si>
  <si>
    <t>A0000941</t>
  </si>
  <si>
    <t>Bote 1L Tesa 60150 Primer PP, EDPM, Metal</t>
  </si>
  <si>
    <t>A0000942</t>
  </si>
  <si>
    <t>Bote 1L Tesa 60151 Primer Cristal</t>
  </si>
  <si>
    <t>A0000943</t>
  </si>
  <si>
    <t>Bote 1L Tesa 60152 Primer PU</t>
  </si>
  <si>
    <t>A0000944</t>
  </si>
  <si>
    <t>Bote 1L Tesa 60153 Primer Fast Cure.</t>
  </si>
  <si>
    <t>A0000945</t>
  </si>
  <si>
    <t>Rollo Tesa Krepp 60 C. 15mm X 50m</t>
  </si>
  <si>
    <t>A0000946</t>
  </si>
  <si>
    <t>Rollo Tesa Krepp 60 C. 12mm X 50m</t>
  </si>
  <si>
    <t>A0000947</t>
  </si>
  <si>
    <t>Rollo Tesa Krepp 60 C. 19mm X 50m</t>
  </si>
  <si>
    <t>A0000948</t>
  </si>
  <si>
    <t>Rollo Tesa Krepp 60 C. 25mm X 50m</t>
  </si>
  <si>
    <t>A0000949</t>
  </si>
  <si>
    <t>Rollo Precinto Tesa 4100 PVC Rugoso 50mm X 132m Tte.</t>
  </si>
  <si>
    <t>A0000950</t>
  </si>
  <si>
    <t>Rollo Tesa Krepp 60 C. 30mm X 50m</t>
  </si>
  <si>
    <t>A0000951</t>
  </si>
  <si>
    <t>Rollo Tesa Krepp 60 C. 50mm X 50m</t>
  </si>
  <si>
    <t>A0000952</t>
  </si>
  <si>
    <t>Rollo Tesa Krepp NOPI 4349 19mm X 45m</t>
  </si>
  <si>
    <t>A0000953</t>
  </si>
  <si>
    <t>Rollo Tesa Krepp NOPI 4349 25mm X 45m</t>
  </si>
  <si>
    <t>A0000954</t>
  </si>
  <si>
    <t>Rollo Tesa Krepp NOPI 4349 30mm X 45m</t>
  </si>
  <si>
    <t>A0000955</t>
  </si>
  <si>
    <t>Rollo Tesa Krepp NOPI 4349 50mm X 45m</t>
  </si>
  <si>
    <t>A0000956</t>
  </si>
  <si>
    <t>Rollo Cinta Americana Tesa 4662 48mmX 50m Negro</t>
  </si>
  <si>
    <t>A0000957</t>
  </si>
  <si>
    <t>Rollo Cinta Americana Tesa 4662 48mmX 50m Amarillo</t>
  </si>
  <si>
    <t>A0000958</t>
  </si>
  <si>
    <t>Rollo Cinta Transferidora Tesa 4900 19mmX 33m Rebobibano inv.</t>
  </si>
  <si>
    <t>A0000959</t>
  </si>
  <si>
    <t>Rollo Cinta Transferidora Tesa 4900 12mmX 33m Rebobibano inv.</t>
  </si>
  <si>
    <t>A0000960</t>
  </si>
  <si>
    <t>Rollo Precinto Tesa 4100 PVC Rugoso 50mm X 66m Marrón.</t>
  </si>
  <si>
    <t>A0000961</t>
  </si>
  <si>
    <t>Rollo Cinta Transferidora Tesa 4900 12mmX 33m</t>
  </si>
  <si>
    <t>A0000962</t>
  </si>
  <si>
    <t>Rollo Cinta Transferidora Tesa 4900 19mmX 33m</t>
  </si>
  <si>
    <t>A0000963</t>
  </si>
  <si>
    <t>Rollo Cinta PET Tesa 4129 12mmX66m</t>
  </si>
  <si>
    <t>A0000964</t>
  </si>
  <si>
    <t>Rollo Cinta PET Tesa 4129 19mmX66m</t>
  </si>
  <si>
    <t>A0000965</t>
  </si>
  <si>
    <t>Rollo Cinta PET Tesa 4129 25mmX66m</t>
  </si>
  <si>
    <t>A0000966</t>
  </si>
  <si>
    <t>Rollo Cinta PET Tesa 4129 50mmX66m</t>
  </si>
  <si>
    <t>A0000967</t>
  </si>
  <si>
    <t>Rollo Cinta D/C Tesa 51570 9mmX50m</t>
  </si>
  <si>
    <t>A0000968</t>
  </si>
  <si>
    <t>Rollo Cinta D/C Tesa 51570 12mmX50m</t>
  </si>
  <si>
    <t>A0000969</t>
  </si>
  <si>
    <t>Rollo Cinta D/C Tesa 51570 19mmX50m</t>
  </si>
  <si>
    <t>A0000970</t>
  </si>
  <si>
    <t>Rollo Cinta D/C Tesa 51570 25mmX50m</t>
  </si>
  <si>
    <t>A0000971</t>
  </si>
  <si>
    <t>Rollo Precinto Tesa 4100 PVC Rugoso 50mm X 132m Marrón.</t>
  </si>
  <si>
    <t>A0000972</t>
  </si>
  <si>
    <t>Rollo Precinto Impreso Tesa 50mmX66 (2 Tintas)</t>
  </si>
  <si>
    <t>A0000973</t>
  </si>
  <si>
    <t>Rollo Cinta D/C Tesa 51570 50mmX50m</t>
  </si>
  <si>
    <t>A0000974</t>
  </si>
  <si>
    <t>Rollo Precinto Impreso Tesa 50mmX132 (2 Tintas)</t>
  </si>
  <si>
    <t>A0000976</t>
  </si>
  <si>
    <t>Bote Ecoflush 1 Litro</t>
  </si>
  <si>
    <t>A0000980</t>
  </si>
  <si>
    <t>Solvent Head Manifold for Epson DX4 printhead (A)</t>
  </si>
  <si>
    <t>A0000981</t>
  </si>
  <si>
    <t>DX4 Small Damper (A)</t>
  </si>
  <si>
    <t>A0000982</t>
  </si>
  <si>
    <t>DX7 Damper (A)</t>
  </si>
  <si>
    <t>M2 Metamark M7 119 Azul Prusiano 1,22 x 50m</t>
  </si>
  <si>
    <t>SP-540 Pad Cutter</t>
  </si>
  <si>
    <t>A0000985</t>
  </si>
  <si>
    <t>Magic Mask + Cad Color 500mmX25m</t>
  </si>
  <si>
    <t>Rollo Metaguard FloorArt Laminado Suelo 1,37x50m</t>
  </si>
  <si>
    <t>Rollo Metamark MD PR Removible (100mc Imp. y Corte) Brillo 1,37x50m</t>
  </si>
  <si>
    <t>A0000990</t>
  </si>
  <si>
    <t>Roland P-Roller</t>
  </si>
  <si>
    <t>A0000991</t>
  </si>
  <si>
    <t>Roland Sensor Interrupter GP1A05A5 15229506 (A)</t>
  </si>
  <si>
    <t>A0000992</t>
  </si>
  <si>
    <t>Roland CJ-540 Photo Interrupter GP1A71A1 15229705 (A)</t>
  </si>
  <si>
    <t>A0001003</t>
  </si>
  <si>
    <t>Assy, Scan Motor SP-540</t>
  </si>
  <si>
    <t>A0001004</t>
  </si>
  <si>
    <t>1000003390 - Wiper, DX-4 Head For Solink</t>
  </si>
  <si>
    <t>A0001005</t>
  </si>
  <si>
    <t>Wiper, Scraper VS 640</t>
  </si>
  <si>
    <t>A0001006</t>
  </si>
  <si>
    <t>Assy, Long media clamp L SP-540</t>
  </si>
  <si>
    <t>A0001007</t>
  </si>
  <si>
    <t>Assy, Long media clamp R SP-540</t>
  </si>
  <si>
    <t>A0001008</t>
  </si>
  <si>
    <t>22805576 - Assy, Short media clamp R SP-540</t>
  </si>
  <si>
    <t>A0001009</t>
  </si>
  <si>
    <t>22805575 - Assy, Short media clamp L SP-540</t>
  </si>
  <si>
    <t>A0001010</t>
  </si>
  <si>
    <t>1000015117 - Base media clamp  SP-300</t>
  </si>
  <si>
    <t>A0001011</t>
  </si>
  <si>
    <t>Patín Block SSR15XWSSGK</t>
  </si>
  <si>
    <t>A0001012</t>
  </si>
  <si>
    <t>EASYMOUNT EMS-1400H</t>
  </si>
  <si>
    <t>Cartucho Eco Sol Max Light Cyan 440cc</t>
  </si>
  <si>
    <t>Cartucho Eco Sol Max Light Magenta 440cc</t>
  </si>
  <si>
    <t>Cartucho Eco Sol Max Magenta 440cc</t>
  </si>
  <si>
    <t>Cartucho Eco Sol Max Cyan 440cc</t>
  </si>
  <si>
    <t>Cartucho Eco Sol Max Negro 440cc</t>
  </si>
  <si>
    <t>Cartucho Eco Sol Max Amarillo 440cc</t>
  </si>
  <si>
    <t>Cartucho Eco Sol Max Light Cyan 220cc</t>
  </si>
  <si>
    <t>Cartucho Eco Sol Max II Amarillo 440cc</t>
  </si>
  <si>
    <t>A0001023</t>
  </si>
  <si>
    <t>Cartucho Eco Sol Max II Light Cyan 440cc</t>
  </si>
  <si>
    <t>Cartucho Eco Sol Max II Light Magenta 440cc</t>
  </si>
  <si>
    <t>Cartucho Eco Sol Max II Magenta 440cc</t>
  </si>
  <si>
    <t>Cartucho Eco Sol Max II Cyan 440cc</t>
  </si>
  <si>
    <t>Cartucho Eco Sol Max II Negro 440cc</t>
  </si>
  <si>
    <t>Cartucho Eco Sol Max Light Magenta 220cc</t>
  </si>
  <si>
    <t>Cartucho Eco Sol Max Cyan 220cc</t>
  </si>
  <si>
    <t>Cartucho Eco Sol Max Magenta 220cc</t>
  </si>
  <si>
    <t>Cartucho Eco Sol Max Negro 220cc</t>
  </si>
  <si>
    <t>Cartucho Eco Sol Max Amarillo 220cc</t>
  </si>
  <si>
    <t>Cartucho Eco Sol Max II Light Negro 440cc</t>
  </si>
  <si>
    <t>Rollo Metaguard FloorArt Laminado Suelo 1,52x50m</t>
  </si>
  <si>
    <t>Cartucho Eco Sol Max 3 Light Magenta 220cc</t>
  </si>
  <si>
    <t>Cartucho Eco Sol Max 3 Magenta 220cc</t>
  </si>
  <si>
    <t>Cartucho Eco Sol Max 3 Amarillo 220cc</t>
  </si>
  <si>
    <t>Cartucho Eco Sol Max 3 Cyan 220cc</t>
  </si>
  <si>
    <t>Cartucho Eco Sol Max 3 Negro 220cc</t>
  </si>
  <si>
    <t>Cartucho Eco Sol Max 3 Amarillo 500cc</t>
  </si>
  <si>
    <t>Cartucho Eco Sol Max 3 Light Cyan 500cc</t>
  </si>
  <si>
    <t>Cartucho Eco Sol Max 3 Light Magenta 500cc</t>
  </si>
  <si>
    <t>Cartucho Eco Sol Max 3 Magenta 500cc</t>
  </si>
  <si>
    <t>Cartucho Eco Sol Max 3 Cyan 500cc</t>
  </si>
  <si>
    <t>Cartucho Eco Sol Max 3 Negro 500cc</t>
  </si>
  <si>
    <t>Cartucho Eco Sol Max 3 Light Cyan 220cc</t>
  </si>
  <si>
    <t>Cartucho Eco Sol Max 3 Light Negro 500cc</t>
  </si>
  <si>
    <t>A0001053</t>
  </si>
  <si>
    <t>Pack 5 Cuchillas para vinilo ZECA1005-5</t>
  </si>
  <si>
    <t>A0001054</t>
  </si>
  <si>
    <t>Pack 3 Cuchillas para vinilo ZECA1005-3</t>
  </si>
  <si>
    <t>A0001055</t>
  </si>
  <si>
    <t>Pack 5 Cuchillas para sandblast ZECA1715-5</t>
  </si>
  <si>
    <t>A0001056</t>
  </si>
  <si>
    <t>Pack 3 Cuchillas para sandblast ZECA1715-3</t>
  </si>
  <si>
    <t>A0001057</t>
  </si>
  <si>
    <t>Pack 2 Cuchillas para vinilo ZEC-U5032</t>
  </si>
  <si>
    <t>A0001058</t>
  </si>
  <si>
    <t>Pack 5 Cuchillas para reflectante 25º ZEC-U5025</t>
  </si>
  <si>
    <t>A0001059</t>
  </si>
  <si>
    <t>Pack 5 Cuchillas para semirigido 0,5mm grosor ZEC-U3050</t>
  </si>
  <si>
    <t>A0001060</t>
  </si>
  <si>
    <t>Pack 5 Cuchillas para semirigido 0,75mm grosor ZEC-U3075</t>
  </si>
  <si>
    <t>A0001061</t>
  </si>
  <si>
    <t>Pack 5 Cuchillas para semirigido 1 mm grosor ZEC-U3100</t>
  </si>
  <si>
    <t>A0001062</t>
  </si>
  <si>
    <t>Porta cuchillas Azul XD-CH4-BL</t>
  </si>
  <si>
    <t>A0001063</t>
  </si>
  <si>
    <t>Porta cuchillas Rojo XD-CH4-RD</t>
  </si>
  <si>
    <t>A0001064</t>
  </si>
  <si>
    <t>Porta cuchillas Naranja XD-CH4-OR</t>
  </si>
  <si>
    <t>A0001065</t>
  </si>
  <si>
    <t>Bastoncillos Limpieza de Cabezales (PACK 10 unidades)</t>
  </si>
  <si>
    <t>A0001066</t>
  </si>
  <si>
    <t>Roland Grabadora Metaza MPX-95</t>
  </si>
  <si>
    <t>Rollo Metaguard MG 850 brillo (Antigraffiti) 1,37x50m</t>
  </si>
  <si>
    <t>Rollo Vinilo Microperforado 1,37x50</t>
  </si>
  <si>
    <t>Cartucho Eco Sol Max 3 Light Negro 220cc</t>
  </si>
  <si>
    <t>Plotter Impresión y Corte Roland TrueVis VG2-640</t>
  </si>
  <si>
    <t>Plotter Impresión Roland VersaExpress RF-640</t>
  </si>
  <si>
    <t>Plotter Impresión Roland Texart RT-640</t>
  </si>
  <si>
    <t>Plotter Corte Roland GS2-24</t>
  </si>
  <si>
    <t>Plotter Impresión con Cinta Roland UV LEJ-640S-B150</t>
  </si>
  <si>
    <t>Plotter Impresión con Mesa Plana UV LEJ-640S-F200</t>
  </si>
  <si>
    <t>A0001109</t>
  </si>
  <si>
    <t>Assy Cut org board XR-640_01</t>
  </si>
  <si>
    <t>A0001110</t>
  </si>
  <si>
    <t>6702029010 - Assy Cap Top XR-640</t>
  </si>
  <si>
    <t>A0001111</t>
  </si>
  <si>
    <t>Assy Print Carriage Board VS-640i</t>
  </si>
  <si>
    <t>A0001112</t>
  </si>
  <si>
    <t>Assy Cut org board XC-540</t>
  </si>
  <si>
    <t>A0001113</t>
  </si>
  <si>
    <t>1000006517 - Wiper Head VS-640</t>
  </si>
  <si>
    <t>A0001114</t>
  </si>
  <si>
    <t>1000006736 - Wiper Head Felt VS-640</t>
  </si>
  <si>
    <t>A0001115</t>
  </si>
  <si>
    <t>Lec-540 Cut-Carriage Cable-Card (A)</t>
  </si>
  <si>
    <t>A0001117</t>
  </si>
  <si>
    <t>Cartucho Eco Sol Max II Limpiador 220cc</t>
  </si>
  <si>
    <t>A0001118</t>
  </si>
  <si>
    <t>Rollo Metaguard MG 850RW Poliester brillo (Antigraffiti) 1,37x50m</t>
  </si>
  <si>
    <t>A0001122</t>
  </si>
  <si>
    <t>Stay, Cut Carriage Hold XR-640</t>
  </si>
  <si>
    <t>A0001123</t>
  </si>
  <si>
    <t>Assy, Cut Carriage Board VS-640i_01</t>
  </si>
  <si>
    <t>A0001124</t>
  </si>
  <si>
    <t>Assy, Servo Board XR-640</t>
  </si>
  <si>
    <t>A0001125</t>
  </si>
  <si>
    <t>1000013163 - Cable-Card 12P1 2950L BB High-V</t>
  </si>
  <si>
    <t>A0001126</t>
  </si>
  <si>
    <t>Puntero pelador con Luz (Weeder With Light)</t>
  </si>
  <si>
    <t>A0001133</t>
  </si>
  <si>
    <t>Cartucho EcoFlush Limpiador 440ml</t>
  </si>
  <si>
    <t>A0001134</t>
  </si>
  <si>
    <t>Assy, Flange Guide VP-540</t>
  </si>
  <si>
    <t>A0001139</t>
  </si>
  <si>
    <t>Botella 1 litro de Removedor de Adhesivos KMK Remover Gold</t>
  </si>
  <si>
    <t>A0001141</t>
  </si>
  <si>
    <t>Botella 1 litro de Limpiador Antiestático KMK Cleaner Antiestatic</t>
  </si>
  <si>
    <t>A0001142</t>
  </si>
  <si>
    <t>Cortadora Vertical V-Sign FS165</t>
  </si>
  <si>
    <t>A0001143</t>
  </si>
  <si>
    <t>Cortadora Vertical V-Sign FS210</t>
  </si>
  <si>
    <t>M2 Metamark M7 120 Estaño 0,61 x 50m</t>
  </si>
  <si>
    <t>M2 Metamark M7 120 Estaño 1,22 x 50m</t>
  </si>
  <si>
    <t>M2 Metamark M7 121 Gris Ligero 0,61 x 50m</t>
  </si>
  <si>
    <t>A0001180</t>
  </si>
  <si>
    <t>Assy, Servo Board VS-640i</t>
  </si>
  <si>
    <t>6701409010 - Assy, Head Inkjet Sol VS-640</t>
  </si>
  <si>
    <t>A0001182</t>
  </si>
  <si>
    <t>Rollo Vinilo Fotoluminiscente (Clase B) 1mx10m</t>
  </si>
  <si>
    <t>A0001185</t>
  </si>
  <si>
    <t>Rollo LaminadoExtreme Guard Antigravilla 300 micras 1,37x25m</t>
  </si>
  <si>
    <t>A0001193</t>
  </si>
  <si>
    <t>Rollo Metaguard MG 302 Mate 1,05x50m</t>
  </si>
  <si>
    <t>A0001194</t>
  </si>
  <si>
    <t>Rollo Metaguard MG 305 Brillo 1,05x50m</t>
  </si>
  <si>
    <t>A0001195</t>
  </si>
  <si>
    <t>Assy Cap Top VG-640</t>
  </si>
  <si>
    <t>A0001197</t>
  </si>
  <si>
    <t>Kit Head DX4-A</t>
  </si>
  <si>
    <t>A0001201</t>
  </si>
  <si>
    <t>Rollo Metamark MD PR Removible (100mc Imp. y Corte) Brillo 1,60x50m</t>
  </si>
  <si>
    <t>Gx-24 Pad Cutter</t>
  </si>
  <si>
    <t>A0001204</t>
  </si>
  <si>
    <t>1000002598 - Pad Cutter VP-540</t>
  </si>
  <si>
    <t>A0001205</t>
  </si>
  <si>
    <t>Sheet Linear Scale XJ-640</t>
  </si>
  <si>
    <t>A0001206</t>
  </si>
  <si>
    <t>Assy Linear Encoder Board Service 2</t>
  </si>
  <si>
    <t>A0001209</t>
  </si>
  <si>
    <t>Rollo Metamark MD 101B (100mc Adhesivo Gris) Mate 1,05x50m</t>
  </si>
  <si>
    <t>A0001210</t>
  </si>
  <si>
    <t>Rollo Metamark MD 101B (100mc Adhesivo Gris) Mate 1,6 x 50m</t>
  </si>
  <si>
    <t>A0001211</t>
  </si>
  <si>
    <t>Rollo Metamark MD 101B (100mc Adhesivo Gris) Mate 1,37x50m</t>
  </si>
  <si>
    <t>A0001214</t>
  </si>
  <si>
    <t>Plancha Maxx 38x38cm</t>
  </si>
  <si>
    <t>A0001217</t>
  </si>
  <si>
    <t>Rollo Transportador 4000RLA (Baja Adherencia) 1,22x100m</t>
  </si>
  <si>
    <t>A0001218</t>
  </si>
  <si>
    <t>Rollo MetamarkMM-BM Máscara de Pintor Azul  1,22x50m</t>
  </si>
  <si>
    <t>A0001219</t>
  </si>
  <si>
    <t>Assy Sub XC-540 Bomba (A)</t>
  </si>
  <si>
    <t>A0001222</t>
  </si>
  <si>
    <t>Guide Cable Flex</t>
  </si>
  <si>
    <t>A0001224</t>
  </si>
  <si>
    <t>23475207- Cable-Card 15P1 1900L BB High-V (SP-300)</t>
  </si>
  <si>
    <t>A0001225</t>
  </si>
  <si>
    <t>Guide Cable Flex (SP 300)</t>
  </si>
  <si>
    <t>A0001226</t>
  </si>
  <si>
    <t>6081181200 - Assy, Ink Damper 3 2FAI SJ 540 (SP 540)</t>
  </si>
  <si>
    <t>M2 Metamark M7 121 Gris Ligero 1,22 x 50m</t>
  </si>
  <si>
    <t>A0001230</t>
  </si>
  <si>
    <t>Kit Head Gold- A (Cabezal VS 640 + Assy Cap-top)</t>
  </si>
  <si>
    <t>Cartucho Ecopure 440ml EM1 Amarillo</t>
  </si>
  <si>
    <t>Cartucho Ecopure 440ml EM1 Magenta</t>
  </si>
  <si>
    <t>M2 Metamark M7 122 Gris Palo 0,61 x 50m</t>
  </si>
  <si>
    <t>M2 Metamark M7 122 Gris Palo 1,22 x 50m</t>
  </si>
  <si>
    <t>Cartucho Ecopure 440ml EM1 Cyan</t>
  </si>
  <si>
    <t>Cartucho Ecopure 440ml EM1 Light Cyan</t>
  </si>
  <si>
    <t>Cartucho Ecopure 440ml EM1 Light Magenta</t>
  </si>
  <si>
    <t>Cartucho Ecopure 440ml EM1 Negro</t>
  </si>
  <si>
    <t>M2 Metamark M7 123 Gris Medio 0,61 x 50m</t>
  </si>
  <si>
    <t>M2 Metamark M7 123 Gris Medio 1,22 x 50m</t>
  </si>
  <si>
    <t>M2 Metamark M7 124 Gris Oscuro 0,61 x 50m</t>
  </si>
  <si>
    <t>M2 Metamark M7 124 Gris Oscuro 1,22 x 50m</t>
  </si>
  <si>
    <t>Cartucho Ecopure 880ml EM1 Amarillo</t>
  </si>
  <si>
    <t>Cartucho Ecopure 880ml EM1 Cyan</t>
  </si>
  <si>
    <t>Cartucho Ecopure 880ml EM1 Light Cyan</t>
  </si>
  <si>
    <t>Cartucho Ecopure 880ml EM1 Light Magenta</t>
  </si>
  <si>
    <t>Cartucho Ecopure 880ml EM1 Magenta</t>
  </si>
  <si>
    <t>Cartucho Ecopure 880ml EM1 Negro</t>
  </si>
  <si>
    <t>M2 Metamark M7 125 Gris Nimbo 0,61 x 50m</t>
  </si>
  <si>
    <t>M2 Metamark M7 125 Gris Nimbo 1,22 x 50m</t>
  </si>
  <si>
    <t>A0001765</t>
  </si>
  <si>
    <t>M2 Metamark M7 126 Gris Tormenta 0,61 x 50m</t>
  </si>
  <si>
    <t>A0001227</t>
  </si>
  <si>
    <t>M2 Metamark M7 126 Gris Tormenta 1,22 x 50m</t>
  </si>
  <si>
    <t>M2 Metamark M7 127 Gris Ceniza 0,61 x 50m</t>
  </si>
  <si>
    <t>M2 Metamark M7 127 Gris Ceniza 1,22 x 50m</t>
  </si>
  <si>
    <t>A0001258</t>
  </si>
  <si>
    <t>Rollo Papel fotográfico satin 200g 1,52 x 50m</t>
  </si>
  <si>
    <t>A0001260</t>
  </si>
  <si>
    <t>1000006713 - Pad Cutter VS-640</t>
  </si>
  <si>
    <t>A0001261</t>
  </si>
  <si>
    <t>Roland P-Roller TD16S4(B10) Type3</t>
  </si>
  <si>
    <t>A0001262</t>
  </si>
  <si>
    <t>Assy, Thermistor Board VP-540</t>
  </si>
  <si>
    <t>A0001263</t>
  </si>
  <si>
    <t>Assy, Fan Juction Board VP 540</t>
  </si>
  <si>
    <t>A0001265</t>
  </si>
  <si>
    <t>Cuchillas para Cutter 9mm BD-100 (Blister 5 cuchillas)</t>
  </si>
  <si>
    <t>1000009646 - Pad Cutter XR-640</t>
  </si>
  <si>
    <t>A0001269</t>
  </si>
  <si>
    <t>Cable-Card 15P1 2570L BB High-V (SP-540V)</t>
  </si>
  <si>
    <t>A0001270</t>
  </si>
  <si>
    <t>Assy Scan Motor SP 540V</t>
  </si>
  <si>
    <t>A0001271</t>
  </si>
  <si>
    <t>Rollo  Mactac JT 8300 WM-RT Dot Blanco Mate 1,37x50m</t>
  </si>
  <si>
    <t>A0001272</t>
  </si>
  <si>
    <t>Assy, Ink Tank Board FH-740</t>
  </si>
  <si>
    <t>A0001273</t>
  </si>
  <si>
    <t>Assy, Thermistor Cable SP-300</t>
  </si>
  <si>
    <t>A0001274</t>
  </si>
  <si>
    <t>Rollo MetaWrap MDXB (50mc Adh Gris) Brillo 1,37x25m</t>
  </si>
  <si>
    <t>A0001275</t>
  </si>
  <si>
    <t>Rollo MetaWrap Laminado MG-X 105 Brillo 1,37x25m</t>
  </si>
  <si>
    <t>M2 Metamark M7 128 Gris Sombra 0,61 x 50m</t>
  </si>
  <si>
    <t>M2 Metamark M7 128 Gris Sombra 1,22 x 50m</t>
  </si>
  <si>
    <t>M2 Metamark M7 130 Amarillo Limón 0,61 x 50m</t>
  </si>
  <si>
    <t>M2 Metamark M7 130 Amarillo Limón 1,22 x 50m</t>
  </si>
  <si>
    <t>M2 Metamark M7 131 Amarillo Girasol 0,61 x 50m</t>
  </si>
  <si>
    <t>M2 Metamark M7 131 Amarillo Girasol 1,22 x 50m</t>
  </si>
  <si>
    <t>M2 Metamark M7 132 Amarillo Medio 0,61 x 50m</t>
  </si>
  <si>
    <t>M2 Metamark M7 132 Amarillo Medio 1,22 x 50m</t>
  </si>
  <si>
    <t>M2 Metamark M7 133 Naranja 0,61 x 50m</t>
  </si>
  <si>
    <t>M2 Metamark M7 133 Naranja 1,22 x 50m</t>
  </si>
  <si>
    <t>M2 Metamark M7 134 Naranja Mandarina 0,61 x 50m</t>
  </si>
  <si>
    <t>M2 Metamark M7 134 Naranja Mandarina 1,22 x 50m</t>
  </si>
  <si>
    <t>M2 Metamark M7 135 Albaricoque 0,61 x 50m</t>
  </si>
  <si>
    <t>M2 Metamark M7 135 Albaricoque 1,22 x 50m</t>
  </si>
  <si>
    <t>M2 Metamark M7 136 Amarillo Brillante 0,61 x 50m</t>
  </si>
  <si>
    <t>M2 Metamark M7 136 Amarillo Brillante 1,22 x 50m</t>
  </si>
  <si>
    <t>M2 Metamark M7 137 Amarillo Melón 0,61 x 50m</t>
  </si>
  <si>
    <t>M2 Metamark M7 137 Amarillo Melón 1,22 x 50m</t>
  </si>
  <si>
    <t>M2 Metamark M7 138 Azafrán 0,61 x 50m</t>
  </si>
  <si>
    <t>M2 Metamark M7 138 Azafrán 1,22 x 50m</t>
  </si>
  <si>
    <t>M2 Metamark M7 139 Calabaza 0,61 x 50m</t>
  </si>
  <si>
    <t>M2 Metamark M7 139 Calabaza 1,22 x 50m</t>
  </si>
  <si>
    <t>M2 Metamark M7 140 Amapola 0,61 x 50m</t>
  </si>
  <si>
    <t>M2 Metamark M7 140 Amapola 1,22 x 50m</t>
  </si>
  <si>
    <t>M2 Metamark M7 141 Rojo Llama 0,61 x 50m</t>
  </si>
  <si>
    <t>M2 Metamark M7 141 Rojo Llama 1,22 x 50m</t>
  </si>
  <si>
    <t>M2 Metamark M7 142 Rojo Tomate 0,61 x 50m</t>
  </si>
  <si>
    <t>M2 Metamark M7 142 Rojo Tomate 1,22 x 50m</t>
  </si>
  <si>
    <t>M2 Metamark M7 143 Rojo Cereza 0,61 x 50m</t>
  </si>
  <si>
    <t>M2 Metamark M7 143 Rojo Cereza 1,22 x 50m</t>
  </si>
  <si>
    <t>M2 Metamark M7 144 Rojo Medio 0,61 x 50m</t>
  </si>
  <si>
    <t>M2 Metamark M7 144 Rojo Medio 1,22 x 50m</t>
  </si>
  <si>
    <t>M2 Metamark M7 145 Rojo Borgoña 0,61 x 50m</t>
  </si>
  <si>
    <t>M2 Metamark M7 145 Rojo Borgoña 1,22 x 50m</t>
  </si>
  <si>
    <t>M2 Metamark M7 146 Rubí 0,61 x 50m</t>
  </si>
  <si>
    <t>M2 Metamark M7 146 Rubí 1,22 x 50m</t>
  </si>
  <si>
    <t>M2 Metamark M7 147 Rojo Rosa 0,61 x 50m</t>
  </si>
  <si>
    <t>M2 Metamark M7 147 Rojo Rosa 1,22 x 50m</t>
  </si>
  <si>
    <t>M2 Metamark M7 148 Rojo Profundo 0,61 x 50m</t>
  </si>
  <si>
    <t>M2 Metamark M7 148 Rojo Profundo 1,22 x 50m</t>
  </si>
  <si>
    <t>M2 Metamark M7 149 Rojo Carmesí 0,61 x 50m</t>
  </si>
  <si>
    <t>M2 Metamark M7 149 Rojo Carmesí 1,22 x 50m</t>
  </si>
  <si>
    <t>M2 Metamark M7 150 Azul Pálido 0,61 x 50m</t>
  </si>
  <si>
    <t>M2 Metamark M7 150 Azul Pálido 1,22 x 50m</t>
  </si>
  <si>
    <t>M2 Metamark M7 151 Azul Olímpico 0,61 x 50m</t>
  </si>
  <si>
    <t>M2 Metamark M7 151 Azul Olímpico 1,22 x 50m</t>
  </si>
  <si>
    <t>M2 Metamark M7 152 Azul Oceano 0,61 x 50m</t>
  </si>
  <si>
    <t>M2 Metamark M7 152 Azul Oceano 1,22 x 50m</t>
  </si>
  <si>
    <t>M2 Metamark M7 153 Azul Marino 0,61 x 50m</t>
  </si>
  <si>
    <t>M2 Metamark M7 153 Azul Marino 1,22 x 50m</t>
  </si>
  <si>
    <t>M2 Metamark M7 154 Azul Medio 0,61 x 50m</t>
  </si>
  <si>
    <t>M2 Metamark M7 154 Azul Medio 1,22 x 50m</t>
  </si>
  <si>
    <t>M2 Metamark M7 155 Azul Ultramarino 0,61 x 50m</t>
  </si>
  <si>
    <t>M2 Metamark M7 155 Azul Ultramarino 1,22 x 50m</t>
  </si>
  <si>
    <t>M2 Metamark M7 156 Azul Naval 0,61 x 50m</t>
  </si>
  <si>
    <t>M2 Metamark M7 156 Azul Naval 1,22 x 50m</t>
  </si>
  <si>
    <t>M2 Metamark M7 157 Azul Medianoche 0,61 x 50m</t>
  </si>
  <si>
    <t>M2 Metamark M7 157 Azul Medianoche 1,22 x 50m</t>
  </si>
  <si>
    <t>M2 Metamark M7 158 Azul Brillo 0,61 x 50m</t>
  </si>
  <si>
    <t>M2 Metamark M7 158 Azul Brillo 1,22 x 50m</t>
  </si>
  <si>
    <t>M2 Metamark M7 159 Azul Cielo 0,61 x 50m</t>
  </si>
  <si>
    <t>M2 Metamark M7 159 Azul Cielo 1,22 x 50m</t>
  </si>
  <si>
    <t>M2 Metamark M7 160 Verde Lima 0,61 x 50m</t>
  </si>
  <si>
    <t>M2 Metamark M7 160 Verde Lima 1,22 x 50m</t>
  </si>
  <si>
    <t>M2 Metamark M7 161 Verde Cesped 0,61 x 50m</t>
  </si>
  <si>
    <t>M2 Metamark M7 161 Verde Cesped 1,22 x 50m</t>
  </si>
  <si>
    <t>M2 Metamark M7 162 Verde Esmeralda 0,61 x 50m</t>
  </si>
  <si>
    <t>M2 Metamark M7 162 Verde Esmeralda 1,22 x 50m</t>
  </si>
  <si>
    <t>M2 Metamark M7 163 Verde Medio 0,61 x 50m</t>
  </si>
  <si>
    <t>M2 Metamark M7 163 Verde Medio 1,22 x 50m</t>
  </si>
  <si>
    <t>M2 Metamark M7 164 Verde Bosque 0,61 x 50m</t>
  </si>
  <si>
    <t>M2 Metamark M7 164 Verde Bosque 1,22 x 50m</t>
  </si>
  <si>
    <t>M2 Metamark M7 165 Verde Azulado 0,61 x 50m</t>
  </si>
  <si>
    <t>A0001494</t>
  </si>
  <si>
    <t>Assy, Main Board VP-540</t>
  </si>
  <si>
    <t>A0001495</t>
  </si>
  <si>
    <t>Rollo Máscara  Ritrama Beige 300mc  1,22x25m</t>
  </si>
  <si>
    <t>M2 Metamark M7 165 Verde Azulado 1,22 x 50m</t>
  </si>
  <si>
    <t>A0001499</t>
  </si>
  <si>
    <t>SC-500 Pump Assy for sol ink</t>
  </si>
  <si>
    <t>A0001500</t>
  </si>
  <si>
    <t>Assy, Pump Sub XC 540</t>
  </si>
  <si>
    <t>A0001501</t>
  </si>
  <si>
    <t>Assy, Paperside sens XF-640</t>
  </si>
  <si>
    <t>A0001502</t>
  </si>
  <si>
    <t>Rollo Papel Mupi Skylight 150g 1,4 x 100m</t>
  </si>
  <si>
    <t>A0001503</t>
  </si>
  <si>
    <t>Rollo Reflectiv Sol 101 1,52x2,5m</t>
  </si>
  <si>
    <t>A0001504</t>
  </si>
  <si>
    <t>Rollo Reflectiv Sol 101 1,52x5m</t>
  </si>
  <si>
    <t>A0001505</t>
  </si>
  <si>
    <t>Rollo Reflectiv Sol 101 1,52x10m</t>
  </si>
  <si>
    <t>A0001506</t>
  </si>
  <si>
    <t>Rollo Reflectiv Sol 101 1,52x30m</t>
  </si>
  <si>
    <t>A0001507</t>
  </si>
  <si>
    <t>Rollo Reflectiv Sol 102 1,52x2,5m</t>
  </si>
  <si>
    <t>A0001508</t>
  </si>
  <si>
    <t>Rollo Reflectiv Sol 102 1,52x5m</t>
  </si>
  <si>
    <t>A0001509</t>
  </si>
  <si>
    <t>Rollo Reflectiv Sol 102 1,52x30m</t>
  </si>
  <si>
    <t>A0001510</t>
  </si>
  <si>
    <t>Rollo Reflectiv Sol 102 1,52x10m</t>
  </si>
  <si>
    <t>A0001511</t>
  </si>
  <si>
    <t>Rollo Reflectiv IR 50 1,52x2,5m</t>
  </si>
  <si>
    <t>A0001512</t>
  </si>
  <si>
    <t>Rollo Reflectiv IR 50 1,52x5m</t>
  </si>
  <si>
    <t>A0001513</t>
  </si>
  <si>
    <t>Rollo Reflectiv IR 50 1,52x10m</t>
  </si>
  <si>
    <t>A0001514</t>
  </si>
  <si>
    <t>Rollo Reflectiv UV 151 1,52x2,5m</t>
  </si>
  <si>
    <t>A0001515</t>
  </si>
  <si>
    <t>Rollo Reflectiv UV 151 1,52x5m</t>
  </si>
  <si>
    <t>A0001516</t>
  </si>
  <si>
    <t>Rollo Reflectiv UV 151 1,52x10m</t>
  </si>
  <si>
    <t>A0001517</t>
  </si>
  <si>
    <t>Cutter Metal 9mm</t>
  </si>
  <si>
    <t>A0001518</t>
  </si>
  <si>
    <t>Cutter Plástico 9mm</t>
  </si>
  <si>
    <t>A0001521</t>
  </si>
  <si>
    <t>Plancha Basic Claim 40x50cm</t>
  </si>
  <si>
    <t>A0001522</t>
  </si>
  <si>
    <t>Assy, Drain BN-20</t>
  </si>
  <si>
    <t>A0001523</t>
  </si>
  <si>
    <t>22435106 - Motor 103.593.1041</t>
  </si>
  <si>
    <t>A0001524</t>
  </si>
  <si>
    <t>Knob, bolt 117-10313</t>
  </si>
  <si>
    <t>A0001525</t>
  </si>
  <si>
    <t>Pad, Cutter CJ-540</t>
  </si>
  <si>
    <t>M2 Metamark M7 166 Verde Turquesa 0,61 x 50m</t>
  </si>
  <si>
    <t>A0001527</t>
  </si>
  <si>
    <t>Rollo Canvas Skynet JConnor 320gr 1,06mx25m</t>
  </si>
  <si>
    <t>A0001529</t>
  </si>
  <si>
    <t>Power unit, LFA100F-24-HJ1</t>
  </si>
  <si>
    <t>A0001530</t>
  </si>
  <si>
    <t>Kit, pump versacam</t>
  </si>
  <si>
    <t>M2 Metamark M7 166 Verde Turquesa 1,22 x 50m</t>
  </si>
  <si>
    <t>M2 Metamark M7 167 Verde Poseidón 0,61 x 50m</t>
  </si>
  <si>
    <t>A0001536</t>
  </si>
  <si>
    <t>Assy, Scan Motor SJ-1045EX</t>
  </si>
  <si>
    <t>6000005213 - Assy, Head Inkjet Sol XC-540 (DX4)</t>
  </si>
  <si>
    <t>A0001538</t>
  </si>
  <si>
    <t>Rollo Polimérico Isee2 (StrongTouch) Alto Agarre Mate 1,37x50m</t>
  </si>
  <si>
    <t>A0001539</t>
  </si>
  <si>
    <t>Prensa Hotronix Fusion IQ 40x50 cm</t>
  </si>
  <si>
    <t>A0001540</t>
  </si>
  <si>
    <t>Rollo Papel Mupi Skylight 150g 1,27 x 100m</t>
  </si>
  <si>
    <t>A0001541</t>
  </si>
  <si>
    <t>Rollo MetaWrap MDX (50mc) Brillo 1,37x25m</t>
  </si>
  <si>
    <t>A0001543</t>
  </si>
  <si>
    <t>Rollo Canvas Skynet JConnor 300gr 1,37mx25m</t>
  </si>
  <si>
    <t>A0001544</t>
  </si>
  <si>
    <t>Cable-Card 29P1 256L BB HIGH-V</t>
  </si>
  <si>
    <t>A0001545</t>
  </si>
  <si>
    <t>Rollo HP Everiday Matte Polipropylene 1,07m X 61m (Roll-up)</t>
  </si>
  <si>
    <t>Rollo MetaWrap MDXB (50mc Adh Gris) Brillo 1,37x50m</t>
  </si>
  <si>
    <t>A0001547</t>
  </si>
  <si>
    <t>Rollo MetaWrap MDXB (50mc Adh Gris) Brillo 1,6x25m</t>
  </si>
  <si>
    <t>A0001548</t>
  </si>
  <si>
    <t>Rollo MetaWrap Laminado MG-X 105 Brillo 1,6x25m</t>
  </si>
  <si>
    <t>A0001550</t>
  </si>
  <si>
    <t>Assy, Scan Motor XF-640</t>
  </si>
  <si>
    <t>Pad, Cutter SG 540</t>
  </si>
  <si>
    <t>A0001553</t>
  </si>
  <si>
    <t>Rollo Reflectiv Sec054X 1,52x10m</t>
  </si>
  <si>
    <t>A0001554</t>
  </si>
  <si>
    <t>Rollo Reflectiv Sec054X 1,52x2,5m</t>
  </si>
  <si>
    <t>A0001555</t>
  </si>
  <si>
    <t>Rollo Reflectiv Sec054X 1,52x5m</t>
  </si>
  <si>
    <t>A0001556</t>
  </si>
  <si>
    <t>Rollo Reflectiv Sec054X 1,52x30m</t>
  </si>
  <si>
    <t>A0001560</t>
  </si>
  <si>
    <t>Pack 5 cuchillas Summa  45º</t>
  </si>
  <si>
    <t>A0001561</t>
  </si>
  <si>
    <t>VS 640, Belt 172P2M4-530</t>
  </si>
  <si>
    <t>M2 Metamark M7 167 Verde Poseidón 1,22 x 50m</t>
  </si>
  <si>
    <t>M2 Metamark M7 168 Verde Laguna 0,61 x 50m</t>
  </si>
  <si>
    <t>M2 Metamark M7 168 Verde Laguna 1,22 x 50m</t>
  </si>
  <si>
    <t>M2 Metamark M7 169 Verde Cazador 0,61 x 50m</t>
  </si>
  <si>
    <t>A0001569</t>
  </si>
  <si>
    <t>Rollo Termo Adhesive 71cm x 22,8</t>
  </si>
  <si>
    <t>A0001572</t>
  </si>
  <si>
    <t>Pack Hoja teflonada Stahls 38X48cm (25und)</t>
  </si>
  <si>
    <t>A0001573</t>
  </si>
  <si>
    <t>NonStick Coated Pressure Pad - SET X4</t>
  </si>
  <si>
    <t>A0001574</t>
  </si>
  <si>
    <t>Screw set,set wp M3*3 NI 20 pcs</t>
  </si>
  <si>
    <t>A0001575</t>
  </si>
  <si>
    <t>Cartucho Tinta TrueVIS 2 500ml Cyan</t>
  </si>
  <si>
    <t>A0000996</t>
  </si>
  <si>
    <t>A0001576</t>
  </si>
  <si>
    <t>Cartucho Tinta TrueVIS 2 500ml Negro</t>
  </si>
  <si>
    <t>A0001577</t>
  </si>
  <si>
    <t>Cartucho Tinta TrueVIS 2 500ml Magenta</t>
  </si>
  <si>
    <t>A0001578</t>
  </si>
  <si>
    <t>Cartucho Tinta TrueVIS 2 500ml Light Cyan</t>
  </si>
  <si>
    <t>A0001579</t>
  </si>
  <si>
    <t>Cartucho Tinta TrueVIS 2 500ml Light Magenta</t>
  </si>
  <si>
    <t>A0001580</t>
  </si>
  <si>
    <t>Cartucho Tinta TrueVIS 2 500ml Naranja</t>
  </si>
  <si>
    <t>A0001581</t>
  </si>
  <si>
    <t>Cartucho Tinta TrueVIS 2 500ml Amarillo</t>
  </si>
  <si>
    <t>A0001582</t>
  </si>
  <si>
    <t>Cartucho Tinta TrueVIS 2 500ml Limpieza</t>
  </si>
  <si>
    <t>A0001583</t>
  </si>
  <si>
    <t>Cartucho Tinta TrueVIS 2 500ml Light Negro</t>
  </si>
  <si>
    <t>M2 Metamark M7 169 Verde Cazador 1,22 x 50m</t>
  </si>
  <si>
    <t>A0001586</t>
  </si>
  <si>
    <t>Rollo Transportador GXP-775 (Papel medio/alto agarre) 1,52x100m</t>
  </si>
  <si>
    <t>A0001588</t>
  </si>
  <si>
    <t>ML Cad-Cut Silicone 100 001 Blanco 500mm</t>
  </si>
  <si>
    <t>A0001589</t>
  </si>
  <si>
    <t>ML Cad-Cut Silicone 100 110 Amarillo 500mm</t>
  </si>
  <si>
    <t>A0001590</t>
  </si>
  <si>
    <t>ML Cad-Cut Silicone 100 200 rojo 500mm</t>
  </si>
  <si>
    <t>A0001591</t>
  </si>
  <si>
    <t>ML Cad-Cut Silicone 100 180 Naranja 500mm</t>
  </si>
  <si>
    <t>A0001592</t>
  </si>
  <si>
    <t>ML Cad-Cut Silicone 100 730 Gris 500mm</t>
  </si>
  <si>
    <t>A0001593</t>
  </si>
  <si>
    <t>ML Cad-Cut Silicone 100 400 Verde 500mm</t>
  </si>
  <si>
    <t>A0001594</t>
  </si>
  <si>
    <t>ML Cad-Cut Silicone 100 300 Azul Marino 500mm</t>
  </si>
  <si>
    <t>A0001595</t>
  </si>
  <si>
    <t>ML Cad-Cut Silicone 100 380 Turquesa 500mm</t>
  </si>
  <si>
    <t>A0001596</t>
  </si>
  <si>
    <t>ML Cad-Cut Silicone 100 320 Azul Claro 500mm</t>
  </si>
  <si>
    <t>A0001597</t>
  </si>
  <si>
    <t>ML Cad-Cut Silicone 100 421 Vede Manzana 500mm</t>
  </si>
  <si>
    <t>A0001598</t>
  </si>
  <si>
    <t>ML Cad-Cut Silicone 100 410 Verde Oscuro 500mm</t>
  </si>
  <si>
    <t>A0001599</t>
  </si>
  <si>
    <t>ML Cad-Cut Silicone 100 815 Plata 500mm</t>
  </si>
  <si>
    <t>A0001600</t>
  </si>
  <si>
    <t>ML Cad-Cut Silicone 100 115 Oro 500mm</t>
  </si>
  <si>
    <t>A0001601</t>
  </si>
  <si>
    <t>ML Cad-Cut Silicone 100 285 Púrpura Pastel 500mm</t>
  </si>
  <si>
    <t>A0001602</t>
  </si>
  <si>
    <t>ML Cad-Cut Silicone 100 255 Rosa Pastel 500mm</t>
  </si>
  <si>
    <t>A0001603</t>
  </si>
  <si>
    <t>ML Cad-Cut Silicone 100 321 Azul Pastel 500mm</t>
  </si>
  <si>
    <t>A0001604</t>
  </si>
  <si>
    <t>ML Cad-Cut Silicone 100 241 Rosa Neon 500mm</t>
  </si>
  <si>
    <t>A0001605</t>
  </si>
  <si>
    <t>ML Cad-Cut Silicone 100 301 Azul Neon 500mm</t>
  </si>
  <si>
    <t>A0001606</t>
  </si>
  <si>
    <t>ML Cad-Cut Silicone 100 700 Negro 500mm</t>
  </si>
  <si>
    <t>A0001607</t>
  </si>
  <si>
    <t>Assy Scan Motor VS 640_ 01</t>
  </si>
  <si>
    <t>A0001609</t>
  </si>
  <si>
    <t>Cable-Card 21P1 330L BB</t>
  </si>
  <si>
    <t>A0001610</t>
  </si>
  <si>
    <t>Assy, Crop Sensor Board XR-640</t>
  </si>
  <si>
    <t>A0001611</t>
  </si>
  <si>
    <t>Assy, Holder Wiper FJ-540</t>
  </si>
  <si>
    <t>A0001612</t>
  </si>
  <si>
    <t>Belt, 408P2M44-530 FJ-540</t>
  </si>
  <si>
    <t>A0001613</t>
  </si>
  <si>
    <t>Rollo Papel Blueback 120g 1,40 x 100m</t>
  </si>
  <si>
    <t>A0001614</t>
  </si>
  <si>
    <t>Rollo Laminado SlipStop 100 Antideslizante 1,37x50m</t>
  </si>
  <si>
    <t>A0001616</t>
  </si>
  <si>
    <t>Rollo alcántara adhesiva 3x1m</t>
  </si>
  <si>
    <t>A0001617</t>
  </si>
  <si>
    <t>1000014754 - Wiper, head VG 640</t>
  </si>
  <si>
    <t>A0001618</t>
  </si>
  <si>
    <t>Plotter Impresión y Corte Roland TrueVis SG2-540</t>
  </si>
  <si>
    <t>A0001619</t>
  </si>
  <si>
    <t>Plotter Impresión y Corte Roland TrueVis SG2-640</t>
  </si>
  <si>
    <t>A0001621</t>
  </si>
  <si>
    <t>ML Cad-Cut Reflectante 500mm</t>
  </si>
  <si>
    <t>A0001622</t>
  </si>
  <si>
    <t>Ollao 12mm. Transparente - Plástico (1000uds)</t>
  </si>
  <si>
    <t>A0001623</t>
  </si>
  <si>
    <t>Arandela 12mm. Transparente - Plástico (1000uds)</t>
  </si>
  <si>
    <t>A0001625</t>
  </si>
  <si>
    <t>Espátula Verde Eco 15cm</t>
  </si>
  <si>
    <t>A0001626</t>
  </si>
  <si>
    <t>Repuesto Fieltro 15cm</t>
  </si>
  <si>
    <t>A0001627</t>
  </si>
  <si>
    <t>Espátula roja con Fieltro 15cm</t>
  </si>
  <si>
    <t>A0001628</t>
  </si>
  <si>
    <t>Repuesto Fieltro 10cm</t>
  </si>
  <si>
    <t>A0001629</t>
  </si>
  <si>
    <t>Espátula roja con Fieltro 10cm</t>
  </si>
  <si>
    <t>A0001631</t>
  </si>
  <si>
    <t>Espátula Fieltro 10cm ECO</t>
  </si>
  <si>
    <t>M2 Metamark M7 170 Crema 0,61 x 50m</t>
  </si>
  <si>
    <t>A0001634</t>
  </si>
  <si>
    <t>Rollo Reflectiv INT401 1,22x50m</t>
  </si>
  <si>
    <t>A0001636</t>
  </si>
  <si>
    <t>Ollao + Arandela 12mm Plata (Metal)</t>
  </si>
  <si>
    <t>A0001637</t>
  </si>
  <si>
    <t>Máquina Olladora 12 mm (Plástico)</t>
  </si>
  <si>
    <t>A0001638</t>
  </si>
  <si>
    <t>Troquel ollao 11,5mm</t>
  </si>
  <si>
    <t>A0001002</t>
  </si>
  <si>
    <t>A0001639</t>
  </si>
  <si>
    <t>Troquel ollao 9,5mm</t>
  </si>
  <si>
    <t>A0001640</t>
  </si>
  <si>
    <t>Rodillo de aplicacion 45mm 1 eje (Lona)</t>
  </si>
  <si>
    <t>A0001641</t>
  </si>
  <si>
    <t>Rodillo de aplicacion 45mm 2 ejes (Lona)</t>
  </si>
  <si>
    <t>A0001642</t>
  </si>
  <si>
    <t>Rodillo de aplicacion 80mm 2 ejes (Lona)</t>
  </si>
  <si>
    <t>A0001643</t>
  </si>
  <si>
    <t>Rollo Doble Cara Tesa 64958 Espuma  (PE) 19mm X 25m INT</t>
  </si>
  <si>
    <t>A0001644</t>
  </si>
  <si>
    <t>Rollo Doble Cara Tesa 51970 (PP) 19mm X 50m</t>
  </si>
  <si>
    <t>A0001645</t>
  </si>
  <si>
    <t>6700469020 - Assy Scan Motor VP 540</t>
  </si>
  <si>
    <t>A0001646</t>
  </si>
  <si>
    <t>1000014464 - Pad, Cleaner D VG 640</t>
  </si>
  <si>
    <t>M2 Metamark M7 170 Crema 1,22 x 50m</t>
  </si>
  <si>
    <t>M2 Metamark M7 171 Marrón 0,61 x 50m</t>
  </si>
  <si>
    <t>A0001649</t>
  </si>
  <si>
    <t>Low Platen Cap 7,5x14,5cm PLCAP3x5</t>
  </si>
  <si>
    <t>A0001650</t>
  </si>
  <si>
    <t>NonStick Quick Slip Pad Protector 38x38</t>
  </si>
  <si>
    <t>A0001653</t>
  </si>
  <si>
    <t>Rollo Ritrama RI MASK máscara verde  1,26x50m</t>
  </si>
  <si>
    <t>A0001654</t>
  </si>
  <si>
    <t>Rollo Papel Mupi Skylight 150g 1,6 x 100m</t>
  </si>
  <si>
    <t>M2 Metamark M7 171 Marrón 1,22 x 50m</t>
  </si>
  <si>
    <t>A0001656</t>
  </si>
  <si>
    <t>Rollo Reflectiv INT120 1,52x2,5m</t>
  </si>
  <si>
    <t>A0001657</t>
  </si>
  <si>
    <t>Rollo Reflectiv INT130 1,52x10m</t>
  </si>
  <si>
    <t>A0001658</t>
  </si>
  <si>
    <t>Rollo Reflectiv Film Transparente 60894 Verde Menta 1,52x10m</t>
  </si>
  <si>
    <t>A0001659</t>
  </si>
  <si>
    <t>X-Banner 60x160</t>
  </si>
  <si>
    <t>Rollo MDC MetaCast Wrap MGlide 005 Brillo 1,37x10m</t>
  </si>
  <si>
    <t>Rollo MDC 100 MetaCast Wrap MGlide Brillo 1,37x25m</t>
  </si>
  <si>
    <t>Rollo MetaGuard MGC Wrap 002 Mate 1,37x10m</t>
  </si>
  <si>
    <t>Rollo MetaGuard MGC Wrap 002 Mate 1,37x25m</t>
  </si>
  <si>
    <t>Rollo MetaGuard MGC Wrap 005 Brillo 1,37x10m</t>
  </si>
  <si>
    <t>Rollo MetaGuard MGC Wrap 005 Brillo 1,37x25m</t>
  </si>
  <si>
    <t>Rollo Metamark MDi 100 (70mc) Brillo 1,37x50m</t>
  </si>
  <si>
    <t>A0001668</t>
  </si>
  <si>
    <t>Rollo Metaguard MGi 005 Brillo 1,37x50m</t>
  </si>
  <si>
    <t>A0001669</t>
  </si>
  <si>
    <t>Rollo Metaguard MGi 002 Mate 1,37x50m</t>
  </si>
  <si>
    <t>A0001670</t>
  </si>
  <si>
    <t>Rollo Ri-jet 100 Adhesivo Negro Mate 1,05x50m</t>
  </si>
  <si>
    <t>A0001671</t>
  </si>
  <si>
    <t>Rollo Ri-jet 100 Adhesivo Negro Mate 1,37x50m</t>
  </si>
  <si>
    <t>A0001147</t>
  </si>
  <si>
    <t>A0001672</t>
  </si>
  <si>
    <t>Rollo Ri-jet 100 Adhesivo Negro Mate 1,60x50m</t>
  </si>
  <si>
    <t>A0001673</t>
  </si>
  <si>
    <t>Assy, Main Board SV LEF_02</t>
  </si>
  <si>
    <t>A0001674</t>
  </si>
  <si>
    <t>Rollo Reflectiv INT130 1,52x2,5m</t>
  </si>
  <si>
    <t>A0001675</t>
  </si>
  <si>
    <t>Assy, Servo Board RS-540</t>
  </si>
  <si>
    <t>A0001676</t>
  </si>
  <si>
    <t>Hoja Ritrama RI-Screen M80 Transparente Perm Brillo 70x100 (Con  Corte)</t>
  </si>
  <si>
    <t>A0001678</t>
  </si>
  <si>
    <t>Rollo Metamark MDi 100 (70mc) Brillo 1,60x50m</t>
  </si>
  <si>
    <t>Rollo MDC 100 MetaCast Wrap MGlide Brillo 1,37x50m</t>
  </si>
  <si>
    <t>Rollo MetaGuard MGC Wrap 002 Mate 1,37x50m</t>
  </si>
  <si>
    <t>Rollo MetaGuard MGC Wrap 005 Brillo 1,37x50m</t>
  </si>
  <si>
    <t>A0001682</t>
  </si>
  <si>
    <t>Rollo Transportador GXP-550 (Papel medio) 1,52x91,4m</t>
  </si>
  <si>
    <t>A0001683</t>
  </si>
  <si>
    <t>Tinta EcoUV 4 Negra 220ml</t>
  </si>
  <si>
    <t>A0001684</t>
  </si>
  <si>
    <t>Rollo Metamark MDi B (70 mc Adh Gris) Brillo 1,37x50m</t>
  </si>
  <si>
    <t>Rollo Metamark MDi A-B (70 mc Adh Gris) Brillo MetaScape 1,37x50m</t>
  </si>
  <si>
    <t>A0001686</t>
  </si>
  <si>
    <t>Assy, Main Board SP 300i</t>
  </si>
  <si>
    <t>M2 Metamark M7 172 Almendra 0,61 x 50m</t>
  </si>
  <si>
    <t>M2 Metamark M7 172 Almendra 1,22 x 50m</t>
  </si>
  <si>
    <t>M2 Metamark M7 173 Verde Tráfico 0,61 x 50m</t>
  </si>
  <si>
    <t>M2 Metamark M7 173 Verde Tráfico 1,22 x 50m</t>
  </si>
  <si>
    <t>M2 Metamark M7 174 Marrón Quemado 0,61 x 50m</t>
  </si>
  <si>
    <t>A0001698</t>
  </si>
  <si>
    <t>Rotulador Borrable ISee2 Eraze maker Negro</t>
  </si>
  <si>
    <t>A0001699</t>
  </si>
  <si>
    <t>Rotulador Borrable ISee2 Blackboard maker Blanco</t>
  </si>
  <si>
    <t>6085393800 - Assy, Ink Damper L 3FAI SJ 1000</t>
  </si>
  <si>
    <t>A0001701</t>
  </si>
  <si>
    <t>Plotter Impresión Roland Texart RT-640M Tinta Reactiva</t>
  </si>
  <si>
    <t>A0001703</t>
  </si>
  <si>
    <t>Rollo Transportador Nekoosa 4885 Agarre especial 1,22x100m</t>
  </si>
  <si>
    <t>M2 Metamark M7 174 Marrón Quemado 1,22 x 50m</t>
  </si>
  <si>
    <t>M2 Metamark M7 175 Crema Claro 0,61 x 50m</t>
  </si>
  <si>
    <t>M2 Metamark M7 175 Crema Claro 1,22 x 50m</t>
  </si>
  <si>
    <t>A0001710</t>
  </si>
  <si>
    <t>Assy, Thermistor Board SG-540</t>
  </si>
  <si>
    <t>A0001711</t>
  </si>
  <si>
    <t>Assy, Heater control Board CG2075</t>
  </si>
  <si>
    <t>M2 Metamark M7 176 Marfil 0,61 x 50m</t>
  </si>
  <si>
    <t>Rollo Metamark MD5B 100 (70mc Adh Gris) Brillo 1,05x50m</t>
  </si>
  <si>
    <t>A0001715</t>
  </si>
  <si>
    <t>Espátula Lila Eco 10cm</t>
  </si>
  <si>
    <t>A0001716</t>
  </si>
  <si>
    <t>Rollo Metaguard MG 705 Brillo 1,37x25m</t>
  </si>
  <si>
    <t>M2 Metamark M7 176 Marfil 1,22 x 50m</t>
  </si>
  <si>
    <t>M2 Metamark M7 177 Azul Cáscara 0,61 x 50m</t>
  </si>
  <si>
    <t>A0001719</t>
  </si>
  <si>
    <t>ML Cad-Cut Glitter 966 Medium Pink 500mm</t>
  </si>
  <si>
    <t>A0001720</t>
  </si>
  <si>
    <t>ML Cad-Cut Glitter 962 Beach Blue 500mm</t>
  </si>
  <si>
    <t>M2 Metamark M7 177 Azul Cáscara 1,22 x 50m</t>
  </si>
  <si>
    <t>M2 Metamark M7 178 Azul Vikingo 0,61 x 50m</t>
  </si>
  <si>
    <t>A0001726</t>
  </si>
  <si>
    <t>Plancha Sprint Mag 40cmx50cm Auto-Open</t>
  </si>
  <si>
    <t>A0001727</t>
  </si>
  <si>
    <t>Lower Platen Leg/Sleeve</t>
  </si>
  <si>
    <t>A0001728</t>
  </si>
  <si>
    <t>Low Platen Hat Bill</t>
  </si>
  <si>
    <t>M2 Metamark M7 178 Azul Vikingo 1,22 x 50m</t>
  </si>
  <si>
    <t>A0001479</t>
  </si>
  <si>
    <t>M2 Metamark M7 179 Flor de Melocotón 0,61 x 50m</t>
  </si>
  <si>
    <t>A0001731</t>
  </si>
  <si>
    <t>Rollo Sublimación Skynnet 95g 1,62x150m</t>
  </si>
  <si>
    <t>A0001732</t>
  </si>
  <si>
    <t>Rollo Sublimación Skynnet 95g 1,118x100m</t>
  </si>
  <si>
    <t>A0001733</t>
  </si>
  <si>
    <t>Rollo Sublimación Skynnet Tack100g 1,62x150m</t>
  </si>
  <si>
    <t>A0001734</t>
  </si>
  <si>
    <t>Rollo Sublimación Skynnet Tack100g 1,118x100m</t>
  </si>
  <si>
    <t>A0001735</t>
  </si>
  <si>
    <t>Rollo Sublimación Skynnet HI-Protección 22g 1,65x800m</t>
  </si>
  <si>
    <t>M2 Metamark M7 179 Flor de Melocotón 1,22 x 50m</t>
  </si>
  <si>
    <t>M2 Metamark M7 180 Lila 0,61 x 50m</t>
  </si>
  <si>
    <t>A0001739</t>
  </si>
  <si>
    <t>Tinta Roland SBL3 Sublimación Amarillo 1.000cc</t>
  </si>
  <si>
    <t>A0001740</t>
  </si>
  <si>
    <t>Tinta Roland SBL3 Sublimación Violeta 1.000cc</t>
  </si>
  <si>
    <t>A0001741</t>
  </si>
  <si>
    <t>Tinta Roland SBL3 Sublimación Magenta 1.000cc</t>
  </si>
  <si>
    <t>A0001742</t>
  </si>
  <si>
    <t>Tinta Roland SBL3 Sublimación Naranja 1.000cc</t>
  </si>
  <si>
    <t>A0001743</t>
  </si>
  <si>
    <t>Tinta Roland SBL3 Sublimación Fluor Rosa 1.000cc</t>
  </si>
  <si>
    <t>A0001744</t>
  </si>
  <si>
    <t>013676 - NonStick Quick Slip Pad Protector 40x50</t>
  </si>
  <si>
    <t>A0001745</t>
  </si>
  <si>
    <t>NonStick Protection Cover for heat plate 40x50cm</t>
  </si>
  <si>
    <t>A0001746</t>
  </si>
  <si>
    <t>Tinta Roland SBL3 Sublimación Fluor Amarillo 1.000cc</t>
  </si>
  <si>
    <t>A0001747</t>
  </si>
  <si>
    <t>Tinta Roland SBL3 Sublimación Negro 1.000cc</t>
  </si>
  <si>
    <t>A0001748</t>
  </si>
  <si>
    <t>Tinta Roland SBL3 Sublimación Cyan 1.000cc</t>
  </si>
  <si>
    <t>A0001749</t>
  </si>
  <si>
    <t>Tinta Roland SBL3 Sublimación Light Magenta 1.000cc</t>
  </si>
  <si>
    <t>A0001750</t>
  </si>
  <si>
    <t>Cartucho Ecopure 880ml EM3 Amarillo</t>
  </si>
  <si>
    <t>A0001751</t>
  </si>
  <si>
    <t>Cartucho Ecopure 880ml EM3 Cyan</t>
  </si>
  <si>
    <t>A0001752</t>
  </si>
  <si>
    <t>Cartucho Ecopure 880ml EM3 Magenta</t>
  </si>
  <si>
    <t>A0001754</t>
  </si>
  <si>
    <t>Cartucho Ecopure 880ml EM3 Negro</t>
  </si>
  <si>
    <t>A0001758</t>
  </si>
  <si>
    <t>Tinta EcoUV 4 Blanca 220ml</t>
  </si>
  <si>
    <t>M2 Metamark M7 180 Lila 1,22 x 50m</t>
  </si>
  <si>
    <t>A0001766</t>
  </si>
  <si>
    <t>Rollo PVC+ PET para Roll-Up Trasera Gris 1.07x30m</t>
  </si>
  <si>
    <t>A0001767</t>
  </si>
  <si>
    <t>Assy, VP-540 Power Board</t>
  </si>
  <si>
    <t>A0001768</t>
  </si>
  <si>
    <t>Assy, FM3 Servo Board VG-640</t>
  </si>
  <si>
    <t>A0001769</t>
  </si>
  <si>
    <t>Kit Conversión TR2 CMMYK Lc Lm Lk CL</t>
  </si>
  <si>
    <t>A0001770</t>
  </si>
  <si>
    <t>Cable-Card 15P1 3200L BB High-V (Vg-540/640)</t>
  </si>
  <si>
    <t>A0001771</t>
  </si>
  <si>
    <t>Cartucho Eco Sol Max II Blanco 220cc</t>
  </si>
  <si>
    <t>A0001772</t>
  </si>
  <si>
    <t>Rollo MetaWalk MD-MW (Imprimible Suelo Antideslizante) R9 1,37x30m</t>
  </si>
  <si>
    <t>A0000988</t>
  </si>
  <si>
    <t>A0001773</t>
  </si>
  <si>
    <t>Rollo Metamark MDi A 100 Metascape (70mc) Brillo 1,37x50m</t>
  </si>
  <si>
    <t>A0001774</t>
  </si>
  <si>
    <t>Lower Platen 15x25cm</t>
  </si>
  <si>
    <t>A0001775</t>
  </si>
  <si>
    <t>Adapter Plate N-3-1336</t>
  </si>
  <si>
    <t>A0001776</t>
  </si>
  <si>
    <t>Quick Change Pin N-1-2215</t>
  </si>
  <si>
    <t>A0001777</t>
  </si>
  <si>
    <t>Washser N-2-1006-21</t>
  </si>
  <si>
    <t>A0001778</t>
  </si>
  <si>
    <t>Washser Split Lock N-2-1006-21</t>
  </si>
  <si>
    <t>A0001779</t>
  </si>
  <si>
    <t>Cintas con Hebilla 1,5cm X 60cm Blanca</t>
  </si>
  <si>
    <t>A0001780</t>
  </si>
  <si>
    <t>Cintas con Hebilla 1,5cm X 60cm Negra</t>
  </si>
  <si>
    <t>A0001781</t>
  </si>
  <si>
    <t>Cintas con Hebilla (25uds) 2,5cm  X 60cm Negra</t>
  </si>
  <si>
    <t>A0001782</t>
  </si>
  <si>
    <t>Cintas con Hebilla (25uds) 2,5cm  X 60cm Blanca</t>
  </si>
  <si>
    <t>A0001783</t>
  </si>
  <si>
    <t>Cintas con Hebilla (25uds) 2,5cm  X 120cm Blanca</t>
  </si>
  <si>
    <t>A0001787</t>
  </si>
  <si>
    <t>Assy, Pinch Sens Board Gx 500. Num.W700293033</t>
  </si>
  <si>
    <t>A0001788</t>
  </si>
  <si>
    <t>Cable card, 11p 2020L BB. Gx 500 Num. 1000001345</t>
  </si>
  <si>
    <t>A0001789</t>
  </si>
  <si>
    <t>Assy, FM3 Servo Board VG-540 T</t>
  </si>
  <si>
    <t>A0001790</t>
  </si>
  <si>
    <t>6000002333 - Assy, Scan Motor VG-640</t>
  </si>
  <si>
    <t>M2 Metamark M7 181 Rosa 0,61 x 50m</t>
  </si>
  <si>
    <t>A0001792</t>
  </si>
  <si>
    <t>Rollo Reflectiv AGI 100 Antigraffiti 1,52m x 5m</t>
  </si>
  <si>
    <t>A0001793</t>
  </si>
  <si>
    <t>Rollo Polimérico Isee2 (StrongTouch Supreme) Alto Agarre Mate 1,37x50m</t>
  </si>
  <si>
    <t>A0001794</t>
  </si>
  <si>
    <t>ML Magnético 0.6mm espesor PVC Blanco 0.61x30m</t>
  </si>
  <si>
    <t>A0001795</t>
  </si>
  <si>
    <t>ML Magnético 0.6mm espesor PVC Blanco 1x20m</t>
  </si>
  <si>
    <t>A0001796</t>
  </si>
  <si>
    <t>ML Magnético 0.9mm espesor PVC Blanco 1x10m</t>
  </si>
  <si>
    <t>A0001797</t>
  </si>
  <si>
    <t>Assy, Tubing 2x900mm XC-540</t>
  </si>
  <si>
    <t>A0001798</t>
  </si>
  <si>
    <t>Adapter, Tube 2-3 FAI XC-540</t>
  </si>
  <si>
    <t>A0001799</t>
  </si>
  <si>
    <t>Assy, Tubing 3x1920mm BK LEC-300</t>
  </si>
  <si>
    <t>A0001800</t>
  </si>
  <si>
    <t>Assy, Holder, I/C RS-540</t>
  </si>
  <si>
    <t>A0001801</t>
  </si>
  <si>
    <t>Holder, Ring O 2FAI FJ-50</t>
  </si>
  <si>
    <t>A0001802</t>
  </si>
  <si>
    <t>Rollo Ri-Dot Blanco Mate 1,37x50m</t>
  </si>
  <si>
    <t>A0001803</t>
  </si>
  <si>
    <t>Rollo Ri-Dot Transparente Mate 1,37x50m</t>
  </si>
  <si>
    <t>M2 Metamark M7 181 Rosa 1,22 x 50m</t>
  </si>
  <si>
    <t>A0001806</t>
  </si>
  <si>
    <t>Gs-24 Pad Cutter</t>
  </si>
  <si>
    <t>A0001807</t>
  </si>
  <si>
    <t>Guide Tube Type3 VP-540</t>
  </si>
  <si>
    <t>A0001808</t>
  </si>
  <si>
    <t>Cable Assy, Ink Serial XC-540</t>
  </si>
  <si>
    <t>A0001809</t>
  </si>
  <si>
    <t>Tinta EcoUV 4 Magenta 220ml</t>
  </si>
  <si>
    <t>A0001810</t>
  </si>
  <si>
    <t>Tinta EcoUV 4 Cyan 220ml</t>
  </si>
  <si>
    <t>A0001811</t>
  </si>
  <si>
    <t>Tinta EcoUV 4 Amarillo 220ml</t>
  </si>
  <si>
    <t>A0001812</t>
  </si>
  <si>
    <t>Cable-Card 6P1 420L BB High-V</t>
  </si>
  <si>
    <t>A0001813</t>
  </si>
  <si>
    <t>1000020747 - Cutter Pad 2 VG-640</t>
  </si>
  <si>
    <t>A0001814</t>
  </si>
  <si>
    <t>Holder, Cable RS-540</t>
  </si>
  <si>
    <t>A0001815</t>
  </si>
  <si>
    <t>Tinta EcoUV 4 Gloss 220ml</t>
  </si>
  <si>
    <t>A0001816</t>
  </si>
  <si>
    <t>Rollo Reflectiv AUT S05 23mc 1,52x10m</t>
  </si>
  <si>
    <t>A0001174</t>
  </si>
  <si>
    <t>M2 Metamark M7 182 Magenta 0,61 x 50m</t>
  </si>
  <si>
    <t>ML Cad-Cut Sportsfilm 370 Menta Pastel 500mm</t>
  </si>
  <si>
    <t>ML Cad-Cut Sportsfilm 215 Rosa Oro 500mm</t>
  </si>
  <si>
    <t>A0001820</t>
  </si>
  <si>
    <t>1000003665 - Sheet Linear Scale XJ-540</t>
  </si>
  <si>
    <t>A0001821</t>
  </si>
  <si>
    <t>Assy Scan Motor RE-640_ 01</t>
  </si>
  <si>
    <t>A0001822</t>
  </si>
  <si>
    <t>Roland P-Roller TD16S4(B10) Type2_01</t>
  </si>
  <si>
    <t>A0001823</t>
  </si>
  <si>
    <t>Roland P-Roller FD16S4(B10) Type2_01</t>
  </si>
  <si>
    <t>A0001824</t>
  </si>
  <si>
    <t>Display-Board XF IQ Gen2 N-1-2463-F</t>
  </si>
  <si>
    <t>A0001825</t>
  </si>
  <si>
    <t>Rollo Metaguard MGi 005 Brillo 1,60x50m</t>
  </si>
  <si>
    <t>A0001826</t>
  </si>
  <si>
    <t>Rollo Metaguard MGi 002 Mate 1,60x50m</t>
  </si>
  <si>
    <t>A0001827</t>
  </si>
  <si>
    <t>6000005975 - Assy,IJ Head Sol 200l SV VG640</t>
  </si>
  <si>
    <t>A0001828</t>
  </si>
  <si>
    <t>sensor-interrupter,oj-5305-a5</t>
  </si>
  <si>
    <t>A0001829</t>
  </si>
  <si>
    <t>rcl39020assy,damper double cir 2 vg-640</t>
  </si>
  <si>
    <t>A0001830</t>
  </si>
  <si>
    <t>Rollo Metamark MDi 100 (70mc) Brillo 1,05x50m</t>
  </si>
  <si>
    <t>A0001831</t>
  </si>
  <si>
    <t>Rollo Metaguard MGi 005 Brillo 1,05x50m</t>
  </si>
  <si>
    <t>A0001832</t>
  </si>
  <si>
    <t>Rollo Metaguard MGi 002 Mate 1,05x50m</t>
  </si>
  <si>
    <t>A0001834</t>
  </si>
  <si>
    <t>Tube, Ink K-NA 3FAI 4000MM</t>
  </si>
  <si>
    <t>M2 Metamark M7 182 Magenta 1,22 x 50m</t>
  </si>
  <si>
    <t>A0001838</t>
  </si>
  <si>
    <t>Assy, Main Board SV XR 640</t>
  </si>
  <si>
    <t>A0001840</t>
  </si>
  <si>
    <t>Assy, IJ Head Sol 250L SV CG2076</t>
  </si>
  <si>
    <t>A0001841</t>
  </si>
  <si>
    <t>Rollo Ri-jet 100 Adhesivo Gris Removible Mate 1,37x50m</t>
  </si>
  <si>
    <t>A0001842</t>
  </si>
  <si>
    <t>Rollo Ri-jet 100 Adhesivo Gris Removible Mate 1,60x50m</t>
  </si>
  <si>
    <t>M2 Metamark M7 183 Violeta 0,61 x 50m</t>
  </si>
  <si>
    <t>M2 Metamark M7 183 Violeta 1,22 x 50m</t>
  </si>
  <si>
    <t>M2 Metamark M7 184 Malva 0,61 x 50m</t>
  </si>
  <si>
    <t>M2 Metamark M7 184 Malva 1,22 x 50m</t>
  </si>
  <si>
    <t>M2 Metamark M7 185 Azul Oscuro 0,61 x 50m</t>
  </si>
  <si>
    <t>M2 Metamark M7 185 Azul Oscuro 1,22 x 50m</t>
  </si>
  <si>
    <t>A0001851</t>
  </si>
  <si>
    <t>1000013784 - Damper, Ink IHP XR-640</t>
  </si>
  <si>
    <t>A0001852</t>
  </si>
  <si>
    <t>Shield, Damper LEC-330</t>
  </si>
  <si>
    <t>A0001853</t>
  </si>
  <si>
    <t>1000012719 - Damper, ink VS-640_01</t>
  </si>
  <si>
    <t>M2 Metamark M7 186 Lavanda 0,61 x 50m</t>
  </si>
  <si>
    <t>M2 Metamark M7 186 Lavanda 1,22 x 50m</t>
  </si>
  <si>
    <t>M2 Metamark M7 187 Violeta Oscuro 0,61 x 50m</t>
  </si>
  <si>
    <t>M2 Metamark M7 187 Violeta Oscuro 1,22 x 50m</t>
  </si>
  <si>
    <t>A0001858</t>
  </si>
  <si>
    <t>Ollao + Arandela 9,5mm Plata - Metal (500uds)</t>
  </si>
  <si>
    <t>A0001859</t>
  </si>
  <si>
    <t>Ollao + Arandela  11,5mm Plata - Metal (500uds)</t>
  </si>
  <si>
    <t>A0001860</t>
  </si>
  <si>
    <t>Rollo Canvas Skynet JConnor 320gr 1,52mx25m</t>
  </si>
  <si>
    <t>A0001861</t>
  </si>
  <si>
    <t>Cartucho Ecopure 440ml EM3 Amarillo</t>
  </si>
  <si>
    <t>A0001862</t>
  </si>
  <si>
    <t>Cartucho Ecopure 440ml EM3 Magenta</t>
  </si>
  <si>
    <t>A0001863</t>
  </si>
  <si>
    <t>Cartucho Ecopure 440ml EM3 Negro</t>
  </si>
  <si>
    <t>A0001864</t>
  </si>
  <si>
    <t>Cartucho Ecopure 440ml EM3 Cyan</t>
  </si>
  <si>
    <t>M2 Metamark M7 188 Aguamarina 0,61 x 50m</t>
  </si>
  <si>
    <t>M2 Metamark M7 188 Aguamarina 1,22 x 50m</t>
  </si>
  <si>
    <t>M2 Metamark M7 190 Plata 0,61 x 50m</t>
  </si>
  <si>
    <t>A0001869</t>
  </si>
  <si>
    <t>Rollo Ri-jet 100 Adhesivo Gris Removible Mate 1,05x50m</t>
  </si>
  <si>
    <t>M2 Metamark M7 190 Plata 1,22 x 50m</t>
  </si>
  <si>
    <t>M2 Metamark M7 191 Oro 0,61 x 50m</t>
  </si>
  <si>
    <t>A0001872</t>
  </si>
  <si>
    <t>Rollo Metamark MDi B (70 mc Adh Gris) Brillo 1,60x50m</t>
  </si>
  <si>
    <t>A0001873</t>
  </si>
  <si>
    <t>Rollo Metamark MDi B (70 mc Adh Gris) Brillo 1,05x50m</t>
  </si>
  <si>
    <t>A0001874</t>
  </si>
  <si>
    <t>Rollo Metamark MDi A-B (70 mc Adh Gris) Brillo MetaScape 1,60x50m</t>
  </si>
  <si>
    <t>M2 Metamark M7 191 Oro 1,22 x 50m</t>
  </si>
  <si>
    <t>A0001876</t>
  </si>
  <si>
    <t>Hoja Ritrama RI-Screen M80 Blanco Permanente. 70x100</t>
  </si>
  <si>
    <t>A0001877</t>
  </si>
  <si>
    <t>Hoja Ritrama RI-Screen M80 Transparente Perm Brillo 70x100</t>
  </si>
  <si>
    <t>Rollo Metamark MD5B 100 (70mc Adh Gris) Brillo 1,37x50m</t>
  </si>
  <si>
    <t>A0001879</t>
  </si>
  <si>
    <t>Rollo Metaguard MG 705 Brillo 1,6m x 25m</t>
  </si>
  <si>
    <t>A0001880</t>
  </si>
  <si>
    <t>Rollo Metaguard MG 702 Mate 1,6 x 25m</t>
  </si>
  <si>
    <t>M2 Metamark M7 192 Gris Carbón 0,61 x 50m</t>
  </si>
  <si>
    <t>M2 Metamark M7 192 Gris Carbón 1,22 x 50m</t>
  </si>
  <si>
    <t>A0001883</t>
  </si>
  <si>
    <t>Solenoid, TDS-08A DC-24V TYPE2</t>
  </si>
  <si>
    <t>A0001884</t>
  </si>
  <si>
    <t>Cable-Card, 15P1 2100L BB Hight-V</t>
  </si>
  <si>
    <t>A0001885</t>
  </si>
  <si>
    <t>Assy Cut Carriage SG-540</t>
  </si>
  <si>
    <t>A0001886</t>
  </si>
  <si>
    <t>Cartucho Ecopure 880ml EM3 Light Magenta</t>
  </si>
  <si>
    <t>A0001887</t>
  </si>
  <si>
    <t>Cartucho Ecopure 880ml EM3 Light Cyan</t>
  </si>
  <si>
    <t>A0001888</t>
  </si>
  <si>
    <t>Cartucho Ecopure 440ml EM3 Light Magenta</t>
  </si>
  <si>
    <t>A0001889</t>
  </si>
  <si>
    <t>Kit Conversión TR2 CMYK + Cleaning</t>
  </si>
  <si>
    <t>A0001890</t>
  </si>
  <si>
    <t>Laminadora Mefu M1 Plus 1,63m</t>
  </si>
  <si>
    <t>A0001891</t>
  </si>
  <si>
    <t>Rollo Reflectiv UV 151 1,52x30m</t>
  </si>
  <si>
    <t>A0001892</t>
  </si>
  <si>
    <t>1000018621 - Pad, Cutter 2 GS-24</t>
  </si>
  <si>
    <t>A0001893</t>
  </si>
  <si>
    <t>Assy, Ink Damper</t>
  </si>
  <si>
    <t>A0001894</t>
  </si>
  <si>
    <t>Wiper Head for UV INK</t>
  </si>
  <si>
    <t>A0001895</t>
  </si>
  <si>
    <t>Rollo Sign-Ad Brillo Transparente Medio Tack 1,37x45,7m</t>
  </si>
  <si>
    <t>M2 Metamark M7 193 Gunmetal 0,61 x 50m</t>
  </si>
  <si>
    <t>M2 Metamark M7 193 Gunmetal 1,22 x 50m</t>
  </si>
  <si>
    <t>M2 Metamark M7 194 Acero 0,61 x 50m</t>
  </si>
  <si>
    <t>A0001899</t>
  </si>
  <si>
    <t>Triac IQ-Board N-1-1059-IQ</t>
  </si>
  <si>
    <t>A0001900</t>
  </si>
  <si>
    <t>Rollo Transportador Nekoosa 4885 Agarre especial 0,61x100m</t>
  </si>
  <si>
    <t>A0001901</t>
  </si>
  <si>
    <t>Triac N-1-1059</t>
  </si>
  <si>
    <t>A0001902</t>
  </si>
  <si>
    <t>Control Board SSTT-P SM for STX, Hover STX6  N-1-2129</t>
  </si>
  <si>
    <t>A0001903</t>
  </si>
  <si>
    <t>Rollo Metamark MDi A-B (70 mc Adh Gris) Brillo MetaScape 1,05x50m</t>
  </si>
  <si>
    <t>A0001904</t>
  </si>
  <si>
    <t>Rollo Metamark MDi A 100 Metascape (70mc) Brillo 1,05x50m</t>
  </si>
  <si>
    <t>A0001905</t>
  </si>
  <si>
    <t>Rollo Metamark MDi A 100 Metascape (70mc) Brillo 1,60x50m</t>
  </si>
  <si>
    <t>M2 Metamark M7 194 Acero 1,22 x 50m</t>
  </si>
  <si>
    <t>M2 Metamark M7 195 Aluminio 0,61 x 50m</t>
  </si>
  <si>
    <t>M2 Metamark M7 195 Aluminio 1,22 x 50m</t>
  </si>
  <si>
    <t>M2 Metamark M7 196 Grafito 0,61 x 50m</t>
  </si>
  <si>
    <t>M2 Metamark M7 196 Grafito 1,22 x 50m</t>
  </si>
  <si>
    <t>M2 Metamark M7 197 Verde Saltamontes 0,61 x 50m</t>
  </si>
  <si>
    <t>M2 Metamark M7 197 Verde Saltamontes 1,22 x 50m</t>
  </si>
  <si>
    <t>M2 Metamark M7 198 Verde Natural 0,61 x 50m</t>
  </si>
  <si>
    <t>M2 Metamark M7 198 Verde Natural 1,22 x 50m</t>
  </si>
  <si>
    <t>M2 Metamark M7 199 Verde Manzana 0,61 x 50m</t>
  </si>
  <si>
    <t>M2 Metamark M7 199 Verde Manzana 1,22 x 50m</t>
  </si>
  <si>
    <t>M2 Metamark M7 Crystal Window Polimérico 0,61 x 50m</t>
  </si>
  <si>
    <t>M2 Metamark M7 Crystal Window Polimérico 1,22 x 50m</t>
  </si>
  <si>
    <t>M2 Metamark M7 Crystal Window Polimérico 1,60mm x 50m</t>
  </si>
  <si>
    <t>M2 Metamark M7 Dusted Window Polimérico 0,61 x 50m</t>
  </si>
  <si>
    <t>A0001954</t>
  </si>
  <si>
    <t>M2 Metamark M7 Dusted Window Polimérico 1,22 x 50m</t>
  </si>
  <si>
    <t>M2 Metamark M7 Dusted Window Polimérico 1,60mm x 50m</t>
  </si>
  <si>
    <t>A0001940</t>
  </si>
  <si>
    <t>M2 Metamark M7 Hopal Haze Window Polimérico 0,61 x 50m</t>
  </si>
  <si>
    <t>M2 Metamark M7 Hopal Haze Window Polimérico 1,22 x 50m</t>
  </si>
  <si>
    <t>A0001805</t>
  </si>
  <si>
    <t>M2 Metamark M7 Opal Haze Window Polimérico 1,60mm x 50m</t>
  </si>
  <si>
    <t>M2 Metamark M7 Silver Window Polimérico 0,61 x 50m</t>
  </si>
  <si>
    <t>M2 Metamark M7 Silver Window Polimérico 1,22 x 50m</t>
  </si>
  <si>
    <t>M2 Metamark M7 Silver Window Polimérico 1,6mm x 50m</t>
  </si>
  <si>
    <t>A0001898</t>
  </si>
  <si>
    <t>M2 Metamark M7A 196 Grafito 0,61 x 50m</t>
  </si>
  <si>
    <t>A0002189</t>
  </si>
  <si>
    <t>M2 Metamark M7H Alto Agarre 100 Blanco Brillo 0,61 x 50m</t>
  </si>
  <si>
    <t>A0002142</t>
  </si>
  <si>
    <t>M2 Metamark M7H Alto Agarre 100 Blanco Brillo 1,22 x 50m</t>
  </si>
  <si>
    <t>A0002191</t>
  </si>
  <si>
    <t>M2 Metamark M7H Alto agarre 101M Blanco Mate 0,61 x 50m</t>
  </si>
  <si>
    <t>A0001934</t>
  </si>
  <si>
    <t>Cartucho Ecopure 440ml EM3 Light Cyan</t>
  </si>
  <si>
    <t>A0001937</t>
  </si>
  <si>
    <t>Adaptador Tintas RT-640/XT-640</t>
  </si>
  <si>
    <t>A0001938</t>
  </si>
  <si>
    <t>Unwinding Shaft with Brake-FX</t>
  </si>
  <si>
    <t>A0001939</t>
  </si>
  <si>
    <t>FX Take Up Bars and Motor for 64</t>
  </si>
  <si>
    <t>A0002144</t>
  </si>
  <si>
    <t>M2 Metamark M7H Alto agarre 101M Blanco Mate 1,22 x 50m</t>
  </si>
  <si>
    <t>A0001941</t>
  </si>
  <si>
    <t>ML Cad-Cut Flock 200 Rojo 500mm</t>
  </si>
  <si>
    <t>A0001942</t>
  </si>
  <si>
    <t>ML Cad-Cut Flock 255 Azul Hielo 500mm</t>
  </si>
  <si>
    <t>A0001943</t>
  </si>
  <si>
    <t>ML Cad-Cut Flock 419 Gris Frio 500mm</t>
  </si>
  <si>
    <t>A0001944</t>
  </si>
  <si>
    <t>Rollo Papel Poster Premium MD-PP210 Blanco Semi-Brillo 210gr 1,37x45</t>
  </si>
  <si>
    <t>A0001945</t>
  </si>
  <si>
    <t>Metamark Box 1,37cm</t>
  </si>
  <si>
    <t>A0001946</t>
  </si>
  <si>
    <t>Metamark Box 1,05cm</t>
  </si>
  <si>
    <t>A0001947</t>
  </si>
  <si>
    <t>Metamark Box 1,60cm</t>
  </si>
  <si>
    <t>A0001948</t>
  </si>
  <si>
    <t>Bolsa Metamark</t>
  </si>
  <si>
    <t>A0001949</t>
  </si>
  <si>
    <t>Rollo Transportador 4050RLA Conform 1,22x100m</t>
  </si>
  <si>
    <t>A0001950</t>
  </si>
  <si>
    <t>Proximity Switch N-1-1211</t>
  </si>
  <si>
    <t>A0001951</t>
  </si>
  <si>
    <t>Probe N-1-1272-1</t>
  </si>
  <si>
    <t>A0001952</t>
  </si>
  <si>
    <t>1000022932 - Roland P-Roller TD16S4(B10) Type2-2</t>
  </si>
  <si>
    <t>A0002190</t>
  </si>
  <si>
    <t>M2 Metamark M7H Alto Agarre 110 Negro Brillo 0,61 x 50m</t>
  </si>
  <si>
    <t>A0002143</t>
  </si>
  <si>
    <t>M2 Metamark M7H Alto Agarre 110 Negro Brillo 1,22 x 50m</t>
  </si>
  <si>
    <t>A0001955</t>
  </si>
  <si>
    <t>Kit Conversión TR2 SG CMYK</t>
  </si>
  <si>
    <t>A0001956</t>
  </si>
  <si>
    <t>Kit Conversión TR2 CMMYK Lc Lm Lk</t>
  </si>
  <si>
    <t>A0001957</t>
  </si>
  <si>
    <t>Rollo MD-WA WallArt 01 Artisan 1,37x30m</t>
  </si>
  <si>
    <t>A0001958</t>
  </si>
  <si>
    <t>Rollo Reflectiv MIR 500X Plata Espejo 1,52x10m</t>
  </si>
  <si>
    <t>A0002192</t>
  </si>
  <si>
    <t>M2 Metamark M7H Alto Agarre 111M Negro Mate 0,61 x 50m</t>
  </si>
  <si>
    <t>A0002145</t>
  </si>
  <si>
    <t>M2 Metamark M7H Alto Agarre 111M Negro Mate 1,22 x 50m</t>
  </si>
  <si>
    <t>A0001962</t>
  </si>
  <si>
    <t>6000005184 - Assy, Main Board SV LEF2-300</t>
  </si>
  <si>
    <t>A0001963</t>
  </si>
  <si>
    <t>Rodillo presión de 45mm con rodamiento con 2 ejes</t>
  </si>
  <si>
    <t>A0001964</t>
  </si>
  <si>
    <t>Rodillo presión de 80mm con rodamiento con 2 ejes</t>
  </si>
  <si>
    <t>A0001965</t>
  </si>
  <si>
    <t>Rollo Cinta refuerzo Lona Adhesivo 40mmx25m</t>
  </si>
  <si>
    <t>A0001967</t>
  </si>
  <si>
    <t>Rollo Metaguard MG 702 Mate 1,37x25m</t>
  </si>
  <si>
    <t>A0001968</t>
  </si>
  <si>
    <t>Rollo Metaguard MG 702 Mate 1,05x25m</t>
  </si>
  <si>
    <t>A0001970</t>
  </si>
  <si>
    <t>Rollo Metaguard MG 705 Brillo 1,05x25m</t>
  </si>
  <si>
    <t>A0001971</t>
  </si>
  <si>
    <t>Rollo Reflectiv MIR 500X Plata Espejo 1,52x5m</t>
  </si>
  <si>
    <t>A0001972</t>
  </si>
  <si>
    <t>Rollo MetaWalk MD-MW (Imprimible Suelo Antideslizante) R10 1,37x30m</t>
  </si>
  <si>
    <t>A0001973</t>
  </si>
  <si>
    <t>Rollo MetaWalk MD-MW (Imprimible Suelo Antideslizante) R10 1,52x30m</t>
  </si>
  <si>
    <t>A0001974</t>
  </si>
  <si>
    <t>Rollo MetaWalk MD-MW (Imprimible Suelo Antideslizante) R9 1,52x30m</t>
  </si>
  <si>
    <t>A0001976</t>
  </si>
  <si>
    <t>Foot Pedal Assembly (Kit 1-2305)</t>
  </si>
  <si>
    <t>A0001977</t>
  </si>
  <si>
    <t>Gas Spring (1-1874)</t>
  </si>
  <si>
    <t>A0001978</t>
  </si>
  <si>
    <t>Assy, Juction Board VS-640I</t>
  </si>
  <si>
    <t>A0001979</t>
  </si>
  <si>
    <t>Assy, Power Board VS-640I</t>
  </si>
  <si>
    <t>A0001980</t>
  </si>
  <si>
    <t>6701681300 - Assy, Cartridge IC Board</t>
  </si>
  <si>
    <t>A0001981</t>
  </si>
  <si>
    <t>Espátula Metamark blanca con Fieltro 10cm</t>
  </si>
  <si>
    <t>A0001982</t>
  </si>
  <si>
    <t>Espátula Metamark blanca Teflon 10cm</t>
  </si>
  <si>
    <t>A0001983</t>
  </si>
  <si>
    <t>Espátula Metamark blanca SOFT plástico 10cm</t>
  </si>
  <si>
    <t>A0001984</t>
  </si>
  <si>
    <t>Espátula Metamark morada HARD plástico 10cm</t>
  </si>
  <si>
    <t>A0001985</t>
  </si>
  <si>
    <t>Botella 1 litro de Removedor de Adhesivos Metamark</t>
  </si>
  <si>
    <t>A0002188</t>
  </si>
  <si>
    <t>M2 Metamark M7H Alto Agarre 125 Gris Nimbus 0,61 x 50m</t>
  </si>
  <si>
    <t>A0002187</t>
  </si>
  <si>
    <t>M2 Metamark M7H Alto Agarre 125 Gris Nimbus 1,22 x 50m</t>
  </si>
  <si>
    <t>A0001989</t>
  </si>
  <si>
    <t>Rollo MetaGuard MGC Wrap 002 Mate 1,60x10m</t>
  </si>
  <si>
    <t>A0001990</t>
  </si>
  <si>
    <t>Rollo MetaGuard MGC Wrap 002 Mate 1,60x25m</t>
  </si>
  <si>
    <t>A0001991</t>
  </si>
  <si>
    <t>Rollo MetaGuard MGC Wrap 002 Mate 1,60x50m</t>
  </si>
  <si>
    <t>A0001992</t>
  </si>
  <si>
    <t>Rollo MetaGuard MGC Wrap 005 Brillo 1,60x10m</t>
  </si>
  <si>
    <t>A0001993</t>
  </si>
  <si>
    <t>Rollo MetaGuard MGC Wrap 005 Brillo 1,60x25m</t>
  </si>
  <si>
    <t>A0001994</t>
  </si>
  <si>
    <t>Rollo MetaGuard MGC Wrap 005 Brillo 1,60x50m</t>
  </si>
  <si>
    <t>A0001995</t>
  </si>
  <si>
    <t>6000004130 - Assy, Cap Head MPX-90 5PCS_01</t>
  </si>
  <si>
    <t>A0001996</t>
  </si>
  <si>
    <t>Cable Assy, Thermistor VP-540</t>
  </si>
  <si>
    <t>A0001997</t>
  </si>
  <si>
    <t>Assy, Ink Tank Board VS-640I</t>
  </si>
  <si>
    <t>A0001998</t>
  </si>
  <si>
    <t>Assy, Therm Board VP-540</t>
  </si>
  <si>
    <t>A0002002</t>
  </si>
  <si>
    <t>Rollo MD-WA WallArt 02 Arena 1,37x30m</t>
  </si>
  <si>
    <t>A0002005</t>
  </si>
  <si>
    <t>Rollo MD-WA WallArt 02 Arena 1,52x30m</t>
  </si>
  <si>
    <t>A0002006</t>
  </si>
  <si>
    <t>Rollo MD-WA WallArt 01 Artisan 1,52x30m</t>
  </si>
  <si>
    <t>A0002007</t>
  </si>
  <si>
    <t>Rollo MD-WA WallArt 01 Artisan 1,37x15m</t>
  </si>
  <si>
    <t>A0002008</t>
  </si>
  <si>
    <t>Rollo MD-WA WallArt 02 Arena 1,37x15m</t>
  </si>
  <si>
    <t>A0002010</t>
  </si>
  <si>
    <t>Rollo MD-WA WallArt 01 Artisan 1,52x15m</t>
  </si>
  <si>
    <t>A0002011</t>
  </si>
  <si>
    <t>Rollo MD-WA WallArt 02 Arena 1,52x15m</t>
  </si>
  <si>
    <t>A0002013</t>
  </si>
  <si>
    <t>Botella 5 litros de Removedor de Adhesivos Metamark</t>
  </si>
  <si>
    <t>A0002014</t>
  </si>
  <si>
    <t>Botella 1 litro Limpiador de Superficies Metamark</t>
  </si>
  <si>
    <t>A0002015</t>
  </si>
  <si>
    <t>Botella 5 litros Limpiador de Superficies Metamark</t>
  </si>
  <si>
    <t>A0002016</t>
  </si>
  <si>
    <t>Botella 1 litro de Alcohol Isopropílico Metamark</t>
  </si>
  <si>
    <t>A0002017</t>
  </si>
  <si>
    <t>Botella 1 litro Fluído para Fácil Aplicación Metamark</t>
  </si>
  <si>
    <t>A0002018</t>
  </si>
  <si>
    <t>Botella 5 litros Fluído para Fácil Aplicación Metamark</t>
  </si>
  <si>
    <t>A0002019</t>
  </si>
  <si>
    <t>Botella 5 litros SilverBullet Pro Primer Metamark</t>
  </si>
  <si>
    <t>A0002575</t>
  </si>
  <si>
    <t>M2 Metamark MD RF2 Reflectante Blanco 1,24x45m</t>
  </si>
  <si>
    <t>A0002021</t>
  </si>
  <si>
    <t>Cable-Card 26P1 2440L BB HIGH-V</t>
  </si>
  <si>
    <t>A0002022</t>
  </si>
  <si>
    <t>Cable-Card 40P1 400L BB HIGH-V</t>
  </si>
  <si>
    <t>A0002023</t>
  </si>
  <si>
    <t>Cable-Card 25P1</t>
  </si>
  <si>
    <t>A0002024</t>
  </si>
  <si>
    <t>Cable Assy, Power Main SP-300</t>
  </si>
  <si>
    <t>A0002025</t>
  </si>
  <si>
    <t>Plancha 360 IQ Gorras</t>
  </si>
  <si>
    <t>A0002027</t>
  </si>
  <si>
    <t>M2 Metamark MD-RF7 Reflectante Engineering Grade Amarillo 1,22x50m</t>
  </si>
  <si>
    <t>A0002813</t>
  </si>
  <si>
    <t>M2 Metamark MD-RF7 Reflectante Engineering Grade Blanco 0,61x50m</t>
  </si>
  <si>
    <t>A0002028</t>
  </si>
  <si>
    <t>M2 Metamark MD-RF7 Reflectante Engineering Grade Blanco 1,22x50m</t>
  </si>
  <si>
    <t>A0002029</t>
  </si>
  <si>
    <t>M2 Metamark MD-RF7 Reflectante Engineering Grade Rojo 1,22x50m</t>
  </si>
  <si>
    <t>A0002030</t>
  </si>
  <si>
    <t>Rollo Metamark Aura 144 Conspicuity Tape Blanco 50mm x 50m</t>
  </si>
  <si>
    <t>A0002031</t>
  </si>
  <si>
    <t>Rollo Metamark Aura 144 Conspicuity Tape Amarillo 50mm x 50m</t>
  </si>
  <si>
    <t>A0002032</t>
  </si>
  <si>
    <t>Rollo Metamark Aura 144 Conspicuity Tape Rojo 50mm x 50m</t>
  </si>
  <si>
    <t>A0002033</t>
  </si>
  <si>
    <t>Rollo Metamark Aura 191 Alta Intensidad Blanco 1,22 x 45,7m</t>
  </si>
  <si>
    <t>A0002034</t>
  </si>
  <si>
    <t>Rollo Metamark Aura 191 Alta Intensidad Amarillo 1,22 x 45,7m</t>
  </si>
  <si>
    <t>A0002035</t>
  </si>
  <si>
    <t>Rollo Metamark Aura 191 Alta Intensidad Rojo 1,22 x 45,7m</t>
  </si>
  <si>
    <t>M2 Metamark Metascape M4A Frosted Window Monomérico 0,61 x 50m</t>
  </si>
  <si>
    <t>M2 Metamark Metascape M4A Frosted Window Monomérico 1,22 x 50m</t>
  </si>
  <si>
    <t>M2 Metamark Metascape M4A Frosted Window Monomérico 1,60 x 50m</t>
  </si>
  <si>
    <t>M2 Metamark MetaScape M7A 100 Blanco Brillo 0,61 x 50m</t>
  </si>
  <si>
    <t>A0002040</t>
  </si>
  <si>
    <t>Imanes para fijación Metamark</t>
  </si>
  <si>
    <t>A0002041</t>
  </si>
  <si>
    <t>Rollo Doble Cara Metamark Gel transparente Alta Adherencia 12mm x 33m</t>
  </si>
  <si>
    <t>A0002042</t>
  </si>
  <si>
    <t>Rollo Doble Cara Metamark Espuma Gris Alta Adherencia 12mm x 33m</t>
  </si>
  <si>
    <t>A0002043</t>
  </si>
  <si>
    <t>Rollo Doble Cara Metamark Espuma Blanca 12mm x 50m</t>
  </si>
  <si>
    <t>A0002044</t>
  </si>
  <si>
    <t>Rollo Doble Cara Metamark Espuma Blanca 24mm x 50m</t>
  </si>
  <si>
    <t>M2 Metamark MetaScape M7A 100 Blanco Brillo 1,22 x 50m</t>
  </si>
  <si>
    <t>A0002049</t>
  </si>
  <si>
    <t>Rollo Cinta doble cara empalme lona 25mmx25m</t>
  </si>
  <si>
    <t>A0002051</t>
  </si>
  <si>
    <t>Hotronix Dual Air Fusion IQ 2x 40x50cm</t>
  </si>
  <si>
    <t>A0002052</t>
  </si>
  <si>
    <t>Compresor SIL AIR 100/24 Panther P100</t>
  </si>
  <si>
    <t>A0002053</t>
  </si>
  <si>
    <t>Hotronix Air Fusion IQ 40x50cm</t>
  </si>
  <si>
    <t>A0002054</t>
  </si>
  <si>
    <t>Compresor SIL AIR 50/24</t>
  </si>
  <si>
    <t>A0001855</t>
  </si>
  <si>
    <t>M2 Metamark MetaScape M7A 101M Blanco Mate 0,61 x 50m</t>
  </si>
  <si>
    <t>A0001856</t>
  </si>
  <si>
    <t>M2 Metamark MetaScape M7A 101M Blanco Mate 1,22 x 50m</t>
  </si>
  <si>
    <t>A0001791</t>
  </si>
  <si>
    <t>M2 Metamark MetaScape M7A 110 Negro Brillo 0,61 x 50m</t>
  </si>
  <si>
    <t>A0002058</t>
  </si>
  <si>
    <t>Rollo Sign-Ad Satín Ultraremovible Opaque Bajo Tack 1,37x45,7m</t>
  </si>
  <si>
    <t>A0002059</t>
  </si>
  <si>
    <t>Plancha Térmica Stahl's Clam Basic 38x38</t>
  </si>
  <si>
    <t>A0002060</t>
  </si>
  <si>
    <t>Rollo TriSolv Papel Poster Prime 200 1,067x50m</t>
  </si>
  <si>
    <t>A0002061</t>
  </si>
  <si>
    <t>Rollo TriSolv Papel Poster Prime 200 1,37x50m</t>
  </si>
  <si>
    <t>A0002062</t>
  </si>
  <si>
    <t>Rollo TriSolv Papel Poster Prime 200 1,52x50m</t>
  </si>
  <si>
    <t>A0002063</t>
  </si>
  <si>
    <t>1000025142 - Assy, Damper Double CIR 3 CG2075 (VG2)</t>
  </si>
  <si>
    <t>A0002064</t>
  </si>
  <si>
    <t>Tubo 76,5 x 80 x 610</t>
  </si>
  <si>
    <t>A0002068</t>
  </si>
  <si>
    <t>1000004546 - Assy cap top XC-540</t>
  </si>
  <si>
    <t>A0002069</t>
  </si>
  <si>
    <t>6000005252 - Assy, Press Pump SV2 CG2076</t>
  </si>
  <si>
    <t>A0002070</t>
  </si>
  <si>
    <t>Rollo Reflectiv AUT S05 23mc 1,52x5m</t>
  </si>
  <si>
    <t>A0002071</t>
  </si>
  <si>
    <t>Rollo Polimérico Isee2 (Forcetack) Alto Agarre Mate 1,37x50m</t>
  </si>
  <si>
    <t>M2 Metamark MetaScape M7A 110 Negro Brillo 1,22 x 50m</t>
  </si>
  <si>
    <t>A0002073</t>
  </si>
  <si>
    <t>Roland P-Roller FD10S3 (B4 - Central)</t>
  </si>
  <si>
    <t>A0002074</t>
  </si>
  <si>
    <t>Valve, Choke CG2057</t>
  </si>
  <si>
    <t>A0002075</t>
  </si>
  <si>
    <t>6000004658 - Assy, Cap Top SV CG2076</t>
  </si>
  <si>
    <t>A0002076</t>
  </si>
  <si>
    <t>Plate, Clamp Media L BN-20</t>
  </si>
  <si>
    <t>A0002078</t>
  </si>
  <si>
    <t>Gas Spring 40x50 &amp; 40x40 (1-2243)</t>
  </si>
  <si>
    <t>A0001870</t>
  </si>
  <si>
    <t>M2 Metamark MetaScape M7A 111M Negro Mate 0,61 x 50m</t>
  </si>
  <si>
    <t>M2 Metamark MetaScape M7A 111M Negro Mate 1,22 x 50m</t>
  </si>
  <si>
    <t>M2 Metamark MetaScape M7A 118 Azul Reflex 0,61 x 50m</t>
  </si>
  <si>
    <t>M2 Metamark MetaScape M7A 118 Azul Reflex 1,22 x 50m</t>
  </si>
  <si>
    <t>A0002083</t>
  </si>
  <si>
    <t>Sistema de Alineación Láser</t>
  </si>
  <si>
    <t>A0002084</t>
  </si>
  <si>
    <t>Power Platen Sleeve/Leg 15 x 51cm</t>
  </si>
  <si>
    <t>A0002085</t>
  </si>
  <si>
    <t>Lower Platen 20x25cm</t>
  </si>
  <si>
    <t>A0002086</t>
  </si>
  <si>
    <t>Cable-Assy, Pump Motor VS-640I</t>
  </si>
  <si>
    <t>A0002087</t>
  </si>
  <si>
    <t>Rollo Vinilo Skynnet GoGo Dot 100 Transparente 1,37x50m</t>
  </si>
  <si>
    <t>A0002088</t>
  </si>
  <si>
    <t>Rollo Vinilo GoGo-Dot 100 Blanco Mate 1,37x50m</t>
  </si>
  <si>
    <t>A0002090</t>
  </si>
  <si>
    <t>Cortadora KeenCut Evolution E3 Smartfold 1,6m</t>
  </si>
  <si>
    <t>A0001914</t>
  </si>
  <si>
    <t>M2 Metamark MetaScape M7A 119 Azul Prusiano 0,61 x 50m</t>
  </si>
  <si>
    <t>A0002092</t>
  </si>
  <si>
    <t>Par de Guantes Uso diario</t>
  </si>
  <si>
    <t>A0000874</t>
  </si>
  <si>
    <t>A0001491</t>
  </si>
  <si>
    <t>M2 Metamark MetaScape M7A 119 Azul Prusiano 1,22 x 50m</t>
  </si>
  <si>
    <t>A0001921</t>
  </si>
  <si>
    <t>M2 Metamark MetaScape M7A 121 Gris Ligero 0,61 x 50m</t>
  </si>
  <si>
    <t>A0001920</t>
  </si>
  <si>
    <t>M2 Metamark MetaScape M7A 121 Gris Ligero 1,22 x 50m</t>
  </si>
  <si>
    <t>A0001919</t>
  </si>
  <si>
    <t>M2 Metamark MetaScape M7A 122 Gris Palo 0,61 x 50m</t>
  </si>
  <si>
    <t>A0001918</t>
  </si>
  <si>
    <t>M2 Metamark MetaScape M7A 122 Gris Palo 1,22 x 50m</t>
  </si>
  <si>
    <t>A0001923</t>
  </si>
  <si>
    <t>M2 Metamark MetaScape M7A 124 Gris Oscuro 0,61 x 50m</t>
  </si>
  <si>
    <t>A0001922</t>
  </si>
  <si>
    <t>M2 Metamark MetaScape M7A 124 Gris Oscuro 1,22 x 50m</t>
  </si>
  <si>
    <t>A0001867</t>
  </si>
  <si>
    <t>M2 Metamark MetaScape M7A 125 Gris Nimbo 0,61 x 50m</t>
  </si>
  <si>
    <t>M2 Metamark MetaScape M7A 125 Gris Nimbo 1,22 x 50m</t>
  </si>
  <si>
    <t>A0001906</t>
  </si>
  <si>
    <t>M2 Metamark MetaScape M7A 131 Amarillo Girasol 0,61 x 50m</t>
  </si>
  <si>
    <t>M2 Metamark MetaScape M7A 131 Amarillo Girasol 1,22 x 50m</t>
  </si>
  <si>
    <t>A0001866</t>
  </si>
  <si>
    <t>M2 Metamark MetaScape M7A 133 Naranja 0,61 x 50m</t>
  </si>
  <si>
    <t>M2 Metamark MetaScape M7A 133 Naranja 1,22 x 50m</t>
  </si>
  <si>
    <t>A0001907</t>
  </si>
  <si>
    <t>M2 Metamark MetaScape M7A 135 Albaricoque 0,61 x 50m</t>
  </si>
  <si>
    <t>M2 Metamark MetaScape M7A 135 Albaricoque 1,22 x 50m</t>
  </si>
  <si>
    <t>A0001882</t>
  </si>
  <si>
    <t>M2 Metamark MetaScape M7A 136 Amarillo Brillante 0,61x 50m</t>
  </si>
  <si>
    <t>M2 Metamark MetaScape M7A 136 Amarillo Brillante 1,22 x 50m</t>
  </si>
  <si>
    <t>M2 Metamark MetaScape M7A 142 Rojo Tomate 0,61 x 50m</t>
  </si>
  <si>
    <t>A0002111</t>
  </si>
  <si>
    <t>Cortadora KeenCut Evolution E3 Smartfold 1,1m</t>
  </si>
  <si>
    <t>A0002112</t>
  </si>
  <si>
    <t>Cortadora KeenCut Evolution E3 Smartfold 2,1m</t>
  </si>
  <si>
    <t>A0002113</t>
  </si>
  <si>
    <t>Cortadora KeenCut Evolution E3 Smartfold 2,6m</t>
  </si>
  <si>
    <t>A0002114</t>
  </si>
  <si>
    <t>Cortadora KeenCut Evolution E3 Smartfold 3,1m</t>
  </si>
  <si>
    <t>A0002115</t>
  </si>
  <si>
    <t>Cortadora KeenCut Evolution E3 Smartfold 3,6m</t>
  </si>
  <si>
    <t>A0002118</t>
  </si>
  <si>
    <t>Rollo Reflectiv Film transparente 67047 Lila 1,52x2,5m</t>
  </si>
  <si>
    <t>A0002119</t>
  </si>
  <si>
    <t>Rollo VinylEfx Fine Brush Silver Exterior 0,61 x 45,7m</t>
  </si>
  <si>
    <t>A0002120</t>
  </si>
  <si>
    <t>1000015411 - Cover, SW R SG-540</t>
  </si>
  <si>
    <t>A0002121</t>
  </si>
  <si>
    <t>1000014072 - Cable-Card 29P1 305L BB HIGH-V</t>
  </si>
  <si>
    <t>A0002123</t>
  </si>
  <si>
    <t>Rollo Transportador 4075RLA (Papel alto agarre) 1,52x100m</t>
  </si>
  <si>
    <t>A0002124</t>
  </si>
  <si>
    <t>Rollo Reflectiv AUT S05 23mc 1,52x15m</t>
  </si>
  <si>
    <t>A0002125</t>
  </si>
  <si>
    <t>Rollo Reflectiv AUT S05 23mc 1,52x30m</t>
  </si>
  <si>
    <t>M2 Metamark MetaScape M7A 142 Rojo Tomate 1,22 x 50m</t>
  </si>
  <si>
    <t>A0002127</t>
  </si>
  <si>
    <t>Rollo Reflectiv Film transparente 67047 Lila 1,52x5m</t>
  </si>
  <si>
    <t>A0002128</t>
  </si>
  <si>
    <t>Rollo Reflectiv Film transparente 63545 Turquesa 1,52x5m</t>
  </si>
  <si>
    <t>A0002129</t>
  </si>
  <si>
    <t>Plancha Basic Gorras</t>
  </si>
  <si>
    <t>A0002130</t>
  </si>
  <si>
    <t>1000015572 - Cable-Assy, F-Cover SW SG-540</t>
  </si>
  <si>
    <t>A0002131</t>
  </si>
  <si>
    <t>1000006524 - Spring, Cap Front VS-640</t>
  </si>
  <si>
    <t>A0002136</t>
  </si>
  <si>
    <t>PL11X15 - Lower Platen 28x38cm</t>
  </si>
  <si>
    <t>A0002137</t>
  </si>
  <si>
    <t>Sheet Linear Scale VP-540</t>
  </si>
  <si>
    <t>A0002138</t>
  </si>
  <si>
    <t>Pad, Cutter SG 300</t>
  </si>
  <si>
    <t>A0002139</t>
  </si>
  <si>
    <t>Pad, Cuttercg2041</t>
  </si>
  <si>
    <t>A0001881</t>
  </si>
  <si>
    <t>M2 Metamark MetaScape M7A 143 Rojo Cereza 0,61 x 50m</t>
  </si>
  <si>
    <t>M2 Metamark MetaScape M7A 143 Rojo Cereza 1,22 x 50m</t>
  </si>
  <si>
    <t>A0001911</t>
  </si>
  <si>
    <t>M2 Metamark MetaScape M7A 145 Rojo Borgoña 0,61 x 50m</t>
  </si>
  <si>
    <t>M2 Metamark MetaScape M7A 145 Rojo Borgoña 1,22 x 50m</t>
  </si>
  <si>
    <t>A0001909</t>
  </si>
  <si>
    <t>M2 Metamark MetaScape M7A 148 Rojo Profundo 0,61 x 50m</t>
  </si>
  <si>
    <t>M2 Metamark MetaScape M7A 148 Rojo Profundo 1,22 x 50m</t>
  </si>
  <si>
    <t>A0002146</t>
  </si>
  <si>
    <t>Rollo Laminado MG 82 (80mic) Mate 1,37x50m</t>
  </si>
  <si>
    <t>A0002147</t>
  </si>
  <si>
    <t>Rollo Laminado MG 85 (80mic) Brillo 1,37x50m</t>
  </si>
  <si>
    <t>A0002148</t>
  </si>
  <si>
    <t>Máquina Porta Rollos 61cm</t>
  </si>
  <si>
    <t>A0002149</t>
  </si>
  <si>
    <t>Rollo Reflectiv IR 50 1,52x30m</t>
  </si>
  <si>
    <t>A0002150</t>
  </si>
  <si>
    <t>Rollo MDC MetaCast Wrap MGlide 005 Brillo 1,60x50m</t>
  </si>
  <si>
    <t>A0002151</t>
  </si>
  <si>
    <t>Rollo MDC MetaCast Wrap MGlide 005 Brillo 1,60x25m</t>
  </si>
  <si>
    <t>A0002152</t>
  </si>
  <si>
    <t>Rollo MDC MetaCast Wrap MGlide 005 Brillo 1,60x10m</t>
  </si>
  <si>
    <t>A0002153</t>
  </si>
  <si>
    <t>Rollo Reflectiv AGI 100 Antigraffiti 1,52m x 2,5m</t>
  </si>
  <si>
    <t>A0002154</t>
  </si>
  <si>
    <t>Rollo Reflectiv AGI 100 Antigraffiti 1,52m x 10m</t>
  </si>
  <si>
    <t>A0002155</t>
  </si>
  <si>
    <t>Rollo Reflectiv AGI 100 Antigraffiti 1,52m x 30m</t>
  </si>
  <si>
    <t>A0001908</t>
  </si>
  <si>
    <t>M2 Metamark MetaScape M7A 149 Rojo Carmesí 0,61 x 50m</t>
  </si>
  <si>
    <t>M2 Metamark MetaScape M7A 149 Rojo Carmesí 1,22 x 50m</t>
  </si>
  <si>
    <t>A0002158</t>
  </si>
  <si>
    <t>Rollo Monomérico Isee2 (StrongTack) Alto Agarre Brillo 1,37x50m</t>
  </si>
  <si>
    <t>A0002159</t>
  </si>
  <si>
    <t>Rollo Reflectiv AGI 200 Antirayaduras 1,52m x 2,5m</t>
  </si>
  <si>
    <t>A0002160</t>
  </si>
  <si>
    <t>Rollo Reflectiv AGI 200 Antirayaduras 1,52m x 5m</t>
  </si>
  <si>
    <t>A0002161</t>
  </si>
  <si>
    <t>Rollo Reflectiv AGI 200 Antirayaduras 1,52m x 10m</t>
  </si>
  <si>
    <t>A0002162</t>
  </si>
  <si>
    <t>Rollo Reflectiv AGI 200 Antirayaduras 1,52m x 30m</t>
  </si>
  <si>
    <t>A0002163</t>
  </si>
  <si>
    <t>Rollo Reflectiv Sec058 200mc 1,52x2,5m</t>
  </si>
  <si>
    <t>A0002164</t>
  </si>
  <si>
    <t>Rollo Reflectiv Sec058 200mc 1,52x5m</t>
  </si>
  <si>
    <t>A0002165</t>
  </si>
  <si>
    <t>Rollo Reflectiv Sec058 200mc 1,52x10m</t>
  </si>
  <si>
    <t>A0002166</t>
  </si>
  <si>
    <t>Rollo Reflectiv Sec058 200mc 1,52x30m</t>
  </si>
  <si>
    <t>A0002167</t>
  </si>
  <si>
    <t>Rollo Reflectiv AUT S05 23mc 1,52x2,5m</t>
  </si>
  <si>
    <t>A0002168</t>
  </si>
  <si>
    <t>Rollo Reflectiv AUT P05 46mc 1,52x2,5m</t>
  </si>
  <si>
    <t>A0002170</t>
  </si>
  <si>
    <t>Rollo Reflectiv AUT P05 46mc 1,52x10m</t>
  </si>
  <si>
    <t>A0002171</t>
  </si>
  <si>
    <t>Rollo Reflectiv AUT P05 46mc 1,52x30m</t>
  </si>
  <si>
    <t>A0001871</t>
  </si>
  <si>
    <t>M2 Metamark MetaScape M7A 151 Azul Olímpico 0,61 x 50m</t>
  </si>
  <si>
    <t>A0002173</t>
  </si>
  <si>
    <t>Cortador de material Safety Cutter</t>
  </si>
  <si>
    <t>A0002174</t>
  </si>
  <si>
    <t>Rollo MD-TX2 Wall Tex 1,37x30m</t>
  </si>
  <si>
    <t>A0002175</t>
  </si>
  <si>
    <t>Rollo MD-TX2 Wall Tex 1,52x30m</t>
  </si>
  <si>
    <t>A0002177</t>
  </si>
  <si>
    <t>Rollo Vinilo Polimérico Trifecta Texturizado 1,37x30,5m</t>
  </si>
  <si>
    <t>A0002178</t>
  </si>
  <si>
    <t>Rollo Vinilo Electroestático Ultra-Clear 200m 1,37x45,7m</t>
  </si>
  <si>
    <t>A0002179</t>
  </si>
  <si>
    <t>Rollo Vinilo Electroestático Blanco Brillo 200m 1,37x45,7m</t>
  </si>
  <si>
    <t>A0002181</t>
  </si>
  <si>
    <t>Rollo Adhesivo Doble Cara Polyester Perm/Rem 1,37x45,7</t>
  </si>
  <si>
    <t>A0002182</t>
  </si>
  <si>
    <t>Rollo Adhesivo Doble Cara Polyester PermAE/Rem  1,37x45,7</t>
  </si>
  <si>
    <t>A0002183</t>
  </si>
  <si>
    <t>Rollo Adhesivo Doble Cara Blanco Opaco Perm/Perm  1,37x45,7</t>
  </si>
  <si>
    <t>A0002184</t>
  </si>
  <si>
    <t>Cortador de Liner Guard Knife</t>
  </si>
  <si>
    <t>A0002185</t>
  </si>
  <si>
    <t>Cuchillas Safety Cutter</t>
  </si>
  <si>
    <t>A0002186</t>
  </si>
  <si>
    <t>Cuchilla Guard Knife</t>
  </si>
  <si>
    <t>M2 Metamark MetaScape M7A 151 Azul Olímpico 1,22 x 50m</t>
  </si>
  <si>
    <t>A0001854</t>
  </si>
  <si>
    <t>M2 Metamark MetaScape M7A 154 Azul Medio 0,61 x 50m</t>
  </si>
  <si>
    <t>M2 Metamark MetaScape M7A 154 Azul Medio 1,22 x 50m</t>
  </si>
  <si>
    <t>A0001912</t>
  </si>
  <si>
    <t>M2 Metamark MetaScape M7A 155 Azul Ultramarino 0,61 x 50m</t>
  </si>
  <si>
    <t>M2 Metamark MetaScape M7A 155 Azul Ultramarino 1,22 x 50m</t>
  </si>
  <si>
    <t>A0001913</t>
  </si>
  <si>
    <t>M2 Metamark MetaScape M7A 156 Azul Naval 0,61 x 50m</t>
  </si>
  <si>
    <t>A0002193</t>
  </si>
  <si>
    <t>Regla SafeEdge Metamark 1620mm</t>
  </si>
  <si>
    <t>A0002194</t>
  </si>
  <si>
    <t>Regla SafeEdge Metamark 1400mm</t>
  </si>
  <si>
    <t>A0002195</t>
  </si>
  <si>
    <t>Regla SafeEdge Metamark 1250mm</t>
  </si>
  <si>
    <t>A0002196</t>
  </si>
  <si>
    <t>Regla SafeEdge Metamark 620mm</t>
  </si>
  <si>
    <t>A0002197</t>
  </si>
  <si>
    <t>Metro SoftGrip Metamark 3m</t>
  </si>
  <si>
    <t>A0002198</t>
  </si>
  <si>
    <t>Metro SoftGrip Metamark 8m</t>
  </si>
  <si>
    <t>A0002199</t>
  </si>
  <si>
    <t>Rollo Impresión Polyester Free Pvc Blanco Mate 1,37x50m</t>
  </si>
  <si>
    <t>A0002200</t>
  </si>
  <si>
    <t>Rollo Laminación Polyester Free Pvc Transparente Brillo 1,37x50m</t>
  </si>
  <si>
    <t>A0002201</t>
  </si>
  <si>
    <t>ML Ferromagnético 0.18mm espesor 1,37x30m</t>
  </si>
  <si>
    <t>A0002202</t>
  </si>
  <si>
    <t>Rollo LaminadoExtreme Guard Antigravilla 300 micras 1,37x45m</t>
  </si>
  <si>
    <t>A0002203</t>
  </si>
  <si>
    <t>Rollo Reflectiv Film transparente 61185 Azul Azure 1,52x5m</t>
  </si>
  <si>
    <t>A0002204</t>
  </si>
  <si>
    <t>ML Magnético 0.5mm espesor Natural 0.61x30m</t>
  </si>
  <si>
    <t>A0002205</t>
  </si>
  <si>
    <t>ML Magnético 0.7mm espesor + Adhesivo 0.61x50m</t>
  </si>
  <si>
    <t>A0002206</t>
  </si>
  <si>
    <t>ML Magnético 1mm espesor + Adhesivo 0.61x30m</t>
  </si>
  <si>
    <t>A0002207</t>
  </si>
  <si>
    <t>Tinta EcoUV 4 Magenta 500cc</t>
  </si>
  <si>
    <t>A0002208</t>
  </si>
  <si>
    <t>Tinta EcoUV 4 Cyan 500cc</t>
  </si>
  <si>
    <t>A0002209</t>
  </si>
  <si>
    <t>Tinta EcoUV 4 Gloss 500cc</t>
  </si>
  <si>
    <t>A0002210</t>
  </si>
  <si>
    <t>Tinta EcoUV 4 Negro 500cc</t>
  </si>
  <si>
    <t>A0002211</t>
  </si>
  <si>
    <t>Tinta EcoUV 4 Amarillo 500cc</t>
  </si>
  <si>
    <t>A0002212</t>
  </si>
  <si>
    <t>Rollo LaminadoExtreme Guard Antigravilla 250 micras 1,37x45m</t>
  </si>
  <si>
    <t>A0002213</t>
  </si>
  <si>
    <t>Rollo Reflectiv AUT P05 46mc 1,52x5m</t>
  </si>
  <si>
    <t>M2 Metamark MetaScape M7A 156 Azul Naval 1,22 x 50m</t>
  </si>
  <si>
    <t>A0001916</t>
  </si>
  <si>
    <t>M2 Metamark MetaScape M7A 162 Verde Esmeralda 0,61 x 50m</t>
  </si>
  <si>
    <t>A0001915</t>
  </si>
  <si>
    <t>M2 Metamark MetaScape M7A 162 Verde Esmeralda 1,22 x 50m</t>
  </si>
  <si>
    <t>A0002217</t>
  </si>
  <si>
    <t>ML Cad-Cut Disco 2004 Amarillo Oro 500mm</t>
  </si>
  <si>
    <t>A0002218</t>
  </si>
  <si>
    <t>ML Cad-Cut Disco 2001 Azul 500mm</t>
  </si>
  <si>
    <t>A0002219</t>
  </si>
  <si>
    <t>ML Cad-Cut Glow in the Dark 500mm</t>
  </si>
  <si>
    <t>A0001857</t>
  </si>
  <si>
    <t>M2 Metamark MetaScape M7A 164 Verde Bosque 0,61 x 50m</t>
  </si>
  <si>
    <t>M2 Metamark MetaScape M7A 164 Verde Bosque 1,22 x 50m</t>
  </si>
  <si>
    <t>A0002222</t>
  </si>
  <si>
    <t>Rollo Cad-Color Glow in the Dark 500mm</t>
  </si>
  <si>
    <t>A0002223</t>
  </si>
  <si>
    <t>6000005883 - Assy, PinchRoll R CG2162_01</t>
  </si>
  <si>
    <t>A0002224</t>
  </si>
  <si>
    <t>Rollo Termo Adhesive 30cm x 9,1m</t>
  </si>
  <si>
    <t>A0002225</t>
  </si>
  <si>
    <t>Rollo VinylEfx S6501 Fine Brush Silver Interior 0,61 x 45,7m</t>
  </si>
  <si>
    <t>A0002226</t>
  </si>
  <si>
    <t>Rollo VinylEfx Fine Brush Silver Exterior 1,22 x 45,7m</t>
  </si>
  <si>
    <t>A0002227</t>
  </si>
  <si>
    <t>Rollo VinylEfx Fine Brush Silver Interior 1,22 x 45,7m</t>
  </si>
  <si>
    <t>A0002228</t>
  </si>
  <si>
    <t>Rollo VinylEfx Fine Brush Silver Interior 1,37 x 45,7m</t>
  </si>
  <si>
    <t>A0002229</t>
  </si>
  <si>
    <t>Rollo VinylEfx Smooth Silver Exterior 0,61 x 45,7m</t>
  </si>
  <si>
    <t>A0002230</t>
  </si>
  <si>
    <t>Rollo VinylEfx Smooth Silver Interior 0,61 x 45,7m</t>
  </si>
  <si>
    <t>A0002231</t>
  </si>
  <si>
    <t>Rollo VinylEfx Smooth Silver Interior 1,22 x 45,7m</t>
  </si>
  <si>
    <t>A0002232</t>
  </si>
  <si>
    <t>Rollo VinylEfx Smooth Silver Exterior 1,22 x 45,7m</t>
  </si>
  <si>
    <t>A0002233</t>
  </si>
  <si>
    <t>Rollo VinylEfx Smooth Silver Interior 1,37 x 45,7m</t>
  </si>
  <si>
    <t>A0002234</t>
  </si>
  <si>
    <t>Rollo VinylEfx Smooth Gold Exterior 0,61 x 45,7m</t>
  </si>
  <si>
    <t>A0002235</t>
  </si>
  <si>
    <t>Rollo VinylEfx Smooth Gold Interior 0,61 x 45,7m</t>
  </si>
  <si>
    <t>A0002236</t>
  </si>
  <si>
    <t>Rollo VinylEfx Smooth Gold Exterior 1,22 x 45,7m</t>
  </si>
  <si>
    <t>A0002237</t>
  </si>
  <si>
    <t>Rollo VinylEfx Smooth Gold Interior 1,22 x 45,7m</t>
  </si>
  <si>
    <t>A0002238</t>
  </si>
  <si>
    <t>Rollo VinylEfx Smooth Gold Interior 1,37 x 45,7m</t>
  </si>
  <si>
    <t>A0002239</t>
  </si>
  <si>
    <t>Rollo VinylEfx Smooth Rose Gold Exterior 0,61 x 45,7m</t>
  </si>
  <si>
    <t>A0002240</t>
  </si>
  <si>
    <t>Rollo VinylEfx Smooth Rose Gold Interior 0,61 x 45,7m</t>
  </si>
  <si>
    <t>A0002241</t>
  </si>
  <si>
    <t>Rollo VinylEfx Smooth Rose Gold Exterior 1,22 x 45,7m</t>
  </si>
  <si>
    <t>A0002242</t>
  </si>
  <si>
    <t>Rollo VinylEfx Smooth Rose Gold Interior 1,22 x 45,7m</t>
  </si>
  <si>
    <t>A0002243</t>
  </si>
  <si>
    <t>Rollo VinylEfx Smooth Champagne Interior 0,61 x 45,7m</t>
  </si>
  <si>
    <t>A0002244</t>
  </si>
  <si>
    <t>Rollo VinylEfx Smooth Champagne Exterior 0,61 x 45,7m</t>
  </si>
  <si>
    <t>A0002245</t>
  </si>
  <si>
    <t>Rollo VinylEfx Smooth Champagne Exterior 1,22 x 45,7m</t>
  </si>
  <si>
    <t>A0002246</t>
  </si>
  <si>
    <t>Rollo VinylEfx Smooth Champagne Interior 1,22 x 45,7m</t>
  </si>
  <si>
    <t>A0002247</t>
  </si>
  <si>
    <t>Rollo VinylEfx Smooth Satin Copper Interior 0,61 x 45,7m</t>
  </si>
  <si>
    <t>A0002248</t>
  </si>
  <si>
    <t>Rollo VinylEfx Smooth Satin Copper Exterior 0,61 x 45,7m</t>
  </si>
  <si>
    <t>A0002249</t>
  </si>
  <si>
    <t>Rollo VinylEfx Smooth Satin Copper Exterior 1,22 x 45,7m</t>
  </si>
  <si>
    <t>A0002250</t>
  </si>
  <si>
    <t>Rollo VinylEfx Smooth Satin Copper Interior 1,22 x 45,7m</t>
  </si>
  <si>
    <t>A0002251</t>
  </si>
  <si>
    <t>Rollo VinylEfx Smooth Bronze Interior 0,61 x 45,7m</t>
  </si>
  <si>
    <t>A0002252</t>
  </si>
  <si>
    <t>Rollo VinylEfx Smooth Bronze Exterior 0,61 x 45,7m</t>
  </si>
  <si>
    <t>A0002253</t>
  </si>
  <si>
    <t>Rollo VinylEfx Smooth Bronze Exterior 1,22 x 45,7m</t>
  </si>
  <si>
    <t>A0002254</t>
  </si>
  <si>
    <t>Rollo VinylEfx Smooth Bronze Interior 1,22 x 45,7m</t>
  </si>
  <si>
    <t>A0002255</t>
  </si>
  <si>
    <t>Rollo VinylEfx S7901 Rainbow Brite Overall Silver Interior 0,61 x 45,7m</t>
  </si>
  <si>
    <t>A0002256</t>
  </si>
  <si>
    <t>Rollo VinylEfx E7901 Rainbow Brite Overall Silver Exterior 0,61 x 45,7m</t>
  </si>
  <si>
    <t>A0002257</t>
  </si>
  <si>
    <t>Rollo VinylEfx Fine Brush Rose Gold Interior 0,61 x 45,7m</t>
  </si>
  <si>
    <t>A0002258</t>
  </si>
  <si>
    <t>Rollo VinylEfx Fine Brush Gold Exterior 1,22 x 45,7m</t>
  </si>
  <si>
    <t>A0002259</t>
  </si>
  <si>
    <t>Rollo VinylEfx Fine Brush Gold Exterior 0,61 x 45,7m</t>
  </si>
  <si>
    <t>A0002260</t>
  </si>
  <si>
    <t>Rollo VinylEfx Fine Brush Rose Gold Exterior 1,22 x 45,7m</t>
  </si>
  <si>
    <t>A0002261</t>
  </si>
  <si>
    <t>Rollo VinylEfx Fine Brush Rose Gold Exterior 0,61 x 45,7m</t>
  </si>
  <si>
    <t>A0002262</t>
  </si>
  <si>
    <t>Rollo VinylEfx Fine Brush Rose Gold Interior 1,22 x 45,7m</t>
  </si>
  <si>
    <t>A0002263</t>
  </si>
  <si>
    <t>Rollo VinylEfx Fine Brush Champagne Interior 0,61 x 45,7m</t>
  </si>
  <si>
    <t>A0002264</t>
  </si>
  <si>
    <t>Rollo VinylEfx Fine Brush Champagne Exterior 1,22 x 45,7m</t>
  </si>
  <si>
    <t>A0002265</t>
  </si>
  <si>
    <t>Rollo VinylEfx Fine Brush Champagne Exterior 0,61 x 45,7m</t>
  </si>
  <si>
    <t>A0002266</t>
  </si>
  <si>
    <t>Rollo VinylEfx Fine Brush Champagne Interior 1,22 x 45,7m</t>
  </si>
  <si>
    <t>A0002267</t>
  </si>
  <si>
    <t>Rollo VinylEfx Fine Brush Satin Copper Interior 0,61 x 45,7m</t>
  </si>
  <si>
    <t>A0002268</t>
  </si>
  <si>
    <t>Rollo VinylEfx Fine Brush Satin Copper Exterior 0,61 x 45,7m</t>
  </si>
  <si>
    <t>A0002269</t>
  </si>
  <si>
    <t>Rollo VinylEfx Fine Brush Satin Copper Interior 1,22 x 45,7m</t>
  </si>
  <si>
    <t>A0002270</t>
  </si>
  <si>
    <t>Rollo VinylEfx Fine Brush Satin Copper Exterior 1,22 x 45,7m</t>
  </si>
  <si>
    <t>A0002271</t>
  </si>
  <si>
    <t>Rollo VinylEfx Fine Brush Bronze Interior 0,61 x 45,7m</t>
  </si>
  <si>
    <t>A0002272</t>
  </si>
  <si>
    <t>Rollo VinylEfx Fine Brush Bronze Exterior 0,61 x 45,7m</t>
  </si>
  <si>
    <t>A0002273</t>
  </si>
  <si>
    <t>Rollo VinylEfx Fine Brush Bronze Interior 1,22 x 45,7m</t>
  </si>
  <si>
    <t>A0002274</t>
  </si>
  <si>
    <t>Rollo VinylEfx Fine Brush Bronze Exterior 1,22 x 45,7m</t>
  </si>
  <si>
    <t>A0002275</t>
  </si>
  <si>
    <t>Rollo VinylEfx Metal Flake Gold Interior 0,61 x 45,7m</t>
  </si>
  <si>
    <t>A0002276</t>
  </si>
  <si>
    <t>Rollo VinylEfx Metal Flake Silver Interior 0,61 x 45,7m</t>
  </si>
  <si>
    <t>A0002277</t>
  </si>
  <si>
    <t>Rollo VinylEfx Metal Flake Silver Interior 1,22 x 45,7m</t>
  </si>
  <si>
    <t>A0002278</t>
  </si>
  <si>
    <t>Rollo VinylEfx Metal Flake Red Interior 0,61 x 45,7m</t>
  </si>
  <si>
    <t>A0002279</t>
  </si>
  <si>
    <t>Rollo VinylEfx Metal Flake Royal Blue Interior 0,61 x 45,7m</t>
  </si>
  <si>
    <t>A0002282</t>
  </si>
  <si>
    <t>Rollo VinylEfx Multi Lens Royal Blue Interior 0,61 x 45,7m</t>
  </si>
  <si>
    <t>A0002283</t>
  </si>
  <si>
    <t>Rollo VinylEfx Diamond Plate Silver Interior 0,61 x 45,7m</t>
  </si>
  <si>
    <t>A0002284</t>
  </si>
  <si>
    <t>Rollo VinylEfx Diamond Plate Silver Exterior 0,61 x 45,7m</t>
  </si>
  <si>
    <t>A0002285</t>
  </si>
  <si>
    <t>Rollo VinylEfx Large Engine Turn Gold Exterior 0,61 x 45,7m</t>
  </si>
  <si>
    <t>A0002286</t>
  </si>
  <si>
    <t>Rollo VinylEfx Florentine Leaf Gold Interior 0,61 x 45,7m</t>
  </si>
  <si>
    <t>A0002287</t>
  </si>
  <si>
    <t>Rollo VinylEfx Florentine Leaf Gold Exterior 0,61 x 45,7m</t>
  </si>
  <si>
    <t>A0002288</t>
  </si>
  <si>
    <t>Rollo VinylEfx Hammered Leaf Gold Exterior 0,61 x 45,7m</t>
  </si>
  <si>
    <t>A0002289</t>
  </si>
  <si>
    <t>Rollo VinylEfx Mosaic Silver Interior 0,61 x 45,7m</t>
  </si>
  <si>
    <t>A0002290</t>
  </si>
  <si>
    <t>Rollo VinylEfx GlowEfx Interior 0,61 x 45,7m</t>
  </si>
  <si>
    <t>A0002291</t>
  </si>
  <si>
    <t>Roland Fresadora SRM-20</t>
  </si>
  <si>
    <t>A0002292</t>
  </si>
  <si>
    <t>Cartucho Roland Inku Naranja 500cc</t>
  </si>
  <si>
    <t>A0002293</t>
  </si>
  <si>
    <t>Cartucho Roland Inku Verde 500cc</t>
  </si>
  <si>
    <t>A0002294</t>
  </si>
  <si>
    <t>Cartucho Roland Inku Rojo 500cc</t>
  </si>
  <si>
    <t>A0002295</t>
  </si>
  <si>
    <t>Rollo Reflectiv INT 127 difusión central 1,52 x 30m</t>
  </si>
  <si>
    <t>A0002296</t>
  </si>
  <si>
    <t>Rollo Metamark MDP 200 (100mc Imp. y Corte) Brillo 1,37x25m</t>
  </si>
  <si>
    <t>A0002297</t>
  </si>
  <si>
    <t>Rollo Transportador 4000RLA (Baja Adherencia) 0,61x100m</t>
  </si>
  <si>
    <t>A0002299</t>
  </si>
  <si>
    <t>Rollo Metamark MD5B 100 (70mc Adh Gris) Brillo 1,6 x 25m</t>
  </si>
  <si>
    <t>A0002300</t>
  </si>
  <si>
    <t>Rollo Transportador 4075RLA (Papel alto agarre) 1,22x100m</t>
  </si>
  <si>
    <t>A0002301</t>
  </si>
  <si>
    <t>Rollo Metamark MD RF2 Reflectante Blanco 1,24x45m</t>
  </si>
  <si>
    <t>A0002302</t>
  </si>
  <si>
    <t>Rollo Metamark MD 101R (100mc Adh Removible) Mate 1,05x50m</t>
  </si>
  <si>
    <t>A0002303</t>
  </si>
  <si>
    <t>Rollo Metamark MD 101R (100mc Adh Removible) Mate 1,37x50m</t>
  </si>
  <si>
    <t>A0002304</t>
  </si>
  <si>
    <t>Rollo Metamark MD 101R (100mc Adh Removible) Mate 1,6 x 50m</t>
  </si>
  <si>
    <t>A0002305</t>
  </si>
  <si>
    <t>Rollo Excellium Backlit poliéster 210mic Mate 1,07x30m</t>
  </si>
  <si>
    <t>A0001896</t>
  </si>
  <si>
    <t>M2 Metamark MetaScape M7A 190 Plata 0,61 x 50m</t>
  </si>
  <si>
    <t>A0002310</t>
  </si>
  <si>
    <t>Máquina plotter corte Bullmer Premiumcut 1600mm</t>
  </si>
  <si>
    <t>M2 Metamark MetaScape M7A 190 Plata 1,22 x 50m</t>
  </si>
  <si>
    <t>A0002312</t>
  </si>
  <si>
    <t>Rollo Loop Velcro con Adhesivo Acrílico Blanco 25mm x 25m</t>
  </si>
  <si>
    <t>A0002314</t>
  </si>
  <si>
    <t>Rollo Gancho Velcro con Adhesivo Acrílico Blanco 50mm x 25m</t>
  </si>
  <si>
    <t>A0002315</t>
  </si>
  <si>
    <t>Rollo Gancho Velcro con Adhesivo Acrílico Blanco 25mm x 25m</t>
  </si>
  <si>
    <t>A0002319</t>
  </si>
  <si>
    <t>Rollo Gancho Velcro con Adhesivo Hot Melt Blanco 25mm x 25m</t>
  </si>
  <si>
    <t>A0002320</t>
  </si>
  <si>
    <t>Rollo Gancho Velcro con Adhesivo Hot Melt Blanco 20mm x 25m</t>
  </si>
  <si>
    <t>A0002321</t>
  </si>
  <si>
    <t>Rollo Gancho Velcro con Adhesivo Hot Melt Blanco 50mm x 25m</t>
  </si>
  <si>
    <t>A0002324</t>
  </si>
  <si>
    <t>1000012563 - Key, Top White GS-24</t>
  </si>
  <si>
    <t>A0002325</t>
  </si>
  <si>
    <t>6000005253 - Assy, Pump Sub SV LEF2-200</t>
  </si>
  <si>
    <t>A0002326</t>
  </si>
  <si>
    <t>Rollo Microperforado 1,52x50</t>
  </si>
  <si>
    <t>A0002327</t>
  </si>
  <si>
    <t>Rollo Isee2 50.001 Polimérico Ultracristalino Perm.  1,37 x 50m</t>
  </si>
  <si>
    <t>A0002328</t>
  </si>
  <si>
    <t>Rollo Reflectiv Deco INT 126 1,52 x 5m</t>
  </si>
  <si>
    <t>A0002329</t>
  </si>
  <si>
    <t>Rollo Isee2 50.001 Polimérico Ultracristalino Perm. 1,52 x 50m</t>
  </si>
  <si>
    <t>A0002330</t>
  </si>
  <si>
    <t>Rollo Reflectiv Deco INT 570 1,52 x 5m</t>
  </si>
  <si>
    <t>A0002331</t>
  </si>
  <si>
    <t>Rollo Reflectiv Deco INT 570 1,52 x 10m</t>
  </si>
  <si>
    <t>A0002332</t>
  </si>
  <si>
    <t>Rollo Reflectiv Deco INT 126 1,52 x 10m</t>
  </si>
  <si>
    <t>A0002333</t>
  </si>
  <si>
    <t>Rollo Reflectiv Film transparente 61185 Azul Azure 1,52 x 10m</t>
  </si>
  <si>
    <t>A0002334</t>
  </si>
  <si>
    <t>Rollo Reflectiv Dichroic DCH 426 1,38 x 30</t>
  </si>
  <si>
    <t>A0002335</t>
  </si>
  <si>
    <t>Tinta EcoUV Blanca 220ml</t>
  </si>
  <si>
    <t>A0002337</t>
  </si>
  <si>
    <t>Rollo Máscara  Ritrama Beige 300mc  0,61x25m</t>
  </si>
  <si>
    <t>A0002338</t>
  </si>
  <si>
    <t>Rollo TriSolv PhotoArt Paper 210 Brillo 1,60x50m</t>
  </si>
  <si>
    <t>A0002339</t>
  </si>
  <si>
    <t>1000007021 - Assy, Tubing 3x500mm VS-640</t>
  </si>
  <si>
    <t>A0002340</t>
  </si>
  <si>
    <t>1000002679 - Adapter, Junction</t>
  </si>
  <si>
    <t>A0002341</t>
  </si>
  <si>
    <t>22805572 - Assy, Tubing SP-540</t>
  </si>
  <si>
    <t>A0002342</t>
  </si>
  <si>
    <t>6000005297 - Assy, Press Pump Sub SV CG2125</t>
  </si>
  <si>
    <t>ML Cad-Cut Sportsfilm 254 Rosa Vintage 500mm</t>
  </si>
  <si>
    <t>A0001931</t>
  </si>
  <si>
    <t>M2 Metamark MetaScape M7A 191 Oro 0,61 x 50m</t>
  </si>
  <si>
    <t>A0001930</t>
  </si>
  <si>
    <t>M2 Metamark MetaScape M7A 191 Oro 1,22 x 50m</t>
  </si>
  <si>
    <t>A0001929</t>
  </si>
  <si>
    <t>M2 Metamark MetaScape M7A 192 Gris Carbón 0,61 x 50m</t>
  </si>
  <si>
    <t>M2 Metamark MetaScape M7A 192 Gris Carbón 1,22 x 50m</t>
  </si>
  <si>
    <t>A0001928</t>
  </si>
  <si>
    <t>M2 Metamark MetaScape M7A 193 Gunmetal 0,61 x 50m</t>
  </si>
  <si>
    <t>A0001927</t>
  </si>
  <si>
    <t>M2 Metamark MetaScape M7A 193 Gunmetal 1,22 x 50m</t>
  </si>
  <si>
    <t>A0001924</t>
  </si>
  <si>
    <t>M2 Metamark MetaScape M7A 194 Acero 0,61 x 50m</t>
  </si>
  <si>
    <t>A0002351</t>
  </si>
  <si>
    <t>Cartucho Skynnet Magenta TR1</t>
  </si>
  <si>
    <t>A0002352</t>
  </si>
  <si>
    <t>Cartucho Skynnet Amarillo TR1</t>
  </si>
  <si>
    <t>A0002353</t>
  </si>
  <si>
    <t>Cartucho Skynnet Negro TR1</t>
  </si>
  <si>
    <t>A0002354</t>
  </si>
  <si>
    <t>Cartucho Skynnet Cyan TR1</t>
  </si>
  <si>
    <t>A0002355</t>
  </si>
  <si>
    <t>Plotter Impresión Roland VF2-640</t>
  </si>
  <si>
    <t>A0002356</t>
  </si>
  <si>
    <t>Plotter Corte Roland GR2-540</t>
  </si>
  <si>
    <t>A0002357</t>
  </si>
  <si>
    <t>Cartucho Tinta TrueVIS 2 500ml Verde</t>
  </si>
  <si>
    <t>A0002358</t>
  </si>
  <si>
    <t>Rollo Transportador GXP-750 Conformable (Papel Medio agarre) 1,22 Consumo Interno</t>
  </si>
  <si>
    <t>A0002359</t>
  </si>
  <si>
    <t>Rollo Transportador GXP-775 (Papel medio/alto agarre) Consumo Interno</t>
  </si>
  <si>
    <t>A0002360</t>
  </si>
  <si>
    <t>6155-93-025 - Rollo Hook adhesivo blanco 25mmx25m</t>
  </si>
  <si>
    <t>A0002361</t>
  </si>
  <si>
    <t>6155-93-050 - Rollo Hook adhesivo blanco 50mmx25m</t>
  </si>
  <si>
    <t>A0002362</t>
  </si>
  <si>
    <t>6155-99-025 - Rollo Hook adhesivo negro 25mmx25m</t>
  </si>
  <si>
    <t>A0002363</t>
  </si>
  <si>
    <t>6155-99-050 - Rollo Hook adhesivo negro 50mmx25m</t>
  </si>
  <si>
    <t>A0002364</t>
  </si>
  <si>
    <t>6165-93-025 - Rollo Loop adhesivo blanco 25mmx25m</t>
  </si>
  <si>
    <t>A0002365</t>
  </si>
  <si>
    <t>6165-93-050 - Rollo Loop adhesivo blanco 50mmx25m</t>
  </si>
  <si>
    <t>A0002366</t>
  </si>
  <si>
    <t>6165-99-025 - Rollo Loop adhesivo negro 25mmx25m</t>
  </si>
  <si>
    <t>A0002367</t>
  </si>
  <si>
    <t>8082-10 50x70 - Alfombra Premium Ecoline 50x70cm</t>
  </si>
  <si>
    <t>A0002368</t>
  </si>
  <si>
    <t>6165-99-050 - Rollo Loop adhesivo negro 50mmx25m</t>
  </si>
  <si>
    <t>Rollo Metamark MD5B 100 (70mc Adh Gris) Brillo 1,6 x 50m</t>
  </si>
  <si>
    <t>A0001729</t>
  </si>
  <si>
    <t>M2 Metamark MetaScape M7A 194 Acero 1,22 x 50m</t>
  </si>
  <si>
    <t>A0002371</t>
  </si>
  <si>
    <t>Lower Platen Shoe</t>
  </si>
  <si>
    <t>A0002372</t>
  </si>
  <si>
    <t>Lower Platen 18cm Round</t>
  </si>
  <si>
    <t>A0002373</t>
  </si>
  <si>
    <t>Lower Platen 10x10cm</t>
  </si>
  <si>
    <t>A0002374</t>
  </si>
  <si>
    <t>Lower Platen Cap 9x16cm</t>
  </si>
  <si>
    <t>A0002375</t>
  </si>
  <si>
    <t>Print Perfect Pad 13x15cm</t>
  </si>
  <si>
    <t>A0002376</t>
  </si>
  <si>
    <t>013678 - Non Stick Coated Pressure Pad 13x46cm</t>
  </si>
  <si>
    <t>A0002377</t>
  </si>
  <si>
    <t>013679 - Non Stick Coated Pressure Pad 16x20cm</t>
  </si>
  <si>
    <t>A0002378</t>
  </si>
  <si>
    <t>Non Stick Coated Pressure Pad 25x25cm</t>
  </si>
  <si>
    <t>A0002379</t>
  </si>
  <si>
    <t>013681 - Non Stick Coated Pressure Pad 51x41cm</t>
  </si>
  <si>
    <t>A0002380</t>
  </si>
  <si>
    <t>NonStick Quick Slip Pad Protector Sleeve/Leg 15x51</t>
  </si>
  <si>
    <t>A0002381</t>
  </si>
  <si>
    <t>013677 - NonStick Quick Slip Pad Protector 28x38</t>
  </si>
  <si>
    <t>A0002383</t>
  </si>
  <si>
    <t>NonStick Quick Slip Pad Protector 20x25</t>
  </si>
  <si>
    <t>A0002384</t>
  </si>
  <si>
    <t>N-1-2375 NonStick Quick Slip Pad Protector 15x25</t>
  </si>
  <si>
    <t>A0002385</t>
  </si>
  <si>
    <t>Soporte Sobremesa para Sprint Mag/MAXX</t>
  </si>
  <si>
    <t>A0002386</t>
  </si>
  <si>
    <t>Soporte Pie para Sprint Mag/MAXX</t>
  </si>
  <si>
    <t>A0002387</t>
  </si>
  <si>
    <t>Porta cuchillas XD-CH3-Aluminio</t>
  </si>
  <si>
    <t>A0002388</t>
  </si>
  <si>
    <t>11909167 - Adapter, Screw 3FAI FJ-540</t>
  </si>
  <si>
    <t>A0002389</t>
  </si>
  <si>
    <t>Tinta EcoUV Gloss 220ml</t>
  </si>
  <si>
    <t>A0002392</t>
  </si>
  <si>
    <t>Rollo Transportador 4050RLA (Papel medio agarre) 1,52x100m</t>
  </si>
  <si>
    <t>A0002393</t>
  </si>
  <si>
    <t>ML Cad-Cut Effect 915 Sparkle Black 500mm</t>
  </si>
  <si>
    <t>A0002394</t>
  </si>
  <si>
    <t>Rollo Transportador GXP-750 Conformable (Papel Medio agarre) 1,52x100m</t>
  </si>
  <si>
    <t>A0001926</t>
  </si>
  <si>
    <t>M2 Metamark MetaScape M7A 195 Aluminio 0,61 x 50m</t>
  </si>
  <si>
    <t>A0001925</t>
  </si>
  <si>
    <t>M2 Metamark MetaScape M7A 195 Aluminio 1,22 x 50m</t>
  </si>
  <si>
    <t>A0001897</t>
  </si>
  <si>
    <t>M2 Metamark MetaScape M7A 196 Grafito 1,22 x 50m</t>
  </si>
  <si>
    <t>A0001917</t>
  </si>
  <si>
    <t>M2 Metamark MetaScape M7A 198 Verde Natural 0,61 x 50m</t>
  </si>
  <si>
    <t>M2 Metamark MetaScape M7A 198 Verde Natural 1,22 x 50m</t>
  </si>
  <si>
    <t>M2 Metamark Metascape M7A Crystal Window Polimérico 0,61 x 50m</t>
  </si>
  <si>
    <t>M2 Metamark Metascape M7A Crystal Window Polimérico 1,22 x 50m</t>
  </si>
  <si>
    <t>M2 Metamark Metascape M7A Crystal Window Polimérico 1,60mm x 50m</t>
  </si>
  <si>
    <t>M2 Metamark Metascape M7A Dusted Window Polimérico 0,61 x 50m</t>
  </si>
  <si>
    <t>A0002404</t>
  </si>
  <si>
    <t>ML Cad-Cut Sportsfilm 105 Amarillo Pastel 500mm</t>
  </si>
  <si>
    <t>A0002405</t>
  </si>
  <si>
    <t>ML Cad-Cut Sportsfilm 253 Cereza 500mm</t>
  </si>
  <si>
    <t>A0002406</t>
  </si>
  <si>
    <t>ML Cad-Cut Sportsfilm 340 Azul Paloma 500mm</t>
  </si>
  <si>
    <t>A0002407</t>
  </si>
  <si>
    <t>ML Cad-Cut Sportsfilm 419 Menta 500mm</t>
  </si>
  <si>
    <t>A0002408</t>
  </si>
  <si>
    <t>ML Cad-Cut Sportsfilm 740 Gris Medio 500mm</t>
  </si>
  <si>
    <t>M2 Metamark Metascape M7A Dusted Window Polimérico 1,22 x 50m</t>
  </si>
  <si>
    <t>A0002410</t>
  </si>
  <si>
    <t>Rollo Transportador GXP-750 Conformable (Papel Medio agarre) 1,52 Consumo Interno</t>
  </si>
  <si>
    <t>A0002412</t>
  </si>
  <si>
    <t>Pack 3 Cuchillas para reflectante 25º ZEC-A5025</t>
  </si>
  <si>
    <t>A0002413</t>
  </si>
  <si>
    <t>Plancha Maxx 40x50cm</t>
  </si>
  <si>
    <t>A0002414</t>
  </si>
  <si>
    <t>Rollo PP para Roll-Up Trasera Gris 1.52x30m</t>
  </si>
  <si>
    <t>M2 Metamark Metascape M7A Dusted Window Polimérico 1,60mm x 50m</t>
  </si>
  <si>
    <t>A0002416</t>
  </si>
  <si>
    <t>6010-01-12x3-S - Rollo Tira de PVC caja de luz (on spool) 12mmX3mm 200m</t>
  </si>
  <si>
    <t>A0002417</t>
  </si>
  <si>
    <t>6018-95-5x14.7 - Rollo Cuña de PVC caja de luz (on spool) 5mmX14,7mm 100m</t>
  </si>
  <si>
    <t>A0001177</t>
  </si>
  <si>
    <t>M2 Metamark Metascape M7A Hopal Haze Window Polimérico 1,22 x 50m</t>
  </si>
  <si>
    <t>A0001176</t>
  </si>
  <si>
    <t>M2 Metamark Metascape M7A Hopal Haze Window Polimérico 1,60 x 50m</t>
  </si>
  <si>
    <t>A0002420</t>
  </si>
  <si>
    <t>6300-93-220 - Caja Toalla Limpiadora de Cabezales 150uds 22cm X 22cm</t>
  </si>
  <si>
    <t>M2 Metamark Metascape M7A Silver Window Polimérico 0,61 x 50m</t>
  </si>
  <si>
    <t>M2 Metamark Metascape M7A Silver Window Polimérico 1,22 x 50m</t>
  </si>
  <si>
    <t>A0002141</t>
  </si>
  <si>
    <t>M2 Metamark Metascape M7A Silver Window Polimérico 1,60mm x 50m</t>
  </si>
  <si>
    <t>A0002081</t>
  </si>
  <si>
    <t>M2 Metamark MM-SSS poliéster single sided Oro 0,61 x 50m</t>
  </si>
  <si>
    <t>A0002080</t>
  </si>
  <si>
    <t>M2 Metamark MM-SSS poliéster single sided Oro 1,22 x 50m</t>
  </si>
  <si>
    <t>A0002082</t>
  </si>
  <si>
    <t>M2 Metamark MM-SSS poliéster single sided Plata 0,61 x 50m</t>
  </si>
  <si>
    <t>A0002079</t>
  </si>
  <si>
    <t>M2 Metamark MM-SSS poliéster single sided Plata 1,22 x 50m</t>
  </si>
  <si>
    <t>A0002307</t>
  </si>
  <si>
    <t>M2 Metamark MT600 Blanco 0,61 x 50m</t>
  </si>
  <si>
    <t>M2 Metamark MT600 Blanco 1,22 x 50m</t>
  </si>
  <si>
    <t>A0001933</t>
  </si>
  <si>
    <t>M2 Metamark MT610 Negro 0,61 x 50m</t>
  </si>
  <si>
    <t>M2 Metamark MT610 Negro 1,22 x 50m</t>
  </si>
  <si>
    <t>A0001932</t>
  </si>
  <si>
    <t>M2 Metamark MT620 Gris Ligero 0,61 x 50m</t>
  </si>
  <si>
    <t>M2 Metamark MT620 Gris Ligero 1,22 x 50m</t>
  </si>
  <si>
    <t>A0001717</t>
  </si>
  <si>
    <t>M2 Metamark MT621 Gris Oscuro 0,61 x 50m</t>
  </si>
  <si>
    <t>M2 Metamark MT621 Gris Oscuro 1,22 x 50m</t>
  </si>
  <si>
    <t>A0001706</t>
  </si>
  <si>
    <t>M2 Metamark MT630 Amarillo Limón 0,61 x 50m</t>
  </si>
  <si>
    <t>M2 Metamark MT630 Amarillo Limón 1,22 x 50m</t>
  </si>
  <si>
    <t>A0001988</t>
  </si>
  <si>
    <t>M2 Metamark MT633 Naranja 0,61 x 50m</t>
  </si>
  <si>
    <t>M2 Metamark MT633 Naranja 1,22 x 50m</t>
  </si>
  <si>
    <t>A0002140</t>
  </si>
  <si>
    <t>M2 Metamark MT635 Amarillo Botón 0,61 x 50m</t>
  </si>
  <si>
    <t>M2 Metamark MT635 Amarillo Botón 1,22 x 50m</t>
  </si>
  <si>
    <t>A0001705</t>
  </si>
  <si>
    <t>M2 Metamark MT636 Mandarina 0,61 x 50m</t>
  </si>
  <si>
    <t>M2 Metamark MT636 Mandarina 1,22 x 50m</t>
  </si>
  <si>
    <t>M2 Metamark MT640 Rojo Ligero 1,22 x 50m</t>
  </si>
  <si>
    <t>A0001865</t>
  </si>
  <si>
    <t>M2 Metamark MT641 Rojo Tomate 0,61 x 50m</t>
  </si>
  <si>
    <t>M2 Metamark MT641 Rojo Tomate 1,22 x 50m</t>
  </si>
  <si>
    <t>A0001844</t>
  </si>
  <si>
    <t>M2 Metamark MT642 Rojo Carmesí 0,61 x 50m</t>
  </si>
  <si>
    <t>A0002451</t>
  </si>
  <si>
    <t>8080-10 50x70 - Rollo Krea Alfombra Premium 50x70m</t>
  </si>
  <si>
    <t>A0002452</t>
  </si>
  <si>
    <t>8080-10 90x140 - Rollo Krea Alfombra Premium 90x140m</t>
  </si>
  <si>
    <t>A0002453</t>
  </si>
  <si>
    <t>8080-10 100x150 - Rollo Krea Alfombra Premium 100x150m</t>
  </si>
  <si>
    <t>A0002454</t>
  </si>
  <si>
    <t>8080-10 200x150 - Rollo Krea Alfombra Premium 200x150m</t>
  </si>
  <si>
    <t>M2 Metamark MT642 Rojo Carmesí 1,22 x 50m</t>
  </si>
  <si>
    <t>A0001850</t>
  </si>
  <si>
    <t>M2 Metamark MT643 Rojo Cardenal 0,61 x 50m</t>
  </si>
  <si>
    <t>M2 Metamark MT643 Rojo Cardenal 1,22 x 50m</t>
  </si>
  <si>
    <t>A0002458</t>
  </si>
  <si>
    <t>6300-93-220 - Paño de limpieza de cabezales 220x220mm (150ud)</t>
  </si>
  <si>
    <t>A0002915</t>
  </si>
  <si>
    <t>M2 Metamark MT645 Rojo Vino 0,61 x 50m</t>
  </si>
  <si>
    <t>M2 Metamark MT645 Rojo Vino 1,22 x 50m</t>
  </si>
  <si>
    <t>A0002311</t>
  </si>
  <si>
    <t>M2 Metamark MT647 Rojo Escarlata 0,61 x 50m</t>
  </si>
  <si>
    <t>A0002462</t>
  </si>
  <si>
    <t>8082-10 100x150 - Rollo Alfombra Premium Ecoline 100x150cm</t>
  </si>
  <si>
    <t>A0002463</t>
  </si>
  <si>
    <t>6100-93-050 - Rollo Flag Belt -  Tira de refuerzo banderas Blanco 50mmx100</t>
  </si>
  <si>
    <t>A0002464</t>
  </si>
  <si>
    <t>6120-99-128 - Rollo Tira de refuerzo elástico fuerte Negro 128mmx50m</t>
  </si>
  <si>
    <t>A0002465</t>
  </si>
  <si>
    <t>6120-99-138 - Rollo Tira de refuerzo elástico fuerte Negro 138mmx50m</t>
  </si>
  <si>
    <t>A0002466</t>
  </si>
  <si>
    <t>6120-99-200 - Rollo Tira de refuerzo elástico fuerte Negro 200mmx50m</t>
  </si>
  <si>
    <t>A0002467</t>
  </si>
  <si>
    <t>6120-93-138 - Rollo Tira de refuerzo elástico fuerte Blanco 138mmx50m</t>
  </si>
  <si>
    <t>A0002468</t>
  </si>
  <si>
    <t>6120-93-128 - Rollo Tira de refuerzo elástico fuerte Blanco 128mmx50m</t>
  </si>
  <si>
    <t>A0002469</t>
  </si>
  <si>
    <t>6100-99-050 - Rollo Flag Belt -  Tira de refuerzo banderas Negro 50mmx100</t>
  </si>
  <si>
    <t>M2 Metamark MT647 Rojo Escarlata 1,22 x 50m</t>
  </si>
  <si>
    <t>A0002794</t>
  </si>
  <si>
    <t>M2 Metamark MT649 Burdeos 0,61 x 50m</t>
  </si>
  <si>
    <t>M2 Metamark MT649 Burdeos 1,22 x 50m</t>
  </si>
  <si>
    <t>A0001736</t>
  </si>
  <si>
    <t>M2 Metamark MT651 Azul Olímpico 0,61 x 50m</t>
  </si>
  <si>
    <t>M2 Metamark MT651 Azul Olímpico 1,22 x 50m</t>
  </si>
  <si>
    <t>A0001843</t>
  </si>
  <si>
    <t>M2 Metamark MT653 Azul Intenso 0,61 x 50m</t>
  </si>
  <si>
    <t>M2 Metamark MT653 Azul Intenso 1,22 x 50m</t>
  </si>
  <si>
    <t>A0001632</t>
  </si>
  <si>
    <t>M2 Metamark MT654 Azul Medio 0,61 x 50m</t>
  </si>
  <si>
    <t>M2 Metamark MT654 Azul Medio 1,22 x 50m</t>
  </si>
  <si>
    <t>A0001960</t>
  </si>
  <si>
    <t>M2 Metamark MT659 Azul Cobalto 0,61 x 50m</t>
  </si>
  <si>
    <t>M2 Metamark MT659 Azul Cobalto 1,22 x 50m</t>
  </si>
  <si>
    <t>A0001848</t>
  </si>
  <si>
    <t>M2 Metamark MT660 Verde Lima 0,61 x 50m</t>
  </si>
  <si>
    <t>M2 Metamark MT660 Verde Lima 1,22 x 50m</t>
  </si>
  <si>
    <t>A0001849</t>
  </si>
  <si>
    <t>M2 Metamark MT665 Verde Azulado 0,61 x 50m</t>
  </si>
  <si>
    <t>M2 Metamark MT665 Verde Azulado 1,22 x 50m</t>
  </si>
  <si>
    <t>A0002126</t>
  </si>
  <si>
    <t>M2 Metamark MT666 Verde Turquesa 0,61 x 50m</t>
  </si>
  <si>
    <t>M2 Metamark MT666 Verde Turquesa 1,22 x 50m</t>
  </si>
  <si>
    <t>A0001655</t>
  </si>
  <si>
    <t>M2 Metamark MT667 Verde Forestal 0,61 x 50m</t>
  </si>
  <si>
    <t>M2 Metamark MT667 Verde Forestal 1,22 x 50m</t>
  </si>
  <si>
    <t>A0001845</t>
  </si>
  <si>
    <t>M2 Metamark MT668 Verde Prado 0,61 x 50m</t>
  </si>
  <si>
    <t>M2 Metamark MT668 Verde Prado 1,22 x 50m</t>
  </si>
  <si>
    <t>A0002220</t>
  </si>
  <si>
    <t>M2 Metamark MT669 Verde Trébol 0,61 x 50m</t>
  </si>
  <si>
    <t>M2 Metamark MT669 Verde Trébol 1,22 x 50m</t>
  </si>
  <si>
    <t>A0002930</t>
  </si>
  <si>
    <t>M2 Metamark MT670 Marfil 0,61 x 50m</t>
  </si>
  <si>
    <t>M2 Metamark MT670 Marfil 1,22 x 50m</t>
  </si>
  <si>
    <t>A0002221</t>
  </si>
  <si>
    <t>M2 Metamark MT672 Marrón 0,61 x 50m</t>
  </si>
  <si>
    <t>M2 Metamark MT672 Marrón 1,22 x 50m</t>
  </si>
  <si>
    <t>A0001704</t>
  </si>
  <si>
    <t>M2 Metamark MT675 Azul Oriental 0,61 x 50m</t>
  </si>
  <si>
    <t>M2 Metamark MT675 Azul Oriental 1,22 x 50m</t>
  </si>
  <si>
    <t>A0002055</t>
  </si>
  <si>
    <t>M2 Metamark MT676 Azul Proceso, 0,61 x 50m</t>
  </si>
  <si>
    <t>M2 Metamark MT676 Azul Proceso, 1,22 x 50m</t>
  </si>
  <si>
    <t>A0002756</t>
  </si>
  <si>
    <t>M2 Metamark MT677 Azul Real 0,61 x 50m</t>
  </si>
  <si>
    <t>M2 Metamark MT677 Azul Real 1,22 x 50m</t>
  </si>
  <si>
    <t>A0002847</t>
  </si>
  <si>
    <t>M2 Metamark MT678 Cathay Verde 0,61 x 50m</t>
  </si>
  <si>
    <t>M2 Metamark MT678 Cathay Verde 1,22 x 50m</t>
  </si>
  <si>
    <t>A0002964</t>
  </si>
  <si>
    <t>M2 Metamark MT679 Verde Menta 0,61 x 50m</t>
  </si>
  <si>
    <t>M2 Metamark MT679 Verde Menta 1,22 x 50m</t>
  </si>
  <si>
    <t>A0002928</t>
  </si>
  <si>
    <t>M2 Metamark MT683 Violeta 0,61 x 50m</t>
  </si>
  <si>
    <t>M2 Metamark MT683 Violeta 1,22 x 50m</t>
  </si>
  <si>
    <t>A0001737</t>
  </si>
  <si>
    <t>M2 Metamark MT684 Rose 0,61 x 50m</t>
  </si>
  <si>
    <t>M2 Metamark MT684 Rose 1,22 x 50m</t>
  </si>
  <si>
    <t>A0002573</t>
  </si>
  <si>
    <t>M2 Metamark MT685 Frambuesa 0,61 x 50m</t>
  </si>
  <si>
    <t>M2 Metamark MT685 Frambuesa 1,22 x 50m</t>
  </si>
  <si>
    <t>A0002037</t>
  </si>
  <si>
    <t>M2 Metamark RF3 Reflectante Amarillo 1,22x50m</t>
  </si>
  <si>
    <t>A0002036</t>
  </si>
  <si>
    <t>A0002039</t>
  </si>
  <si>
    <t>M2 Metamark RF3 Reflectante Azul 1,22x50m</t>
  </si>
  <si>
    <t>M2 Metamark RF3 Reflectante Blanco 1,22x50m</t>
  </si>
  <si>
    <t>A0002072</t>
  </si>
  <si>
    <t>M2 Metamark RF3 Reflectante Rojo 0,61x50m</t>
  </si>
  <si>
    <t>A0002038</t>
  </si>
  <si>
    <t>M2 Metamark RF3 Reflectante Rojo 1,22x50m</t>
  </si>
  <si>
    <t>A0002626</t>
  </si>
  <si>
    <t>M2 MetamarkMM-BM Máscara de Pintor Azul  0,61x50m</t>
  </si>
  <si>
    <t>M2 MM-CC Colour Change 00 Blanco Brillo 1,52x50m</t>
  </si>
  <si>
    <t>M2 MM-CC Colour Change 01M Blanco Mate 1,52x50m</t>
  </si>
  <si>
    <t>M2 MM-CC Colour Change 10 Negro Brillo 1,52x50m</t>
  </si>
  <si>
    <t>M2 MM-CC Colour Change 11 Negro Mate 1,52x50m</t>
  </si>
  <si>
    <t>M2 MM-CC Colour Change 13 Naranja Señal Brillo 1,52x50m</t>
  </si>
  <si>
    <t>M2 MM-CC Colour Change 21 Gris Detroit Brillo 1,52x50m</t>
  </si>
  <si>
    <t>M2 MM-CC Colour Change 29 Gris Nardo Brillo 1,52x50m</t>
  </si>
  <si>
    <t>M2 MM-CC Colour Change 31 Daytona Brillo 1,52x50m</t>
  </si>
  <si>
    <t>M2 MM-CC Colour Change 42 Rojo Brillo 1,52x50m</t>
  </si>
  <si>
    <t>M2 MM-CC Colour Change 48 Carmín Brillo 1,52x50m</t>
  </si>
  <si>
    <t>M2 MM-CC Colour Change 52 Azul Francés Brillo 1,52x50m</t>
  </si>
  <si>
    <t>M2 MM-CC Colour Change 55 Azul Fénix Brillo 1,52x50m</t>
  </si>
  <si>
    <t>M2 MM-CC Colour Change 62 Verde Java Brillo 1,52x50m</t>
  </si>
  <si>
    <t>M2 MM-CC Colour Change 65 Verde Azulado Brillo 1,52x50m</t>
  </si>
  <si>
    <t>A0002537</t>
  </si>
  <si>
    <t>Rollo Conspicuity Rígido Blanco 5cm x 50m</t>
  </si>
  <si>
    <t>A0002538</t>
  </si>
  <si>
    <t>Rollo Conspicuity Rígido Amarillo 5cm x 50m</t>
  </si>
  <si>
    <t>A0002539</t>
  </si>
  <si>
    <t>Rollo Conspicuity Rígido Rojo 5cm x 50m</t>
  </si>
  <si>
    <t>A0002540</t>
  </si>
  <si>
    <t>Rollo Conspicuity Flexible Blanco 5cm x 50m</t>
  </si>
  <si>
    <t>A0002541</t>
  </si>
  <si>
    <t>Rollo Conspicuity Flexible Amarillo 5cm x 50m</t>
  </si>
  <si>
    <t>M2 MM-CC Colour Change 67 Verde Neon Brillo 1,52x50m</t>
  </si>
  <si>
    <t>A0002543</t>
  </si>
  <si>
    <t>Rollo Conspicuity Flexible Rojo 5cm x 50m</t>
  </si>
  <si>
    <t>A0002544</t>
  </si>
  <si>
    <t>Rollo Reflectante Nivel 1 Conservación BL/RO Derecha 1,22mX 45,7m</t>
  </si>
  <si>
    <t>A0002545</t>
  </si>
  <si>
    <t>Rollo Reflectante Nivel 1 Conservación BL/RO Izquierda  1,22mX 45,7m</t>
  </si>
  <si>
    <t>A0002546</t>
  </si>
  <si>
    <t>Rollo Reflectante Nivel 2 Conservación BL/RO Derecha 1,22mX 45,7m</t>
  </si>
  <si>
    <t>A0002547</t>
  </si>
  <si>
    <t>Rollo Reflectante Nivel 2 Conservación BL/RO Izquierda  1,22mX 45,7m</t>
  </si>
  <si>
    <t>M2 MM-CC Colour Change 69 Verde Carrera Brillo 1,52x50m</t>
  </si>
  <si>
    <t>A0002549</t>
  </si>
  <si>
    <t>Rollo Reflectante Nivel 2 Conservación BL/RO Drch/Izqu 2x0,14mX 45,7m KIT</t>
  </si>
  <si>
    <t>A0002550</t>
  </si>
  <si>
    <t>Rollo Reflectante Nivel 2 Conservación BL/RO Drch/Izqu 2x0,14mX 9m KIT</t>
  </si>
  <si>
    <t>A0002551</t>
  </si>
  <si>
    <t>Rollo Reflectante Nivel 3 Conservación YE/RO Drch/Izqu 2x0,14mX 47,5m</t>
  </si>
  <si>
    <t>A0002552</t>
  </si>
  <si>
    <t>Rollo Reflectante Nivel 3 Conservación YE/RO Derecha 1,22mX 45,7m</t>
  </si>
  <si>
    <t>A0002553</t>
  </si>
  <si>
    <t>Rollo Reflectante Nivel 3 Conservación YE/RO Izquierda  1,22mX 45,7m</t>
  </si>
  <si>
    <t>A0002554</t>
  </si>
  <si>
    <t>22175122 - Spring, Back Up PNC-960</t>
  </si>
  <si>
    <t>A0002555</t>
  </si>
  <si>
    <t>6000005739 - Assy, Clamp Media L SV VG2-640 (TH)</t>
  </si>
  <si>
    <t>A0002556</t>
  </si>
  <si>
    <t>Plotter Impresión Roland UV LEF2-300</t>
  </si>
  <si>
    <t>A0002557</t>
  </si>
  <si>
    <t>Plotter Impresión Roland UV LEC2-330S-200</t>
  </si>
  <si>
    <t>M2 MM-CC Colour Change 90 Plata Brillo 1,52x50m</t>
  </si>
  <si>
    <t>M2 MM-CC Colour Change 93 Gunmetal Mate 1,52x50m</t>
  </si>
  <si>
    <t>M2 MM-CC Colour Change 95 Aluminio Brillo 1,52x50m</t>
  </si>
  <si>
    <t>M2 MM-CC Colour Change 96 Grafito Brillo 1,52x50m</t>
  </si>
  <si>
    <t>A0002913</t>
  </si>
  <si>
    <t>M2 MM-CCG Colour Change MetaGlide 55 Azul Fénix Brillo 1,52x50m</t>
  </si>
  <si>
    <t>M2 Nekoosa EZ Color EC1024 Gris Medio Mate 0,61 x 45,7m</t>
  </si>
  <si>
    <t>M2 Nekoosa EZ Color EC1024 Gris Medio Mate 1,22 x 45,7m</t>
  </si>
  <si>
    <t>M2 Nekoosa EZ Color EC1270 Gris Oscuro Brillo 0,61 x 45,7m</t>
  </si>
  <si>
    <t>A0002566</t>
  </si>
  <si>
    <t>Rollo Reflectiv Film transparente 67047 Lila 1,52x10m</t>
  </si>
  <si>
    <t>A0002567</t>
  </si>
  <si>
    <t>Rollo PVC+ PET para Roll-Up Trasera Gris 0,91x50m</t>
  </si>
  <si>
    <t>A0002568</t>
  </si>
  <si>
    <t>Rollo PVC+ PET para Roll-Up Trasera Gris 1.07x50m</t>
  </si>
  <si>
    <t>M2 Nekoosa EZ Color EC1270 Gris Oscuro Brillo 1,22 x 45,7m</t>
  </si>
  <si>
    <t>A0002879</t>
  </si>
  <si>
    <t>M2 Nekoosa EZ Color EC1295 Verde Medio Mate 0,61 x 45,7m</t>
  </si>
  <si>
    <t>M2 Nekoosa EZ Color EC1295 Verde Medio Mate 1,22 x 45,7m</t>
  </si>
  <si>
    <t>M2 Nekoosa EZ Color EC1955 Blanco Mate 0,61 x 45,7m</t>
  </si>
  <si>
    <t>M2 Nekoosa EZ Color EC1955 Blanco Mate 1,22 x 45,7m</t>
  </si>
  <si>
    <t>A0002574</t>
  </si>
  <si>
    <t>6018-95-7x12.4 - Rollo Cuña de PVC caja de luz (on spool) 7x12,4mm 100m</t>
  </si>
  <si>
    <t>M2 Nekoosa EZ Color EC1982 Plata Mate 0,61 x 45,7m</t>
  </si>
  <si>
    <t>A0002576</t>
  </si>
  <si>
    <t>POWER UNIT,ZWS150BAF-24/R</t>
  </si>
  <si>
    <t>A0002577</t>
  </si>
  <si>
    <t>Motor SH1422-5442</t>
  </si>
  <si>
    <t>A0002578</t>
  </si>
  <si>
    <t>Plotter Impresión Roland UV LEC2-640S</t>
  </si>
  <si>
    <t>A0002579</t>
  </si>
  <si>
    <t>MPH-90 Cabezal Impresión MPX-90</t>
  </si>
  <si>
    <t>A0002580</t>
  </si>
  <si>
    <t>Impresora Canon Arizona 1360 XT</t>
  </si>
  <si>
    <t>A0002581</t>
  </si>
  <si>
    <t>Impresora Canon Colorado 1650</t>
  </si>
  <si>
    <t>A0002582</t>
  </si>
  <si>
    <t>Tinta EcoUV Negro 220ml</t>
  </si>
  <si>
    <t>A0002583</t>
  </si>
  <si>
    <t>Rollo MetamarkMM-BM Máscara de Pintor Azul  0,61x50m</t>
  </si>
  <si>
    <t>M2 Nekoosa EZ Color EC1982 Plata Mate 1,22 x 45,7m</t>
  </si>
  <si>
    <t>A0002585</t>
  </si>
  <si>
    <t>Rollo Vinilo Fotoluminiscente (Clase A) 1mx10m</t>
  </si>
  <si>
    <t>A0002586</t>
  </si>
  <si>
    <t>Rollo Vinilo Fotoluminiscente (Clase A) 1mx1m</t>
  </si>
  <si>
    <t>A0002587</t>
  </si>
  <si>
    <t>L-BEARING,SSR15XW1GGE/W2GE+2050L- 1000002145</t>
  </si>
  <si>
    <t>M2 Nekoosa EZ Color EC1986 Amarillo Girasol Mate 0,61 x 45,7m</t>
  </si>
  <si>
    <t>A0002589</t>
  </si>
  <si>
    <t>Rollo Vinilo Fotoluminiscente (Clase B) 1mx1m</t>
  </si>
  <si>
    <t>A0002590</t>
  </si>
  <si>
    <t>Rollo Vinilo Fotoluminiscente (Clase B) 1mx25m</t>
  </si>
  <si>
    <t>A0002591</t>
  </si>
  <si>
    <t>6000005682 - Assy, PinchRoll C VG-640_01</t>
  </si>
  <si>
    <t>M2 Nekoosa EZ Color EC1986 Amarillo Girasol Mate 1,22 x 45,7m</t>
  </si>
  <si>
    <t>M2 Nekoosa EZ Color EC2235 Verde Medio Brillo 0,61 x 45,7m</t>
  </si>
  <si>
    <t>A0002594</t>
  </si>
  <si>
    <t>1000020315 - Stay, Link Front R2 EJ-640</t>
  </si>
  <si>
    <t>A0002595</t>
  </si>
  <si>
    <t>1000020314 - Stay, Link Rear R2 XF-640</t>
  </si>
  <si>
    <t>A0002596</t>
  </si>
  <si>
    <t>1000020656 - Bracket, Frame Middle R2 EJ-640</t>
  </si>
  <si>
    <t>A0002597</t>
  </si>
  <si>
    <t>1000020207 - Bush, K5F0605-12</t>
  </si>
  <si>
    <t>A0002598</t>
  </si>
  <si>
    <t>1000020206 - Washer FFW-0814-20</t>
  </si>
  <si>
    <t>A0002599</t>
  </si>
  <si>
    <t>31149703AS - Ring Set, E-Ring ETW-4 100pcs</t>
  </si>
  <si>
    <t>A0002600</t>
  </si>
  <si>
    <t>3000000206 - Set , CAP 4*8 NI WSH 4*9*0,8 MEKKU 20pcs</t>
  </si>
  <si>
    <t>A0002601</t>
  </si>
  <si>
    <t>1000023012 - Collar, P-Roller CG2023</t>
  </si>
  <si>
    <t>A0002602</t>
  </si>
  <si>
    <t>31049137AS - Screw Set, Cap M4*25 3CBC 20 pcs</t>
  </si>
  <si>
    <t>A0002675</t>
  </si>
  <si>
    <t>M2 Nekoosa EZ Color EC2235 Verde Medio Brillo 1,22 x 45,7m</t>
  </si>
  <si>
    <t>A0002604</t>
  </si>
  <si>
    <t>Rollo Sublimación Skynnet 60g 1,62x200m</t>
  </si>
  <si>
    <t>A0002605</t>
  </si>
  <si>
    <t>SSTT Control Board N-1-2017-MA</t>
  </si>
  <si>
    <t>A0002606</t>
  </si>
  <si>
    <t>Terminal Block for STX N-1-1762</t>
  </si>
  <si>
    <t>A0002607</t>
  </si>
  <si>
    <t>Plancha Sprint Mag Cap (Gorras) 9x16</t>
  </si>
  <si>
    <t>A0002608</t>
  </si>
  <si>
    <t>ML Cad-Cut Fancy 115 Gold 500mm</t>
  </si>
  <si>
    <t>A0002609</t>
  </si>
  <si>
    <t>Tinta EcoUV Cyan 220ml</t>
  </si>
  <si>
    <t>A0002610</t>
  </si>
  <si>
    <t>Tinta EcoUV Magenta 220ml</t>
  </si>
  <si>
    <t>A0002611</t>
  </si>
  <si>
    <t>Tinta EcoUV Amarillo 220ml</t>
  </si>
  <si>
    <t>M2 Nekoosa EZ Color EC2472 Rojo Cardenal Brillo 0,61 x 45,7m</t>
  </si>
  <si>
    <t>M2 Nekoosa EZ Color EC2472 Rojo Cardenal Brillo 1,22 x 45,7m</t>
  </si>
  <si>
    <t>A0002614</t>
  </si>
  <si>
    <t>Pack 2 Cuchillas para vinilo ZEC-U5022</t>
  </si>
  <si>
    <t>M2 Nekoosa EZ Color EC3048 Amarillo Brillo 0,61 x 45,7m</t>
  </si>
  <si>
    <t>M2 Nekoosa EZ Color EC3048 Amarillo Brillo 1,22 x 45,7m</t>
  </si>
  <si>
    <t>A0002617</t>
  </si>
  <si>
    <t>1000012014    FILTER,LED LAMP LEF-20 5 PCS</t>
  </si>
  <si>
    <t>A0002618</t>
  </si>
  <si>
    <t>Plotter Impresión y Corte Roland TrueVis VG3-640</t>
  </si>
  <si>
    <t>M2 Nekoosa EZ Color EC3281 Blanco Brillo 0,61 x 45,7m</t>
  </si>
  <si>
    <t>A0002620</t>
  </si>
  <si>
    <t>Rollo Reflectiv IR 50X 1,52x30m</t>
  </si>
  <si>
    <t>M2 Nekoosa EZ Color EC3281 Blanco Brillo 1,22 x 45,7m</t>
  </si>
  <si>
    <t>A0002622</t>
  </si>
  <si>
    <t>21995106 - Flange, guide 2 PNS-70</t>
  </si>
  <si>
    <t>A0002623</t>
  </si>
  <si>
    <t>6000005495-Assy, Main Board VG2-640</t>
  </si>
  <si>
    <t>M2 Nekoosa EZ Color EC3477 Oro Mate 0,61 x 45,7m</t>
  </si>
  <si>
    <t>M2 Nekoosa EZ Color EC3477 Oro Mate 1,22 x 45,7m</t>
  </si>
  <si>
    <t>A0002627</t>
  </si>
  <si>
    <t>Rollo Cinta Doble Cara 3008 PE Espuma blanca 19mm x 66m</t>
  </si>
  <si>
    <t>A0002628</t>
  </si>
  <si>
    <t>Rollo Cinta Doble Cara 3008 PE Espuma blanca 25mm x 66m</t>
  </si>
  <si>
    <t>A0002629</t>
  </si>
  <si>
    <t>21945141 - Wire CX-400</t>
  </si>
  <si>
    <t>A0002630</t>
  </si>
  <si>
    <t>6015-01-12x3-SK -Rollo Junquillo caja de luz con adhesivo 12mmx3mmx50m</t>
  </si>
  <si>
    <t>M2 Nekoosa EZ Color EC3745 Negro Brillo 0,61 x 45,7m</t>
  </si>
  <si>
    <t>A0002632</t>
  </si>
  <si>
    <t>1000006689 - Roland Sensor Interrupter, EE-SX4009-P1</t>
  </si>
  <si>
    <t>A0002633</t>
  </si>
  <si>
    <t>1000009651 - Guide Cable Flex-Cut XR-640</t>
  </si>
  <si>
    <t>A0002634</t>
  </si>
  <si>
    <t>SB-54 - Cutting Plotter 54" Media Basket</t>
  </si>
  <si>
    <t>A0002635</t>
  </si>
  <si>
    <t>Máquina de bordad Brother 1 Cabeza 12 Agujas</t>
  </si>
  <si>
    <t>A0002636</t>
  </si>
  <si>
    <t>Software de picado Decorating Lite A4</t>
  </si>
  <si>
    <t>A0002637</t>
  </si>
  <si>
    <t>Bastidor multifuinción con 8 formas</t>
  </si>
  <si>
    <t>A0002638</t>
  </si>
  <si>
    <t>Onyx Poster Shop Textile Edition</t>
  </si>
  <si>
    <t>A0002639</t>
  </si>
  <si>
    <t>Rollo Reflectiv IR 50X Exterior 1,52x10m</t>
  </si>
  <si>
    <t>A0002640</t>
  </si>
  <si>
    <t>Rollo Reflectiv IR 50X Exterior 1,52x5m</t>
  </si>
  <si>
    <t>A0002641</t>
  </si>
  <si>
    <t>Prueba Unidades de Medida</t>
  </si>
  <si>
    <t>M2 Nekoosa EZ Color EC3745 Negro Brillo 1,22 x 45,7m</t>
  </si>
  <si>
    <t>A0002643</t>
  </si>
  <si>
    <t>6160-93-050 - Rollo Loop Velcro para coser Blanco 50mm x 25m</t>
  </si>
  <si>
    <t>A0002644</t>
  </si>
  <si>
    <t>Metamark Box 1,22cm</t>
  </si>
  <si>
    <t>A0002645</t>
  </si>
  <si>
    <t>SB-64 - Cutting Plotter 64" Media Basket</t>
  </si>
  <si>
    <t>A0002646</t>
  </si>
  <si>
    <t>Rollo Reflectiv Deco INT 120 1,52 x 30m</t>
  </si>
  <si>
    <t>A0002647</t>
  </si>
  <si>
    <t>Rollo Reflectiv Deco INT 120 1,52 x 10m</t>
  </si>
  <si>
    <t>A0002648</t>
  </si>
  <si>
    <t>Rollo Reflectiv MIR 500X Plata Espejo 1,52x30m</t>
  </si>
  <si>
    <t>A0002649</t>
  </si>
  <si>
    <t>Par Imanes para fijación 66mm</t>
  </si>
  <si>
    <t>A0002650</t>
  </si>
  <si>
    <t>A0002651</t>
  </si>
  <si>
    <t>N-1-2332-1 Toggle Clamp Short</t>
  </si>
  <si>
    <t>A0002652</t>
  </si>
  <si>
    <t>Rollo Reflectiv Film transparente 63545 Turquesa 1,52x10m</t>
  </si>
  <si>
    <t>A0002654</t>
  </si>
  <si>
    <t>Rollo Metamark MDi 101M (70mc) Mate 1,37x50m</t>
  </si>
  <si>
    <t>A0002655</t>
  </si>
  <si>
    <t>Rollo Metamark MDi 101M (70mc) Mate 1,60x50m</t>
  </si>
  <si>
    <t>A0002656</t>
  </si>
  <si>
    <t>6000006484 - Assy, Main Board SV CG2213</t>
  </si>
  <si>
    <t>A0002658</t>
  </si>
  <si>
    <t>Recogedor TU4-64 VG/SG-640 + Motor</t>
  </si>
  <si>
    <t>A0002660</t>
  </si>
  <si>
    <t>Plotter Impresión y Corte Roland TrueVis VG2-540</t>
  </si>
  <si>
    <t>A0002661</t>
  </si>
  <si>
    <t>6700319030 - Assy, Pulley XC-540</t>
  </si>
  <si>
    <t>A0002662</t>
  </si>
  <si>
    <t>Rollo Metamark SS-SBG Brushed Gold 0,61 x 50m</t>
  </si>
  <si>
    <t>A0002685</t>
  </si>
  <si>
    <t>Rollo Metamark MD5-H 101M (70mc) Mate Alto Agarre 1,37x50m</t>
  </si>
  <si>
    <t>A0002664</t>
  </si>
  <si>
    <t>Rollo Metamark MDP-R Removible (100mc Imp. y Corte) Mate1,37x50m</t>
  </si>
  <si>
    <t>A0002665</t>
  </si>
  <si>
    <t>Rollo Canvas Eco Solvente Roma (Satin.) 1,067mx25m</t>
  </si>
  <si>
    <t>M2 Nekoosa EZ Color EC4267 Amarillo Girasol Brillo 0,61 x 45,7m</t>
  </si>
  <si>
    <t>A0002668</t>
  </si>
  <si>
    <t>Rollo Transportador GXP-525 (Papel bajo agarre) 1,22x91,4m</t>
  </si>
  <si>
    <t>M2 Nekoosa EZ Color EC4267 Amarillo Girasol Brillo 1,22 x 45,7m</t>
  </si>
  <si>
    <t>M2 Nekoosa EZ Color EC5555 Naranja Brillo 0,61 x 45,7m</t>
  </si>
  <si>
    <t>M2 Nekoosa EZ Color EC5555 Naranja Brillo 1,22 x 45,7m</t>
  </si>
  <si>
    <t>M2 Nekoosa EZ Color EC7112 Azul Brillo 0,61 x 45,7m</t>
  </si>
  <si>
    <t>M2 Nekoosa EZ Color EC7112 Azul Brillo 1,22 x 45,7m</t>
  </si>
  <si>
    <t>M2 Nekoosa EZ Color EC7288 Azul Medio Mate 0,61 x 45,7m</t>
  </si>
  <si>
    <t>M2 Nekoosa EZ Color EC7288 Azul Medio Mate 1,22 x 45,7m</t>
  </si>
  <si>
    <t>M2 Nekoosa EZ Color EC7422 Naranja Mate 0,61 x 45,7m</t>
  </si>
  <si>
    <t>M2 Nekoosa EZ Color EC7422 Naranja Mate 1,22 x 45,7m</t>
  </si>
  <si>
    <t>M2 Nekoosa EZ Color EC9284 Negro Mate 0,61 x 45,7m</t>
  </si>
  <si>
    <t>M2 Nekoosa EZ Color EC9284 Negro Mate 1,22 x 45,7m</t>
  </si>
  <si>
    <t>M2 Nekoosa EZ Color EC9882 Rojo Cardenal Mate 0,61 x 45,7m</t>
  </si>
  <si>
    <t>M2 Nekoosa EZ Color EC9882 Rojo Cardenal Mate 1,22 x 45,7m</t>
  </si>
  <si>
    <t>M2 Nekoosa EZ Color EC9944 Gris Medio Brillo 0,61 x 45,7m</t>
  </si>
  <si>
    <t>M2 Nekoosa EZ Color EC9944 Gris Medio Brillo 1,22 x 45,7m</t>
  </si>
  <si>
    <t>A0002558</t>
  </si>
  <si>
    <t>M2 Reflectante Acrílico Antivandálico ACAL 103 (10 años) Negro 0,92x45,7m</t>
  </si>
  <si>
    <t>A0002729</t>
  </si>
  <si>
    <t>Rollo Metamark MD5-H 101M (70mc) Mate Alto Agarre 1,60x50m</t>
  </si>
  <si>
    <t>A0002686</t>
  </si>
  <si>
    <t>Rollo Vinilo Microperforado 1,06x50</t>
  </si>
  <si>
    <t>A0002687</t>
  </si>
  <si>
    <t>Rollo Ri-Dot Transparente Brillo 1,37x50m</t>
  </si>
  <si>
    <t>A0002688</t>
  </si>
  <si>
    <t>Espátula Verde Eco 10cm</t>
  </si>
  <si>
    <t>A0002689</t>
  </si>
  <si>
    <t>Bote Tinta Triangle DT8 Pro Sublimación Cyan 1L</t>
  </si>
  <si>
    <t>A0002690</t>
  </si>
  <si>
    <t>Bote Tinta Triangle DT8 Pro Sublimación Deep Negro 1L</t>
  </si>
  <si>
    <t>A0002520</t>
  </si>
  <si>
    <t>M2 Reflectante Clase 1 ELG Flex 48003 Negro (5 años) 1,22x45,7m</t>
  </si>
  <si>
    <t>A0002693</t>
  </si>
  <si>
    <t>6215-93-250 - Gancho 37mm Spannfix con goma blanca</t>
  </si>
  <si>
    <t>A0002694</t>
  </si>
  <si>
    <t>Rollo Reflectiv MIR 505 Bronce Espejo 1,52x10m</t>
  </si>
  <si>
    <t>A0002695</t>
  </si>
  <si>
    <t>Rollo Reflectiv MIR 505 Bronce Espejo 1,52x30m</t>
  </si>
  <si>
    <t>A0002696</t>
  </si>
  <si>
    <t>Rollo Metamark MD 80B (80mic) Brillo Adh. Gris 1,37x50m</t>
  </si>
  <si>
    <t>A0002697</t>
  </si>
  <si>
    <t>Rollo Metamark MD 81MB (80mic) Mate Adh. Gris 1,37x50m</t>
  </si>
  <si>
    <t>A0002698</t>
  </si>
  <si>
    <t>6200-93-045 - Gancho para bandera Blanco 24x45mm (Pack 500 uds)</t>
  </si>
  <si>
    <t>A0002699</t>
  </si>
  <si>
    <t>6202-93-080 - Gancho para bandera Blanco con cinta de poliéster 24x80mm (Pack 500 uds)</t>
  </si>
  <si>
    <t>A0002700</t>
  </si>
  <si>
    <t>Rollo Metamark MD 80B (80mic) Brillo Adh. Gris 1,60x50m</t>
  </si>
  <si>
    <t>A0002701</t>
  </si>
  <si>
    <t>Rollo Metamark MD 81MB (80mic) Mate Adh. Gris 1,60x50m</t>
  </si>
  <si>
    <t>A0002702</t>
  </si>
  <si>
    <t>Rollo Laminado MG 82 (80mic) Mate 1,60x50m</t>
  </si>
  <si>
    <t>A0002703</t>
  </si>
  <si>
    <t>Rollo Laminado MG 85 (80mic) Brillo 1,60x50m</t>
  </si>
  <si>
    <t>A0002513</t>
  </si>
  <si>
    <t>M2 Reflectante Clase 1 ELG Flex 48004 Amarillo (5 años) 1,22x45,7m</t>
  </si>
  <si>
    <t>A0002705</t>
  </si>
  <si>
    <t>013690 - Heat Platen Cleaner (1 ud)</t>
  </si>
  <si>
    <t>A0002706</t>
  </si>
  <si>
    <t>ML Cad-Cut Sportsfilm 001 Blanco 300mm</t>
  </si>
  <si>
    <t>A0002707</t>
  </si>
  <si>
    <t>ML Cad-Cut Sportsfilm 700 Negro 300mm</t>
  </si>
  <si>
    <t>A0002708</t>
  </si>
  <si>
    <t>Plotter Corte Roland GR2-640</t>
  </si>
  <si>
    <t>A0002709</t>
  </si>
  <si>
    <t>Rollo Laminado Monomérico RI-2977 Mate 1,05x50m</t>
  </si>
  <si>
    <t>A0002710</t>
  </si>
  <si>
    <t>Rollo Laminado Monomérico RI-2977 Mate 1,37x50m</t>
  </si>
  <si>
    <t>A0002711</t>
  </si>
  <si>
    <t>Rollo Reflectiv INT130 1,52x30m</t>
  </si>
  <si>
    <t>A0002712</t>
  </si>
  <si>
    <t>Rollo Transportador 400 Transparente (media adh.) 1,22x100m</t>
  </si>
  <si>
    <t>A0002713</t>
  </si>
  <si>
    <t>Rollo TriSolv PhotoArt Paper 210 Brillo 1,06x50m</t>
  </si>
  <si>
    <t>A0002714</t>
  </si>
  <si>
    <t>Rollo TriSolv PhotoArt Paper 210 Brillo 1,37x50m</t>
  </si>
  <si>
    <t>A0002716</t>
  </si>
  <si>
    <t>Bote Tinta Triangle DT8 Limpieza 1L</t>
  </si>
  <si>
    <t>A0002717</t>
  </si>
  <si>
    <t>Rollo Canvas Eco Solvente Roma (Satin.) 1,37mx25m</t>
  </si>
  <si>
    <t>A0002718</t>
  </si>
  <si>
    <t>Plancha Stahls' Hot Berry 23x30cm</t>
  </si>
  <si>
    <t>A0002512</t>
  </si>
  <si>
    <t>M2 Reflectante Clase 1 ELG Flex 48005 Rojo (5 años) 1,22x45,7m</t>
  </si>
  <si>
    <t>A0002509</t>
  </si>
  <si>
    <t>M2 Reflectante Clase 1 ELG Flex 48006 Azul (5 años) 1,22x45,7m</t>
  </si>
  <si>
    <t>A0002510</t>
  </si>
  <si>
    <t>M2 Reflectante Clase 1 ELG Flex 48008 Verde (5 años) 1,22x45,7m</t>
  </si>
  <si>
    <t>A0002516</t>
  </si>
  <si>
    <t>M2 Reflectante Clase 1 ELG Flex 48010 Oro (5 años) 1,22x45,7m</t>
  </si>
  <si>
    <t>A0002724</t>
  </si>
  <si>
    <t>6000-01-12x3-S - Rollo Junquillo de Silicona (on spool) 12mmX3mm 100m</t>
  </si>
  <si>
    <t>A0002508</t>
  </si>
  <si>
    <t>M2 Reflectante Clase 1 ELG Flex 48012 (5 años)  1,22x45,7m</t>
  </si>
  <si>
    <t>A0002726</t>
  </si>
  <si>
    <t>Soporte Pie para Fusion</t>
  </si>
  <si>
    <t>A0002727</t>
  </si>
  <si>
    <t>1000011770 - FILTER (M), Mist Carriage LEF-20</t>
  </si>
  <si>
    <t>A0002728</t>
  </si>
  <si>
    <t>21545160 - Pad, Wiper Tray SJ-540</t>
  </si>
  <si>
    <t>Rollo Metamark MD5HB 100 (70mc) Alto Agarre Brillo 1,37x50m</t>
  </si>
  <si>
    <t>A0002730</t>
  </si>
  <si>
    <t>Rollo Wallpaper Premium Sol 195 1,372x50m</t>
  </si>
  <si>
    <t>A0002731</t>
  </si>
  <si>
    <t>Rollo Polimérico Isee2 (StrongTouch Supreme) Alto Agarre Mate 1,37x25m</t>
  </si>
  <si>
    <t>A0002515</t>
  </si>
  <si>
    <t>M2 Reflectante Clase 1 ELG Flex 48018 Verde Claro (5 años) 1,22x45,7m</t>
  </si>
  <si>
    <t>A0002733</t>
  </si>
  <si>
    <t>Rollo Wallpaper Premium 180gr 1,35x100m</t>
  </si>
  <si>
    <t>A0002734</t>
  </si>
  <si>
    <t>ML Cad-Cut Flock 253 Cereza 500mm</t>
  </si>
  <si>
    <t>A0002735</t>
  </si>
  <si>
    <t>ML Cad-Cut Soft Metallic 5815 Plata 500mm</t>
  </si>
  <si>
    <t>A0002736</t>
  </si>
  <si>
    <t>ML Cad-Cut Soft Metallic 5115 Oro 500mm</t>
  </si>
  <si>
    <t>A0002737</t>
  </si>
  <si>
    <t>Rollo F-RP005237 POLIPRINT UV/SUBLY 100 MIC 0,11x50m</t>
  </si>
  <si>
    <t>A0002738</t>
  </si>
  <si>
    <t>CB09UB-5 Cuchillas Graphtec 45º para vinilo - Pack 5 uds</t>
  </si>
  <si>
    <t>A0002739</t>
  </si>
  <si>
    <t>Rollo Skynnet MonoDigital Perm High Tack 100mc Mate 1,06x50m</t>
  </si>
  <si>
    <t>A0002740</t>
  </si>
  <si>
    <t>Rollo Skynnet MonoDigital Perm High Tack 100mc Mate 1,37x50m</t>
  </si>
  <si>
    <t>A0002514</t>
  </si>
  <si>
    <t>M2 Reflectante Clase 1 ELG Flex 48025 Rojo Oscuro (5 años) 1,22x45,7m</t>
  </si>
  <si>
    <t>A0002742</t>
  </si>
  <si>
    <t>Rollo Skynnet MonoDigital Perm High Tack 100mc Mate 1,60x50m</t>
  </si>
  <si>
    <t>A0002743</t>
  </si>
  <si>
    <t>Rollo Skynnet PolyDigital Perm High Tack 75mc Mate 1,60x50m</t>
  </si>
  <si>
    <t>A0002744</t>
  </si>
  <si>
    <t>Rollo Skynnet PolyDigital Perm High Tack 75mc Mate 1,37x50m</t>
  </si>
  <si>
    <t>A0002745</t>
  </si>
  <si>
    <t>Rollo Skynnet PolyDigital Perm High Tack 75mc Mate 1,06x50m</t>
  </si>
  <si>
    <t>A0002746</t>
  </si>
  <si>
    <t>Rollo Reflectiv AUT C20 Gris Oscuro 23mc 1,52x10m</t>
  </si>
  <si>
    <t>A0002747</t>
  </si>
  <si>
    <t>Rollo Reflectiv AUT C20 Gris Oscuro 23mc 1,52x5m</t>
  </si>
  <si>
    <t>A0002517</t>
  </si>
  <si>
    <t>M2 Reflectante Clase 1 ELG Flex 48026 Azul Claro (5 años) 1,22x45,7m</t>
  </si>
  <si>
    <t>A0002749</t>
  </si>
  <si>
    <t>Rollo Vinilo GoGo-Dot 100 Blanco Mate 1,60x50m</t>
  </si>
  <si>
    <t>A0002750</t>
  </si>
  <si>
    <t>Rollo Papel Poster Premium Satin 150gr 1,52 x 50m</t>
  </si>
  <si>
    <t>A0002751</t>
  </si>
  <si>
    <t>Rollo Reflectiv INT 510 1,52x30m</t>
  </si>
  <si>
    <t>A0002752</t>
  </si>
  <si>
    <t>Rollo TriSolv PhotoArt Paper 225gr Satín 1,52x30m</t>
  </si>
  <si>
    <t>A0002753</t>
  </si>
  <si>
    <t>Rollo Reflectiv MIR 500 Plata Espejo 1,52x30m</t>
  </si>
  <si>
    <t>A0002754</t>
  </si>
  <si>
    <t>Plotter ValueJet VJ-2638X Ecosolvente</t>
  </si>
  <si>
    <t>A0002755</t>
  </si>
  <si>
    <t>Plotter Impresión y Corte Roland TrueVis SG3-300</t>
  </si>
  <si>
    <t>A0002523</t>
  </si>
  <si>
    <t>M2 Reflectante Clase 1 ELG Flex 48034 Amarillo Limón (5 años) 1,22x45,7m</t>
  </si>
  <si>
    <t>A0002522</t>
  </si>
  <si>
    <t>M2 Reflectante Clase 1 ELG Flex 48035 Rojo Brillante (5 años) 1,22x45,7m</t>
  </si>
  <si>
    <t>A0002758</t>
  </si>
  <si>
    <t>ML Cad-Cut Premium Plus 730 Gris 300mm</t>
  </si>
  <si>
    <t>A0002759</t>
  </si>
  <si>
    <t>ML Cad-Cut Premium Plus 101 Neon Amarillo 300mm</t>
  </si>
  <si>
    <t>A0002760</t>
  </si>
  <si>
    <t>Rollo Stahls Cinta Thermo 9mm x 66m</t>
  </si>
  <si>
    <t>A0002761</t>
  </si>
  <si>
    <t>Dispensador de Cinta Thermo Stahls 9mm</t>
  </si>
  <si>
    <t>A0002762</t>
  </si>
  <si>
    <t>Rollo Laminado Skynnet Antideslizante R9 170mc 1,37x50m</t>
  </si>
  <si>
    <t>A0002763</t>
  </si>
  <si>
    <t>ML Cad-Cut Premium Plus 241 Neon Rosa 300mm</t>
  </si>
  <si>
    <t>A0002764</t>
  </si>
  <si>
    <t>Compresor Air Sil1 3cm/100</t>
  </si>
  <si>
    <t>A0002765</t>
  </si>
  <si>
    <t>ML Cad-Cut Effect 909 Sparkle Rosa 300mm</t>
  </si>
  <si>
    <t>A0002766</t>
  </si>
  <si>
    <t>ML Cad-Cut Effect 901 Spectrum 300mm</t>
  </si>
  <si>
    <t>A0002767</t>
  </si>
  <si>
    <t>ML Cad-Cut Glitter 921 Plata 300mm</t>
  </si>
  <si>
    <t>A0002519</t>
  </si>
  <si>
    <t>M2 Reflectante Clase 1 ELG Flex 48036 Azul Oscuro (5 años) 1,22x45,7m</t>
  </si>
  <si>
    <t>A0002769</t>
  </si>
  <si>
    <t>Tinta EcoUV 5 Magenta 500cc</t>
  </si>
  <si>
    <t>A0002770</t>
  </si>
  <si>
    <t>Tinta EcoUV 5 Cyan 500cc</t>
  </si>
  <si>
    <t>A0002771</t>
  </si>
  <si>
    <t>Tinta EcoUV 5 Amarillo 500cc</t>
  </si>
  <si>
    <t>A0002772</t>
  </si>
  <si>
    <t>Tinta EcoUV 5 Negro 500cc</t>
  </si>
  <si>
    <t>A0002773</t>
  </si>
  <si>
    <t>Plotter Impresión y Corte Roland VersaStudio BN-20D</t>
  </si>
  <si>
    <t>A0002774</t>
  </si>
  <si>
    <t>Mesa de corte Láser LV-290</t>
  </si>
  <si>
    <t>A0002775</t>
  </si>
  <si>
    <t>Rollo Laminado Skynnet Antideslizante R9 170mc 1,37x25m</t>
  </si>
  <si>
    <t>A0002776</t>
  </si>
  <si>
    <t>ML Cad-Cut Sportsfilm 355 Azul Marino 500mm</t>
  </si>
  <si>
    <t>A0002777</t>
  </si>
  <si>
    <t>1000024992 - Assy, Carriage J5-183LX</t>
  </si>
  <si>
    <t>A0002778</t>
  </si>
  <si>
    <t>Rollo Metaguard MGi 002 Mate 76cm x 50m</t>
  </si>
  <si>
    <t>A0002521</t>
  </si>
  <si>
    <t>M2 Reflectante Clase 1 ELG Flex 48045 Violeta (5 años) 1,22x45,7m</t>
  </si>
  <si>
    <t>A0002518</t>
  </si>
  <si>
    <t>M2 Reflectante Clase 1 ELG Flex 48046 Azul Cielo (5 años) 1,22x45,7m</t>
  </si>
  <si>
    <t>A0002781</t>
  </si>
  <si>
    <t>Rollo Reflectiv MIR 500 Plata Espejo 1,52x10m</t>
  </si>
  <si>
    <t>A0002782</t>
  </si>
  <si>
    <t>ML Magnético 0.6mm espesor PVC Blanco 1mx30m</t>
  </si>
  <si>
    <t>A0002783</t>
  </si>
  <si>
    <t>Rollo Reflectiv MIR 501 Oro Espejo 1,52x10m</t>
  </si>
  <si>
    <t>A0002784</t>
  </si>
  <si>
    <t>Alfombrilla de Corte 250x150cm</t>
  </si>
  <si>
    <t>A0002785</t>
  </si>
  <si>
    <t>Rollo Sublimación Skynnet 45g 1,62x420m</t>
  </si>
  <si>
    <t>A0002786</t>
  </si>
  <si>
    <t>Rollo Metamark MDT (80mc Translúcido) Satin 1,37x25m</t>
  </si>
  <si>
    <t>A0002787</t>
  </si>
  <si>
    <t>Alfombrilla de Corte 60x120cm</t>
  </si>
  <si>
    <t>A0002788</t>
  </si>
  <si>
    <t>Rollo PVC + PP para Roll-Up 200mc Trasera Gris 0,91x50m</t>
  </si>
  <si>
    <t>A0002789</t>
  </si>
  <si>
    <t>1000001602 - Sheet Clamp Media</t>
  </si>
  <si>
    <t>A0002790</t>
  </si>
  <si>
    <t>21685149 - Gear T2</t>
  </si>
  <si>
    <t>A0002791</t>
  </si>
  <si>
    <t>ML Cad-Cut Sportsfilm 200 Rojo 300mm</t>
  </si>
  <si>
    <t>A0002792</t>
  </si>
  <si>
    <t>Rollo Wallpaper Premium 180gr 1,35x50m</t>
  </si>
  <si>
    <t>A0002793</t>
  </si>
  <si>
    <t>Rollo Reflectiv AUT C20 Gris Oscuro 23mc 1,52x30m</t>
  </si>
  <si>
    <t>A0002511</t>
  </si>
  <si>
    <t>M2 Reflectante Clase 1 ELG Flex 48077 Naranja (5 años) 1,22x45,7m</t>
  </si>
  <si>
    <t>A0002795</t>
  </si>
  <si>
    <t>Rollo Knifeless Finish Line 50m</t>
  </si>
  <si>
    <t>A0002503</t>
  </si>
  <si>
    <t>M2 Reflectante Clase 1 MPG F4304 Amarillo 1,22x45,7m</t>
  </si>
  <si>
    <t>A0002504</t>
  </si>
  <si>
    <t>M2 Reflectante Clase 1 MPG F4305 Rojo 1,22x45,7m</t>
  </si>
  <si>
    <t>A0002798</t>
  </si>
  <si>
    <t>Plotter Impresión Epson SureColor SC-S40600</t>
  </si>
  <si>
    <t>A0002799</t>
  </si>
  <si>
    <t>Rollo Metamark MDi 101M (70mc) Mate 1,37x25m</t>
  </si>
  <si>
    <t>A0002800</t>
  </si>
  <si>
    <t>Plotter Impresión y Corte Roland MG 300</t>
  </si>
  <si>
    <t>A0002801</t>
  </si>
  <si>
    <t>Plotter Impresión y Corte Roland MG 640</t>
  </si>
  <si>
    <t>A0002803</t>
  </si>
  <si>
    <t>Cartucho Epson SC-S40/60/80 GS3 Amarillo T8904 700ml</t>
  </si>
  <si>
    <t>A0002804</t>
  </si>
  <si>
    <t>Cartucho Epson SC-S40/60/80 GS3 Magenta T8903 700ml</t>
  </si>
  <si>
    <t>A0002805</t>
  </si>
  <si>
    <t>Cartucho Epson SC-S40/60/80 GS3 Cian T8902 700ml</t>
  </si>
  <si>
    <t>A0002806</t>
  </si>
  <si>
    <t>Cartucho Epson SC-S40/60/80 GS3 Negro T8901 700ml</t>
  </si>
  <si>
    <t>A0002807</t>
  </si>
  <si>
    <t>Cartucho Epson S70600 Gris T7137 700 ml</t>
  </si>
  <si>
    <t>A0002808</t>
  </si>
  <si>
    <t>Cartucho Epson S70600 Negro T7131 700 ml</t>
  </si>
  <si>
    <t>A0002809</t>
  </si>
  <si>
    <t>Cartucho Epson S70600 Magenta T7133 700 ml</t>
  </si>
  <si>
    <t>A0002810</t>
  </si>
  <si>
    <t>Cartucho Epson S70600 Cian T7132 700 ml</t>
  </si>
  <si>
    <t>A0002811</t>
  </si>
  <si>
    <t>Cartucho Epson S70600 Amarillo T7134 700 ml</t>
  </si>
  <si>
    <t>A0002812</t>
  </si>
  <si>
    <t>Cartucho Eco Sol Max Metálico 220cc</t>
  </si>
  <si>
    <t>A0002505</t>
  </si>
  <si>
    <t>M2 Reflectante Clase 1 MPG F4306 Azul 1,22x45,7m</t>
  </si>
  <si>
    <t>A0002814</t>
  </si>
  <si>
    <t>163847 - Almohadilla protectora de espuma 6mm</t>
  </si>
  <si>
    <t>A0002815</t>
  </si>
  <si>
    <t>Tinta EcoUV 5 Blanco 220cc</t>
  </si>
  <si>
    <t>A0002507</t>
  </si>
  <si>
    <t>M2 Reflectante Clase 1 MPG F4308 Verde 1,22x45,7m</t>
  </si>
  <si>
    <t>A0002502</t>
  </si>
  <si>
    <t>M2 Reflectante Clase 1 MPG F4312 Blanco 1,22x45,7m</t>
  </si>
  <si>
    <t>A0002506</t>
  </si>
  <si>
    <t>M2 Reflectante Clase 1 MPG F4377 Naranja 1,22x45,7m</t>
  </si>
  <si>
    <t>A0002692</t>
  </si>
  <si>
    <t>M2 Reflectante Clase 2 ULS Flex BA814SL Izquierda PU Super High Tack Blanco/Rojo 1,22x45,7m</t>
  </si>
  <si>
    <t>A0002527</t>
  </si>
  <si>
    <t>M2 Reflectante Clase 2 ULS Flex BA814SR Derecha PU Super High Tack Blanco/Rojo 1,22x45,7m</t>
  </si>
  <si>
    <t>A0002526</t>
  </si>
  <si>
    <t>M2 Reflectante Clase 2 ULS Flex CS504 PU Super High Tack Amarillo 1,22x45,7m</t>
  </si>
  <si>
    <t>A0002525</t>
  </si>
  <si>
    <t>M2 Reflectante Clase 2 ULS Flex CS512 PU Super High Tack Blanco 1,22x45,7m</t>
  </si>
  <si>
    <t>A0002524</t>
  </si>
  <si>
    <t>M2 Reflectante Clase 2 ULS Flex CV 512 PVC Super High Tack Blanco 1,22x45,7m</t>
  </si>
  <si>
    <t>A0002559</t>
  </si>
  <si>
    <t>M2 Reflectante Hi-SCal (10 años) 4178-04 POWM Negro Intenso 1,22x50m</t>
  </si>
  <si>
    <t>A0002560</t>
  </si>
  <si>
    <t>M2 Reflectante Hi-SCal (10 años) 4178-08 CM2 Blanco Puro 1,22x50m</t>
  </si>
  <si>
    <t>A0002561</t>
  </si>
  <si>
    <t>M2 Reflectante Hi-SCal (7 años) 4178-07 CM2 Amarillo Cadmio 1,22x50m</t>
  </si>
  <si>
    <t>A0002562</t>
  </si>
  <si>
    <t>M2 Reflectante Hi-SCal (7 años) 4178-12 CM2 Azul Real 1,22x50m</t>
  </si>
  <si>
    <t>A0002563</t>
  </si>
  <si>
    <t>M2 Reflectante Hi-SCal (7 años) 4178-19 CM2 Rojo Bermejo 1,22x50m</t>
  </si>
  <si>
    <t>A0002564</t>
  </si>
  <si>
    <t>M2 Reflectante Hi-SCal (7 años) 4178-25 CM2 Azul Acero 1,22x50m</t>
  </si>
  <si>
    <t>A0002565</t>
  </si>
  <si>
    <t>M2 Reflectante Hi-SCal (7 años) 4178-55 CM2 Gris Ardilla 1,22x50m</t>
  </si>
  <si>
    <t>A0002479</t>
  </si>
  <si>
    <t>M2 Reflectante Nivel 1 (7 años) EG8104 Amarillo 1,22x50m</t>
  </si>
  <si>
    <t>A0002480</t>
  </si>
  <si>
    <t>M2 Reflectante Nivel 1 (7 años) EG8105 Rojo 1,22x50m</t>
  </si>
  <si>
    <t>A0002481</t>
  </si>
  <si>
    <t>M2 Reflectante Nivel 1 (7 años) EG8106 Azul 1,22x50m</t>
  </si>
  <si>
    <t>A0002483</t>
  </si>
  <si>
    <t>M2 Reflectante Nivel 1 (7 años) EG8108 Verde 1,22x50m</t>
  </si>
  <si>
    <t>A0002484</t>
  </si>
  <si>
    <t>M2 Reflectante Nivel 1 (7 años) EG8109 Marrón 1,22x50m</t>
  </si>
  <si>
    <t>A0002478</t>
  </si>
  <si>
    <t>M2 Reflectante Nivel 1 (7 años) EG8112 Blanco 1,22x50m</t>
  </si>
  <si>
    <t>A0002482</t>
  </si>
  <si>
    <t>M2 Reflectante Nivel 1 (7 años) EG8177 Naranja 1,22x50m</t>
  </si>
  <si>
    <t>A0002488</t>
  </si>
  <si>
    <t>M2 Reflectante Nivel 2 (10 años) ULS 804 Amarillo 1,22x45,7m</t>
  </si>
  <si>
    <t>A0002487</t>
  </si>
  <si>
    <t>M2 Reflectante Nivel 2 (10 años) ULS 805 Rojo 1,22x45,7m</t>
  </si>
  <si>
    <t>A0002840</t>
  </si>
  <si>
    <t>Rollo Sublimación Skynnet Protección 20g 1,65x910m</t>
  </si>
  <si>
    <t>A0002486</t>
  </si>
  <si>
    <t>M2 Reflectante Nivel 2 (10 años) ULS 806 Azul 1,22x45,7m</t>
  </si>
  <si>
    <t>A0002490</t>
  </si>
  <si>
    <t>M2 Reflectante Nivel 2 (10 años) ULS 807 Naranja 1,22x45,7m</t>
  </si>
  <si>
    <t>A0002844</t>
  </si>
  <si>
    <t>Mesa de Pelado Stahls</t>
  </si>
  <si>
    <t>A0002845</t>
  </si>
  <si>
    <t>Rollo Metaguard MGi 002 Mate 1,37x25m</t>
  </si>
  <si>
    <t>A0002491</t>
  </si>
  <si>
    <t>M2 Reflectante Nivel 2 (10 años) ULS 809 Marrón 1,22x45,7m</t>
  </si>
  <si>
    <t>A0002485</t>
  </si>
  <si>
    <t>M2 Reflectante Nivel 2 (10 años) ULS 812 Blanco 1,22x45,7m</t>
  </si>
  <si>
    <t>A0002489</t>
  </si>
  <si>
    <t>M2 Reflectante Nivel 2 (10 años) ULS 818 Verde 0,92x45,7m</t>
  </si>
  <si>
    <t>A0002494</t>
  </si>
  <si>
    <t>M2 Reflectante Nivel 2 (10 años) ULX R604 Microprisma Amarillo 1,22x45,7m</t>
  </si>
  <si>
    <t>A0002850</t>
  </si>
  <si>
    <t>1000002656 - Pad Cutter VP-300</t>
  </si>
  <si>
    <t>A0002851</t>
  </si>
  <si>
    <t>Rollo Poliéster para Roll-Up Trasera gris 295mic 1,07x50m</t>
  </si>
  <si>
    <t>A0002852</t>
  </si>
  <si>
    <t>ML Cad-Cut Sportsfilm 241 Neon Rosa 300mm</t>
  </si>
  <si>
    <t>A0002853</t>
  </si>
  <si>
    <t>ML Cad-Cut Sportsfilm 101 Neon Amarillo 300mm</t>
  </si>
  <si>
    <t>A0002854</t>
  </si>
  <si>
    <t>ML Cad-Cut Sportsfilm 730 Gris 300mm</t>
  </si>
  <si>
    <t>A0002855</t>
  </si>
  <si>
    <t>Cartucho Epson S70600 Light Magenta T7136 700 ml</t>
  </si>
  <si>
    <t>A0002856</t>
  </si>
  <si>
    <t>Cartucho Epson S70600 Light Cyan T7135 700 ml</t>
  </si>
  <si>
    <t>A0002857</t>
  </si>
  <si>
    <t>Rollo Papel Poster Premium Satin 150gr 1,37 x 50m</t>
  </si>
  <si>
    <t>A0002858</t>
  </si>
  <si>
    <t>Rollo Reflectiv Sec 54 1,52x30m</t>
  </si>
  <si>
    <t>A0002859</t>
  </si>
  <si>
    <t>Rollo Skynnet PolyDigital Perm High Tack 75mc Mate 1,37x25m</t>
  </si>
  <si>
    <t>A0002860</t>
  </si>
  <si>
    <t>22055692 - Plate Short Clamp Media L SP-540V</t>
  </si>
  <si>
    <t>A0002861</t>
  </si>
  <si>
    <t>22055694 - Plate Short Clamp Media R SP-540V</t>
  </si>
  <si>
    <t>A0002862</t>
  </si>
  <si>
    <t>Plotter Sublimación 24″ Epson SureColor SC-F501 flúor</t>
  </si>
  <si>
    <t>A0002863</t>
  </si>
  <si>
    <t>Plotter Sublimación 24″ Epson SureColor SC-F500</t>
  </si>
  <si>
    <t>A0002584</t>
  </si>
  <si>
    <t>M2 Reflectante Nivel 2 (10 años) ULX R605 Microprisma Rojo 1,22x45,7m</t>
  </si>
  <si>
    <t>A0002866</t>
  </si>
  <si>
    <t>Rollo Skynnet MonoLaminado Perm High Tack 70mc Mate 1,37x50m</t>
  </si>
  <si>
    <t>A0002867</t>
  </si>
  <si>
    <t>Tinta EcoUV 5 Gloss 500cc</t>
  </si>
  <si>
    <t>A0002868</t>
  </si>
  <si>
    <t>Display-Board XF IQ Gen2 N-1-2658-F</t>
  </si>
  <si>
    <t>A0002869</t>
  </si>
  <si>
    <t>Triac IQ-Board N-1-2464-1</t>
  </si>
  <si>
    <t>A0002493</t>
  </si>
  <si>
    <t>M2 Reflectante Nivel 2 (10 años) ULX R606 Microprisma Azul 1,22x45,7m</t>
  </si>
  <si>
    <t>A0002492</t>
  </si>
  <si>
    <t>M2 Reflectante Nivel 2 (10 años) ULX R612 Microprisma Blanco 1,22x45,7m</t>
  </si>
  <si>
    <t>A0002495</t>
  </si>
  <si>
    <t>M2 Reflectante Nivel 3 (10 años) CRG 92802 Blanco 1,22x45,7m</t>
  </si>
  <si>
    <t>A0002498</t>
  </si>
  <si>
    <t>M2 Reflectante Nivel 3 (10 años) CRG 92804 Amarillo 1,22x45,7m</t>
  </si>
  <si>
    <t>A0002497</t>
  </si>
  <si>
    <t>M2 Reflectante Nivel 3 (10 años) CRG 92805 Rojo 1,22x45,7m</t>
  </si>
  <si>
    <t>A0002496</t>
  </si>
  <si>
    <t>M2 Reflectante Nivel 3 (10 años) CRG 92806 Azul 1,22x45,7m</t>
  </si>
  <si>
    <t>A0002499</t>
  </si>
  <si>
    <t>M2 Reflectante Nivel 3 (10 años) CRG 92808 Verde 0,92x45,7m</t>
  </si>
  <si>
    <t>A0001713</t>
  </si>
  <si>
    <t>M2 Reflectiv INT401 1,22x50m</t>
  </si>
  <si>
    <t>A0001723</t>
  </si>
  <si>
    <t>M2 Ritrama Etch Polímerico PTA 1,22x50m</t>
  </si>
  <si>
    <t>A0002723</t>
  </si>
  <si>
    <t>M2 Ritrama M301 Negro Mate 0,61 x 50m</t>
  </si>
  <si>
    <t>A0002720</t>
  </si>
  <si>
    <t>M2 Ritrama M301 Negro Mate 1,22 x 50m</t>
  </si>
  <si>
    <t>A0001875</t>
  </si>
  <si>
    <t>M2 Ritrama Ri-Mark P601 Negro 0,61x50m</t>
  </si>
  <si>
    <t>A0001725</t>
  </si>
  <si>
    <t>M2 Ritrama Ri-Mark P601 Negro 1,22x50m</t>
  </si>
  <si>
    <t>A0002615</t>
  </si>
  <si>
    <t>M2 Ritrama Ri-Mark Platinum 800 Blanco 1,22x50m</t>
  </si>
  <si>
    <t>A0002616</t>
  </si>
  <si>
    <t>M2 Ritrama Ri-Mark Platinum 801 Negro 1,22x50m</t>
  </si>
  <si>
    <t>A0002780</t>
  </si>
  <si>
    <t>M2 Skynnet GlassDecor PolyEtched Air Free Perm High Tack 0,61x50m</t>
  </si>
  <si>
    <t>A0002748</t>
  </si>
  <si>
    <t>M2 Skynnet GlassDecor PolyEtched Air Free Perm High Tack 1,22x50m</t>
  </si>
  <si>
    <t>A0002797</t>
  </si>
  <si>
    <t>M2 Skynnet GlassDecor PolyEtched Air Free Perm High Tack 1,50x50m</t>
  </si>
  <si>
    <t>A0002757</t>
  </si>
  <si>
    <t>M2 Skynnet GlassDecor PolyEtched Perm High Tack 0,61x50m</t>
  </si>
  <si>
    <t>A0002741</t>
  </si>
  <si>
    <t>M2 Skynnet GlassDecor PolyEtched Perm High Tack 1,22x50m</t>
  </si>
  <si>
    <t>A0002796</t>
  </si>
  <si>
    <t>M2 Skynnet GlassDecor PolyEtched Perm High Tack 1,50x50m</t>
  </si>
  <si>
    <t>A0002972</t>
  </si>
  <si>
    <t>M2 Vinillo Fluorescente Naranja 1,22x50m</t>
  </si>
  <si>
    <t>A0002892</t>
  </si>
  <si>
    <t>Plotter Corte Roland GX-500</t>
  </si>
  <si>
    <t>A0002893</t>
  </si>
  <si>
    <t>6100-93-020 - Rollo Flag Belt -  Tira de refuerzo banderas Blanco 20mmx100</t>
  </si>
  <si>
    <t>A0002894</t>
  </si>
  <si>
    <t>ML Magnético 0.3mm espesor + PVC Blanco 1,07x30m</t>
  </si>
  <si>
    <t>M2 Vinilo Pizarra Blanco Borrable 1,35x50m</t>
  </si>
  <si>
    <t>A0002896</t>
  </si>
  <si>
    <t>Cartucho Tinta RTV2 Cyan 500ml</t>
  </si>
  <si>
    <t>A0002897</t>
  </si>
  <si>
    <t>Cartucho Tinta RTV2 Magenta 500ml</t>
  </si>
  <si>
    <t>A0002898</t>
  </si>
  <si>
    <t>Cartucho Tinta RTV2 Amarillo 500ml</t>
  </si>
  <si>
    <t>A0002899</t>
  </si>
  <si>
    <t>Cartucho Tinta RTV2 Negro 500ml</t>
  </si>
  <si>
    <t>A0002900</t>
  </si>
  <si>
    <t>1-2319 - Botón, White, Print Switch</t>
  </si>
  <si>
    <t>A0002901</t>
  </si>
  <si>
    <t>Plotter Impresión y Corte Roland TrueVis VG3-540</t>
  </si>
  <si>
    <t>A0002902</t>
  </si>
  <si>
    <t>6000002863 - Assy, Media Clamp L SG-540</t>
  </si>
  <si>
    <t>A0002903</t>
  </si>
  <si>
    <t>6000002862 - Assy, Media Clamp R SG-540</t>
  </si>
  <si>
    <t>A0002911</t>
  </si>
  <si>
    <t>Rollo Cinta Doble Cara 2406 PP 600mm x 50m</t>
  </si>
  <si>
    <t>A0002912</t>
  </si>
  <si>
    <t>Rollo Reflectiv UVB 460 1,52x30m</t>
  </si>
  <si>
    <t>A0001691</t>
  </si>
  <si>
    <t>M2 Vinilo Pizarra Blanco Brillo Borrable Alto Agarre (150mc)1,35x50m</t>
  </si>
  <si>
    <t>A0002914</t>
  </si>
  <si>
    <t>Rollo Cinta Doble Cara 2103 soporte celulosa 1000mm x 50m</t>
  </si>
  <si>
    <t>A0001692</t>
  </si>
  <si>
    <t>M2 Vinilo Pizarra Blanco Mate Borrable Alto Agarre (150mc) 1,35x50m</t>
  </si>
  <si>
    <t>A0002916</t>
  </si>
  <si>
    <t>6210-93-035 - Anilla forma D blanca 35x28mm (Pack 500 uds)</t>
  </si>
  <si>
    <t>A0002917</t>
  </si>
  <si>
    <t>6160-93-020 - Rollo Loop Velcro para coser Blanco 20mm x 25m</t>
  </si>
  <si>
    <t>A0002918</t>
  </si>
  <si>
    <t>6150-93-020 - Rollo Hook Velcro para coser Blanco 20mm x 25m</t>
  </si>
  <si>
    <t>Rollo MetaWrap MDXB (50mc Adh Gris) Brillo 1,6x50m</t>
  </si>
  <si>
    <t>A0002920</t>
  </si>
  <si>
    <t>Rollo MetaWrap Laminado MG-X 105 Brillo 1,37x10m</t>
  </si>
  <si>
    <t>A0002921</t>
  </si>
  <si>
    <t>Rollo Cinta Doble Cara 2103 soporte celulosa 19 mm x 50m</t>
  </si>
  <si>
    <t>A0002922</t>
  </si>
  <si>
    <t>15099115 - Roland Sensor Interrupter GP2A25NJ</t>
  </si>
  <si>
    <t>A0001697</t>
  </si>
  <si>
    <t>M2 Vinilo Pizarra Negra Borrable Alto Agarre (Tiza Líquida) 130mc 1,37x50m</t>
  </si>
  <si>
    <t>A0002924</t>
  </si>
  <si>
    <t>Rollo Microventosa Skynnet Taco Paco PE transparente 180mc 1,37x30m</t>
  </si>
  <si>
    <t>M2 Vinilo Pizarra Transparente Borrable 1,35x50m</t>
  </si>
  <si>
    <t>A0002926</t>
  </si>
  <si>
    <t>Plotter Impresión y Corte Roland TrueVis SG3-540</t>
  </si>
  <si>
    <t>A0002156</t>
  </si>
  <si>
    <t>Rollo WindowWRAP Microperforado Homologado 1,37x50</t>
  </si>
  <si>
    <t>A0001987</t>
  </si>
  <si>
    <t>M2 Vinilo poliéster Plata Espejo 0,61x50m</t>
  </si>
  <si>
    <t>A0002929</t>
  </si>
  <si>
    <t>Rollo Mactac JT 8300 WM-RT Dot Imprimible Suelo 1,37x25m</t>
  </si>
  <si>
    <t>A0001961</t>
  </si>
  <si>
    <t>M2 Vinilo poliéster Plata Espejo 1,22x50m</t>
  </si>
  <si>
    <t>A0002931</t>
  </si>
  <si>
    <t>Epson GF SC-S30600 Kit de Mantenimiento</t>
  </si>
  <si>
    <t>A0002932</t>
  </si>
  <si>
    <t>Plotter Impresión Epson SureColor SC-F9400H</t>
  </si>
  <si>
    <t>A0002933</t>
  </si>
  <si>
    <t>Plotter Impresión Epson SureColor SC-F9400</t>
  </si>
  <si>
    <t>A0002934</t>
  </si>
  <si>
    <t>Plotter Impresión Epson SureColor SC-F7200</t>
  </si>
  <si>
    <t>A0002935</t>
  </si>
  <si>
    <t>Plotter Impresión Epson SureColor SC-F6400</t>
  </si>
  <si>
    <t>A0002936</t>
  </si>
  <si>
    <t>Plotter Impresión Epson SureColor SC-F6400H</t>
  </si>
  <si>
    <t>A0002937</t>
  </si>
  <si>
    <t>A0002938</t>
  </si>
  <si>
    <t>Rollo Cinta Doble Cara 2103 soporte celulosa 600mm x 50m</t>
  </si>
  <si>
    <t>A0002939</t>
  </si>
  <si>
    <t>Plotter Impresión Epson SureColor SC-R5000</t>
  </si>
  <si>
    <t>A0002940</t>
  </si>
  <si>
    <t>Plotter Impresión Epson SureColor SC-R5000L</t>
  </si>
  <si>
    <t>A0002941</t>
  </si>
  <si>
    <t>Plotter Impresión Epson SureColor SC-S60600</t>
  </si>
  <si>
    <t>A0002942</t>
  </si>
  <si>
    <t>Plotter Impresión Epson SureColor SC-S60600L</t>
  </si>
  <si>
    <t>A0002943</t>
  </si>
  <si>
    <t>Plotter Impresión Epson SureColor SC-S80600L</t>
  </si>
  <si>
    <t>A0002944</t>
  </si>
  <si>
    <t>Plotter Impresión Epson SureColor SC-S80600</t>
  </si>
  <si>
    <t>A0002945</t>
  </si>
  <si>
    <t>Cartucho Epson SC-F500 GSX Magenta T49N300 140ml</t>
  </si>
  <si>
    <t>A0002946</t>
  </si>
  <si>
    <t>Cartucho Epson SC-F500 GSX Cyan T49N200 140ml</t>
  </si>
  <si>
    <t>A0002947</t>
  </si>
  <si>
    <t>Cartucho Epson SC-F500 GSX Amarillo T49N400 140ml</t>
  </si>
  <si>
    <t>A0002948</t>
  </si>
  <si>
    <t>Cartucho Epson SC-F500 GSX Negro T49N100 140ml</t>
  </si>
  <si>
    <t>A0002949</t>
  </si>
  <si>
    <t>PLDLS - Lower Double Platen Leg/Sleeve</t>
  </si>
  <si>
    <t>A0002950</t>
  </si>
  <si>
    <t>Plotter Impresión/Sublimación Epson EcoTank ET-14100</t>
  </si>
  <si>
    <t>A0002951</t>
  </si>
  <si>
    <t>Rollo Metamark M-PPF-C Film Protector Fibra Carbono 1,52x10m</t>
  </si>
  <si>
    <t>A0002952</t>
  </si>
  <si>
    <t>Rollo Metamark M-PPF-R Film Protector (5 Años) 1,52x15m</t>
  </si>
  <si>
    <t>A0002953</t>
  </si>
  <si>
    <t>Rollo Metamark M-PPF-X Film Protector (10 Años) 1,52x15m</t>
  </si>
  <si>
    <t>A0002954</t>
  </si>
  <si>
    <t>Rollo MetaWrap Laminado MG-X 105 Brillo 1,60x10m</t>
  </si>
  <si>
    <t>A0002955</t>
  </si>
  <si>
    <t>Mesa Impresión VersaObject CO-300-F200</t>
  </si>
  <si>
    <t>A0002956</t>
  </si>
  <si>
    <t>Cartucho Epson S70600 Naranja T7138 700 ml</t>
  </si>
  <si>
    <t>A0002957</t>
  </si>
  <si>
    <t>Cartucho Epson SC-S306x0 Limpieza T6990</t>
  </si>
  <si>
    <t>A0002958</t>
  </si>
  <si>
    <t>Rollo Backlit poliéster 215mic Brillo/Mate 1,60x50m</t>
  </si>
  <si>
    <t>A0001584</t>
  </si>
  <si>
    <t>Rollo WindowWRAP Microperforado Homologado 1,52x50</t>
  </si>
  <si>
    <t>A0002961</t>
  </si>
  <si>
    <t>Rollo Laminado Skynnet Antideslizante R9 170mc 1,52x50m</t>
  </si>
  <si>
    <t>SI</t>
  </si>
  <si>
    <t>A0002962</t>
  </si>
  <si>
    <t>ML Cad-Cut Switch 2450 Magenta 500mm</t>
  </si>
  <si>
    <t>A0002963</t>
  </si>
  <si>
    <t>Plancha Maxx Gorras Stahls</t>
  </si>
  <si>
    <t>A0001836</t>
  </si>
  <si>
    <t>M2 WindowWRAP Microperforado Homologado 1,52x50</t>
  </si>
  <si>
    <t>A0002965</t>
  </si>
  <si>
    <t>Rollo Cinta Doble Cara 2103 soporte celulosa 10mm x 50m</t>
  </si>
  <si>
    <t>A0002966</t>
  </si>
  <si>
    <t>Rollo Backlit poliéster 215mic Brillo/Mate 1,37x50m</t>
  </si>
  <si>
    <t>A0002967</t>
  </si>
  <si>
    <t>Rollo Papel Mupi Skylight 150g 1,37 x 100m</t>
  </si>
  <si>
    <t>A0002968</t>
  </si>
  <si>
    <t>Cartucho Epson SC-P7000 T8243 Magenta 350ml</t>
  </si>
  <si>
    <t>Rollo Metamark MD5HB 100 (70mc) Alto Agarre Brillo 1,6 x 50m</t>
  </si>
  <si>
    <t>A0002970</t>
  </si>
  <si>
    <t>Plotter Impresión y Corte Roland XR-640D</t>
  </si>
  <si>
    <t>A0002971</t>
  </si>
  <si>
    <t>Rollo Precinto Embalaje Estándar transparente 120 x 48mm</t>
  </si>
  <si>
    <t>A0002864</t>
  </si>
  <si>
    <t>Rollo Transportador Metamark M2060 1,22x100m</t>
  </si>
  <si>
    <t>Ajuste</t>
  </si>
  <si>
    <t>Artículo de ajuste</t>
  </si>
  <si>
    <t>M97009</t>
  </si>
  <si>
    <t>Rotulacion Fondo 600mm S-13 Reflex N1 - Paso para peatones</t>
  </si>
  <si>
    <t>M97010</t>
  </si>
  <si>
    <t>Rotulacion Fondo 700mm R-1 Reflex N1 - Ceda el paso</t>
  </si>
  <si>
    <t>M97011</t>
  </si>
  <si>
    <t>Rotulacion Fondo 600mm R-101 Reflex N1 - Dirección Prohibida</t>
  </si>
  <si>
    <t>M97012</t>
  </si>
  <si>
    <t>Rotulacion Fondo 600mm R-100 Reflex N1 - Circulación prohibida</t>
  </si>
  <si>
    <t>M97013</t>
  </si>
  <si>
    <t>Rotulacion Fondo 600mm R-2 Reflex N1 - Stop</t>
  </si>
  <si>
    <t>M97014</t>
  </si>
  <si>
    <t>Rotulacion Fondo 600mm R-400 A Reflex N1 - Sentido Obligatorio</t>
  </si>
  <si>
    <t>M97015</t>
  </si>
  <si>
    <t>Rotulacion Fondo 600mm TR-100 Reflex N1 - Circulación Prohibida</t>
  </si>
  <si>
    <t>Prueba1</t>
  </si>
  <si>
    <t>Abono Diferencia en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</si>
</sst>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0" xfId="0" applyFont="1" applyFill="1"/>
    <xf numFmtId="44" fontId="0" fillId="0" borderId="0" xfId="1" applyFont="1"/>
  </cellXfs>
  <cellStyles count="2">
    <cellStyle name="Moneda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rpal-my.sharepoint.com/personal/vcervera_cerpal_es/Documents/Escritorio/Caj&#243;n%20Desastre/Articulos%20M2.xlsx" TargetMode="External"/><Relationship Id="rId1" Type="http://schemas.openxmlformats.org/officeDocument/2006/relationships/externalLinkPath" Target="Caj&#243;n%20Desastre/Articulos%20M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ticulos Precio"/>
      <sheetName val="Atributos"/>
      <sheetName val="Atributos Valores"/>
      <sheetName val="MM-CC"/>
      <sheetName val="MCX"/>
      <sheetName val="M4 Frosted"/>
      <sheetName val="M7 Window Polimérico"/>
      <sheetName val="MT Translúcido"/>
      <sheetName val="Pizarra"/>
      <sheetName val="Nombre y tipo de atributo"/>
    </sheetNames>
    <sheetDataSet>
      <sheetData sheetId="0">
        <row r="1">
          <cell r="A1" t="str">
            <v>Número de artículo</v>
          </cell>
          <cell r="B1" t="str">
            <v>Descripción de artículo</v>
          </cell>
          <cell r="C1" t="str">
            <v>Activo</v>
          </cell>
          <cell r="D1" t="str">
            <v>Integrable</v>
          </cell>
          <cell r="E1" t="str">
            <v>Producto Padre</v>
          </cell>
        </row>
        <row r="2">
          <cell r="A2" t="str">
            <v>A0000003</v>
          </cell>
          <cell r="B2" t="str">
            <v>ML Cad-Cut Premium Plus 241 Neon Rosa 500mm</v>
          </cell>
          <cell r="C2" t="str">
            <v>Sí</v>
          </cell>
          <cell r="D2" t="str">
            <v>Si</v>
          </cell>
          <cell r="E2" t="str">
            <v>A0000644</v>
          </cell>
        </row>
        <row r="3">
          <cell r="A3" t="str">
            <v>A0000004</v>
          </cell>
          <cell r="B3" t="str">
            <v>ML Cad-Cut Premium Plus 181 Neon Naranja 500mm</v>
          </cell>
          <cell r="C3" t="str">
            <v>Sí</v>
          </cell>
          <cell r="D3" t="str">
            <v>Si</v>
          </cell>
          <cell r="E3" t="str">
            <v>A0000644</v>
          </cell>
        </row>
        <row r="4">
          <cell r="A4" t="str">
            <v>A0000005</v>
          </cell>
          <cell r="B4" t="str">
            <v>ML Cad-Cut Premium Plus 301 Neon Azul 500mm</v>
          </cell>
          <cell r="C4" t="str">
            <v>Sí</v>
          </cell>
          <cell r="D4" t="str">
            <v>Si</v>
          </cell>
          <cell r="E4" t="str">
            <v>A0000644</v>
          </cell>
        </row>
        <row r="5">
          <cell r="A5" t="str">
            <v>A0000006</v>
          </cell>
          <cell r="B5" t="str">
            <v>ML Cad-Cut Premium Plus 401 Neon Verde 500mm</v>
          </cell>
          <cell r="C5" t="str">
            <v>Sí</v>
          </cell>
          <cell r="D5" t="str">
            <v>Si</v>
          </cell>
          <cell r="E5" t="str">
            <v>A0000644</v>
          </cell>
        </row>
        <row r="6">
          <cell r="A6" t="str">
            <v>A0000007</v>
          </cell>
          <cell r="B6" t="str">
            <v>ML Cad-Cut Flock 001 Blanco 500mm</v>
          </cell>
          <cell r="C6" t="str">
            <v>Sí</v>
          </cell>
          <cell r="D6" t="str">
            <v>Si</v>
          </cell>
          <cell r="E6" t="str">
            <v>A0000007</v>
          </cell>
        </row>
        <row r="7">
          <cell r="A7" t="str">
            <v>A0000008</v>
          </cell>
          <cell r="B7" t="str">
            <v>ML Cad-Cut Flock 100 Amarillo Limón 500mm</v>
          </cell>
          <cell r="C7" t="str">
            <v>Sí</v>
          </cell>
          <cell r="D7" t="str">
            <v>Si</v>
          </cell>
          <cell r="E7" t="str">
            <v>A0000007</v>
          </cell>
        </row>
        <row r="8">
          <cell r="A8" t="str">
            <v>A0000009</v>
          </cell>
          <cell r="B8" t="str">
            <v>ML Cad-Cut Flock 110 Amarillo 500mm</v>
          </cell>
          <cell r="C8" t="str">
            <v>Sí</v>
          </cell>
          <cell r="D8" t="str">
            <v>Si</v>
          </cell>
          <cell r="E8" t="str">
            <v>A0000007</v>
          </cell>
        </row>
        <row r="9">
          <cell r="A9" t="str">
            <v>A0000010</v>
          </cell>
          <cell r="B9" t="str">
            <v>ML Cad-Cut Flock 180 Naranja 500mm</v>
          </cell>
          <cell r="C9" t="str">
            <v>Sí</v>
          </cell>
          <cell r="D9" t="str">
            <v>Si</v>
          </cell>
          <cell r="E9" t="str">
            <v>A0000007</v>
          </cell>
        </row>
        <row r="10">
          <cell r="A10" t="str">
            <v>A0000011</v>
          </cell>
          <cell r="B10" t="str">
            <v>ML Cad-Cut Flock 210 Rojo Señal 500mm</v>
          </cell>
          <cell r="C10" t="str">
            <v>Sí</v>
          </cell>
          <cell r="D10" t="str">
            <v>Si</v>
          </cell>
          <cell r="E10" t="str">
            <v>A0000007</v>
          </cell>
        </row>
        <row r="11">
          <cell r="A11" t="str">
            <v>A0000014</v>
          </cell>
          <cell r="B11" t="str">
            <v>ML Cad-Cut Flock 270 Rojo Borgoña 500mm</v>
          </cell>
          <cell r="C11" t="str">
            <v>Sí</v>
          </cell>
          <cell r="D11" t="str">
            <v>Si</v>
          </cell>
          <cell r="E11" t="str">
            <v>A0000007</v>
          </cell>
        </row>
        <row r="12">
          <cell r="A12" t="str">
            <v>A0000015</v>
          </cell>
          <cell r="B12" t="str">
            <v>ML Cad-Cut Flock 245 Magenta 500mm</v>
          </cell>
          <cell r="C12" t="str">
            <v>Sí</v>
          </cell>
          <cell r="D12" t="str">
            <v>Si</v>
          </cell>
          <cell r="E12" t="str">
            <v>A0000007</v>
          </cell>
        </row>
        <row r="13">
          <cell r="A13" t="str">
            <v>A0000016</v>
          </cell>
          <cell r="B13" t="str">
            <v>ML Cad-Cut Flock 310 Azul Hielo 500mm</v>
          </cell>
          <cell r="C13" t="str">
            <v>Sí</v>
          </cell>
          <cell r="D13" t="str">
            <v>Si</v>
          </cell>
          <cell r="E13" t="str">
            <v>A0000007</v>
          </cell>
        </row>
        <row r="14">
          <cell r="A14" t="str">
            <v>A0000017</v>
          </cell>
          <cell r="B14" t="str">
            <v>ML Cad-Cut Flock 300 Azul Real 500mm</v>
          </cell>
          <cell r="C14" t="str">
            <v>Sí</v>
          </cell>
          <cell r="D14" t="str">
            <v>Si</v>
          </cell>
          <cell r="E14" t="str">
            <v>A0000007</v>
          </cell>
        </row>
        <row r="15">
          <cell r="A15" t="str">
            <v>A0000018</v>
          </cell>
          <cell r="B15" t="str">
            <v>ML Cad-Cut Flock 320 Azul Cielo 500mm</v>
          </cell>
          <cell r="C15" t="str">
            <v>Sí</v>
          </cell>
          <cell r="D15" t="str">
            <v>Si</v>
          </cell>
          <cell r="E15" t="str">
            <v>A0000007</v>
          </cell>
        </row>
        <row r="16">
          <cell r="A16" t="str">
            <v>A0000019</v>
          </cell>
          <cell r="B16" t="str">
            <v>ML Cad-Cut Flock 350 Azul Naval 500mm</v>
          </cell>
          <cell r="C16" t="str">
            <v>Sí</v>
          </cell>
          <cell r="D16" t="str">
            <v>Si</v>
          </cell>
          <cell r="E16" t="str">
            <v>A0000007</v>
          </cell>
        </row>
        <row r="17">
          <cell r="A17" t="str">
            <v>A0000020</v>
          </cell>
          <cell r="B17" t="str">
            <v>ML Cad-Cut Flock 400 Verde 500mm</v>
          </cell>
          <cell r="C17" t="str">
            <v>Sí</v>
          </cell>
          <cell r="D17" t="str">
            <v>Si</v>
          </cell>
          <cell r="E17" t="str">
            <v>A0000007</v>
          </cell>
        </row>
        <row r="18">
          <cell r="A18" t="str">
            <v>A0000021</v>
          </cell>
          <cell r="B18" t="str">
            <v>ML Cad-Cut Flock 390 Aqua 500mm</v>
          </cell>
          <cell r="C18" t="str">
            <v>Sí</v>
          </cell>
          <cell r="D18" t="str">
            <v>Si</v>
          </cell>
          <cell r="E18" t="str">
            <v>A0000007</v>
          </cell>
        </row>
        <row r="19">
          <cell r="A19" t="str">
            <v>A0000022</v>
          </cell>
          <cell r="B19" t="str">
            <v>ML Cad-Cut Flock 405 Verde Lima 500mm</v>
          </cell>
          <cell r="C19" t="str">
            <v>Sí</v>
          </cell>
          <cell r="D19" t="str">
            <v>Si</v>
          </cell>
          <cell r="E19" t="str">
            <v>A0000007</v>
          </cell>
        </row>
        <row r="20">
          <cell r="A20" t="str">
            <v>A0000048</v>
          </cell>
          <cell r="B20" t="str">
            <v>Lona CityWRAP con liner mate, Mesh 270g 1,06x50</v>
          </cell>
          <cell r="C20" t="str">
            <v>Sí</v>
          </cell>
          <cell r="D20" t="str">
            <v>No</v>
          </cell>
        </row>
        <row r="21">
          <cell r="A21" t="str">
            <v>A0000049</v>
          </cell>
          <cell r="B21" t="str">
            <v>Lona CityWRAP con liner mate, Mesh 270g 1,37x50</v>
          </cell>
          <cell r="C21" t="str">
            <v>Sí</v>
          </cell>
          <cell r="D21" t="str">
            <v>Si</v>
          </cell>
          <cell r="E21" t="str">
            <v>A0000050</v>
          </cell>
        </row>
        <row r="22">
          <cell r="A22" t="str">
            <v>A0000050</v>
          </cell>
          <cell r="B22" t="str">
            <v>Lona CityWRAP con liner mate, Mesh 270g 1,60x50</v>
          </cell>
          <cell r="C22" t="str">
            <v>Sí</v>
          </cell>
          <cell r="D22" t="str">
            <v>Si</v>
          </cell>
          <cell r="E22" t="str">
            <v>A0000050</v>
          </cell>
        </row>
        <row r="23">
          <cell r="A23" t="str">
            <v>A0000057</v>
          </cell>
          <cell r="B23" t="str">
            <v>Lona DeluxeFront 510g,mate 1,06x50m</v>
          </cell>
          <cell r="C23" t="str">
            <v>Sí</v>
          </cell>
          <cell r="D23" t="str">
            <v>Si</v>
          </cell>
          <cell r="E23" t="str">
            <v>A0000057</v>
          </cell>
        </row>
        <row r="24">
          <cell r="A24" t="str">
            <v>A0000058</v>
          </cell>
          <cell r="B24" t="str">
            <v>Lona DeluxeFront 510g,mate 1,37x50m</v>
          </cell>
          <cell r="C24" t="str">
            <v>Sí</v>
          </cell>
          <cell r="D24" t="str">
            <v>Si</v>
          </cell>
          <cell r="E24" t="str">
            <v>A0000057</v>
          </cell>
        </row>
        <row r="25">
          <cell r="A25" t="str">
            <v>A0000059</v>
          </cell>
          <cell r="B25" t="str">
            <v>Lona DeluxeFront 510g,mate 1,60m x 50m</v>
          </cell>
          <cell r="C25" t="str">
            <v>Sí</v>
          </cell>
          <cell r="D25" t="str">
            <v>Si</v>
          </cell>
          <cell r="E25" t="str">
            <v>A0000057</v>
          </cell>
        </row>
        <row r="26">
          <cell r="A26" t="str">
            <v>A0000062</v>
          </cell>
          <cell r="B26" t="str">
            <v>Lona DeluxeFront 510g,mate 3,20x50m</v>
          </cell>
          <cell r="C26" t="str">
            <v>Sí</v>
          </cell>
          <cell r="D26" t="str">
            <v>No</v>
          </cell>
        </row>
        <row r="27">
          <cell r="A27" t="str">
            <v>A0000065</v>
          </cell>
          <cell r="B27" t="str">
            <v>Lona DeluxeLITE mate,Backlite 510g  1,60x50m</v>
          </cell>
          <cell r="C27" t="str">
            <v>Sí</v>
          </cell>
          <cell r="D27" t="str">
            <v>No</v>
          </cell>
        </row>
        <row r="28">
          <cell r="A28" t="str">
            <v>A0000068</v>
          </cell>
          <cell r="B28" t="str">
            <v>Lona DeluxeLITE mate,Backlite 510g  3,20x50m</v>
          </cell>
          <cell r="C28" t="str">
            <v>Sí</v>
          </cell>
          <cell r="D28" t="str">
            <v>No</v>
          </cell>
        </row>
        <row r="29">
          <cell r="A29" t="str">
            <v>A0002418</v>
          </cell>
          <cell r="B29" t="str">
            <v>1007-12-152 - M2 Micro Satin Universal 1,52x75m</v>
          </cell>
          <cell r="C29" t="str">
            <v>Sí</v>
          </cell>
          <cell r="D29" t="str">
            <v>No</v>
          </cell>
        </row>
        <row r="30">
          <cell r="A30" t="str">
            <v>A0002569</v>
          </cell>
          <cell r="B30" t="str">
            <v>1007-12-310 - M2 Micro Satin Universal 3,10x75m</v>
          </cell>
          <cell r="C30" t="str">
            <v>Sí</v>
          </cell>
          <cell r="D30" t="str">
            <v>No</v>
          </cell>
        </row>
        <row r="31">
          <cell r="A31" t="str">
            <v>A0002419</v>
          </cell>
          <cell r="B31" t="str">
            <v>1007-12-320 - M2 Micro Satin Universal 3,20x75m</v>
          </cell>
          <cell r="C31" t="str">
            <v>Sí</v>
          </cell>
          <cell r="D31" t="str">
            <v>No</v>
          </cell>
        </row>
        <row r="32">
          <cell r="A32" t="str">
            <v>A0002472</v>
          </cell>
          <cell r="B32" t="str">
            <v>1011-11-160 - M2 Heavy Banner 250gr 1,60x50m</v>
          </cell>
          <cell r="C32" t="str">
            <v>Sí</v>
          </cell>
          <cell r="D32" t="str">
            <v>No</v>
          </cell>
        </row>
        <row r="33">
          <cell r="A33" t="str">
            <v>A0002471</v>
          </cell>
          <cell r="B33" t="str">
            <v>1011-11-260 - M2 Heavy Banner 250gr 2,60x50m</v>
          </cell>
          <cell r="C33" t="str">
            <v>Sí</v>
          </cell>
          <cell r="D33" t="str">
            <v>No</v>
          </cell>
        </row>
        <row r="34">
          <cell r="A34" t="str">
            <v>A0002470</v>
          </cell>
          <cell r="B34" t="str">
            <v>1011-11-320 - M2 Heavy Banner 250gr 3,20x50m</v>
          </cell>
          <cell r="C34" t="str">
            <v>Sí</v>
          </cell>
          <cell r="D34" t="str">
            <v>No</v>
          </cell>
        </row>
        <row r="35">
          <cell r="A35" t="str">
            <v>A0002459</v>
          </cell>
          <cell r="B35" t="str">
            <v>1011-12-160 - M2 Heavy Banner Uni 270gr (UV Flat Bed) 1,60x50m</v>
          </cell>
          <cell r="C35" t="str">
            <v>Sí</v>
          </cell>
          <cell r="D35" t="str">
            <v>No</v>
          </cell>
        </row>
        <row r="36">
          <cell r="A36" t="str">
            <v>A0002460</v>
          </cell>
          <cell r="B36" t="str">
            <v>1011-12-260 - M2 Heavy Banner Uni 270gr (UV Flat Bed) 2,60x50m</v>
          </cell>
          <cell r="C36" t="str">
            <v>Sí</v>
          </cell>
          <cell r="D36" t="str">
            <v>No</v>
          </cell>
        </row>
        <row r="37">
          <cell r="A37" t="str">
            <v>A0002461</v>
          </cell>
          <cell r="B37" t="str">
            <v>1011-12-320 - M2 Heavy Banner Uni 270gr (UV Flat Bed) 3,20x50m</v>
          </cell>
          <cell r="C37" t="str">
            <v>Sí</v>
          </cell>
          <cell r="D37" t="str">
            <v>No</v>
          </cell>
        </row>
        <row r="38">
          <cell r="A38" t="str">
            <v>A0002768</v>
          </cell>
          <cell r="B38" t="str">
            <v>1016-11-152 - M2 Micro Double Satin 1,52x45m</v>
          </cell>
          <cell r="C38" t="str">
            <v>Sí</v>
          </cell>
          <cell r="D38" t="str">
            <v>No</v>
          </cell>
        </row>
        <row r="39">
          <cell r="A39" t="str">
            <v>A0002441</v>
          </cell>
          <cell r="B39" t="str">
            <v>1017-11-155 - M2 Elasto 245g 1,55x70m</v>
          </cell>
          <cell r="C39" t="str">
            <v>Sí</v>
          </cell>
          <cell r="D39" t="str">
            <v>No</v>
          </cell>
        </row>
        <row r="40">
          <cell r="A40" t="str">
            <v>A0000112</v>
          </cell>
          <cell r="B40" t="str">
            <v>Rollo Metamark MD 100 (100mc) Brillo 1,6 x 50m</v>
          </cell>
          <cell r="C40" t="str">
            <v>Sí</v>
          </cell>
          <cell r="D40" t="str">
            <v>Si</v>
          </cell>
          <cell r="E40" t="str">
            <v>A0000127</v>
          </cell>
        </row>
        <row r="41">
          <cell r="A41" t="str">
            <v>A0000114</v>
          </cell>
          <cell r="B41" t="str">
            <v>Rollo Metamark MD 100 (100mc) Brillo 1,37x50m</v>
          </cell>
          <cell r="C41" t="str">
            <v>Sí</v>
          </cell>
          <cell r="D41" t="str">
            <v>Si</v>
          </cell>
          <cell r="E41" t="str">
            <v>A0000127</v>
          </cell>
        </row>
        <row r="42">
          <cell r="A42" t="str">
            <v>A0000115</v>
          </cell>
          <cell r="B42" t="str">
            <v>Rollo Metamark MD 100 (100mc) Brillo 1,05x50m</v>
          </cell>
          <cell r="C42" t="str">
            <v>Sí</v>
          </cell>
          <cell r="D42" t="str">
            <v>Si</v>
          </cell>
          <cell r="E42" t="str">
            <v>A0000127</v>
          </cell>
        </row>
        <row r="43">
          <cell r="A43" t="str">
            <v>A0000116</v>
          </cell>
          <cell r="B43" t="str">
            <v>Rollo Metamark MD 101 (100mc) Mate 1,6 x 50m</v>
          </cell>
          <cell r="C43" t="str">
            <v>Sí</v>
          </cell>
          <cell r="D43" t="str">
            <v>Si</v>
          </cell>
          <cell r="E43" t="str">
            <v>A0000127</v>
          </cell>
        </row>
        <row r="44">
          <cell r="A44" t="str">
            <v>A0000118</v>
          </cell>
          <cell r="B44" t="str">
            <v>Rollo Metamark MD 101 (100mc) Mate 1,37x50m</v>
          </cell>
          <cell r="C44" t="str">
            <v>Sí</v>
          </cell>
          <cell r="D44" t="str">
            <v>Si</v>
          </cell>
          <cell r="E44" t="str">
            <v>A0000127</v>
          </cell>
        </row>
        <row r="45">
          <cell r="A45" t="str">
            <v>A0000119</v>
          </cell>
          <cell r="B45" t="str">
            <v>Rollo Metamark MD 101 (100mc) Mate 1,05x50m</v>
          </cell>
          <cell r="C45" t="str">
            <v>Sí</v>
          </cell>
          <cell r="D45" t="str">
            <v>Si</v>
          </cell>
          <cell r="E45" t="str">
            <v>A0000127</v>
          </cell>
        </row>
        <row r="46">
          <cell r="A46" t="str">
            <v>A0000120</v>
          </cell>
          <cell r="B46" t="str">
            <v>Rollo Metamark MD 100B (100mc Adh Gris) Brillo 1,6 x 50m</v>
          </cell>
          <cell r="C46" t="str">
            <v>Sí</v>
          </cell>
          <cell r="D46" t="str">
            <v>Si</v>
          </cell>
          <cell r="E46" t="str">
            <v>A0000127</v>
          </cell>
        </row>
        <row r="47">
          <cell r="A47" t="str">
            <v>A0000122</v>
          </cell>
          <cell r="B47" t="str">
            <v>Rollo Metamark MD 100B (100mc Adh Gris) Brillo 1,37x50m</v>
          </cell>
          <cell r="C47" t="str">
            <v>Sí</v>
          </cell>
          <cell r="D47" t="str">
            <v>Si</v>
          </cell>
          <cell r="E47" t="str">
            <v>A0000127</v>
          </cell>
        </row>
        <row r="48">
          <cell r="A48" t="str">
            <v>A0000123</v>
          </cell>
          <cell r="B48" t="str">
            <v>Rollo Metamark MD 100B (100mc Adh Gris) Brillo 1,05x50m</v>
          </cell>
          <cell r="C48" t="str">
            <v>Sí</v>
          </cell>
          <cell r="D48" t="str">
            <v>Si</v>
          </cell>
          <cell r="E48" t="str">
            <v>A0000127</v>
          </cell>
        </row>
        <row r="49">
          <cell r="A49" t="str">
            <v>A0000124</v>
          </cell>
          <cell r="B49" t="str">
            <v>Rollo Metamark MD 100R (100mc Adh Removible) Brillo 1,6 x 50m</v>
          </cell>
          <cell r="C49" t="str">
            <v>Sí</v>
          </cell>
          <cell r="D49" t="str">
            <v>Si</v>
          </cell>
          <cell r="E49" t="str">
            <v>A0000127</v>
          </cell>
        </row>
        <row r="50">
          <cell r="A50" t="str">
            <v>A0000126</v>
          </cell>
          <cell r="B50" t="str">
            <v>Rollo Metamark MD 100R (100mc Adh Removible) Brillo 1,37x50m</v>
          </cell>
          <cell r="C50" t="str">
            <v>Sí</v>
          </cell>
          <cell r="D50" t="str">
            <v>Si</v>
          </cell>
          <cell r="E50" t="str">
            <v>A0000127</v>
          </cell>
        </row>
        <row r="51">
          <cell r="A51" t="str">
            <v>A0000127</v>
          </cell>
          <cell r="B51" t="str">
            <v>Rollo Metamark MD 100R (100mc Adh Removible) Brillo 1,05x50m</v>
          </cell>
          <cell r="C51" t="str">
            <v>Sí</v>
          </cell>
          <cell r="D51" t="str">
            <v>Si</v>
          </cell>
          <cell r="E51" t="str">
            <v>A0000127</v>
          </cell>
        </row>
        <row r="52">
          <cell r="A52" t="str">
            <v>A0000131</v>
          </cell>
          <cell r="B52" t="str">
            <v>Rollo Metamark MD3 200 (70mc) Brillo 1,05x50m</v>
          </cell>
          <cell r="C52" t="str">
            <v>Sí</v>
          </cell>
          <cell r="D52" t="str">
            <v>Si</v>
          </cell>
          <cell r="E52" t="str">
            <v>A0000131</v>
          </cell>
        </row>
        <row r="53">
          <cell r="A53" t="str">
            <v>A0002969</v>
          </cell>
          <cell r="B53" t="str">
            <v>Rollo Metamark MD5 100 (70mc) Brillo 1,05x25m</v>
          </cell>
          <cell r="C53" t="str">
            <v>Sí</v>
          </cell>
          <cell r="D53" t="str">
            <v>Si</v>
          </cell>
          <cell r="E53" t="str">
            <v>A0000994</v>
          </cell>
        </row>
        <row r="54">
          <cell r="A54" t="str">
            <v>A0000159</v>
          </cell>
          <cell r="B54" t="str">
            <v>Rollo Metamark MD5 100 (70mc) Brillo 1,05x50m</v>
          </cell>
          <cell r="C54" t="str">
            <v>Sí</v>
          </cell>
          <cell r="D54" t="str">
            <v>Si</v>
          </cell>
          <cell r="E54" t="str">
            <v>A0000994</v>
          </cell>
        </row>
        <row r="55">
          <cell r="A55" t="str">
            <v>A0001714</v>
          </cell>
          <cell r="B55" t="str">
            <v>Rollo Metamark MD5 100 (70mc) Brillo 1,37x25m</v>
          </cell>
          <cell r="C55" t="str">
            <v>Sí</v>
          </cell>
          <cell r="D55" t="str">
            <v>Si</v>
          </cell>
          <cell r="E55" t="str">
            <v>A0000994</v>
          </cell>
        </row>
        <row r="56">
          <cell r="A56" t="str">
            <v>A0000158</v>
          </cell>
          <cell r="B56" t="str">
            <v>Rollo Metamark MD5 100 (70mc) Brillo 1,37x50m</v>
          </cell>
          <cell r="C56" t="str">
            <v>Sí</v>
          </cell>
          <cell r="D56" t="str">
            <v>Si</v>
          </cell>
          <cell r="E56" t="str">
            <v>A0000994</v>
          </cell>
        </row>
        <row r="57">
          <cell r="A57" t="str">
            <v>A0001878</v>
          </cell>
          <cell r="B57" t="str">
            <v>Rollo Metamark MD5 100 (70mc) Brillo 1,6 x 25m</v>
          </cell>
          <cell r="C57" t="str">
            <v>Sí</v>
          </cell>
          <cell r="D57" t="str">
            <v>Si</v>
          </cell>
          <cell r="E57" t="str">
            <v>A0000994</v>
          </cell>
        </row>
        <row r="58">
          <cell r="A58" t="str">
            <v>A0000156</v>
          </cell>
          <cell r="B58" t="str">
            <v>Rollo Metamark MD5 100 (70mc) Brillo 1,6 x 50m</v>
          </cell>
          <cell r="C58" t="str">
            <v>Sí</v>
          </cell>
          <cell r="D58" t="str">
            <v>Si</v>
          </cell>
          <cell r="E58" t="str">
            <v>A0000994</v>
          </cell>
        </row>
        <row r="59">
          <cell r="A59" t="str">
            <v>A0000163</v>
          </cell>
          <cell r="B59" t="str">
            <v>Rollo Metamark MD5 101M (70mc) Mate 1,05x50m</v>
          </cell>
          <cell r="C59" t="str">
            <v>Sí</v>
          </cell>
          <cell r="D59" t="str">
            <v>Si</v>
          </cell>
          <cell r="E59" t="str">
            <v>A0000994</v>
          </cell>
        </row>
        <row r="60">
          <cell r="A60" t="str">
            <v>A0000162</v>
          </cell>
          <cell r="B60" t="str">
            <v>Rollo Metamark MD5 101M (70mc) Mate 1,37x50m</v>
          </cell>
          <cell r="C60" t="str">
            <v>Sí</v>
          </cell>
          <cell r="D60" t="str">
            <v>Si</v>
          </cell>
          <cell r="E60" t="str">
            <v>A0000994</v>
          </cell>
        </row>
        <row r="61">
          <cell r="A61" t="str">
            <v>A0000160</v>
          </cell>
          <cell r="B61" t="str">
            <v>Rollo Metamark MD5 101M (70mc) Mate 1,6 x 50m</v>
          </cell>
          <cell r="C61" t="str">
            <v>Sí</v>
          </cell>
          <cell r="D61" t="str">
            <v>Si</v>
          </cell>
          <cell r="E61" t="str">
            <v>A0000994</v>
          </cell>
        </row>
        <row r="62">
          <cell r="A62" t="str">
            <v>A0000167</v>
          </cell>
          <cell r="B62" t="str">
            <v>Rollo Metamark MD5 105 (70mc) Transparente 1,05x50m</v>
          </cell>
          <cell r="C62" t="str">
            <v>Sí</v>
          </cell>
          <cell r="D62" t="str">
            <v>Si</v>
          </cell>
          <cell r="E62" t="str">
            <v>A0000994</v>
          </cell>
        </row>
        <row r="63">
          <cell r="A63" t="str">
            <v>A0000166</v>
          </cell>
          <cell r="B63" t="str">
            <v>Rollo Metamark MD5 105 (70mc) Transparente 1,37x50m</v>
          </cell>
          <cell r="C63" t="str">
            <v>Sí</v>
          </cell>
          <cell r="D63" t="str">
            <v>Si</v>
          </cell>
          <cell r="E63" t="str">
            <v>A0000994</v>
          </cell>
        </row>
        <row r="64">
          <cell r="A64" t="str">
            <v>A0000164</v>
          </cell>
          <cell r="B64" t="str">
            <v>Rollo Metamark MD5 105 (70mc) Transparente 1,6 x 50m</v>
          </cell>
          <cell r="C64" t="str">
            <v>Sí</v>
          </cell>
          <cell r="D64" t="str">
            <v>Si</v>
          </cell>
          <cell r="E64" t="str">
            <v>A0000994</v>
          </cell>
        </row>
        <row r="65">
          <cell r="A65" t="str">
            <v>A0000170</v>
          </cell>
          <cell r="B65" t="str">
            <v>Rollo Metamark MD5A 100 (70mc) Brillo MetaScape 1,37x50m</v>
          </cell>
          <cell r="C65" t="str">
            <v>Sí</v>
          </cell>
          <cell r="D65" t="str">
            <v>Si</v>
          </cell>
          <cell r="E65" t="str">
            <v>A0000994</v>
          </cell>
        </row>
        <row r="66">
          <cell r="A66" t="str">
            <v>A0000168</v>
          </cell>
          <cell r="B66" t="str">
            <v>Rollo Metamark MD5A 100 (70mc) Brillo MetaScape 1,6 x 50m</v>
          </cell>
          <cell r="C66" t="str">
            <v>Sí</v>
          </cell>
          <cell r="D66" t="str">
            <v>Si</v>
          </cell>
          <cell r="E66" t="str">
            <v>A0000994</v>
          </cell>
        </row>
        <row r="67">
          <cell r="A67" t="str">
            <v>A0000179</v>
          </cell>
          <cell r="B67" t="str">
            <v>Rollo Metamark MD5A-B 100 (70mc Adh Gris) Brillo MetaScape 1,05x50m</v>
          </cell>
          <cell r="C67" t="str">
            <v>Sí</v>
          </cell>
          <cell r="D67" t="str">
            <v>Si</v>
          </cell>
          <cell r="E67" t="str">
            <v>A0000994</v>
          </cell>
        </row>
        <row r="68">
          <cell r="A68" t="str">
            <v>A0000178</v>
          </cell>
          <cell r="B68" t="str">
            <v>Rollo Metamark MD5A-B 100 (70mc Adh Gris) Brillo MetaScape 1,37x50m</v>
          </cell>
          <cell r="C68" t="str">
            <v>Sí</v>
          </cell>
          <cell r="D68" t="str">
            <v>Si</v>
          </cell>
          <cell r="E68" t="str">
            <v>A0000994</v>
          </cell>
        </row>
        <row r="69">
          <cell r="A69" t="str">
            <v>A0000176</v>
          </cell>
          <cell r="B69" t="str">
            <v>Rollo Metamark MD5A-B 100 (70mc Adh Gris) Brillo MetaScape 1,6 x 50m</v>
          </cell>
          <cell r="C69" t="str">
            <v>Sí</v>
          </cell>
          <cell r="D69" t="str">
            <v>Si</v>
          </cell>
          <cell r="E69" t="str">
            <v>A0000994</v>
          </cell>
        </row>
        <row r="70">
          <cell r="A70" t="str">
            <v>A0002369</v>
          </cell>
          <cell r="B70" t="str">
            <v>Rollo Metamark MD5A-H 100 (70mc) Brillo MetaScape Alto Agarre 1,37x50m</v>
          </cell>
          <cell r="C70" t="str">
            <v>Sí</v>
          </cell>
          <cell r="D70" t="str">
            <v>Si</v>
          </cell>
          <cell r="E70" t="str">
            <v>A0000994</v>
          </cell>
        </row>
        <row r="71">
          <cell r="A71" t="str">
            <v>A0002663</v>
          </cell>
          <cell r="B71" t="str">
            <v>Rollo Metamark MD5A-H 100 (70mc) Brillo MetaScape Alto Agarre 1,60x50m</v>
          </cell>
          <cell r="C71" t="str">
            <v>Sí</v>
          </cell>
          <cell r="D71" t="str">
            <v>Si</v>
          </cell>
          <cell r="E71" t="str">
            <v>A0000994</v>
          </cell>
        </row>
        <row r="72">
          <cell r="A72" t="str">
            <v>A0000190</v>
          </cell>
          <cell r="B72" t="str">
            <v>Rollo Metamark MetaDot (100mc) Micro Adhesivo de Fácil Apli Transparente 1,37x50m</v>
          </cell>
          <cell r="C72" t="str">
            <v>Sí</v>
          </cell>
          <cell r="D72" t="str">
            <v>Si</v>
          </cell>
          <cell r="E72" t="str">
            <v>A0000191</v>
          </cell>
        </row>
        <row r="73">
          <cell r="A73" t="str">
            <v>A0000194</v>
          </cell>
          <cell r="B73" t="str">
            <v>Rollo Metamark MetaDot (100mc) Micro Adhesivo de Fácil Apli Mate 1,37x50m</v>
          </cell>
          <cell r="C73" t="str">
            <v>Sí</v>
          </cell>
          <cell r="D73" t="str">
            <v>Si</v>
          </cell>
          <cell r="E73" t="str">
            <v>A0000191</v>
          </cell>
        </row>
        <row r="74">
          <cell r="A74" t="str">
            <v>A0002919</v>
          </cell>
          <cell r="B74" t="str">
            <v>Rollo MetaWrap MDX (50mc Adh Gris) MeaScape Brillo 1,37x10m</v>
          </cell>
          <cell r="C74" t="str">
            <v>Sí</v>
          </cell>
          <cell r="D74" t="str">
            <v>No</v>
          </cell>
          <cell r="E74" t="str">
            <v>A0000205</v>
          </cell>
        </row>
        <row r="75">
          <cell r="A75" t="str">
            <v>A0000205</v>
          </cell>
          <cell r="B75" t="str">
            <v>Rollo MetaWrap MDX (50mc) Brillo 1,37x50m</v>
          </cell>
          <cell r="C75" t="str">
            <v>Sí</v>
          </cell>
          <cell r="D75" t="str">
            <v>Si</v>
          </cell>
          <cell r="E75" t="str">
            <v>A0000205</v>
          </cell>
        </row>
        <row r="76">
          <cell r="A76" t="str">
            <v>A0000204</v>
          </cell>
          <cell r="B76" t="str">
            <v>Rollo MetaWrap MDX (50mc) Brillo 1,60 x 50m</v>
          </cell>
          <cell r="C76" t="str">
            <v>Sí</v>
          </cell>
          <cell r="D76" t="str">
            <v>Si</v>
          </cell>
          <cell r="E76" t="str">
            <v>A0000205</v>
          </cell>
        </row>
        <row r="77">
          <cell r="A77" t="str">
            <v>A0001546</v>
          </cell>
          <cell r="B77" t="str">
            <v>Rollo MetaWrap MDX (50mc) Brillo 1,60x25m</v>
          </cell>
          <cell r="C77" t="str">
            <v>Sí</v>
          </cell>
          <cell r="D77" t="str">
            <v>Si</v>
          </cell>
          <cell r="E77" t="str">
            <v>A0000205</v>
          </cell>
        </row>
        <row r="78">
          <cell r="A78" t="str">
            <v>A0000208</v>
          </cell>
          <cell r="B78" t="str">
            <v>Rollo Metamark MDP 200 (100mc Imp. y Corte) Brillo 1,52x50m</v>
          </cell>
          <cell r="C78" t="str">
            <v>Sí</v>
          </cell>
          <cell r="D78" t="str">
            <v>Si</v>
          </cell>
          <cell r="E78" t="str">
            <v>A0000209</v>
          </cell>
        </row>
        <row r="79">
          <cell r="A79" t="str">
            <v>A0000209</v>
          </cell>
          <cell r="B79" t="str">
            <v>Rollo Metamark MDP 200 (100mc Imp. y Corte) Brillo 1,37x50m</v>
          </cell>
          <cell r="C79" t="str">
            <v>Sí</v>
          </cell>
          <cell r="D79" t="str">
            <v>Si</v>
          </cell>
          <cell r="E79" t="str">
            <v>A0000209</v>
          </cell>
        </row>
        <row r="80">
          <cell r="A80" t="str">
            <v>A0000212</v>
          </cell>
          <cell r="B80" t="str">
            <v>Rollo Metamark MDP 301 (100mc Imp. y Corte) Mate 1,37x50m</v>
          </cell>
          <cell r="C80" t="str">
            <v>Sí</v>
          </cell>
          <cell r="D80" t="str">
            <v>Si</v>
          </cell>
          <cell r="E80" t="str">
            <v>A0000209</v>
          </cell>
        </row>
        <row r="81">
          <cell r="A81" t="str">
            <v>A0000214</v>
          </cell>
          <cell r="B81" t="str">
            <v>Rollo Metamark MDP-H-200 (100mc Alto Agarre) Brillo 1,6 x 50m</v>
          </cell>
          <cell r="C81" t="str">
            <v>Sí</v>
          </cell>
          <cell r="D81" t="str">
            <v>Si</v>
          </cell>
          <cell r="E81" t="str">
            <v>A0000217</v>
          </cell>
        </row>
        <row r="82">
          <cell r="A82" t="str">
            <v>A0000216</v>
          </cell>
          <cell r="B82" t="str">
            <v>Rollo Metamark MDP-H-200 (100mc Alto Agarre) Brillo 1,37x50m</v>
          </cell>
          <cell r="C82" t="str">
            <v>Sí</v>
          </cell>
          <cell r="D82" t="str">
            <v>Si</v>
          </cell>
          <cell r="E82" t="str">
            <v>A0000217</v>
          </cell>
        </row>
        <row r="83">
          <cell r="A83" t="str">
            <v>A0000218</v>
          </cell>
          <cell r="B83" t="str">
            <v>Rollo Metamark MDP-H-301M (100mc Alto Agarre) Mate 1,6 x 50m</v>
          </cell>
          <cell r="C83" t="str">
            <v>Sí</v>
          </cell>
          <cell r="D83" t="str">
            <v>Si</v>
          </cell>
          <cell r="E83" t="str">
            <v>A0000217</v>
          </cell>
        </row>
        <row r="84">
          <cell r="A84" t="str">
            <v>A0000220</v>
          </cell>
          <cell r="B84" t="str">
            <v>Rollo Metamark MDP-H-301M (100mc Alto Agarre) Mate 1,37x50m</v>
          </cell>
          <cell r="C84" t="str">
            <v>Sí</v>
          </cell>
          <cell r="D84" t="str">
            <v>Si</v>
          </cell>
          <cell r="E84" t="str">
            <v>A0000217</v>
          </cell>
        </row>
        <row r="85">
          <cell r="A85" t="str">
            <v>A0000222</v>
          </cell>
          <cell r="B85" t="str">
            <v>Rollo Metamark MDPHB-200 (100mc Alto Agarre - Adh Gris) Brillo 1,6 x 50m</v>
          </cell>
          <cell r="C85" t="str">
            <v>Sí</v>
          </cell>
          <cell r="D85" t="str">
            <v>Si</v>
          </cell>
          <cell r="E85" t="str">
            <v>A0000217</v>
          </cell>
        </row>
        <row r="86">
          <cell r="A86" t="str">
            <v>A0000224</v>
          </cell>
          <cell r="B86" t="str">
            <v>Rollo Metamark MDPHB-200 (100mc Alto Agarre - Adh Gris) Brillo 1,37x50m</v>
          </cell>
          <cell r="C86" t="str">
            <v>Sí</v>
          </cell>
          <cell r="D86" t="str">
            <v>Si</v>
          </cell>
          <cell r="E86" t="str">
            <v>A0000217</v>
          </cell>
        </row>
        <row r="87">
          <cell r="A87" t="str">
            <v>A0000226</v>
          </cell>
          <cell r="B87" t="str">
            <v>Rollo Metamark MDPHB-301M (100mc Alto Agarre - Adh Gris) Mate 1,6 x 50m</v>
          </cell>
          <cell r="C87" t="str">
            <v>Sí</v>
          </cell>
          <cell r="D87" t="str">
            <v>Si</v>
          </cell>
          <cell r="E87" t="str">
            <v>A0000217</v>
          </cell>
        </row>
        <row r="88">
          <cell r="A88" t="str">
            <v>A0000228</v>
          </cell>
          <cell r="B88" t="str">
            <v>Rollo Metamark MDPHB-301M (100mc Alto Agarre - Adh Gris) Mate 1,37x50m</v>
          </cell>
          <cell r="C88" t="str">
            <v>Sí</v>
          </cell>
          <cell r="D88" t="str">
            <v>Si</v>
          </cell>
          <cell r="E88" t="str">
            <v>A0000217</v>
          </cell>
        </row>
        <row r="89">
          <cell r="A89" t="str">
            <v>A0000230</v>
          </cell>
          <cell r="B89" t="str">
            <v>Rollo Metamark MDT (80mc Translúcido) Satin 1,52x50m</v>
          </cell>
          <cell r="C89" t="str">
            <v>Sí</v>
          </cell>
          <cell r="D89" t="str">
            <v>Si</v>
          </cell>
          <cell r="E89" t="str">
            <v>A0000231</v>
          </cell>
        </row>
        <row r="90">
          <cell r="A90" t="str">
            <v>A0000231</v>
          </cell>
          <cell r="B90" t="str">
            <v>Rollo Metamark MDT (80mc Translúcido) Satin 1,37x50m</v>
          </cell>
          <cell r="C90" t="str">
            <v>Sí</v>
          </cell>
          <cell r="D90" t="str">
            <v>Si</v>
          </cell>
          <cell r="E90" t="str">
            <v>A0000231</v>
          </cell>
        </row>
        <row r="91">
          <cell r="A91" t="str">
            <v>A0000235</v>
          </cell>
          <cell r="B91" t="str">
            <v>Rollo Metaguard MG 102 Mate 1,6 x 50m</v>
          </cell>
          <cell r="C91" t="str">
            <v>Sí</v>
          </cell>
          <cell r="D91" t="str">
            <v>Si</v>
          </cell>
          <cell r="E91" t="str">
            <v>A0000238</v>
          </cell>
        </row>
        <row r="92">
          <cell r="A92" t="str">
            <v>A0000237</v>
          </cell>
          <cell r="B92" t="str">
            <v>Rollo Metaguard MG 102 Mate 1,37x50m</v>
          </cell>
          <cell r="C92" t="str">
            <v>Sí</v>
          </cell>
          <cell r="D92" t="str">
            <v>Si</v>
          </cell>
          <cell r="E92" t="str">
            <v>A0000238</v>
          </cell>
        </row>
        <row r="93">
          <cell r="A93" t="str">
            <v>A0000238</v>
          </cell>
          <cell r="B93" t="str">
            <v>Rollo Metaguard MG 102 Mate 1,05x50m</v>
          </cell>
          <cell r="C93" t="str">
            <v>Sí</v>
          </cell>
          <cell r="D93" t="str">
            <v>Si</v>
          </cell>
          <cell r="E93" t="str">
            <v>A0000238</v>
          </cell>
        </row>
        <row r="94">
          <cell r="A94" t="str">
            <v>A0000239</v>
          </cell>
          <cell r="B94" t="str">
            <v>Rollo Metaguard MG 105 Brillo 1,6 x 50m</v>
          </cell>
          <cell r="C94" t="str">
            <v>Sí</v>
          </cell>
          <cell r="D94" t="str">
            <v>Si</v>
          </cell>
          <cell r="E94" t="str">
            <v>A0000238</v>
          </cell>
        </row>
        <row r="95">
          <cell r="A95" t="str">
            <v>A0000241</v>
          </cell>
          <cell r="B95" t="str">
            <v>Rollo Metaguard MG 105 Brillo 1,37x50m</v>
          </cell>
          <cell r="C95" t="str">
            <v>Sí</v>
          </cell>
          <cell r="D95" t="str">
            <v>Si</v>
          </cell>
          <cell r="E95" t="str">
            <v>A0000238</v>
          </cell>
        </row>
        <row r="96">
          <cell r="A96" t="str">
            <v>A0000242</v>
          </cell>
          <cell r="B96" t="str">
            <v>Rollo Metaguard MG 105 Brillo 1,05x50m</v>
          </cell>
          <cell r="C96" t="str">
            <v>Sí</v>
          </cell>
          <cell r="D96" t="str">
            <v>Si</v>
          </cell>
          <cell r="E96" t="str">
            <v>A0000238</v>
          </cell>
        </row>
        <row r="97">
          <cell r="A97" t="str">
            <v>A0000243</v>
          </cell>
          <cell r="B97" t="str">
            <v>Rollo Metaguard MG 302 Mate 1,6 x 50m</v>
          </cell>
          <cell r="C97" t="str">
            <v>Sí</v>
          </cell>
          <cell r="D97" t="str">
            <v>Si</v>
          </cell>
          <cell r="E97" t="str">
            <v>A0000245</v>
          </cell>
        </row>
        <row r="98">
          <cell r="A98" t="str">
            <v>A0000245</v>
          </cell>
          <cell r="B98" t="str">
            <v>Rollo Metaguard MG 302 Mate 1,37x50m</v>
          </cell>
          <cell r="C98" t="str">
            <v>Sí</v>
          </cell>
          <cell r="D98" t="str">
            <v>Si</v>
          </cell>
          <cell r="E98" t="str">
            <v>A0000245</v>
          </cell>
        </row>
        <row r="99">
          <cell r="A99" t="str">
            <v>A0000247</v>
          </cell>
          <cell r="B99" t="str">
            <v>Rollo Metaguard MG 305 Brillo 1,6 x 50m</v>
          </cell>
          <cell r="C99" t="str">
            <v>Sí</v>
          </cell>
          <cell r="D99" t="str">
            <v>Si</v>
          </cell>
          <cell r="E99" t="str">
            <v>A0000245</v>
          </cell>
        </row>
        <row r="100">
          <cell r="A100" t="str">
            <v>A0000249</v>
          </cell>
          <cell r="B100" t="str">
            <v>Rollo Metaguard MG 305 Brillo 1,37x50m</v>
          </cell>
          <cell r="C100" t="str">
            <v>Sí</v>
          </cell>
          <cell r="D100" t="str">
            <v>Si</v>
          </cell>
          <cell r="E100" t="str">
            <v>A0000245</v>
          </cell>
        </row>
        <row r="101">
          <cell r="A101" t="str">
            <v>A0000250</v>
          </cell>
          <cell r="B101" t="str">
            <v>Rollo Metaguard MG 702 Mate 1,6 x 50m</v>
          </cell>
          <cell r="C101" t="str">
            <v>Sí</v>
          </cell>
          <cell r="D101" t="str">
            <v>Si</v>
          </cell>
          <cell r="E101" t="str">
            <v>A0000253</v>
          </cell>
        </row>
        <row r="102">
          <cell r="A102" t="str">
            <v>A0000252</v>
          </cell>
          <cell r="B102" t="str">
            <v>Rollo Metaguard MG 702 Mate 1,37x50m</v>
          </cell>
          <cell r="C102" t="str">
            <v>Sí</v>
          </cell>
          <cell r="D102" t="str">
            <v>Si</v>
          </cell>
          <cell r="E102" t="str">
            <v>A0000253</v>
          </cell>
        </row>
        <row r="103">
          <cell r="A103" t="str">
            <v>A0000253</v>
          </cell>
          <cell r="B103" t="str">
            <v>Rollo Metaguard MG 702 Mate 1,05x50m</v>
          </cell>
          <cell r="C103" t="str">
            <v>Sí</v>
          </cell>
          <cell r="D103" t="str">
            <v>Si</v>
          </cell>
          <cell r="E103" t="str">
            <v>A0000253</v>
          </cell>
        </row>
        <row r="104">
          <cell r="A104" t="str">
            <v>A0000254</v>
          </cell>
          <cell r="B104" t="str">
            <v>Rollo Metaguard MG 705 Brillo 1,6 x 50m</v>
          </cell>
          <cell r="C104" t="str">
            <v>Sí</v>
          </cell>
          <cell r="D104" t="str">
            <v>Si</v>
          </cell>
          <cell r="E104" t="str">
            <v>A0000253</v>
          </cell>
        </row>
        <row r="105">
          <cell r="A105" t="str">
            <v>A0000256</v>
          </cell>
          <cell r="B105" t="str">
            <v>Rollo Metaguard MG 705 Brillo 1,37x50m</v>
          </cell>
          <cell r="C105" t="str">
            <v>Sí</v>
          </cell>
          <cell r="D105" t="str">
            <v>Si</v>
          </cell>
          <cell r="E105" t="str">
            <v>A0000253</v>
          </cell>
        </row>
        <row r="106">
          <cell r="A106" t="str">
            <v>A0000257</v>
          </cell>
          <cell r="B106" t="str">
            <v>Rollo Metaguard MG 705 Brillo 1,05x50m</v>
          </cell>
          <cell r="C106" t="str">
            <v>Sí</v>
          </cell>
          <cell r="D106" t="str">
            <v>Si</v>
          </cell>
          <cell r="E106" t="str">
            <v>A0000253</v>
          </cell>
        </row>
        <row r="107">
          <cell r="A107" t="str">
            <v>A0000258</v>
          </cell>
          <cell r="B107" t="str">
            <v>Rollo MetaGuard UV 102 Mate 1,6 x 50m</v>
          </cell>
          <cell r="C107" t="str">
            <v>Sí</v>
          </cell>
          <cell r="D107" t="str">
            <v>Si</v>
          </cell>
          <cell r="E107" t="str">
            <v>A0000259</v>
          </cell>
        </row>
        <row r="108">
          <cell r="A108" t="str">
            <v>A0000259</v>
          </cell>
          <cell r="B108" t="str">
            <v>Rollo MetaGuard UV 102 Mate 1,37x50m</v>
          </cell>
          <cell r="C108" t="str">
            <v>Sí</v>
          </cell>
          <cell r="D108" t="str">
            <v>Si</v>
          </cell>
          <cell r="E108" t="str">
            <v>A0000259</v>
          </cell>
        </row>
        <row r="109">
          <cell r="A109" t="str">
            <v>A0000260</v>
          </cell>
          <cell r="B109" t="str">
            <v>Rollo MetaGuard UV 105 Brillo 1,6 x 50m</v>
          </cell>
          <cell r="C109" t="str">
            <v>Sí</v>
          </cell>
          <cell r="D109" t="str">
            <v>Si</v>
          </cell>
          <cell r="E109" t="str">
            <v>A0000259</v>
          </cell>
        </row>
        <row r="110">
          <cell r="A110" t="str">
            <v>A0000261</v>
          </cell>
          <cell r="B110" t="str">
            <v>Rollo MetaGuard UV 105 Brillo 1,37x50m</v>
          </cell>
          <cell r="C110" t="str">
            <v>Sí</v>
          </cell>
          <cell r="D110" t="str">
            <v>Si</v>
          </cell>
          <cell r="E110" t="str">
            <v>A0000259</v>
          </cell>
        </row>
        <row r="111">
          <cell r="A111" t="str">
            <v>A0000262</v>
          </cell>
          <cell r="B111" t="str">
            <v>Rollo MetaGuard Decor 001 Artisan 1,52x25m</v>
          </cell>
          <cell r="C111" t="str">
            <v>Sí</v>
          </cell>
          <cell r="D111" t="str">
            <v>Si</v>
          </cell>
          <cell r="E111" t="str">
            <v>A0000263</v>
          </cell>
        </row>
        <row r="112">
          <cell r="A112" t="str">
            <v>A0000263</v>
          </cell>
          <cell r="B112" t="str">
            <v>Rollo MetaGuard Decor 001 Artisan 1,37x25m</v>
          </cell>
          <cell r="C112" t="str">
            <v>Sí</v>
          </cell>
          <cell r="D112" t="str">
            <v>Si</v>
          </cell>
          <cell r="E112" t="str">
            <v>A0000263</v>
          </cell>
        </row>
        <row r="113">
          <cell r="A113" t="str">
            <v>A0000264</v>
          </cell>
          <cell r="B113" t="str">
            <v>Rollo MetaGuard Decor 002 Arena 1,52x25m</v>
          </cell>
          <cell r="C113" t="str">
            <v>Sí</v>
          </cell>
          <cell r="D113" t="str">
            <v>Si</v>
          </cell>
          <cell r="E113" t="str">
            <v>A0000265</v>
          </cell>
        </row>
        <row r="114">
          <cell r="A114" t="str">
            <v>A0000265</v>
          </cell>
          <cell r="B114" t="str">
            <v>Rollo MetaGuard Decor 002 Arena 1,37x25m</v>
          </cell>
          <cell r="C114" t="str">
            <v>Sí</v>
          </cell>
          <cell r="D114" t="str">
            <v>Si</v>
          </cell>
          <cell r="E114" t="str">
            <v>A0000265</v>
          </cell>
        </row>
        <row r="115">
          <cell r="A115" t="str">
            <v>A0000266</v>
          </cell>
          <cell r="B115" t="str">
            <v>Rollo MetaGuard Decor 003 Cepillado 1,52x25m</v>
          </cell>
          <cell r="C115" t="str">
            <v>Sí</v>
          </cell>
          <cell r="D115" t="str">
            <v>Si</v>
          </cell>
          <cell r="E115" t="str">
            <v>A0000267</v>
          </cell>
        </row>
        <row r="116">
          <cell r="A116" t="str">
            <v>A0000267</v>
          </cell>
          <cell r="B116" t="str">
            <v>Rollo MetaGuard Decor 003 Cepillado 1,37x25m</v>
          </cell>
          <cell r="C116" t="str">
            <v>Sí</v>
          </cell>
          <cell r="D116" t="str">
            <v>Si</v>
          </cell>
          <cell r="E116" t="str">
            <v>A0000267</v>
          </cell>
        </row>
        <row r="117">
          <cell r="A117" t="str">
            <v>A0000268</v>
          </cell>
          <cell r="B117" t="str">
            <v>Rollo MetaWrap Laminado MG-X 105 Brillo 1,6x50m</v>
          </cell>
          <cell r="C117" t="str">
            <v>Sí</v>
          </cell>
          <cell r="D117" t="str">
            <v>Si</v>
          </cell>
          <cell r="E117" t="str">
            <v>A0000269</v>
          </cell>
        </row>
        <row r="118">
          <cell r="A118" t="str">
            <v>A0000269</v>
          </cell>
          <cell r="B118" t="str">
            <v>Rollo MetaWrap Laminado MG-X 105 Brillo 1,37x50m</v>
          </cell>
          <cell r="C118" t="str">
            <v>Sí</v>
          </cell>
          <cell r="D118" t="str">
            <v>Si</v>
          </cell>
          <cell r="E118" t="str">
            <v>A0000269</v>
          </cell>
        </row>
        <row r="119">
          <cell r="A119" t="str">
            <v>A0002442</v>
          </cell>
          <cell r="B119" t="str">
            <v>1017-11-255 - M2 Elasto 245g 2,55x70m</v>
          </cell>
          <cell r="C119" t="str">
            <v>Sí</v>
          </cell>
          <cell r="D119" t="str">
            <v>No</v>
          </cell>
        </row>
        <row r="120">
          <cell r="A120" t="str">
            <v>A0002443</v>
          </cell>
          <cell r="B120" t="str">
            <v>1017-11-310 - M2 Elasto 245g 3,10x70m</v>
          </cell>
          <cell r="C120" t="str">
            <v>Sí</v>
          </cell>
          <cell r="D120" t="str">
            <v>No</v>
          </cell>
        </row>
        <row r="121">
          <cell r="A121" t="str">
            <v>A0002421</v>
          </cell>
          <cell r="B121" t="str">
            <v>1018-11-160 - M2 Deco Display 1,60x100m</v>
          </cell>
          <cell r="C121" t="str">
            <v>Sí</v>
          </cell>
          <cell r="D121" t="str">
            <v>No</v>
          </cell>
        </row>
        <row r="122">
          <cell r="A122" t="str">
            <v>A0002422</v>
          </cell>
          <cell r="B122" t="str">
            <v>1018-11-255 - M2 Deco Display 2,55x100m</v>
          </cell>
          <cell r="C122" t="str">
            <v>Sí</v>
          </cell>
          <cell r="D122" t="str">
            <v>No</v>
          </cell>
        </row>
        <row r="123">
          <cell r="A123" t="str">
            <v>A0002423</v>
          </cell>
          <cell r="B123" t="str">
            <v>1018-11-320 - M2 Deco Display 3,20x100m</v>
          </cell>
          <cell r="C123" t="str">
            <v>Sí</v>
          </cell>
          <cell r="D123" t="str">
            <v>No</v>
          </cell>
        </row>
        <row r="124">
          <cell r="A124" t="str">
            <v>A0002400</v>
          </cell>
          <cell r="B124" t="str">
            <v>1019-11-160 - M2 Deco Creasefree ancho 1,60m</v>
          </cell>
          <cell r="C124" t="str">
            <v>Sí</v>
          </cell>
          <cell r="D124" t="str">
            <v>No</v>
          </cell>
        </row>
        <row r="125">
          <cell r="A125" t="str">
            <v>A0002401</v>
          </cell>
          <cell r="B125" t="str">
            <v>1019-11-320 - M2 Deco Creasefree ancho 3,20m</v>
          </cell>
          <cell r="C125" t="str">
            <v>Sí</v>
          </cell>
          <cell r="D125" t="str">
            <v>No</v>
          </cell>
        </row>
        <row r="126">
          <cell r="A126" t="str">
            <v>A0002548</v>
          </cell>
          <cell r="B126" t="str">
            <v>1020-11-160 - M2 Creasless Banner 220g 1,6x100m</v>
          </cell>
          <cell r="C126" t="str">
            <v>Sí</v>
          </cell>
          <cell r="D126" t="str">
            <v>No</v>
          </cell>
        </row>
        <row r="127">
          <cell r="A127" t="str">
            <v>A0002667</v>
          </cell>
          <cell r="B127" t="str">
            <v>1020-11-260 - M2 Creasless Banner 220g 2,6x100m</v>
          </cell>
          <cell r="C127" t="str">
            <v>Sí</v>
          </cell>
          <cell r="D127" t="str">
            <v>No</v>
          </cell>
        </row>
        <row r="128">
          <cell r="A128" t="str">
            <v>A0002528</v>
          </cell>
          <cell r="B128" t="str">
            <v>1020-11-320 - M2 Creasless Banner 220g 3,2x100m</v>
          </cell>
          <cell r="C128" t="str">
            <v>Sí</v>
          </cell>
          <cell r="D128" t="str">
            <v>No</v>
          </cell>
        </row>
        <row r="129">
          <cell r="A129" t="str">
            <v>A0002846</v>
          </cell>
          <cell r="B129" t="str">
            <v>1021-11-155 - M2 DSP 210 Display ancho 1,55m</v>
          </cell>
          <cell r="C129" t="str">
            <v>Sí</v>
          </cell>
          <cell r="D129" t="str">
            <v>No</v>
          </cell>
        </row>
        <row r="130">
          <cell r="A130" t="str">
            <v>A0002395</v>
          </cell>
          <cell r="B130" t="str">
            <v>1021-11-160 - M2 DSP 210 Display ancho 1,60m x 100m</v>
          </cell>
          <cell r="C130" t="str">
            <v>Sí</v>
          </cell>
          <cell r="D130" t="str">
            <v>No</v>
          </cell>
        </row>
        <row r="131">
          <cell r="A131" t="str">
            <v>A0002396</v>
          </cell>
          <cell r="B131" t="str">
            <v>1021-11-255 - M2 DSP 210 Display ancho 2,55m</v>
          </cell>
          <cell r="C131" t="str">
            <v>Sí</v>
          </cell>
          <cell r="D131" t="str">
            <v>No</v>
          </cell>
        </row>
        <row r="132">
          <cell r="A132" t="str">
            <v>A0002397</v>
          </cell>
          <cell r="B132" t="str">
            <v>1021-11-320 - M2 DSP 210 Display ancho 3,20m</v>
          </cell>
          <cell r="C132" t="str">
            <v>Sí</v>
          </cell>
          <cell r="D132" t="str">
            <v>No</v>
          </cell>
        </row>
        <row r="133">
          <cell r="A133" t="str">
            <v>A0002725</v>
          </cell>
          <cell r="B133" t="str">
            <v>1022-11-155 - M2 Satin Eco 1,55x100m</v>
          </cell>
          <cell r="C133" t="str">
            <v>Sí</v>
          </cell>
          <cell r="D133" t="str">
            <v>No</v>
          </cell>
        </row>
        <row r="134">
          <cell r="A134" t="str">
            <v>A0002532</v>
          </cell>
          <cell r="B134" t="str">
            <v>1025-11-155 -  M2 Royal Majestic 230g 1,55x50m</v>
          </cell>
          <cell r="C134" t="str">
            <v>Sí</v>
          </cell>
          <cell r="D134" t="str">
            <v>No</v>
          </cell>
        </row>
        <row r="135">
          <cell r="A135" t="str">
            <v>A0002533</v>
          </cell>
          <cell r="B135" t="str">
            <v>1025-11-320 - M2 Royal Majestic 230g 3,20x50m</v>
          </cell>
          <cell r="C135" t="str">
            <v>Sí</v>
          </cell>
          <cell r="D135" t="str">
            <v>No</v>
          </cell>
        </row>
        <row r="136">
          <cell r="A136" t="str">
            <v>A0002403</v>
          </cell>
          <cell r="B136" t="str">
            <v>1030-11-155 - M2 Blockout Blanco ancho 1,55m</v>
          </cell>
          <cell r="C136" t="str">
            <v>Sí</v>
          </cell>
          <cell r="D136" t="str">
            <v>No</v>
          </cell>
        </row>
        <row r="137">
          <cell r="A137" t="str">
            <v>A0002402</v>
          </cell>
          <cell r="B137" t="str">
            <v>1030-11-310 - M2 Blockout Blanco ancho 3,10m</v>
          </cell>
          <cell r="C137" t="str">
            <v>Sí</v>
          </cell>
          <cell r="D137" t="str">
            <v>No</v>
          </cell>
        </row>
        <row r="138">
          <cell r="A138" t="str">
            <v>A0002455</v>
          </cell>
          <cell r="B138" t="str">
            <v>1044-16-155 - M2 Roll-Up BlackBack 155x50m</v>
          </cell>
          <cell r="C138" t="str">
            <v>Sí</v>
          </cell>
          <cell r="D138" t="str">
            <v>No</v>
          </cell>
        </row>
        <row r="139">
          <cell r="A139" t="str">
            <v>A0002456</v>
          </cell>
          <cell r="B139" t="str">
            <v>1044-16-260 - M2 Roll-Up BlackBack 2,60x50m</v>
          </cell>
          <cell r="C139" t="str">
            <v>Sí</v>
          </cell>
          <cell r="D139" t="str">
            <v>No</v>
          </cell>
        </row>
        <row r="140">
          <cell r="A140" t="str">
            <v>A0002457</v>
          </cell>
          <cell r="B140" t="str">
            <v>1044-16-310 - M2 Roll-Up BlackBack 3,10x50m</v>
          </cell>
          <cell r="C140" t="str">
            <v>Sí</v>
          </cell>
          <cell r="D140" t="str">
            <v>No</v>
          </cell>
        </row>
        <row r="141">
          <cell r="A141" t="str">
            <v>A0002398</v>
          </cell>
          <cell r="B141" t="str">
            <v>1055-16-155 - M2 Subli BlackBack ancho 1,55m</v>
          </cell>
          <cell r="C141" t="str">
            <v>Sí</v>
          </cell>
          <cell r="D141" t="str">
            <v>No</v>
          </cell>
        </row>
        <row r="142">
          <cell r="A142" t="str">
            <v>A0002625</v>
          </cell>
          <cell r="B142" t="str">
            <v>1055-16-155E - M2 Subli BlackBack Eco ancho 1,55m x 50m</v>
          </cell>
          <cell r="C142" t="str">
            <v>Sí</v>
          </cell>
          <cell r="D142" t="str">
            <v>No</v>
          </cell>
        </row>
        <row r="143">
          <cell r="A143" t="str">
            <v>A0002704</v>
          </cell>
          <cell r="B143" t="str">
            <v>1055-16-260E - M2 Subli BlackBack Eco ancho 2,60m</v>
          </cell>
          <cell r="C143" t="str">
            <v>Sí</v>
          </cell>
          <cell r="D143" t="str">
            <v>No</v>
          </cell>
        </row>
        <row r="144">
          <cell r="A144" t="str">
            <v>A0002399</v>
          </cell>
          <cell r="B144" t="str">
            <v>1055-16-310 - M2 Subli BlackBack ancho 3,10m</v>
          </cell>
          <cell r="C144" t="str">
            <v>Sí</v>
          </cell>
          <cell r="D144" t="str">
            <v>No</v>
          </cell>
        </row>
        <row r="145">
          <cell r="A145" t="str">
            <v>A0002570</v>
          </cell>
          <cell r="B145" t="str">
            <v>1055-16-315 - M2 Subli BlackBack ancho 3,15m</v>
          </cell>
          <cell r="C145" t="str">
            <v>Sí</v>
          </cell>
          <cell r="D145" t="str">
            <v>No</v>
          </cell>
        </row>
        <row r="146">
          <cell r="A146" t="str">
            <v>A0002619</v>
          </cell>
          <cell r="B146" t="str">
            <v>1055-16-315E - M2 Subli BlackBack Eco ancho 3,15m x 50m</v>
          </cell>
          <cell r="C146" t="str">
            <v>Sí</v>
          </cell>
          <cell r="D146" t="str">
            <v>No</v>
          </cell>
        </row>
        <row r="147">
          <cell r="A147" t="str">
            <v>A0002415</v>
          </cell>
          <cell r="B147" t="str">
            <v>1056-16-160 - M2 Blackback Soft 1,60x50m</v>
          </cell>
          <cell r="C147" t="str">
            <v>Sí</v>
          </cell>
          <cell r="D147" t="str">
            <v>No</v>
          </cell>
        </row>
        <row r="148">
          <cell r="A148" t="str">
            <v>A0002424</v>
          </cell>
          <cell r="B148" t="str">
            <v>1056-16-220 - M2 Blackback Soft 2,20x50m</v>
          </cell>
          <cell r="C148" t="str">
            <v>Sí</v>
          </cell>
          <cell r="D148" t="str">
            <v>No</v>
          </cell>
        </row>
        <row r="149">
          <cell r="A149" t="str">
            <v>A0002425</v>
          </cell>
          <cell r="B149" t="str">
            <v>1056-16-260 - M2 Blackback Soft 2,60x50m</v>
          </cell>
          <cell r="C149" t="str">
            <v>Sí</v>
          </cell>
          <cell r="D149" t="str">
            <v>No</v>
          </cell>
        </row>
        <row r="150">
          <cell r="A150" t="str">
            <v>A0002426</v>
          </cell>
          <cell r="B150" t="str">
            <v>1056-16-320 - M2 Blackback Soft 3,20x50m</v>
          </cell>
          <cell r="C150" t="str">
            <v>Sí</v>
          </cell>
          <cell r="D150" t="str">
            <v>No</v>
          </cell>
        </row>
        <row r="151">
          <cell r="A151" t="str">
            <v>A0002642</v>
          </cell>
          <cell r="B151" t="str">
            <v>1068-20-155 - M2 Premium Canvas Renaissance 1,55x50m</v>
          </cell>
          <cell r="C151" t="str">
            <v>Sí</v>
          </cell>
          <cell r="D151" t="str">
            <v>No</v>
          </cell>
        </row>
        <row r="152">
          <cell r="A152" t="str">
            <v>A0002613</v>
          </cell>
          <cell r="B152" t="str">
            <v>1068-20-255 - M2 Premium Canvas Renaissance 2,55x50m</v>
          </cell>
          <cell r="C152" t="str">
            <v>Sí</v>
          </cell>
          <cell r="D152" t="str">
            <v>No</v>
          </cell>
        </row>
        <row r="153">
          <cell r="A153" t="str">
            <v>A0002849</v>
          </cell>
          <cell r="B153" t="str">
            <v>1068-20-310 - M2 Premium Canvas Renaissance 3,10x50m</v>
          </cell>
          <cell r="C153" t="str">
            <v>Sí</v>
          </cell>
          <cell r="D153" t="str">
            <v>No</v>
          </cell>
        </row>
        <row r="154">
          <cell r="A154" t="str">
            <v>A0002531</v>
          </cell>
          <cell r="B154" t="str">
            <v>1075-11-155 - M2 Voile 55g 1,60x100m</v>
          </cell>
          <cell r="C154" t="str">
            <v>Sí</v>
          </cell>
          <cell r="D154" t="str">
            <v>No</v>
          </cell>
        </row>
        <row r="155">
          <cell r="A155" t="str">
            <v>A0002530</v>
          </cell>
          <cell r="B155" t="str">
            <v>1075-11-310 - M2 Voile 55g 3,10x100m</v>
          </cell>
          <cell r="C155" t="str">
            <v>Sí</v>
          </cell>
          <cell r="D155" t="str">
            <v>No</v>
          </cell>
        </row>
        <row r="156">
          <cell r="A156" t="str">
            <v>A0002409</v>
          </cell>
          <cell r="B156" t="str">
            <v>1100-11-160 - M2 Flag ancho 1,60m</v>
          </cell>
          <cell r="C156" t="str">
            <v>Sí</v>
          </cell>
          <cell r="D156" t="str">
            <v>No</v>
          </cell>
        </row>
        <row r="157">
          <cell r="A157" t="str">
            <v>A0002841</v>
          </cell>
          <cell r="B157" t="str">
            <v>1100-11-255 - M2 Flag ancho 2,55m</v>
          </cell>
          <cell r="C157" t="str">
            <v>Sí</v>
          </cell>
          <cell r="D157" t="str">
            <v>No</v>
          </cell>
        </row>
        <row r="158">
          <cell r="A158" t="str">
            <v>A0002842</v>
          </cell>
          <cell r="B158" t="str">
            <v>1100-11-255 - M2 Flag ancho 2,60m</v>
          </cell>
          <cell r="C158" t="str">
            <v>Sí</v>
          </cell>
          <cell r="D158" t="str">
            <v>No</v>
          </cell>
        </row>
        <row r="159">
          <cell r="A159" t="str">
            <v>A0002476</v>
          </cell>
          <cell r="B159" t="str">
            <v>1100-11-320 - M2 Flag ancho 3,20m</v>
          </cell>
          <cell r="C159" t="str">
            <v>Sí</v>
          </cell>
          <cell r="D159" t="str">
            <v>No</v>
          </cell>
        </row>
        <row r="160">
          <cell r="A160" t="str">
            <v>A0002592</v>
          </cell>
          <cell r="B160" t="str">
            <v>1200-11-155 - M2 Air Flag 115gr 1,55x100m</v>
          </cell>
          <cell r="C160" t="str">
            <v>Sí</v>
          </cell>
          <cell r="D160" t="str">
            <v>No</v>
          </cell>
        </row>
        <row r="161">
          <cell r="A161" t="str">
            <v>A0002593</v>
          </cell>
          <cell r="B161" t="str">
            <v>1200-11-310 - M2 Air Flag 115gr 3,10x100m</v>
          </cell>
          <cell r="C161" t="str">
            <v>Sí</v>
          </cell>
          <cell r="D161" t="str">
            <v>No</v>
          </cell>
        </row>
        <row r="162">
          <cell r="A162" t="str">
            <v>A0002588</v>
          </cell>
          <cell r="B162" t="str">
            <v>1301-11-320 - M2 Krea Mesh Light 3,20x100m</v>
          </cell>
          <cell r="C162" t="str">
            <v>Sí</v>
          </cell>
          <cell r="D162" t="str">
            <v>No</v>
          </cell>
        </row>
        <row r="163">
          <cell r="A163" t="str">
            <v>A0002427</v>
          </cell>
          <cell r="B163" t="str">
            <v>1302-11-160 - M2 Krea Mesh Heavy 1,60x100m</v>
          </cell>
          <cell r="C163" t="str">
            <v>Sí</v>
          </cell>
          <cell r="D163" t="str">
            <v>No</v>
          </cell>
        </row>
        <row r="164">
          <cell r="A164" t="str">
            <v>A0002428</v>
          </cell>
          <cell r="B164" t="str">
            <v>1302-11-320 - M2 Krea Mesh Heavy 3,20x100m</v>
          </cell>
          <cell r="C164" t="str">
            <v>Sí</v>
          </cell>
          <cell r="D164" t="str">
            <v>No</v>
          </cell>
        </row>
        <row r="165">
          <cell r="A165" t="str">
            <v>A0002433</v>
          </cell>
          <cell r="B165" t="str">
            <v>2018-11-155 - M2 Soundless Tissue - ancho 1,55m</v>
          </cell>
          <cell r="C165" t="str">
            <v>Sí</v>
          </cell>
          <cell r="D165" t="str">
            <v>No</v>
          </cell>
        </row>
        <row r="166">
          <cell r="A166" t="str">
            <v>A0002435</v>
          </cell>
          <cell r="B166" t="str">
            <v>2018-11-310 - M2 Soundless Tissue ancho 3,10m x 50m</v>
          </cell>
          <cell r="C166" t="str">
            <v>Sí</v>
          </cell>
          <cell r="D166" t="str">
            <v>No</v>
          </cell>
        </row>
        <row r="167">
          <cell r="A167" t="str">
            <v>A0002621</v>
          </cell>
          <cell r="B167" t="str">
            <v>2019-10-300 - M2 Kreana 180g 3x50m</v>
          </cell>
          <cell r="C167" t="str">
            <v>Sí</v>
          </cell>
          <cell r="D167" t="str">
            <v>No</v>
          </cell>
        </row>
        <row r="168">
          <cell r="A168" t="str">
            <v>A0002534</v>
          </cell>
          <cell r="B168" t="str">
            <v>2020-10-300 - M2 Screen Kreana Blockout 340g 3,0x50m</v>
          </cell>
          <cell r="C168" t="str">
            <v>Sí</v>
          </cell>
          <cell r="D168" t="str">
            <v>No</v>
          </cell>
        </row>
        <row r="169">
          <cell r="A169" t="str">
            <v>A0002535</v>
          </cell>
          <cell r="B169" t="str">
            <v>2021-10-300 - M2 Screen Kreana 380g 3x50m</v>
          </cell>
          <cell r="C169" t="str">
            <v>Sí</v>
          </cell>
          <cell r="D169" t="str">
            <v>No</v>
          </cell>
        </row>
        <row r="170">
          <cell r="A170" t="str">
            <v>A0002444</v>
          </cell>
          <cell r="B170" t="str">
            <v>3003-11-160 - M2 Tafetta 55gr 1,60x100m</v>
          </cell>
          <cell r="C170" t="str">
            <v>Sí</v>
          </cell>
          <cell r="D170" t="str">
            <v>No</v>
          </cell>
        </row>
        <row r="171">
          <cell r="A171" t="str">
            <v>A0002722</v>
          </cell>
          <cell r="B171" t="str">
            <v>3022-10-153 - M2 Micro Satin Eco 1,53x100m</v>
          </cell>
          <cell r="C171" t="str">
            <v>Sí</v>
          </cell>
          <cell r="D171" t="str">
            <v>No</v>
          </cell>
        </row>
        <row r="172">
          <cell r="A172" t="str">
            <v>A0002631</v>
          </cell>
          <cell r="B172" t="str">
            <v>4000-10-160 - M2 Toalla Printtex 1,60x50m</v>
          </cell>
          <cell r="C172" t="str">
            <v>Sí</v>
          </cell>
          <cell r="D172" t="str">
            <v>No</v>
          </cell>
        </row>
        <row r="173">
          <cell r="A173" t="str">
            <v>A0002445</v>
          </cell>
          <cell r="B173" t="str">
            <v>4001-10-150-W - M2 Krea Velvet (terciopelo) 300gr 1,50m ancho</v>
          </cell>
          <cell r="C173" t="str">
            <v>Sí</v>
          </cell>
          <cell r="D173" t="str">
            <v>No</v>
          </cell>
        </row>
        <row r="174">
          <cell r="A174" t="str">
            <v>A0002446</v>
          </cell>
          <cell r="B174" t="str">
            <v>4001-10-300 - M2 Krea Velvet FR (terciopelo) 300gr 3m ancho</v>
          </cell>
          <cell r="C174" t="str">
            <v>Sí</v>
          </cell>
          <cell r="D174" t="str">
            <v>No</v>
          </cell>
        </row>
        <row r="175">
          <cell r="A175" t="str">
            <v>A0002370</v>
          </cell>
          <cell r="B175" t="str">
            <v>4012-10-155 - M2 Toalla Velour 1,55</v>
          </cell>
          <cell r="C175" t="str">
            <v>Sí</v>
          </cell>
          <cell r="D175" t="str">
            <v>No</v>
          </cell>
        </row>
        <row r="176">
          <cell r="A176" t="str">
            <v>A0002603</v>
          </cell>
          <cell r="B176" t="str">
            <v>4039-10-320 - M2 Cotton Optic Pre-Washed 105gr 3,20x100m</v>
          </cell>
          <cell r="C176" t="str">
            <v>Sí</v>
          </cell>
          <cell r="D176" t="str">
            <v>No</v>
          </cell>
        </row>
        <row r="177">
          <cell r="A177" t="str">
            <v>A0002429</v>
          </cell>
          <cell r="B177" t="str">
            <v>7100-10-160 - M2 Event Fleece PES300 1,60x25m</v>
          </cell>
          <cell r="C177" t="str">
            <v>Sí</v>
          </cell>
          <cell r="D177" t="str">
            <v>No</v>
          </cell>
        </row>
        <row r="178">
          <cell r="A178" t="str">
            <v>A0002440</v>
          </cell>
          <cell r="B178" t="str">
            <v>7105-11-160 - M2 Fleece Carpet 900FR - moqueta 1,60x25m</v>
          </cell>
          <cell r="C178" t="str">
            <v>Sí</v>
          </cell>
          <cell r="D178" t="str">
            <v>No</v>
          </cell>
        </row>
        <row r="179">
          <cell r="A179" t="str">
            <v>A0002449</v>
          </cell>
          <cell r="B179" t="str">
            <v>7106-11-160 - M2 Fleece Carpet 1200FR - alfombra de lana 1,60x25m</v>
          </cell>
          <cell r="C179" t="str">
            <v>Sí</v>
          </cell>
          <cell r="D179" t="str">
            <v>No</v>
          </cell>
        </row>
        <row r="180">
          <cell r="A180" t="str">
            <v>A0002450</v>
          </cell>
          <cell r="B180" t="str">
            <v>8038-10-165 - M2 Fleece Blanket 250gr - mantel de lana 1,65x50m</v>
          </cell>
          <cell r="C180" t="str">
            <v>Sí</v>
          </cell>
          <cell r="D180" t="str">
            <v>No</v>
          </cell>
        </row>
        <row r="181">
          <cell r="A181" t="str">
            <v>A0002571</v>
          </cell>
          <cell r="B181" t="str">
            <v>8080-10-160 - M2 Premium Carpet 1200FR - alfombra 1,60x35m</v>
          </cell>
          <cell r="C181" t="str">
            <v>Sí</v>
          </cell>
          <cell r="D181" t="str">
            <v>No</v>
          </cell>
        </row>
        <row r="182">
          <cell r="A182" t="str">
            <v>A0002572</v>
          </cell>
          <cell r="B182" t="str">
            <v>8082-10-160 - M2 Premium Carpet Ecoline 1700 grm2 - alfombra 1,6x35m</v>
          </cell>
          <cell r="C182" t="str">
            <v>Sí</v>
          </cell>
          <cell r="D182" t="str">
            <v>No</v>
          </cell>
        </row>
        <row r="183">
          <cell r="A183" t="str">
            <v>A0002612</v>
          </cell>
          <cell r="B183" t="str">
            <v>909-11-160 - M2 Speedy Prime 190g 1,60x100</v>
          </cell>
          <cell r="C183" t="str">
            <v>Sí</v>
          </cell>
          <cell r="D183" t="str">
            <v>No</v>
          </cell>
        </row>
        <row r="184">
          <cell r="A184" t="str">
            <v>A0002732</v>
          </cell>
          <cell r="B184" t="str">
            <v>909-11-260 - M2 Speedy Prime 190g 2,60x100</v>
          </cell>
          <cell r="C184" t="str">
            <v>Sí</v>
          </cell>
          <cell r="D184" t="str">
            <v>No</v>
          </cell>
        </row>
        <row r="185">
          <cell r="A185" t="str">
            <v>A0002542</v>
          </cell>
          <cell r="B185" t="str">
            <v>909-11-320 - M2 Speedy Prime 190g 3,20x100</v>
          </cell>
          <cell r="C185" t="str">
            <v>Sí</v>
          </cell>
          <cell r="D185" t="str">
            <v>No</v>
          </cell>
        </row>
        <row r="186">
          <cell r="A186" t="str">
            <v>A0002436</v>
          </cell>
          <cell r="B186" t="str">
            <v>911-11-160 - M2 Speedy 190g 1,60x100</v>
          </cell>
          <cell r="C186" t="str">
            <v>Sí</v>
          </cell>
          <cell r="D186" t="str">
            <v>No</v>
          </cell>
        </row>
        <row r="187">
          <cell r="A187" t="str">
            <v>A0002437</v>
          </cell>
          <cell r="B187" t="str">
            <v>911-11-220 - M2 Speedy 190g 2,20x100</v>
          </cell>
          <cell r="C187" t="str">
            <v>Sí</v>
          </cell>
          <cell r="D187" t="str">
            <v>No</v>
          </cell>
        </row>
        <row r="188">
          <cell r="A188" t="str">
            <v>A0002438</v>
          </cell>
          <cell r="B188" t="str">
            <v>911-11-260 - M2 Speedy 190g 2,60x100</v>
          </cell>
          <cell r="C188" t="str">
            <v>Sí</v>
          </cell>
          <cell r="D188" t="str">
            <v>No</v>
          </cell>
        </row>
        <row r="189">
          <cell r="A189" t="str">
            <v>A0002439</v>
          </cell>
          <cell r="B189" t="str">
            <v>911-11-320 - M2 Speedy 190g 3,20x100</v>
          </cell>
          <cell r="C189" t="str">
            <v>Sí</v>
          </cell>
          <cell r="D189" t="str">
            <v>No</v>
          </cell>
        </row>
        <row r="190">
          <cell r="A190" t="str">
            <v>A0002430</v>
          </cell>
          <cell r="B190" t="str">
            <v>913-11-160 - M2 Speedy Hybrid 180g ancho 1,60m</v>
          </cell>
          <cell r="C190" t="str">
            <v>Sí</v>
          </cell>
          <cell r="D190" t="str">
            <v>No</v>
          </cell>
        </row>
        <row r="191">
          <cell r="A191" t="str">
            <v>A0002431</v>
          </cell>
          <cell r="B191" t="str">
            <v>913-11-260 - M2 Speedy Hybrid 180g ancho 2,60m</v>
          </cell>
          <cell r="C191" t="str">
            <v>Sí</v>
          </cell>
          <cell r="D191" t="str">
            <v>No</v>
          </cell>
        </row>
        <row r="192">
          <cell r="A192" t="str">
            <v>A0002432</v>
          </cell>
          <cell r="B192" t="str">
            <v>913-11-320 - M2 Speedy Hybrid 180g ancho 3,20m</v>
          </cell>
          <cell r="C192" t="str">
            <v>Sí</v>
          </cell>
          <cell r="D192" t="str">
            <v>No</v>
          </cell>
        </row>
        <row r="193">
          <cell r="A193" t="str">
            <v>A0001817</v>
          </cell>
          <cell r="B193" t="str">
            <v>Belt, 150S2M2428LW-C</v>
          </cell>
          <cell r="C193" t="str">
            <v>Sí</v>
          </cell>
          <cell r="D193" t="str">
            <v>No</v>
          </cell>
        </row>
        <row r="194">
          <cell r="A194" t="str">
            <v>A0001242</v>
          </cell>
          <cell r="B194" t="str">
            <v>Cartucho Ecopure 440ml EM2 Amarillo</v>
          </cell>
          <cell r="C194" t="str">
            <v>Sí</v>
          </cell>
          <cell r="D194" t="str">
            <v>Si</v>
          </cell>
          <cell r="E194" t="str">
            <v>A0001242</v>
          </cell>
        </row>
        <row r="195">
          <cell r="A195" t="str">
            <v>A0001243</v>
          </cell>
          <cell r="B195" t="str">
            <v>Cartucho Ecopure 440ml EM2 Cyan</v>
          </cell>
          <cell r="C195" t="str">
            <v>Sí</v>
          </cell>
          <cell r="D195" t="str">
            <v>Si</v>
          </cell>
          <cell r="E195" t="str">
            <v>A0001242</v>
          </cell>
        </row>
        <row r="196">
          <cell r="A196" t="str">
            <v>A0001237</v>
          </cell>
          <cell r="B196" t="str">
            <v>Cartucho Ecopure 440ml EM2 Light Cyan</v>
          </cell>
          <cell r="C196" t="str">
            <v>Sí</v>
          </cell>
          <cell r="D196" t="str">
            <v>Si</v>
          </cell>
          <cell r="E196" t="str">
            <v>A0001242</v>
          </cell>
        </row>
        <row r="197">
          <cell r="A197" t="str">
            <v>A0001244</v>
          </cell>
          <cell r="B197" t="str">
            <v>Cartucho Ecopure 440ml EM2 Light Magenta</v>
          </cell>
          <cell r="C197" t="str">
            <v>Sí</v>
          </cell>
          <cell r="D197" t="str">
            <v>Si</v>
          </cell>
          <cell r="E197" t="str">
            <v>A0001242</v>
          </cell>
        </row>
        <row r="198">
          <cell r="A198" t="str">
            <v>A0001245</v>
          </cell>
          <cell r="B198" t="str">
            <v>Cartucho Ecopure 440ml EM2 Magenta</v>
          </cell>
          <cell r="C198" t="str">
            <v>Sí</v>
          </cell>
          <cell r="D198" t="str">
            <v>Si</v>
          </cell>
          <cell r="E198" t="str">
            <v>A0001242</v>
          </cell>
        </row>
        <row r="199">
          <cell r="A199" t="str">
            <v>A0001236</v>
          </cell>
          <cell r="B199" t="str">
            <v>Cartucho Ecopure 440ml EM2 Negro</v>
          </cell>
          <cell r="C199" t="str">
            <v>Sí</v>
          </cell>
          <cell r="D199" t="str">
            <v>Si</v>
          </cell>
          <cell r="E199" t="str">
            <v>A0001242</v>
          </cell>
        </row>
        <row r="200">
          <cell r="A200" t="str">
            <v>A0001252</v>
          </cell>
          <cell r="B200" t="str">
            <v>Cartucho Ecopure 880ml EM2 Amarillo</v>
          </cell>
          <cell r="C200" t="str">
            <v>Sí</v>
          </cell>
          <cell r="D200" t="str">
            <v>Si</v>
          </cell>
          <cell r="E200" t="str">
            <v>A0001252</v>
          </cell>
        </row>
        <row r="201">
          <cell r="A201" t="str">
            <v>A0001253</v>
          </cell>
          <cell r="B201" t="str">
            <v>Cartucho Ecopure 880ml EM2 Cyan</v>
          </cell>
          <cell r="C201" t="str">
            <v>Sí</v>
          </cell>
          <cell r="D201" t="str">
            <v>Si</v>
          </cell>
          <cell r="E201" t="str">
            <v>A0001252</v>
          </cell>
        </row>
        <row r="202">
          <cell r="A202" t="str">
            <v>A0001254</v>
          </cell>
          <cell r="B202" t="str">
            <v>Cartucho Ecopure 880ml EM2 Light Cyan</v>
          </cell>
          <cell r="C202" t="str">
            <v>Sí</v>
          </cell>
          <cell r="D202" t="str">
            <v>Si</v>
          </cell>
          <cell r="E202" t="str">
            <v>A0001252</v>
          </cell>
        </row>
        <row r="203">
          <cell r="A203" t="str">
            <v>A0001255</v>
          </cell>
          <cell r="B203" t="str">
            <v>Cartucho Ecopure 880ml EM2 Light Magenta</v>
          </cell>
          <cell r="C203" t="str">
            <v>Sí</v>
          </cell>
          <cell r="D203" t="str">
            <v>Si</v>
          </cell>
          <cell r="E203" t="str">
            <v>A0001252</v>
          </cell>
        </row>
        <row r="204">
          <cell r="A204" t="str">
            <v>A0001256</v>
          </cell>
          <cell r="B204" t="str">
            <v>Cartucho Ecopure 880ml EM2 Magenta</v>
          </cell>
          <cell r="C204" t="str">
            <v>Sí</v>
          </cell>
          <cell r="D204" t="str">
            <v>Si</v>
          </cell>
          <cell r="E204" t="str">
            <v>A0001252</v>
          </cell>
        </row>
        <row r="205">
          <cell r="A205" t="str">
            <v>A0001257</v>
          </cell>
          <cell r="B205" t="str">
            <v>Cartucho Ecopure 880ml EM2 Negro</v>
          </cell>
          <cell r="C205" t="str">
            <v>Sí</v>
          </cell>
          <cell r="D205" t="str">
            <v>Si</v>
          </cell>
          <cell r="E205" t="str">
            <v>A0001252</v>
          </cell>
        </row>
        <row r="206">
          <cell r="A206" t="str">
            <v>A0002350</v>
          </cell>
          <cell r="B206" t="str">
            <v>Cartucho Skynnet Amarillo 440ml EM2</v>
          </cell>
          <cell r="C206" t="str">
            <v>Sí</v>
          </cell>
          <cell r="D206" t="str">
            <v>No</v>
          </cell>
        </row>
        <row r="207">
          <cell r="A207" t="str">
            <v>A0002346</v>
          </cell>
          <cell r="B207" t="str">
            <v>Cartucho Skynnet Cyan 440ml EM2</v>
          </cell>
          <cell r="C207" t="str">
            <v>Sí</v>
          </cell>
          <cell r="D207" t="str">
            <v>No</v>
          </cell>
        </row>
        <row r="208">
          <cell r="A208" t="str">
            <v>A0002345</v>
          </cell>
          <cell r="B208" t="str">
            <v>Cartucho Skynnet Light Cyan 440ml EM2</v>
          </cell>
          <cell r="C208" t="str">
            <v>Sí</v>
          </cell>
          <cell r="D208" t="str">
            <v>No</v>
          </cell>
        </row>
        <row r="209">
          <cell r="A209" t="str">
            <v>A0002348</v>
          </cell>
          <cell r="B209" t="str">
            <v>Cartucho Skynnet Light Magenta 440ml EM2</v>
          </cell>
          <cell r="C209" t="str">
            <v>Sí</v>
          </cell>
          <cell r="D209" t="str">
            <v>No</v>
          </cell>
        </row>
        <row r="210">
          <cell r="A210" t="str">
            <v>A0002347</v>
          </cell>
          <cell r="B210" t="str">
            <v>Cartucho Skynnet Light Negro 440ml EM2</v>
          </cell>
          <cell r="C210" t="str">
            <v>Sí</v>
          </cell>
          <cell r="D210" t="str">
            <v>No</v>
          </cell>
        </row>
        <row r="211">
          <cell r="A211" t="str">
            <v>A0002349</v>
          </cell>
          <cell r="B211" t="str">
            <v>Cartucho Skynnet Magenta 440ml EM2</v>
          </cell>
          <cell r="C211" t="str">
            <v>Sí</v>
          </cell>
          <cell r="D211" t="str">
            <v>No</v>
          </cell>
        </row>
        <row r="212">
          <cell r="A212" t="str">
            <v>A0002344</v>
          </cell>
          <cell r="B212" t="str">
            <v>Cartucho Skynnet Negro 440ml EM2</v>
          </cell>
          <cell r="C212" t="str">
            <v>Sí</v>
          </cell>
          <cell r="D212" t="str">
            <v>No</v>
          </cell>
        </row>
        <row r="213">
          <cell r="A213" t="str">
            <v>A0002927</v>
          </cell>
          <cell r="B213" t="str">
            <v>M2  WindowWRAP Microperforado 1,06x50m</v>
          </cell>
          <cell r="C213" t="str">
            <v>Sí</v>
          </cell>
          <cell r="D213" t="str">
            <v>Si</v>
          </cell>
        </row>
        <row r="214">
          <cell r="A214" t="str">
            <v>A0002157</v>
          </cell>
          <cell r="B214" t="str">
            <v>M2  WindowWRAP Microperforado 1,37x50</v>
          </cell>
          <cell r="C214" t="str">
            <v>Sí</v>
          </cell>
          <cell r="D214" t="str">
            <v>Si</v>
          </cell>
        </row>
        <row r="215">
          <cell r="A215" t="str">
            <v>A0002959</v>
          </cell>
          <cell r="B215" t="str">
            <v>M2  WindowWRAP Microperforado 1,52x50</v>
          </cell>
          <cell r="C215" t="str">
            <v>Sí</v>
          </cell>
          <cell r="D215" t="str">
            <v>Si</v>
          </cell>
        </row>
        <row r="216">
          <cell r="A216" t="str">
            <v>A0002923</v>
          </cell>
          <cell r="B216" t="str">
            <v>M2  WindowWRAP Microperforado Homologado 1,06x50m</v>
          </cell>
          <cell r="C216" t="str">
            <v>Sí</v>
          </cell>
          <cell r="D216" t="str">
            <v>Si</v>
          </cell>
        </row>
        <row r="217">
          <cell r="A217" t="str">
            <v>A0001730</v>
          </cell>
          <cell r="B217" t="str">
            <v>M2  WindowWRAP Microperforado Homologado 1,37x50</v>
          </cell>
          <cell r="C217" t="str">
            <v>Sí</v>
          </cell>
          <cell r="D217" t="str">
            <v>Si</v>
          </cell>
        </row>
        <row r="218">
          <cell r="A218" t="str">
            <v>A0002895</v>
          </cell>
          <cell r="B218" t="str">
            <v>M2 Fibra de Carbono Cast 1,52 x 50m</v>
          </cell>
          <cell r="C218" t="str">
            <v>Sí</v>
          </cell>
          <cell r="D218" t="str">
            <v>No</v>
          </cell>
        </row>
        <row r="219">
          <cell r="A219" t="str">
            <v>A0002500</v>
          </cell>
          <cell r="B219" t="str">
            <v>M2 Fluorescente Nivel 3 (10 años) CRG 92000 Amarillo 1,22x45,7m</v>
          </cell>
          <cell r="C219" t="str">
            <v>Sí</v>
          </cell>
          <cell r="D219" t="str">
            <v>No</v>
          </cell>
        </row>
        <row r="220">
          <cell r="A220" t="str">
            <v>A0002501</v>
          </cell>
          <cell r="B220" t="str">
            <v>M2 Fluorescente Nivel 3 (10 años) CRG 92000 Naranja 1,22x45,7m</v>
          </cell>
          <cell r="C220" t="str">
            <v>Sí</v>
          </cell>
          <cell r="D220" t="str">
            <v>No</v>
          </cell>
        </row>
        <row r="221">
          <cell r="A221" t="str">
            <v>A0002529</v>
          </cell>
          <cell r="B221" t="str">
            <v>M2 Hi-SCal EF-40801 Antigrafiti (10 años) 1,22x45,7m</v>
          </cell>
          <cell r="C221" t="str">
            <v>Sí</v>
          </cell>
          <cell r="D221" t="str">
            <v>No</v>
          </cell>
        </row>
        <row r="222">
          <cell r="A222" t="str">
            <v>A0001496</v>
          </cell>
          <cell r="B222" t="str">
            <v>M2 Isee2 Fibra de Carbono Cast 1,524 x 50m</v>
          </cell>
          <cell r="C222" t="str">
            <v>Sí</v>
          </cell>
          <cell r="D222" t="str">
            <v>No</v>
          </cell>
          <cell r="E222" t="str">
            <v>A0000103</v>
          </cell>
        </row>
        <row r="223">
          <cell r="A223" t="str">
            <v>A0002925</v>
          </cell>
          <cell r="B223" t="str">
            <v>M2 Mactac 8279 - 03 Copper Brillo 1,23m x 50m</v>
          </cell>
          <cell r="C223" t="str">
            <v>Sí</v>
          </cell>
          <cell r="D223" t="str">
            <v>No</v>
          </cell>
        </row>
        <row r="224">
          <cell r="A224" t="str">
            <v>A0002816</v>
          </cell>
          <cell r="B224" t="str">
            <v>M2 MetaCast MCX 00 Blanco Brillo 1,52x30m</v>
          </cell>
          <cell r="C224" t="str">
            <v>Sí</v>
          </cell>
          <cell r="D224" t="str">
            <v>Si</v>
          </cell>
          <cell r="E224" t="str">
            <v>A0002816</v>
          </cell>
        </row>
        <row r="225">
          <cell r="A225" t="str">
            <v>A0002818</v>
          </cell>
          <cell r="B225" t="str">
            <v>M2 MetaCast MCX 10 Negro Brillo 1,52x30m</v>
          </cell>
          <cell r="C225" t="str">
            <v>Sí</v>
          </cell>
          <cell r="D225" t="str">
            <v>Si</v>
          </cell>
          <cell r="E225" t="str">
            <v>A0002816</v>
          </cell>
        </row>
        <row r="226">
          <cell r="A226" t="str">
            <v>A0002817</v>
          </cell>
          <cell r="B226" t="str">
            <v>M2 MetaCast MCX 12 Negro Mate 1,52x30m</v>
          </cell>
          <cell r="C226" t="str">
            <v>Sí</v>
          </cell>
          <cell r="D226" t="str">
            <v>Si</v>
          </cell>
          <cell r="E226" t="str">
            <v>A0002816</v>
          </cell>
        </row>
        <row r="227">
          <cell r="A227" t="str">
            <v>A0002837</v>
          </cell>
          <cell r="B227" t="str">
            <v>M2 MetaCast MCX 22 Chalk Grey Brillo 1,52x30m</v>
          </cell>
          <cell r="C227" t="str">
            <v>Sí</v>
          </cell>
          <cell r="D227" t="str">
            <v>Si</v>
          </cell>
          <cell r="E227" t="str">
            <v>A0002816</v>
          </cell>
        </row>
        <row r="228">
          <cell r="A228" t="str">
            <v>A0002838</v>
          </cell>
          <cell r="B228" t="str">
            <v>M2 MetaCast MCX 26 Nardo Grey Brillo 1,52x30m</v>
          </cell>
          <cell r="C228" t="str">
            <v>Sí</v>
          </cell>
          <cell r="D228" t="str">
            <v>Si</v>
          </cell>
          <cell r="E228" t="str">
            <v>A0002816</v>
          </cell>
        </row>
        <row r="229">
          <cell r="A229" t="str">
            <v>A0002839</v>
          </cell>
          <cell r="B229" t="str">
            <v>M2 MetaCast MCX 28 Café Racer Brillo 1,52x30m</v>
          </cell>
          <cell r="C229" t="str">
            <v>Sí</v>
          </cell>
          <cell r="D229" t="str">
            <v>Si</v>
          </cell>
          <cell r="E229" t="str">
            <v>A0002816</v>
          </cell>
        </row>
        <row r="230">
          <cell r="A230" t="str">
            <v>A0002833</v>
          </cell>
          <cell r="B230" t="str">
            <v>M2 MetaCast MCX 36 Monza Yellow Brillo 1,52x30m</v>
          </cell>
          <cell r="C230" t="str">
            <v>Sí</v>
          </cell>
          <cell r="D230" t="str">
            <v>Si</v>
          </cell>
          <cell r="E230" t="str">
            <v>A0002816</v>
          </cell>
        </row>
        <row r="231">
          <cell r="A231" t="str">
            <v>A0002779</v>
          </cell>
          <cell r="B231" t="str">
            <v>M2 MetaCast MCX 39 FireFox Brillo Metalizado 1,52x30m</v>
          </cell>
          <cell r="C231" t="str">
            <v>Sí</v>
          </cell>
          <cell r="D231" t="str">
            <v>Si</v>
          </cell>
          <cell r="E231" t="str">
            <v>A0002816</v>
          </cell>
        </row>
        <row r="232">
          <cell r="A232" t="str">
            <v>A0002822</v>
          </cell>
          <cell r="B232" t="str">
            <v>M2 MetaCast MCX 46 Volcano Red Brillo Metalizado 1,52x30m</v>
          </cell>
          <cell r="C232" t="str">
            <v>Sí</v>
          </cell>
          <cell r="D232" t="str">
            <v>Si</v>
          </cell>
          <cell r="E232" t="str">
            <v>A0002816</v>
          </cell>
        </row>
        <row r="233">
          <cell r="A233" t="str">
            <v>A0002835</v>
          </cell>
          <cell r="B233" t="str">
            <v>M2 MetaCast MCX 48 Cooper Red Brillo 1,52x30m</v>
          </cell>
          <cell r="C233" t="str">
            <v>Sí</v>
          </cell>
          <cell r="D233" t="str">
            <v>Si</v>
          </cell>
          <cell r="E233" t="str">
            <v>A0002816</v>
          </cell>
        </row>
        <row r="234">
          <cell r="A234" t="str">
            <v>A0002834</v>
          </cell>
          <cell r="B234" t="str">
            <v>M2 MetaCast MCX 51 Miami Blue Brillo 1,52x30m</v>
          </cell>
          <cell r="C234" t="str">
            <v>Sí</v>
          </cell>
          <cell r="D234" t="str">
            <v>Si</v>
          </cell>
          <cell r="E234" t="str">
            <v>A0002816</v>
          </cell>
        </row>
        <row r="235">
          <cell r="A235" t="str">
            <v>A0002827</v>
          </cell>
          <cell r="B235" t="str">
            <v>M2 MetaCast MCX 54 Bavarian Blue Mate Metalizado 1,52x30m</v>
          </cell>
          <cell r="C235" t="str">
            <v>Sí</v>
          </cell>
          <cell r="D235" t="str">
            <v>Si</v>
          </cell>
          <cell r="E235" t="str">
            <v>A0002816</v>
          </cell>
        </row>
        <row r="236">
          <cell r="A236" t="str">
            <v>A0002836</v>
          </cell>
          <cell r="B236" t="str">
            <v>M2 MetaCast MCX 58 Lapis Blue Brillo 1,52x30m</v>
          </cell>
          <cell r="C236" t="str">
            <v>Sí</v>
          </cell>
          <cell r="D236" t="str">
            <v>Si</v>
          </cell>
          <cell r="E236" t="str">
            <v>A0002816</v>
          </cell>
        </row>
        <row r="237">
          <cell r="A237" t="str">
            <v>A0002824</v>
          </cell>
          <cell r="B237" t="str">
            <v>M2 MetaCast MCX 59 Blue Abyss Brillo Metalizado 1,52x30m</v>
          </cell>
          <cell r="C237" t="str">
            <v>Sí</v>
          </cell>
          <cell r="D237" t="str">
            <v>Si</v>
          </cell>
          <cell r="E237" t="str">
            <v>A0002816</v>
          </cell>
        </row>
        <row r="238">
          <cell r="A238" t="str">
            <v>A0002828</v>
          </cell>
          <cell r="B238" t="str">
            <v>M2 MetaCast MCX 63 Speed Green Mate Metalizado 1,52x30m</v>
          </cell>
          <cell r="C238" t="str">
            <v>Sí</v>
          </cell>
          <cell r="D238" t="str">
            <v>Si</v>
          </cell>
          <cell r="E238" t="str">
            <v>A0002816</v>
          </cell>
        </row>
        <row r="239">
          <cell r="A239" t="str">
            <v>A0002821</v>
          </cell>
          <cell r="B239" t="str">
            <v>M2 MetaCast MCX 67 Bullitt Green Brillo Metalizado 1,52x30m</v>
          </cell>
          <cell r="C239" t="str">
            <v>Sí</v>
          </cell>
          <cell r="D239" t="str">
            <v>Si</v>
          </cell>
          <cell r="E239" t="str">
            <v>A0002816</v>
          </cell>
        </row>
        <row r="240">
          <cell r="A240" t="str">
            <v>A0002830</v>
          </cell>
          <cell r="B240" t="str">
            <v>M2 MetaCast MCX 73 Capri Bronce Mate Metalizado 1,52x30m</v>
          </cell>
          <cell r="C240" t="str">
            <v>Sí</v>
          </cell>
          <cell r="D240" t="str">
            <v>Si</v>
          </cell>
          <cell r="E240" t="str">
            <v>A0002816</v>
          </cell>
        </row>
        <row r="241">
          <cell r="A241" t="str">
            <v>A0002823</v>
          </cell>
          <cell r="B241" t="str">
            <v>M2 MetaCast MCX 84 Electric Storm Brillo Metalizado 1,52x30m</v>
          </cell>
          <cell r="C241" t="str">
            <v>Sí</v>
          </cell>
          <cell r="D241" t="str">
            <v>Si</v>
          </cell>
          <cell r="E241" t="str">
            <v>A0002816</v>
          </cell>
        </row>
        <row r="242">
          <cell r="A242" t="str">
            <v>A0002820</v>
          </cell>
          <cell r="B242" t="str">
            <v>M2 MetaCast MCX 86 Nightlife Brillo Metalizado 1,52x30m</v>
          </cell>
          <cell r="C242" t="str">
            <v>Sí</v>
          </cell>
          <cell r="D242" t="str">
            <v>Si</v>
          </cell>
          <cell r="E242" t="str">
            <v>A0002816</v>
          </cell>
        </row>
        <row r="243">
          <cell r="A243" t="str">
            <v>A0002829</v>
          </cell>
          <cell r="B243" t="str">
            <v>M2 MetaCast MCX 87 Plum Crazy Mate Metalizado 1,52x30m</v>
          </cell>
          <cell r="C243" t="str">
            <v>Sí</v>
          </cell>
          <cell r="D243" t="str">
            <v>Si</v>
          </cell>
          <cell r="E243" t="str">
            <v>A0002816</v>
          </cell>
        </row>
        <row r="244">
          <cell r="A244" t="str">
            <v>A0002826</v>
          </cell>
          <cell r="B244" t="str">
            <v>M2 MetaCast MCX 94 Pure Iridium Brillo Metalizado 1,52x30m</v>
          </cell>
          <cell r="C244" t="str">
            <v>Sí</v>
          </cell>
          <cell r="D244" t="str">
            <v>Si</v>
          </cell>
          <cell r="E244" t="str">
            <v>A0002816</v>
          </cell>
        </row>
        <row r="245">
          <cell r="A245" t="str">
            <v>A0002831</v>
          </cell>
          <cell r="B245" t="str">
            <v>M2 MetaCast MCX 96 Urban Steel Mate Metalizado 1,52x30m</v>
          </cell>
          <cell r="C245" t="str">
            <v>Sí</v>
          </cell>
          <cell r="D245" t="str">
            <v>Si</v>
          </cell>
          <cell r="E245" t="str">
            <v>A0002816</v>
          </cell>
        </row>
        <row r="246">
          <cell r="A246" t="str">
            <v>A0002832</v>
          </cell>
          <cell r="B246" t="str">
            <v>M2 MetaCast MCX 97 Carbon Steel Mate Metalizado 1,52x30m</v>
          </cell>
          <cell r="C246" t="str">
            <v>Sí</v>
          </cell>
          <cell r="D246" t="str">
            <v>Si</v>
          </cell>
          <cell r="E246" t="str">
            <v>A0002816</v>
          </cell>
        </row>
        <row r="247">
          <cell r="A247" t="str">
            <v>A0002825</v>
          </cell>
          <cell r="B247" t="str">
            <v>M2 MetaCast MCX 98 Blizzard Stone Brillo Metalizado 1,52x30m</v>
          </cell>
          <cell r="C247" t="str">
            <v>Sí</v>
          </cell>
          <cell r="D247" t="str">
            <v>Si</v>
          </cell>
          <cell r="E247" t="str">
            <v>A0002816</v>
          </cell>
        </row>
        <row r="248">
          <cell r="A248" t="str">
            <v>A0002819</v>
          </cell>
          <cell r="B248" t="str">
            <v>M2 MetaCast MCX 99 Negro Brillo Metalizado 1,52x30m</v>
          </cell>
          <cell r="C248" t="str">
            <v>Sí</v>
          </cell>
          <cell r="D248" t="str">
            <v>Si</v>
          </cell>
          <cell r="E248" t="str">
            <v>A0002816</v>
          </cell>
        </row>
        <row r="249">
          <cell r="A249" t="str">
            <v>A0002020</v>
          </cell>
          <cell r="B249" t="str">
            <v>M2 Metamark Aura 139 Flourescente Amarillo 1,22x50m</v>
          </cell>
          <cell r="C249" t="str">
            <v>Sí</v>
          </cell>
          <cell r="D249" t="str">
            <v>Si</v>
          </cell>
          <cell r="E249" t="str">
            <v>A0002020</v>
          </cell>
        </row>
        <row r="250">
          <cell r="A250" t="str">
            <v>A0002026</v>
          </cell>
          <cell r="B250" t="str">
            <v>M2 Metamark Aura 139 Flourescente Rojo 1,22x50m</v>
          </cell>
          <cell r="C250" t="str">
            <v>Sí</v>
          </cell>
          <cell r="D250" t="str">
            <v>Si</v>
          </cell>
          <cell r="E250" t="str">
            <v>A0002020</v>
          </cell>
        </row>
        <row r="251">
          <cell r="A251" t="str">
            <v>A0000311</v>
          </cell>
          <cell r="B251" t="str">
            <v>M2 Metamark M4 Brillo 200 Blanco 0,61 x 50m</v>
          </cell>
          <cell r="C251" t="str">
            <v>Sí</v>
          </cell>
          <cell r="D251" t="str">
            <v>Si</v>
          </cell>
          <cell r="E251" t="str">
            <v>A0000270</v>
          </cell>
        </row>
        <row r="252">
          <cell r="A252" t="str">
            <v>A0000270</v>
          </cell>
          <cell r="B252" t="str">
            <v>M2 Metamark M4 Brillo 200 Blanco 1,22 x 50m</v>
          </cell>
          <cell r="C252" t="str">
            <v>Sí</v>
          </cell>
          <cell r="D252" t="str">
            <v>Si</v>
          </cell>
          <cell r="E252" t="str">
            <v>A0000270</v>
          </cell>
        </row>
        <row r="253">
          <cell r="A253" t="str">
            <v>A0000316</v>
          </cell>
          <cell r="B253" t="str">
            <v>M2 Metamark M4 Brillo 210 Negro 0,61 x 50m</v>
          </cell>
          <cell r="C253" t="str">
            <v>Sí</v>
          </cell>
          <cell r="D253" t="str">
            <v>Si</v>
          </cell>
          <cell r="E253" t="str">
            <v>A0000270</v>
          </cell>
        </row>
        <row r="254">
          <cell r="A254" t="str">
            <v>A0000275</v>
          </cell>
          <cell r="B254" t="str">
            <v>M2 Metamark M4 Brillo 210 Negro 1,22 x 50m</v>
          </cell>
          <cell r="C254" t="str">
            <v>Sí</v>
          </cell>
          <cell r="D254" t="str">
            <v>Si</v>
          </cell>
          <cell r="E254" t="str">
            <v>A0000270</v>
          </cell>
        </row>
        <row r="255">
          <cell r="A255" t="str">
            <v>A0000313</v>
          </cell>
          <cell r="B255" t="str">
            <v>M2 Metamark M4 Brillo 220 Gris Ligero 0,61 x 50m</v>
          </cell>
          <cell r="C255" t="str">
            <v>Sí</v>
          </cell>
          <cell r="D255" t="str">
            <v>Si</v>
          </cell>
          <cell r="E255" t="str">
            <v>A0000270</v>
          </cell>
        </row>
        <row r="256">
          <cell r="A256" t="str">
            <v>A0000272</v>
          </cell>
          <cell r="B256" t="str">
            <v>M2 Metamark M4 Brillo 220 Gris Ligero 1,22 x 50m</v>
          </cell>
          <cell r="C256" t="str">
            <v>Sí</v>
          </cell>
          <cell r="D256" t="str">
            <v>Si</v>
          </cell>
          <cell r="E256" t="str">
            <v>A0000270</v>
          </cell>
        </row>
        <row r="257">
          <cell r="A257" t="str">
            <v>A0000314</v>
          </cell>
          <cell r="B257" t="str">
            <v>M2 Metamark M4 Brillo 221 Gris 0,61 x 50m</v>
          </cell>
          <cell r="C257" t="str">
            <v>Sí</v>
          </cell>
          <cell r="D257" t="str">
            <v>Si</v>
          </cell>
          <cell r="E257" t="str">
            <v>A0000270</v>
          </cell>
        </row>
        <row r="258">
          <cell r="A258" t="str">
            <v>A0000273</v>
          </cell>
          <cell r="B258" t="str">
            <v>M2 Metamark M4 Brillo 221 Gris 1,22 x 50m</v>
          </cell>
          <cell r="C258" t="str">
            <v>Sí</v>
          </cell>
          <cell r="D258" t="str">
            <v>Si</v>
          </cell>
          <cell r="E258" t="str">
            <v>A0000270</v>
          </cell>
        </row>
        <row r="259">
          <cell r="A259" t="str">
            <v>A0000315</v>
          </cell>
          <cell r="B259" t="str">
            <v>M2 Metamark M4 Brillo 224 Gris Oscuro 0,61 x 50m</v>
          </cell>
          <cell r="C259" t="str">
            <v>Sí</v>
          </cell>
          <cell r="D259" t="str">
            <v>Si</v>
          </cell>
          <cell r="E259" t="str">
            <v>A0000270</v>
          </cell>
        </row>
        <row r="260">
          <cell r="A260" t="str">
            <v>A0000274</v>
          </cell>
          <cell r="B260" t="str">
            <v>M2 Metamark M4 Brillo 224 Gris Oscuro 1,22 x 50m</v>
          </cell>
          <cell r="C260" t="str">
            <v>Sí</v>
          </cell>
          <cell r="D260" t="str">
            <v>Si</v>
          </cell>
          <cell r="E260" t="str">
            <v>A0000270</v>
          </cell>
        </row>
        <row r="261">
          <cell r="A261" t="str">
            <v>A0001953</v>
          </cell>
          <cell r="B261" t="str">
            <v>M2 Metamark M4 Brillo 226 Gris Tormenta 0,61 x 50m</v>
          </cell>
          <cell r="C261" t="str">
            <v>Sí</v>
          </cell>
          <cell r="D261" t="str">
            <v>Si</v>
          </cell>
          <cell r="E261" t="str">
            <v>A0000270</v>
          </cell>
        </row>
        <row r="262">
          <cell r="A262" t="str">
            <v>A0001568</v>
          </cell>
          <cell r="B262" t="str">
            <v>M2 Metamark M4 Brillo 226 Gris Tormenta 1,22 x 50m</v>
          </cell>
          <cell r="C262" t="str">
            <v>Sí</v>
          </cell>
          <cell r="D262" t="str">
            <v>Si</v>
          </cell>
          <cell r="E262" t="str">
            <v>A0000270</v>
          </cell>
        </row>
        <row r="263">
          <cell r="A263" t="str">
            <v>A0000317</v>
          </cell>
          <cell r="B263" t="str">
            <v>M2 Metamark M4 Brillo 230 Amarillo Limón  0,61 x 50m</v>
          </cell>
          <cell r="C263" t="str">
            <v>Sí</v>
          </cell>
          <cell r="D263" t="str">
            <v>Si</v>
          </cell>
          <cell r="E263" t="str">
            <v>A0000270</v>
          </cell>
        </row>
        <row r="264">
          <cell r="A264" t="str">
            <v>A0000276</v>
          </cell>
          <cell r="B264" t="str">
            <v>M2 Metamark M4 Brillo 230 Amarillo Limón  1,22 x 50m</v>
          </cell>
          <cell r="C264" t="str">
            <v>Sí</v>
          </cell>
          <cell r="D264" t="str">
            <v>Si</v>
          </cell>
          <cell r="E264" t="str">
            <v>A0000270</v>
          </cell>
        </row>
        <row r="265">
          <cell r="A265" t="str">
            <v>A0000318</v>
          </cell>
          <cell r="B265" t="str">
            <v>M2 Metamark M4 Brillo 232 Amarillo Medio 0,61 x 50m</v>
          </cell>
          <cell r="C265" t="str">
            <v>Sí</v>
          </cell>
          <cell r="D265" t="str">
            <v>Si</v>
          </cell>
          <cell r="E265" t="str">
            <v>A0000270</v>
          </cell>
        </row>
        <row r="266">
          <cell r="A266" t="str">
            <v>A0000277</v>
          </cell>
          <cell r="B266" t="str">
            <v>M2 Metamark M4 Brillo 232 Amarillo Medio 1,22 x 50m</v>
          </cell>
          <cell r="C266" t="str">
            <v>Sí</v>
          </cell>
          <cell r="D266" t="str">
            <v>Si</v>
          </cell>
          <cell r="E266" t="str">
            <v>A0000270</v>
          </cell>
        </row>
        <row r="267">
          <cell r="A267" t="str">
            <v>A0000321</v>
          </cell>
          <cell r="B267" t="str">
            <v>M2 Metamark M4 Brillo 233 Naranja 0,61 x 50m</v>
          </cell>
          <cell r="C267" t="str">
            <v>Sí</v>
          </cell>
          <cell r="D267" t="str">
            <v>Si</v>
          </cell>
          <cell r="E267" t="str">
            <v>A0000270</v>
          </cell>
        </row>
        <row r="268">
          <cell r="A268" t="str">
            <v>A0000280</v>
          </cell>
          <cell r="B268" t="str">
            <v>M2 Metamark M4 Brillo 233 Naranja 1,22 x 50m</v>
          </cell>
          <cell r="C268" t="str">
            <v>Sí</v>
          </cell>
          <cell r="D268" t="str">
            <v>Si</v>
          </cell>
          <cell r="E268" t="str">
            <v>A0000270</v>
          </cell>
        </row>
        <row r="269">
          <cell r="A269" t="str">
            <v>A0000319</v>
          </cell>
          <cell r="B269" t="str">
            <v>M2 Metamark M4 Brillo 235 Amarillo Botón 0,61 x 50m</v>
          </cell>
          <cell r="C269" t="str">
            <v>Sí</v>
          </cell>
          <cell r="D269" t="str">
            <v>Si</v>
          </cell>
          <cell r="E269" t="str">
            <v>A0000270</v>
          </cell>
        </row>
        <row r="270">
          <cell r="A270" t="str">
            <v>A0000278</v>
          </cell>
          <cell r="B270" t="str">
            <v>M2 Metamark M4 Brillo 235 Amarillo Botón 1,22 x 50m</v>
          </cell>
          <cell r="C270" t="str">
            <v>Sí</v>
          </cell>
          <cell r="D270" t="str">
            <v>Si</v>
          </cell>
          <cell r="E270" t="str">
            <v>A0000270</v>
          </cell>
        </row>
        <row r="271">
          <cell r="A271" t="str">
            <v>A0000320</v>
          </cell>
          <cell r="B271" t="str">
            <v>M2 Metamark M4 Brillo 237 Amarillo Melón 0,61 x 50m</v>
          </cell>
          <cell r="C271" t="str">
            <v>Sí</v>
          </cell>
          <cell r="D271" t="str">
            <v>Si</v>
          </cell>
          <cell r="E271" t="str">
            <v>A0000270</v>
          </cell>
        </row>
        <row r="272">
          <cell r="A272" t="str">
            <v>A0000279</v>
          </cell>
          <cell r="B272" t="str">
            <v>M2 Metamark M4 Brillo 237 Amarillo Melón 1,22 x 50m</v>
          </cell>
          <cell r="C272" t="str">
            <v>Sí</v>
          </cell>
          <cell r="D272" t="str">
            <v>Si</v>
          </cell>
          <cell r="E272" t="str">
            <v>A0000270</v>
          </cell>
        </row>
        <row r="273">
          <cell r="A273" t="str">
            <v>A0000322</v>
          </cell>
          <cell r="B273" t="str">
            <v>M2 Metamark M4 Brillo 240 Amapola 0,61 x 50m</v>
          </cell>
          <cell r="C273" t="str">
            <v>Sí</v>
          </cell>
          <cell r="D273" t="str">
            <v>Si</v>
          </cell>
          <cell r="E273" t="str">
            <v>A0000270</v>
          </cell>
        </row>
        <row r="274">
          <cell r="A274" t="str">
            <v>A0000281</v>
          </cell>
          <cell r="B274" t="str">
            <v>M2 Metamark M4 Brillo 240 Amapola 1,22 x 50m</v>
          </cell>
          <cell r="C274" t="str">
            <v>Sí</v>
          </cell>
          <cell r="D274" t="str">
            <v>Si</v>
          </cell>
          <cell r="E274" t="str">
            <v>A0000270</v>
          </cell>
        </row>
        <row r="275">
          <cell r="A275" t="str">
            <v>A0000325</v>
          </cell>
          <cell r="B275" t="str">
            <v>M2 Metamark M4 Brillo 243 Rojo Cereza 0,61 x 50m</v>
          </cell>
          <cell r="C275" t="str">
            <v>Sí</v>
          </cell>
          <cell r="D275" t="str">
            <v>Si</v>
          </cell>
          <cell r="E275" t="str">
            <v>A0000270</v>
          </cell>
        </row>
        <row r="276">
          <cell r="A276" t="str">
            <v>A0000284</v>
          </cell>
          <cell r="B276" t="str">
            <v>M2 Metamark M4 Brillo 243 Rojo Cereza 1,22 x 50m</v>
          </cell>
          <cell r="C276" t="str">
            <v>Sí</v>
          </cell>
          <cell r="D276" t="str">
            <v>Si</v>
          </cell>
          <cell r="E276" t="str">
            <v>A0000270</v>
          </cell>
        </row>
        <row r="277">
          <cell r="A277" t="str">
            <v>A0000326</v>
          </cell>
          <cell r="B277" t="str">
            <v>M2 Metamark M4 Brillo 245 Rojo Borgoña 0,61 x 50m</v>
          </cell>
          <cell r="C277" t="str">
            <v>Sí</v>
          </cell>
          <cell r="D277" t="str">
            <v>Si</v>
          </cell>
          <cell r="E277" t="str">
            <v>A0000270</v>
          </cell>
        </row>
        <row r="278">
          <cell r="A278" t="str">
            <v>A0000285</v>
          </cell>
          <cell r="B278" t="str">
            <v>M2 Metamark M4 Brillo 245 Rojo Borgoña 1,22 x 50m</v>
          </cell>
          <cell r="C278" t="str">
            <v>Sí</v>
          </cell>
          <cell r="D278" t="str">
            <v>Si</v>
          </cell>
          <cell r="E278" t="str">
            <v>A0000270</v>
          </cell>
        </row>
        <row r="279">
          <cell r="A279" t="str">
            <v>A0000324</v>
          </cell>
          <cell r="B279" t="str">
            <v>M2 Metamark M4 Brillo 246 Rojo Llama 0,61 x 50m</v>
          </cell>
          <cell r="C279" t="str">
            <v>Sí</v>
          </cell>
          <cell r="D279" t="str">
            <v>Si</v>
          </cell>
          <cell r="E279" t="str">
            <v>A0000270</v>
          </cell>
        </row>
        <row r="280">
          <cell r="A280" t="str">
            <v>A0000283</v>
          </cell>
          <cell r="B280" t="str">
            <v>M2 Metamark M4 Brillo 246 Rojo Llama 1,22 x 50m</v>
          </cell>
          <cell r="C280" t="str">
            <v>Sí</v>
          </cell>
          <cell r="D280" t="str">
            <v>Si</v>
          </cell>
          <cell r="E280" t="str">
            <v>A0000270</v>
          </cell>
        </row>
        <row r="281">
          <cell r="A281" t="str">
            <v>A0000323</v>
          </cell>
          <cell r="B281" t="str">
            <v>M2 Metamark M4 Brillo 247 Rojo Carmesí 0,61 x 50m</v>
          </cell>
          <cell r="C281" t="str">
            <v>Sí</v>
          </cell>
          <cell r="D281" t="str">
            <v>Si</v>
          </cell>
          <cell r="E281" t="str">
            <v>A0000270</v>
          </cell>
        </row>
        <row r="282">
          <cell r="A282" t="str">
            <v>A0000282</v>
          </cell>
          <cell r="B282" t="str">
            <v>M2 Metamark M4 Brillo 247 Rojo Carmesí 1,22 x 50m</v>
          </cell>
          <cell r="C282" t="str">
            <v>Sí</v>
          </cell>
          <cell r="D282" t="str">
            <v>Si</v>
          </cell>
          <cell r="E282" t="str">
            <v>A0000270</v>
          </cell>
        </row>
        <row r="283">
          <cell r="A283" t="str">
            <v>A0000328</v>
          </cell>
          <cell r="B283" t="str">
            <v>M2 Metamark M4 Brillo 250 Azul Pálido 0,61 x 50m</v>
          </cell>
          <cell r="C283" t="str">
            <v>Sí</v>
          </cell>
          <cell r="D283" t="str">
            <v>Si</v>
          </cell>
          <cell r="E283" t="str">
            <v>A0000270</v>
          </cell>
        </row>
        <row r="284">
          <cell r="A284" t="str">
            <v>A0000287</v>
          </cell>
          <cell r="B284" t="str">
            <v>M2 Metamark M4 Brillo 250 Azul Pálido 1,22 x 50m</v>
          </cell>
          <cell r="C284" t="str">
            <v>Sí</v>
          </cell>
          <cell r="D284" t="str">
            <v>Si</v>
          </cell>
          <cell r="E284" t="str">
            <v>A0000270</v>
          </cell>
        </row>
        <row r="285">
          <cell r="A285" t="str">
            <v>A0000330</v>
          </cell>
          <cell r="B285" t="str">
            <v>M2 Metamark M4 Brillo 252 Azul Oceano 0,61 x 50m</v>
          </cell>
          <cell r="C285" t="str">
            <v>Sí</v>
          </cell>
          <cell r="D285" t="str">
            <v>Si</v>
          </cell>
          <cell r="E285" t="str">
            <v>A0000270</v>
          </cell>
        </row>
        <row r="286">
          <cell r="A286" t="str">
            <v>A0000289</v>
          </cell>
          <cell r="B286" t="str">
            <v>M2 Metamark M4 Brillo 252 Azul Oceano 1,22 x 50m</v>
          </cell>
          <cell r="C286" t="str">
            <v>Sí</v>
          </cell>
          <cell r="D286" t="str">
            <v>Si</v>
          </cell>
          <cell r="E286" t="str">
            <v>A0000270</v>
          </cell>
        </row>
        <row r="287">
          <cell r="A287" t="str">
            <v>A0000331</v>
          </cell>
          <cell r="B287" t="str">
            <v>M2 Metamark M4 Brillo 254 Azul Medio 0,61 x 50m</v>
          </cell>
          <cell r="C287" t="str">
            <v>Sí</v>
          </cell>
          <cell r="D287" t="str">
            <v>Si</v>
          </cell>
          <cell r="E287" t="str">
            <v>A0000270</v>
          </cell>
        </row>
        <row r="288">
          <cell r="A288" t="str">
            <v>A0000290</v>
          </cell>
          <cell r="B288" t="str">
            <v>M2 Metamark M4 Brillo 254 Azul Medio 1,22 x 50m</v>
          </cell>
          <cell r="C288" t="str">
            <v>Sí</v>
          </cell>
          <cell r="D288" t="str">
            <v>Si</v>
          </cell>
          <cell r="E288" t="str">
            <v>A0000270</v>
          </cell>
        </row>
        <row r="289">
          <cell r="A289" t="str">
            <v>A0000332</v>
          </cell>
          <cell r="B289" t="str">
            <v>M2 Metamark M4 Brillo 255 Azul Ultramarino 0,61 x 50m</v>
          </cell>
          <cell r="C289" t="str">
            <v>Sí</v>
          </cell>
          <cell r="D289" t="str">
            <v>Si</v>
          </cell>
          <cell r="E289" t="str">
            <v>A0000270</v>
          </cell>
        </row>
        <row r="290">
          <cell r="A290" t="str">
            <v>A0000291</v>
          </cell>
          <cell r="B290" t="str">
            <v>M2 Metamark M4 Brillo 255 Azul Ultramarino 1,22 x 50m</v>
          </cell>
          <cell r="C290" t="str">
            <v>Sí</v>
          </cell>
          <cell r="D290" t="str">
            <v>Si</v>
          </cell>
          <cell r="E290" t="str">
            <v>A0000270</v>
          </cell>
        </row>
        <row r="291">
          <cell r="A291" t="str">
            <v>A0000329</v>
          </cell>
          <cell r="B291" t="str">
            <v>M2 Metamark M4 Brillo 258 Azul Cielo 0,61 x 50m</v>
          </cell>
          <cell r="C291" t="str">
            <v>Sí</v>
          </cell>
          <cell r="D291" t="str">
            <v>Si</v>
          </cell>
          <cell r="E291" t="str">
            <v>A0000270</v>
          </cell>
        </row>
        <row r="292">
          <cell r="A292" t="str">
            <v>A0000288</v>
          </cell>
          <cell r="B292" t="str">
            <v>M2 Metamark M4 Brillo 258 Azul Cielo 1,22 x 50m</v>
          </cell>
          <cell r="C292" t="str">
            <v>Sí</v>
          </cell>
          <cell r="D292" t="str">
            <v>Si</v>
          </cell>
          <cell r="E292" t="str">
            <v>A0000270</v>
          </cell>
        </row>
        <row r="293">
          <cell r="A293" t="str">
            <v>A0000335</v>
          </cell>
          <cell r="B293" t="str">
            <v>M2 Metamark M4 Brillo 259 Azul Cobalto 0,61 x 50m</v>
          </cell>
          <cell r="C293" t="str">
            <v>Sí</v>
          </cell>
          <cell r="D293" t="str">
            <v>Si</v>
          </cell>
          <cell r="E293" t="str">
            <v>A0000270</v>
          </cell>
        </row>
        <row r="294">
          <cell r="A294" t="str">
            <v>A0000294</v>
          </cell>
          <cell r="B294" t="str">
            <v>M2 Metamark M4 Brillo 259 Azul Cobalto 1,22 x 50m</v>
          </cell>
          <cell r="C294" t="str">
            <v>Sí</v>
          </cell>
          <cell r="D294" t="str">
            <v>Si</v>
          </cell>
          <cell r="E294" t="str">
            <v>A0000270</v>
          </cell>
        </row>
        <row r="295">
          <cell r="A295" t="str">
            <v>A0000336</v>
          </cell>
          <cell r="B295" t="str">
            <v>M2 Metamark M4 Brillo 261 Verde Cesped 0,61 x 50m</v>
          </cell>
          <cell r="C295" t="str">
            <v>Sí</v>
          </cell>
          <cell r="D295" t="str">
            <v>Si</v>
          </cell>
          <cell r="E295" t="str">
            <v>A0000270</v>
          </cell>
        </row>
        <row r="296">
          <cell r="A296" t="str">
            <v>A0000295</v>
          </cell>
          <cell r="B296" t="str">
            <v>M2 Metamark M4 Brillo 261 Verde Cesped 1,22 x 50m</v>
          </cell>
          <cell r="C296" t="str">
            <v>Sí</v>
          </cell>
          <cell r="D296" t="str">
            <v>Si</v>
          </cell>
          <cell r="E296" t="str">
            <v>A0000270</v>
          </cell>
        </row>
        <row r="297">
          <cell r="A297" t="str">
            <v>A0000338</v>
          </cell>
          <cell r="B297" t="str">
            <v>M2 Metamark M4 Brillo 263 Verde Medio 0,61 x 50m</v>
          </cell>
          <cell r="C297" t="str">
            <v>Sí</v>
          </cell>
          <cell r="D297" t="str">
            <v>Si</v>
          </cell>
          <cell r="E297" t="str">
            <v>A0000270</v>
          </cell>
        </row>
        <row r="298">
          <cell r="A298" t="str">
            <v>A0000297</v>
          </cell>
          <cell r="B298" t="str">
            <v>M2 Metamark M4 Brillo 263 Verde Medio 1,22 x 50m</v>
          </cell>
          <cell r="C298" t="str">
            <v>Sí</v>
          </cell>
          <cell r="D298" t="str">
            <v>Si</v>
          </cell>
          <cell r="E298" t="str">
            <v>A0000270</v>
          </cell>
        </row>
        <row r="299">
          <cell r="A299" t="str">
            <v>A0000341</v>
          </cell>
          <cell r="B299" t="str">
            <v>M2 Metamark M4 Brillo 264 Verde Bosque 0,61 x 50m</v>
          </cell>
          <cell r="C299" t="str">
            <v>Sí</v>
          </cell>
          <cell r="D299" t="str">
            <v>Si</v>
          </cell>
          <cell r="E299" t="str">
            <v>A0000270</v>
          </cell>
        </row>
        <row r="300">
          <cell r="A300" t="str">
            <v>A0000300</v>
          </cell>
          <cell r="B300" t="str">
            <v>M2 Metamark M4 Brillo 264 Verde Bosque 1,22 x 50m</v>
          </cell>
          <cell r="C300" t="str">
            <v>Sí</v>
          </cell>
          <cell r="D300" t="str">
            <v>Si</v>
          </cell>
          <cell r="E300" t="str">
            <v>A0000270</v>
          </cell>
        </row>
        <row r="301">
          <cell r="A301" t="str">
            <v>A0000343</v>
          </cell>
          <cell r="B301" t="str">
            <v>M2 Metamark M4 Brillo 265 Verde Azulado 0,61 x 50m</v>
          </cell>
          <cell r="C301" t="str">
            <v>Sí</v>
          </cell>
          <cell r="D301" t="str">
            <v>Si</v>
          </cell>
          <cell r="E301" t="str">
            <v>A0000270</v>
          </cell>
        </row>
        <row r="302">
          <cell r="A302" t="str">
            <v>A0000302</v>
          </cell>
          <cell r="B302" t="str">
            <v>M2 Metamark M4 Brillo 265 Verde Azulado 1,22 x 50m</v>
          </cell>
          <cell r="C302" t="str">
            <v>Sí</v>
          </cell>
          <cell r="D302" t="str">
            <v>Si</v>
          </cell>
          <cell r="E302" t="str">
            <v>A0000270</v>
          </cell>
        </row>
        <row r="303">
          <cell r="A303" t="str">
            <v>A0000340</v>
          </cell>
          <cell r="B303" t="str">
            <v>M2 Metamark M4 Brillo 267 Verde Forestal 0,61 x 50m</v>
          </cell>
          <cell r="C303" t="str">
            <v>Sí</v>
          </cell>
          <cell r="D303" t="str">
            <v>Si</v>
          </cell>
          <cell r="E303" t="str">
            <v>A0000270</v>
          </cell>
        </row>
        <row r="304">
          <cell r="A304" t="str">
            <v>A0000299</v>
          </cell>
          <cell r="B304" t="str">
            <v>M2 Metamark M4 Brillo 267 Verde Forestal 1,22 x 50m</v>
          </cell>
          <cell r="C304" t="str">
            <v>Sí</v>
          </cell>
          <cell r="D304" t="str">
            <v>Si</v>
          </cell>
          <cell r="E304" t="str">
            <v>A0000270</v>
          </cell>
        </row>
        <row r="305">
          <cell r="A305" t="str">
            <v>A0000339</v>
          </cell>
          <cell r="B305" t="str">
            <v>M2 Metamark M4 Brillo 268 Verde Prado 0,61 x 50m</v>
          </cell>
          <cell r="C305" t="str">
            <v>Sí</v>
          </cell>
          <cell r="D305" t="str">
            <v>Si</v>
          </cell>
          <cell r="E305" t="str">
            <v>A0000270</v>
          </cell>
        </row>
        <row r="306">
          <cell r="A306" t="str">
            <v>A0000298</v>
          </cell>
          <cell r="B306" t="str">
            <v>M2 Metamark M4 Brillo 268 Verde Prado 1,22 x 50m</v>
          </cell>
          <cell r="C306" t="str">
            <v>Sí</v>
          </cell>
          <cell r="D306" t="str">
            <v>Si</v>
          </cell>
          <cell r="E306" t="str">
            <v>A0000270</v>
          </cell>
        </row>
        <row r="307">
          <cell r="A307" t="str">
            <v>A0000337</v>
          </cell>
          <cell r="B307" t="str">
            <v>M2 Metamark M4 Brillo 269 Verde Trébol 0,61 x 50m</v>
          </cell>
          <cell r="C307" t="str">
            <v>Sí</v>
          </cell>
          <cell r="D307" t="str">
            <v>Si</v>
          </cell>
          <cell r="E307" t="str">
            <v>A0000270</v>
          </cell>
        </row>
        <row r="308">
          <cell r="A308" t="str">
            <v>A0000296</v>
          </cell>
          <cell r="B308" t="str">
            <v>M2 Metamark M4 Brillo 269 Verde Trébol 1,22 x 50m</v>
          </cell>
          <cell r="C308" t="str">
            <v>Sí</v>
          </cell>
          <cell r="D308" t="str">
            <v>Si</v>
          </cell>
          <cell r="E308" t="str">
            <v>A0000270</v>
          </cell>
        </row>
        <row r="309">
          <cell r="A309" t="str">
            <v>A0000347</v>
          </cell>
          <cell r="B309" t="str">
            <v>M2 Metamark M4 Brillo 270 Crema 0,61 x 50m</v>
          </cell>
          <cell r="C309" t="str">
            <v>Sí</v>
          </cell>
          <cell r="D309" t="str">
            <v>Si</v>
          </cell>
          <cell r="E309" t="str">
            <v>A0000270</v>
          </cell>
        </row>
        <row r="310">
          <cell r="A310" t="str">
            <v>A0000306</v>
          </cell>
          <cell r="B310" t="str">
            <v>M2 Metamark M4 Brillo 270 Crema 1,22 x 50m</v>
          </cell>
          <cell r="C310" t="str">
            <v>Sí</v>
          </cell>
          <cell r="D310" t="str">
            <v>Si</v>
          </cell>
          <cell r="E310" t="str">
            <v>A0000270</v>
          </cell>
        </row>
        <row r="311">
          <cell r="A311" t="str">
            <v>A0000348</v>
          </cell>
          <cell r="B311" t="str">
            <v>M2 Metamark M4 Brillo 271 Marrón 0,61 x 50m</v>
          </cell>
          <cell r="C311" t="str">
            <v>Sí</v>
          </cell>
          <cell r="D311" t="str">
            <v>Si</v>
          </cell>
          <cell r="E311" t="str">
            <v>A0000270</v>
          </cell>
        </row>
        <row r="312">
          <cell r="A312" t="str">
            <v>A0000307</v>
          </cell>
          <cell r="B312" t="str">
            <v>M2 Metamark M4 Brillo 271 Marrón 1,22 x 50m</v>
          </cell>
          <cell r="C312" t="str">
            <v>Sí</v>
          </cell>
          <cell r="D312" t="str">
            <v>Si</v>
          </cell>
          <cell r="E312" t="str">
            <v>A0000270</v>
          </cell>
        </row>
        <row r="313">
          <cell r="A313" t="str">
            <v>A0000346</v>
          </cell>
          <cell r="B313" t="str">
            <v>M2 Metamark M4 Brillo 272 Almendra 0,61 x 50m</v>
          </cell>
          <cell r="C313" t="str">
            <v>Sí</v>
          </cell>
          <cell r="D313" t="str">
            <v>Si</v>
          </cell>
          <cell r="E313" t="str">
            <v>A0000270</v>
          </cell>
        </row>
        <row r="314">
          <cell r="A314" t="str">
            <v>A0000305</v>
          </cell>
          <cell r="B314" t="str">
            <v>M2 Metamark M4 Brillo 272 Almendra 1,22 x 50m</v>
          </cell>
          <cell r="C314" t="str">
            <v>Sí</v>
          </cell>
          <cell r="D314" t="str">
            <v>Si</v>
          </cell>
          <cell r="E314" t="str">
            <v>A0000270</v>
          </cell>
        </row>
        <row r="315">
          <cell r="A315" t="str">
            <v>A0000342</v>
          </cell>
          <cell r="B315" t="str">
            <v>M2 Metamark M4 Brillo 273 Verde Tráfico 0,61 x 50m</v>
          </cell>
          <cell r="C315" t="str">
            <v>Sí</v>
          </cell>
          <cell r="D315" t="str">
            <v>Si</v>
          </cell>
          <cell r="E315" t="str">
            <v>A0000270</v>
          </cell>
        </row>
        <row r="316">
          <cell r="A316" t="str">
            <v>A0000301</v>
          </cell>
          <cell r="B316" t="str">
            <v>M2 Metamark M4 Brillo 273 Verde Tráfico 1,22 x 50m</v>
          </cell>
          <cell r="C316" t="str">
            <v>Sí</v>
          </cell>
          <cell r="D316" t="str">
            <v>Si</v>
          </cell>
          <cell r="E316" t="str">
            <v>A0000270</v>
          </cell>
        </row>
        <row r="317">
          <cell r="A317" t="str">
            <v>A0000333</v>
          </cell>
          <cell r="B317" t="str">
            <v>M2 Metamark M4 Brillo 275 Azul Oriental 0,61 x 50m</v>
          </cell>
          <cell r="C317" t="str">
            <v>Sí</v>
          </cell>
          <cell r="D317" t="str">
            <v>Si</v>
          </cell>
          <cell r="E317" t="str">
            <v>A0000270</v>
          </cell>
        </row>
        <row r="318">
          <cell r="A318" t="str">
            <v>A0000292</v>
          </cell>
          <cell r="B318" t="str">
            <v>M2 Metamark M4 Brillo 275 Azul Oriental 1,22 x 50m</v>
          </cell>
          <cell r="C318" t="str">
            <v>Sí</v>
          </cell>
          <cell r="D318" t="str">
            <v>Si</v>
          </cell>
          <cell r="E318" t="str">
            <v>A0000270</v>
          </cell>
        </row>
        <row r="319">
          <cell r="A319" t="str">
            <v>A0000327</v>
          </cell>
          <cell r="B319" t="str">
            <v>M2 Metamark M4 Brillo 277 Azul Cáscara 0,61 x 50m</v>
          </cell>
          <cell r="C319" t="str">
            <v>Sí</v>
          </cell>
          <cell r="D319" t="str">
            <v>Si</v>
          </cell>
          <cell r="E319" t="str">
            <v>A0000270</v>
          </cell>
        </row>
        <row r="320">
          <cell r="A320" t="str">
            <v>A0000286</v>
          </cell>
          <cell r="B320" t="str">
            <v>M2 Metamark M4 Brillo 277 Azul Cáscara 1,22 x 50m</v>
          </cell>
          <cell r="C320" t="str">
            <v>Sí</v>
          </cell>
          <cell r="D320" t="str">
            <v>Si</v>
          </cell>
          <cell r="E320" t="str">
            <v>A0000270</v>
          </cell>
        </row>
        <row r="321">
          <cell r="A321" t="str">
            <v>A0000334</v>
          </cell>
          <cell r="B321" t="str">
            <v>M2 Metamark M4 Brillo 278 Azul Vikingo 0,61 x 50m</v>
          </cell>
          <cell r="C321" t="str">
            <v>Sí</v>
          </cell>
          <cell r="D321" t="str">
            <v>Si</v>
          </cell>
          <cell r="E321" t="str">
            <v>A0000270</v>
          </cell>
        </row>
        <row r="322">
          <cell r="A322" t="str">
            <v>A0000293</v>
          </cell>
          <cell r="B322" t="str">
            <v>M2 Metamark M4 Brillo 278 Azul Vikingo 1,22 x 50m</v>
          </cell>
          <cell r="C322" t="str">
            <v>Sí</v>
          </cell>
          <cell r="D322" t="str">
            <v>Si</v>
          </cell>
          <cell r="E322" t="str">
            <v>A0000270</v>
          </cell>
        </row>
        <row r="323">
          <cell r="A323" t="str">
            <v>A0000344</v>
          </cell>
          <cell r="B323" t="str">
            <v>M2 Metamark M4 Brillo 282 Magenta 0,61 x 50m</v>
          </cell>
          <cell r="C323" t="str">
            <v>Sí</v>
          </cell>
          <cell r="D323" t="str">
            <v>Si</v>
          </cell>
          <cell r="E323" t="str">
            <v>A0000270</v>
          </cell>
        </row>
        <row r="324">
          <cell r="A324" t="str">
            <v>A0000303</v>
          </cell>
          <cell r="B324" t="str">
            <v>M2 Metamark M4 Brillo 282 Magenta 1,22 x 50m</v>
          </cell>
          <cell r="C324" t="str">
            <v>Sí</v>
          </cell>
          <cell r="D324" t="str">
            <v>Si</v>
          </cell>
          <cell r="E324" t="str">
            <v>A0000270</v>
          </cell>
        </row>
        <row r="325">
          <cell r="A325" t="str">
            <v>A0000345</v>
          </cell>
          <cell r="B325" t="str">
            <v>M2 Metamark M4 Brillo 283 Púrpura 0,61 x 50m</v>
          </cell>
          <cell r="C325" t="str">
            <v>Sí</v>
          </cell>
          <cell r="D325" t="str">
            <v>Si</v>
          </cell>
          <cell r="E325" t="str">
            <v>A0000270</v>
          </cell>
        </row>
        <row r="326">
          <cell r="A326" t="str">
            <v>A0000304</v>
          </cell>
          <cell r="B326" t="str">
            <v>M2 Metamark M4 Brillo 283 Púrpura 1,22 x 50m</v>
          </cell>
          <cell r="C326" t="str">
            <v>Sí</v>
          </cell>
          <cell r="D326" t="str">
            <v>Si</v>
          </cell>
          <cell r="E326" t="str">
            <v>A0000270</v>
          </cell>
        </row>
        <row r="327">
          <cell r="A327" t="str">
            <v>A0000349</v>
          </cell>
          <cell r="B327" t="str">
            <v>M2 Metamark M4 Brillo 290 Plata 0,61 x 50m</v>
          </cell>
          <cell r="C327" t="str">
            <v>Sí</v>
          </cell>
          <cell r="D327" t="str">
            <v>Si</v>
          </cell>
          <cell r="E327" t="str">
            <v>A0000270</v>
          </cell>
        </row>
        <row r="328">
          <cell r="A328" t="str">
            <v>A0000308</v>
          </cell>
          <cell r="B328" t="str">
            <v>M2 Metamark M4 Brillo 290 Plata 1,22 x 50m</v>
          </cell>
          <cell r="C328" t="str">
            <v>Sí</v>
          </cell>
          <cell r="D328" t="str">
            <v>Si</v>
          </cell>
          <cell r="E328" t="str">
            <v>A0000270</v>
          </cell>
        </row>
        <row r="329">
          <cell r="A329" t="str">
            <v>A0000350</v>
          </cell>
          <cell r="B329" t="str">
            <v>M2 Metamark M4 Brillo 291 Oro 0,61 x 50m</v>
          </cell>
          <cell r="C329" t="str">
            <v>Sí</v>
          </cell>
          <cell r="D329" t="str">
            <v>Si</v>
          </cell>
          <cell r="E329" t="str">
            <v>A0000270</v>
          </cell>
        </row>
        <row r="330">
          <cell r="A330" t="str">
            <v>A0000309</v>
          </cell>
          <cell r="B330" t="str">
            <v>M2 Metamark M4 Brillo 291 Oro 1,22 x 50m</v>
          </cell>
          <cell r="C330" t="str">
            <v>Sí</v>
          </cell>
          <cell r="D330" t="str">
            <v>Si</v>
          </cell>
          <cell r="E330" t="str">
            <v>A0000270</v>
          </cell>
        </row>
        <row r="331">
          <cell r="A331" t="str">
            <v>A0000351</v>
          </cell>
          <cell r="B331" t="str">
            <v>M2 Metamark M4 Brillo 292 Gris Carbón  0,61 x 50m</v>
          </cell>
          <cell r="C331" t="str">
            <v>Sí</v>
          </cell>
          <cell r="D331" t="str">
            <v>Si</v>
          </cell>
          <cell r="E331" t="str">
            <v>A0000270</v>
          </cell>
        </row>
        <row r="332">
          <cell r="A332" t="str">
            <v>A0000310</v>
          </cell>
          <cell r="B332" t="str">
            <v>M2 Metamark M4 Brillo 292 Gris Carbón  1,22 x 50m</v>
          </cell>
          <cell r="C332" t="str">
            <v>Sí</v>
          </cell>
          <cell r="D332" t="str">
            <v>Si</v>
          </cell>
          <cell r="E332" t="str">
            <v>A0000270</v>
          </cell>
        </row>
        <row r="333">
          <cell r="A333" t="str">
            <v>A0000100</v>
          </cell>
          <cell r="B333" t="str">
            <v>M2 Metamark M4 Frosted Window Monomérico 0,61 x 50m</v>
          </cell>
          <cell r="C333" t="str">
            <v>Sí</v>
          </cell>
          <cell r="D333" t="str">
            <v>No</v>
          </cell>
          <cell r="E333" t="str">
            <v>A0000099</v>
          </cell>
        </row>
        <row r="334">
          <cell r="A334" t="str">
            <v>A0000099</v>
          </cell>
          <cell r="B334" t="str">
            <v>M2 Metamark M4 Frosted Window Monomérico 1,22 x 50m</v>
          </cell>
          <cell r="C334" t="str">
            <v>Sí</v>
          </cell>
          <cell r="D334" t="str">
            <v>Si</v>
          </cell>
          <cell r="E334" t="str">
            <v>A0000099</v>
          </cell>
        </row>
        <row r="335">
          <cell r="A335" t="str">
            <v>A0002057</v>
          </cell>
          <cell r="B335" t="str">
            <v>M2 Metamark M4 Frosted Window Monomérico 1,60 x 50m</v>
          </cell>
          <cell r="C335" t="str">
            <v>Sí</v>
          </cell>
          <cell r="D335" t="str">
            <v>Si</v>
          </cell>
          <cell r="E335" t="str">
            <v>A0000099</v>
          </cell>
        </row>
        <row r="336">
          <cell r="A336" t="str">
            <v>A0000383</v>
          </cell>
          <cell r="B336" t="str">
            <v>M2 Metamark M4 Mate 301M Blanco 0,61 x 50m</v>
          </cell>
          <cell r="C336" t="str">
            <v>Sí</v>
          </cell>
          <cell r="D336" t="str">
            <v>Si</v>
          </cell>
          <cell r="E336" t="str">
            <v>A0000352</v>
          </cell>
        </row>
        <row r="337">
          <cell r="A337" t="str">
            <v>A0000352</v>
          </cell>
          <cell r="B337" t="str">
            <v>M2 Metamark M4 Mate 301M Blanco 1,22 x 50m</v>
          </cell>
          <cell r="C337" t="str">
            <v>Sí</v>
          </cell>
          <cell r="D337" t="str">
            <v>Si</v>
          </cell>
          <cell r="E337" t="str">
            <v>A0000352</v>
          </cell>
        </row>
        <row r="338">
          <cell r="A338" t="str">
            <v>A0002215</v>
          </cell>
          <cell r="B338" t="str">
            <v>M2 Metamark M4 Mate 301M Blanco Consumo Interno</v>
          </cell>
          <cell r="C338" t="str">
            <v>Sí</v>
          </cell>
          <cell r="D338" t="str">
            <v>No</v>
          </cell>
        </row>
        <row r="339">
          <cell r="A339" t="str">
            <v>A0000385</v>
          </cell>
          <cell r="B339" t="str">
            <v>M2 Metamark M4 Mate 311M Negro 0,61 x 50m</v>
          </cell>
          <cell r="C339" t="str">
            <v>Sí</v>
          </cell>
          <cell r="D339" t="str">
            <v>Si</v>
          </cell>
          <cell r="E339" t="str">
            <v>A0000352</v>
          </cell>
        </row>
        <row r="340">
          <cell r="A340" t="str">
            <v>A0000354</v>
          </cell>
          <cell r="B340" t="str">
            <v>M2 Metamark M4 Mate 311M Negro 1,22 x 50m</v>
          </cell>
          <cell r="C340" t="str">
            <v>Sí</v>
          </cell>
          <cell r="D340" t="str">
            <v>Si</v>
          </cell>
          <cell r="E340" t="str">
            <v>A0000352</v>
          </cell>
        </row>
        <row r="341">
          <cell r="A341" t="str">
            <v>A0002172</v>
          </cell>
          <cell r="B341" t="str">
            <v>M2 Metamark M4 Mate 311M Negro Consumo Interno</v>
          </cell>
          <cell r="C341" t="str">
            <v>Sí</v>
          </cell>
          <cell r="D341" t="str">
            <v>No</v>
          </cell>
        </row>
        <row r="342">
          <cell r="A342" t="str">
            <v>A0000386</v>
          </cell>
          <cell r="B342" t="str">
            <v>M2 Metamark M4 Mate 320M Gris Ligero 0,61 x 50m</v>
          </cell>
          <cell r="C342" t="str">
            <v>Sí</v>
          </cell>
          <cell r="D342" t="str">
            <v>Si</v>
          </cell>
          <cell r="E342" t="str">
            <v>A0000352</v>
          </cell>
        </row>
        <row r="343">
          <cell r="A343" t="str">
            <v>A0000355</v>
          </cell>
          <cell r="B343" t="str">
            <v>M2 Metamark M4 Mate 320M Gris Ligero 1,22 x 50m</v>
          </cell>
          <cell r="C343" t="str">
            <v>Sí</v>
          </cell>
          <cell r="D343" t="str">
            <v>Si</v>
          </cell>
          <cell r="E343" t="str">
            <v>A0000352</v>
          </cell>
        </row>
        <row r="344">
          <cell r="A344" t="str">
            <v>A0000384</v>
          </cell>
          <cell r="B344" t="str">
            <v>M2 Metamark M4 Mate 324M Gris Oscuro 0,61 x 50m</v>
          </cell>
          <cell r="C344" t="str">
            <v>Sí</v>
          </cell>
          <cell r="D344" t="str">
            <v>Si</v>
          </cell>
          <cell r="E344" t="str">
            <v>A0000352</v>
          </cell>
        </row>
        <row r="345">
          <cell r="A345" t="str">
            <v>A0000353</v>
          </cell>
          <cell r="B345" t="str">
            <v>M2 Metamark M4 Mate 324M Gris Oscuro 1,22 x 50m</v>
          </cell>
          <cell r="C345" t="str">
            <v>Sí</v>
          </cell>
          <cell r="D345" t="str">
            <v>Si</v>
          </cell>
          <cell r="E345" t="str">
            <v>A0000352</v>
          </cell>
        </row>
        <row r="346">
          <cell r="A346" t="str">
            <v>A0002216</v>
          </cell>
          <cell r="B346" t="str">
            <v>M2 Metamark M4 Mate 324M Gris Oscuro Consumo Interno</v>
          </cell>
          <cell r="C346" t="str">
            <v>Sí</v>
          </cell>
          <cell r="D346" t="str">
            <v>No</v>
          </cell>
        </row>
        <row r="347">
          <cell r="A347" t="str">
            <v>A0000387</v>
          </cell>
          <cell r="B347" t="str">
            <v>M2 Metamark M4 Mate 330M Amarillo Limón 0,61 x 50m</v>
          </cell>
          <cell r="C347" t="str">
            <v>Sí</v>
          </cell>
          <cell r="D347" t="str">
            <v>Si</v>
          </cell>
          <cell r="E347" t="str">
            <v>A0000352</v>
          </cell>
        </row>
        <row r="348">
          <cell r="A348" t="str">
            <v>A0000356</v>
          </cell>
          <cell r="B348" t="str">
            <v>M2 Metamark M4 Mate 330M Amarillo Limón 1,22 x 50m</v>
          </cell>
          <cell r="C348" t="str">
            <v>Sí</v>
          </cell>
          <cell r="D348" t="str">
            <v>Si</v>
          </cell>
          <cell r="E348" t="str">
            <v>A0000352</v>
          </cell>
        </row>
        <row r="349">
          <cell r="A349" t="str">
            <v>A0000388</v>
          </cell>
          <cell r="B349" t="str">
            <v>M2 Metamark M4 Mate 332M Amarillo Medio 0,61 x 50m</v>
          </cell>
          <cell r="C349" t="str">
            <v>Sí</v>
          </cell>
          <cell r="D349" t="str">
            <v>Si</v>
          </cell>
          <cell r="E349" t="str">
            <v>A0000352</v>
          </cell>
        </row>
        <row r="350">
          <cell r="A350" t="str">
            <v>A0000357</v>
          </cell>
          <cell r="B350" t="str">
            <v>M2 Metamark M4 Mate 332M Amarillo Medio 1,22 x 50m</v>
          </cell>
          <cell r="C350" t="str">
            <v>Sí</v>
          </cell>
          <cell r="D350" t="str">
            <v>Si</v>
          </cell>
          <cell r="E350" t="str">
            <v>A0000352</v>
          </cell>
        </row>
        <row r="351">
          <cell r="A351" t="str">
            <v>A0000390</v>
          </cell>
          <cell r="B351" t="str">
            <v>M2 Metamark M4 Mate 333M Naranja 0,61 x 50m</v>
          </cell>
          <cell r="C351" t="str">
            <v>Sí</v>
          </cell>
          <cell r="D351" t="str">
            <v>Si</v>
          </cell>
          <cell r="E351" t="str">
            <v>A0000352</v>
          </cell>
        </row>
        <row r="352">
          <cell r="A352" t="str">
            <v>A0000359</v>
          </cell>
          <cell r="B352" t="str">
            <v>M2 Metamark M4 Mate 333M Naranja 1,22 x 50m</v>
          </cell>
          <cell r="C352" t="str">
            <v>Sí</v>
          </cell>
          <cell r="D352" t="str">
            <v>Si</v>
          </cell>
          <cell r="E352" t="str">
            <v>A0000352</v>
          </cell>
        </row>
        <row r="353">
          <cell r="A353" t="str">
            <v>A0000389</v>
          </cell>
          <cell r="B353" t="str">
            <v>M2 Metamark M4 Mate 334M Amarillo Girasol 0,61 x 50m</v>
          </cell>
          <cell r="C353" t="str">
            <v>Sí</v>
          </cell>
          <cell r="D353" t="str">
            <v>Si</v>
          </cell>
          <cell r="E353" t="str">
            <v>A0000352</v>
          </cell>
        </row>
        <row r="354">
          <cell r="A354" t="str">
            <v>A0000358</v>
          </cell>
          <cell r="B354" t="str">
            <v>M2 Metamark M4 Mate 334M Amarillo Girasol 1,22 x 50m</v>
          </cell>
          <cell r="C354" t="str">
            <v>Sí</v>
          </cell>
          <cell r="D354" t="str">
            <v>Si</v>
          </cell>
          <cell r="E354" t="str">
            <v>A0000352</v>
          </cell>
        </row>
        <row r="355">
          <cell r="A355" t="str">
            <v>A0000391</v>
          </cell>
          <cell r="B355" t="str">
            <v>M2 Metamark M4 Mate 340M Amapola 0,61 x 50m</v>
          </cell>
          <cell r="C355" t="str">
            <v>Sí</v>
          </cell>
          <cell r="D355" t="str">
            <v>Si</v>
          </cell>
          <cell r="E355" t="str">
            <v>A0000352</v>
          </cell>
        </row>
        <row r="356">
          <cell r="A356" t="str">
            <v>A0000360</v>
          </cell>
          <cell r="B356" t="str">
            <v>M2 Metamark M4 Mate 340M Amapola 1,22 x 50m</v>
          </cell>
          <cell r="C356" t="str">
            <v>Sí</v>
          </cell>
          <cell r="D356" t="str">
            <v>Si</v>
          </cell>
          <cell r="E356" t="str">
            <v>A0000352</v>
          </cell>
        </row>
        <row r="357">
          <cell r="A357" t="str">
            <v>A0000392</v>
          </cell>
          <cell r="B357" t="str">
            <v>M2 Metamark M4 Mate 341M Rojo Tomate 0,61 x 50m</v>
          </cell>
          <cell r="C357" t="str">
            <v>Sí</v>
          </cell>
          <cell r="D357" t="str">
            <v>Si</v>
          </cell>
          <cell r="E357" t="str">
            <v>A0000352</v>
          </cell>
        </row>
        <row r="358">
          <cell r="A358" t="str">
            <v>A0000361</v>
          </cell>
          <cell r="B358" t="str">
            <v>M2 Metamark M4 Mate 341M Rojo Tomate 1,22 x 50m</v>
          </cell>
          <cell r="C358" t="str">
            <v>Sí</v>
          </cell>
          <cell r="D358" t="str">
            <v>Si</v>
          </cell>
          <cell r="E358" t="str">
            <v>A0000352</v>
          </cell>
        </row>
        <row r="359">
          <cell r="A359" t="str">
            <v>A0000393</v>
          </cell>
          <cell r="B359" t="str">
            <v>M2 Metamark M4 Mate 343M Rojo Cereza 0,61 x 50m</v>
          </cell>
          <cell r="C359" t="str">
            <v>Sí</v>
          </cell>
          <cell r="D359" t="str">
            <v>Si</v>
          </cell>
          <cell r="E359" t="str">
            <v>A0000352</v>
          </cell>
        </row>
        <row r="360">
          <cell r="A360" t="str">
            <v>A0000362</v>
          </cell>
          <cell r="B360" t="str">
            <v>M2 Metamark M4 Mate 343M Rojo Cereza 1,22 x 50m</v>
          </cell>
          <cell r="C360" t="str">
            <v>Sí</v>
          </cell>
          <cell r="D360" t="str">
            <v>Si</v>
          </cell>
          <cell r="E360" t="str">
            <v>A0000352</v>
          </cell>
        </row>
        <row r="361">
          <cell r="A361" t="str">
            <v>A0000394</v>
          </cell>
          <cell r="B361" t="str">
            <v>M2 Metamark M4 Mate 345M Rojo Borgoña 0,61 x 50m</v>
          </cell>
          <cell r="C361" t="str">
            <v>Sí</v>
          </cell>
          <cell r="D361" t="str">
            <v>Si</v>
          </cell>
          <cell r="E361" t="str">
            <v>A0000352</v>
          </cell>
        </row>
        <row r="362">
          <cell r="A362" t="str">
            <v>A0000363</v>
          </cell>
          <cell r="B362" t="str">
            <v>M2 Metamark M4 Mate 345M Rojo Borgoña 1,22 x 50m</v>
          </cell>
          <cell r="C362" t="str">
            <v>Sí</v>
          </cell>
          <cell r="D362" t="str">
            <v>Si</v>
          </cell>
          <cell r="E362" t="str">
            <v>A0000352</v>
          </cell>
        </row>
        <row r="363">
          <cell r="A363" t="str">
            <v>A0000396</v>
          </cell>
          <cell r="B363" t="str">
            <v>M2 Metamark M4 Mate 352M Azul Oceano 0,61 x 50m</v>
          </cell>
          <cell r="C363" t="str">
            <v>Sí</v>
          </cell>
          <cell r="D363" t="str">
            <v>Si</v>
          </cell>
          <cell r="E363" t="str">
            <v>A0000352</v>
          </cell>
        </row>
        <row r="364">
          <cell r="A364" t="str">
            <v>A0000365</v>
          </cell>
          <cell r="B364" t="str">
            <v>M2 Metamark M4 Mate 352M Azul Oceano 1,22 x 50m</v>
          </cell>
          <cell r="C364" t="str">
            <v>Sí</v>
          </cell>
          <cell r="D364" t="str">
            <v>Si</v>
          </cell>
          <cell r="E364" t="str">
            <v>A0000352</v>
          </cell>
        </row>
        <row r="365">
          <cell r="A365" t="str">
            <v>A0000397</v>
          </cell>
          <cell r="B365" t="str">
            <v>M2 Metamark M4 Mate 353M Azul Marino 0,61 x 50m</v>
          </cell>
          <cell r="C365" t="str">
            <v>Sí</v>
          </cell>
          <cell r="D365" t="str">
            <v>Si</v>
          </cell>
          <cell r="E365" t="str">
            <v>A0000352</v>
          </cell>
        </row>
        <row r="366">
          <cell r="A366" t="str">
            <v>A0000366</v>
          </cell>
          <cell r="B366" t="str">
            <v>M2 Metamark M4 Mate 353M Azul Marino 1,22 x 50m</v>
          </cell>
          <cell r="C366" t="str">
            <v>Sí</v>
          </cell>
          <cell r="D366" t="str">
            <v>Si</v>
          </cell>
          <cell r="E366" t="str">
            <v>A0000352</v>
          </cell>
        </row>
        <row r="367">
          <cell r="A367" t="str">
            <v>A0000398</v>
          </cell>
          <cell r="B367" t="str">
            <v>M2 Metamark M4 Mate 354M Azul Medio 0,61 x 50m</v>
          </cell>
          <cell r="C367" t="str">
            <v>Sí</v>
          </cell>
          <cell r="D367" t="str">
            <v>Si</v>
          </cell>
          <cell r="E367" t="str">
            <v>A0000352</v>
          </cell>
        </row>
        <row r="368">
          <cell r="A368" t="str">
            <v>A0000367</v>
          </cell>
          <cell r="B368" t="str">
            <v>M2 Metamark M4 Mate 354M Azul Medio 1,22 x 50m</v>
          </cell>
          <cell r="C368" t="str">
            <v>Sí</v>
          </cell>
          <cell r="D368" t="str">
            <v>Si</v>
          </cell>
          <cell r="E368" t="str">
            <v>A0000352</v>
          </cell>
        </row>
        <row r="369">
          <cell r="A369" t="str">
            <v>A0000399</v>
          </cell>
          <cell r="B369" t="str">
            <v>M2 Metamark M4 Mate 355M Azul Ultramarino 0,61 x 50m</v>
          </cell>
          <cell r="C369" t="str">
            <v>Sí</v>
          </cell>
          <cell r="D369" t="str">
            <v>Si</v>
          </cell>
          <cell r="E369" t="str">
            <v>A0000352</v>
          </cell>
        </row>
        <row r="370">
          <cell r="A370" t="str">
            <v>A0000368</v>
          </cell>
          <cell r="B370" t="str">
            <v>M2 Metamark M4 Mate 355M Azul Ultramarino 1,22 x 50m</v>
          </cell>
          <cell r="C370" t="str">
            <v>Sí</v>
          </cell>
          <cell r="D370" t="str">
            <v>Si</v>
          </cell>
          <cell r="E370" t="str">
            <v>A0000352</v>
          </cell>
        </row>
        <row r="371">
          <cell r="A371" t="str">
            <v>A0000395</v>
          </cell>
          <cell r="B371" t="str">
            <v>M2 Metamark M4 Mate 358M Azul Cielo 0,61 x 50m</v>
          </cell>
          <cell r="C371" t="str">
            <v>Sí</v>
          </cell>
          <cell r="D371" t="str">
            <v>Si</v>
          </cell>
          <cell r="E371" t="str">
            <v>A0000352</v>
          </cell>
        </row>
        <row r="372">
          <cell r="A372" t="str">
            <v>A0000364</v>
          </cell>
          <cell r="B372" t="str">
            <v>M2 Metamark M4 Mate 358M Azul Cielo 1,22 x 50m</v>
          </cell>
          <cell r="C372" t="str">
            <v>Sí</v>
          </cell>
          <cell r="D372" t="str">
            <v>Si</v>
          </cell>
          <cell r="E372" t="str">
            <v>A0000352</v>
          </cell>
        </row>
        <row r="373">
          <cell r="A373" t="str">
            <v>A0000400</v>
          </cell>
          <cell r="B373" t="str">
            <v>M2 Metamark M4 Mate 359M Azul Cobalto 0,61 x 50m</v>
          </cell>
          <cell r="C373" t="str">
            <v>Sí</v>
          </cell>
          <cell r="D373" t="str">
            <v>Si</v>
          </cell>
          <cell r="E373" t="str">
            <v>A0000352</v>
          </cell>
        </row>
        <row r="374">
          <cell r="A374" t="str">
            <v>A0000369</v>
          </cell>
          <cell r="B374" t="str">
            <v>M2 Metamark M4 Mate 359M Azul Cobalto 1,22 x 50m</v>
          </cell>
          <cell r="C374" t="str">
            <v>Sí</v>
          </cell>
          <cell r="D374" t="str">
            <v>Si</v>
          </cell>
          <cell r="E374" t="str">
            <v>A0000352</v>
          </cell>
        </row>
        <row r="375">
          <cell r="A375" t="str">
            <v>A0000401</v>
          </cell>
          <cell r="B375" t="str">
            <v>M2 Metamark M4 Mate 360M Verde Lima 0,61 x 50m</v>
          </cell>
          <cell r="C375" t="str">
            <v>Sí</v>
          </cell>
          <cell r="D375" t="str">
            <v>Si</v>
          </cell>
          <cell r="E375" t="str">
            <v>A0000352</v>
          </cell>
        </row>
        <row r="376">
          <cell r="A376" t="str">
            <v>A0000370</v>
          </cell>
          <cell r="B376" t="str">
            <v>M2 Metamark M4 Mate 360M Verde Lima 1,22 x 50m</v>
          </cell>
          <cell r="C376" t="str">
            <v>Sí</v>
          </cell>
          <cell r="D376" t="str">
            <v>Si</v>
          </cell>
          <cell r="E376" t="str">
            <v>A0000352</v>
          </cell>
        </row>
        <row r="377">
          <cell r="A377" t="str">
            <v>A0000402</v>
          </cell>
          <cell r="B377" t="str">
            <v>M2 Metamark M4 Mate 361M Verde Cesped 0,61 x 50m</v>
          </cell>
          <cell r="C377" t="str">
            <v>Sí</v>
          </cell>
          <cell r="D377" t="str">
            <v>Si</v>
          </cell>
          <cell r="E377" t="str">
            <v>A0000352</v>
          </cell>
        </row>
        <row r="378">
          <cell r="A378" t="str">
            <v>A0000371</v>
          </cell>
          <cell r="B378" t="str">
            <v>M2 Metamark M4 Mate 361M Verde Cesped 1,22 x 50m</v>
          </cell>
          <cell r="C378" t="str">
            <v>Sí</v>
          </cell>
          <cell r="D378" t="str">
            <v>Si</v>
          </cell>
          <cell r="E378" t="str">
            <v>A0000352</v>
          </cell>
        </row>
        <row r="379">
          <cell r="A379" t="str">
            <v>A0000403</v>
          </cell>
          <cell r="B379" t="str">
            <v>M2 Metamark M4 Mate 362M Verde Cactus 0,61 x 50m</v>
          </cell>
          <cell r="C379" t="str">
            <v>Sí</v>
          </cell>
          <cell r="D379" t="str">
            <v>Si</v>
          </cell>
          <cell r="E379" t="str">
            <v>A0000352</v>
          </cell>
        </row>
        <row r="380">
          <cell r="A380" t="str">
            <v>A0000372</v>
          </cell>
          <cell r="B380" t="str">
            <v>M2 Metamark M4 Mate 362M Verde Cactus 1,22 x 50m</v>
          </cell>
          <cell r="C380" t="str">
            <v>Sí</v>
          </cell>
          <cell r="D380" t="str">
            <v>Si</v>
          </cell>
          <cell r="E380" t="str">
            <v>A0000352</v>
          </cell>
        </row>
        <row r="381">
          <cell r="A381" t="str">
            <v>A0000405</v>
          </cell>
          <cell r="B381" t="str">
            <v>M2 Metamark M4 Mate 364M Verde Bosque 0,61 x 50m</v>
          </cell>
          <cell r="C381" t="str">
            <v>Sí</v>
          </cell>
          <cell r="D381" t="str">
            <v>Si</v>
          </cell>
          <cell r="E381" t="str">
            <v>A0000352</v>
          </cell>
        </row>
        <row r="382">
          <cell r="A382" t="str">
            <v>A0000374</v>
          </cell>
          <cell r="B382" t="str">
            <v>M2 Metamark M4 Mate 364M Verde Bosque 1,22 x 50m</v>
          </cell>
          <cell r="C382" t="str">
            <v>Sí</v>
          </cell>
          <cell r="D382" t="str">
            <v>Si</v>
          </cell>
          <cell r="E382" t="str">
            <v>A0000352</v>
          </cell>
        </row>
        <row r="383">
          <cell r="A383" t="str">
            <v>A0000406</v>
          </cell>
          <cell r="B383" t="str">
            <v>M2 Metamark M4 Mate 366M Verde Turquesa 0,61 x 50m</v>
          </cell>
          <cell r="C383" t="str">
            <v>Sí</v>
          </cell>
          <cell r="D383" t="str">
            <v>Si</v>
          </cell>
          <cell r="E383" t="str">
            <v>A0000352</v>
          </cell>
        </row>
        <row r="384">
          <cell r="A384" t="str">
            <v>A0000375</v>
          </cell>
          <cell r="B384" t="str">
            <v>M2 Metamark M4 Mate 366M Verde Turquesa 1,22 x 50m</v>
          </cell>
          <cell r="C384" t="str">
            <v>Sí</v>
          </cell>
          <cell r="D384" t="str">
            <v>Si</v>
          </cell>
          <cell r="E384" t="str">
            <v>A0000352</v>
          </cell>
        </row>
        <row r="385">
          <cell r="A385" t="str">
            <v>A0000404</v>
          </cell>
          <cell r="B385" t="str">
            <v>M2 Metamark M4 Mate 368M Verde Prado 0,61 x 50m</v>
          </cell>
          <cell r="C385" t="str">
            <v>Sí</v>
          </cell>
          <cell r="D385" t="str">
            <v>Si</v>
          </cell>
          <cell r="E385" t="str">
            <v>A0000352</v>
          </cell>
        </row>
        <row r="386">
          <cell r="A386" t="str">
            <v>A0000373</v>
          </cell>
          <cell r="B386" t="str">
            <v>M2 Metamark M4 Mate 368M Verde Prado 1,22 x 50m</v>
          </cell>
          <cell r="C386" t="str">
            <v>Sí</v>
          </cell>
          <cell r="D386" t="str">
            <v>Si</v>
          </cell>
          <cell r="E386" t="str">
            <v>A0000352</v>
          </cell>
        </row>
        <row r="387">
          <cell r="A387" t="str">
            <v>A0000410</v>
          </cell>
          <cell r="B387" t="str">
            <v>M2 Metamark M4 Mate 370M Crema 0,61 x 50m</v>
          </cell>
          <cell r="C387" t="str">
            <v>Sí</v>
          </cell>
          <cell r="D387" t="str">
            <v>Si</v>
          </cell>
          <cell r="E387" t="str">
            <v>A0000352</v>
          </cell>
        </row>
        <row r="388">
          <cell r="A388" t="str">
            <v>A0000379</v>
          </cell>
          <cell r="B388" t="str">
            <v>M2 Metamark M4 Mate 370M Crema 1,22 x 50m</v>
          </cell>
          <cell r="C388" t="str">
            <v>Sí</v>
          </cell>
          <cell r="D388" t="str">
            <v>Si</v>
          </cell>
          <cell r="E388" t="str">
            <v>A0000352</v>
          </cell>
        </row>
        <row r="389">
          <cell r="A389" t="str">
            <v>A0001718</v>
          </cell>
          <cell r="B389" t="str">
            <v>M2 Metamark M4 Mate 372M Chocolate 0,61x 50m</v>
          </cell>
          <cell r="C389" t="str">
            <v>Sí</v>
          </cell>
          <cell r="D389" t="str">
            <v>Si</v>
          </cell>
          <cell r="E389" t="str">
            <v>A0000352</v>
          </cell>
        </row>
        <row r="390">
          <cell r="A390" t="str">
            <v>A0000380</v>
          </cell>
          <cell r="B390" t="str">
            <v>M2 Metamark M4 Mate 372M Chocolate 1,22 x 50m</v>
          </cell>
          <cell r="C390" t="str">
            <v>Sí</v>
          </cell>
          <cell r="D390" t="str">
            <v>Si</v>
          </cell>
          <cell r="E390" t="str">
            <v>A0000352</v>
          </cell>
        </row>
        <row r="391">
          <cell r="A391" t="str">
            <v>A0002214</v>
          </cell>
          <cell r="B391" t="str">
            <v>M2 Metamark M4 Mate 372M Chocolate Consumo Interno</v>
          </cell>
          <cell r="C391" t="str">
            <v>Sí</v>
          </cell>
          <cell r="D391" t="str">
            <v>No</v>
          </cell>
        </row>
        <row r="392">
          <cell r="A392" t="str">
            <v>A0000407</v>
          </cell>
          <cell r="B392" t="str">
            <v>M2 Metamark M4 Mate 381M Rosa 0,61 x 50m</v>
          </cell>
          <cell r="C392" t="str">
            <v>Sí</v>
          </cell>
          <cell r="D392" t="str">
            <v>Si</v>
          </cell>
          <cell r="E392" t="str">
            <v>A0000352</v>
          </cell>
        </row>
        <row r="393">
          <cell r="A393" t="str">
            <v>A0000376</v>
          </cell>
          <cell r="B393" t="str">
            <v>M2 Metamark M4 Mate 381M Rosa 1,22 x 50m</v>
          </cell>
          <cell r="C393" t="str">
            <v>Sí</v>
          </cell>
          <cell r="D393" t="str">
            <v>Si</v>
          </cell>
          <cell r="E393" t="str">
            <v>A0000352</v>
          </cell>
        </row>
        <row r="394">
          <cell r="A394" t="str">
            <v>A0000408</v>
          </cell>
          <cell r="B394" t="str">
            <v>M2 Metamark M4 Mate 382M Magenta 0,61 x 50m</v>
          </cell>
          <cell r="C394" t="str">
            <v>Sí</v>
          </cell>
          <cell r="D394" t="str">
            <v>Si</v>
          </cell>
          <cell r="E394" t="str">
            <v>A0000352</v>
          </cell>
        </row>
        <row r="395">
          <cell r="A395" t="str">
            <v>A0000377</v>
          </cell>
          <cell r="B395" t="str">
            <v>M2 Metamark M4 Mate 382M Magenta 1,22 x 50m</v>
          </cell>
          <cell r="C395" t="str">
            <v>Sí</v>
          </cell>
          <cell r="D395" t="str">
            <v>Si</v>
          </cell>
          <cell r="E395" t="str">
            <v>A0000352</v>
          </cell>
        </row>
        <row r="396">
          <cell r="A396" t="str">
            <v>A0002477</v>
          </cell>
          <cell r="B396" t="str">
            <v>M2 Metamark M4 Mate 382M Magenta Consumo Interno 1,22</v>
          </cell>
          <cell r="C396" t="str">
            <v>Sí</v>
          </cell>
          <cell r="D396" t="str">
            <v>Si</v>
          </cell>
          <cell r="E396" t="str">
            <v>A0000352</v>
          </cell>
        </row>
        <row r="397">
          <cell r="A397" t="str">
            <v>A0000409</v>
          </cell>
          <cell r="B397" t="str">
            <v>M2 Metamark M4 Mate 383M Púrpura 0,61 x 50m</v>
          </cell>
          <cell r="C397" t="str">
            <v>Sí</v>
          </cell>
          <cell r="D397" t="str">
            <v>Si</v>
          </cell>
          <cell r="E397" t="str">
            <v>A0000352</v>
          </cell>
        </row>
        <row r="398">
          <cell r="A398" t="str">
            <v>A0000378</v>
          </cell>
          <cell r="B398" t="str">
            <v>M2 Metamark M4 Mate 383M Púrpura 1,22 x 50m</v>
          </cell>
          <cell r="C398" t="str">
            <v>Sí</v>
          </cell>
          <cell r="D398" t="str">
            <v>Si</v>
          </cell>
          <cell r="E398" t="str">
            <v>A0000352</v>
          </cell>
        </row>
        <row r="399">
          <cell r="A399" t="str">
            <v>A0000412</v>
          </cell>
          <cell r="B399" t="str">
            <v>M2 Metamark M4 Mate 390M Plata 0,61 x 50m</v>
          </cell>
          <cell r="C399" t="str">
            <v>Sí</v>
          </cell>
          <cell r="D399" t="str">
            <v>Si</v>
          </cell>
          <cell r="E399" t="str">
            <v>A0000352</v>
          </cell>
        </row>
        <row r="400">
          <cell r="A400" t="str">
            <v>A0000381</v>
          </cell>
          <cell r="B400" t="str">
            <v>M2 Metamark M4 Mate 390M Plata 1,22 x 50m</v>
          </cell>
          <cell r="C400" t="str">
            <v>Sí</v>
          </cell>
          <cell r="D400" t="str">
            <v>Si</v>
          </cell>
          <cell r="E400" t="str">
            <v>A0000352</v>
          </cell>
        </row>
        <row r="401">
          <cell r="A401" t="str">
            <v>A0000413</v>
          </cell>
          <cell r="B401" t="str">
            <v>M2 Metamark M4 Mate 391M Oro 0,61 x 50m</v>
          </cell>
          <cell r="C401" t="str">
            <v>Sí</v>
          </cell>
          <cell r="D401" t="str">
            <v>Si</v>
          </cell>
          <cell r="E401" t="str">
            <v>A0000352</v>
          </cell>
        </row>
        <row r="402">
          <cell r="A402" t="str">
            <v>A0000382</v>
          </cell>
          <cell r="B402" t="str">
            <v>M2 Metamark M4 Mate 391M Oro 1,22 x 50m</v>
          </cell>
          <cell r="C402" t="str">
            <v>Sí</v>
          </cell>
          <cell r="D402" t="str">
            <v>Si</v>
          </cell>
          <cell r="E402" t="str">
            <v>A0000352</v>
          </cell>
        </row>
        <row r="403">
          <cell r="A403" t="str">
            <v>A0001647</v>
          </cell>
          <cell r="B403" t="str">
            <v>M2 Metamark M5000 Reflectante Blanco 0,61 x 45m</v>
          </cell>
          <cell r="C403" t="str">
            <v>Sí</v>
          </cell>
          <cell r="D403" t="str">
            <v>Si</v>
          </cell>
          <cell r="E403" t="str">
            <v>A0000983</v>
          </cell>
        </row>
        <row r="404">
          <cell r="A404" t="str">
            <v>A0000983</v>
          </cell>
          <cell r="B404" t="str">
            <v>M2 Metamark M5000 Reflectante Blanco 1,22 x 45m</v>
          </cell>
          <cell r="C404" t="str">
            <v>Sí</v>
          </cell>
          <cell r="D404" t="str">
            <v>Si</v>
          </cell>
          <cell r="E404" t="str">
            <v>A0000983</v>
          </cell>
        </row>
        <row r="405">
          <cell r="A405" t="str">
            <v>A0000104</v>
          </cell>
          <cell r="B405" t="str">
            <v>M2 Metamark M7 100 Blanco Brillo 0,61 x 50m</v>
          </cell>
          <cell r="C405" t="str">
            <v>Sí</v>
          </cell>
          <cell r="D405" t="str">
            <v>Si</v>
          </cell>
          <cell r="E405" t="str">
            <v>A0000103</v>
          </cell>
        </row>
        <row r="406">
          <cell r="A406" t="str">
            <v>A0000103</v>
          </cell>
          <cell r="B406" t="str">
            <v>M2 Metamark M7 100 Blanco Brillo 1,22 x 50m</v>
          </cell>
          <cell r="C406" t="str">
            <v>Sí</v>
          </cell>
          <cell r="D406" t="str">
            <v>Si</v>
          </cell>
          <cell r="E406" t="str">
            <v>A0000103</v>
          </cell>
        </row>
        <row r="407">
          <cell r="A407" t="str">
            <v>A0000106</v>
          </cell>
          <cell r="B407" t="str">
            <v>M2 Metamark M7 101M Blanco Mate 0,61 x 50m</v>
          </cell>
          <cell r="C407" t="str">
            <v>Sí</v>
          </cell>
          <cell r="D407" t="str">
            <v>Si</v>
          </cell>
          <cell r="E407" t="str">
            <v>A0000103</v>
          </cell>
        </row>
        <row r="408">
          <cell r="A408" t="str">
            <v>A0000105</v>
          </cell>
          <cell r="B408" t="str">
            <v>M2 Metamark M7 101M Blanco Mate 1,22 x 50m</v>
          </cell>
          <cell r="C408" t="str">
            <v>Sí</v>
          </cell>
          <cell r="D408" t="str">
            <v>Si</v>
          </cell>
          <cell r="E408" t="str">
            <v>A0000103</v>
          </cell>
        </row>
        <row r="409">
          <cell r="A409" t="str">
            <v>A0000110</v>
          </cell>
          <cell r="B409" t="str">
            <v>M2 Metamark M7 110 Negro Brillo 0,61 x 50m</v>
          </cell>
          <cell r="C409" t="str">
            <v>Sí</v>
          </cell>
          <cell r="D409" t="str">
            <v>Si</v>
          </cell>
          <cell r="E409" t="str">
            <v>A0000103</v>
          </cell>
        </row>
        <row r="410">
          <cell r="A410" t="str">
            <v>A0000109</v>
          </cell>
          <cell r="B410" t="str">
            <v>M2 Metamark M7 110 Negro Brillo 1,22 x 50m</v>
          </cell>
          <cell r="C410" t="str">
            <v>Sí</v>
          </cell>
          <cell r="D410" t="str">
            <v>Si</v>
          </cell>
          <cell r="E410" t="str">
            <v>A0000103</v>
          </cell>
        </row>
        <row r="411">
          <cell r="A411" t="str">
            <v>A0000468</v>
          </cell>
          <cell r="B411" t="str">
            <v>M2 Metamark M7 111M Negro Mate 0,61 x 50m</v>
          </cell>
          <cell r="C411" t="str">
            <v>Sí</v>
          </cell>
          <cell r="D411" t="str">
            <v>Si</v>
          </cell>
          <cell r="E411" t="str">
            <v>A0000103</v>
          </cell>
        </row>
        <row r="412">
          <cell r="A412" t="str">
            <v>A0000111</v>
          </cell>
          <cell r="B412" t="str">
            <v>M2 Metamark M7 111M Negro Mate 1,22 x 50m</v>
          </cell>
          <cell r="C412" t="str">
            <v>Sí</v>
          </cell>
          <cell r="D412" t="str">
            <v>Si</v>
          </cell>
          <cell r="E412" t="str">
            <v>A0000103</v>
          </cell>
        </row>
        <row r="413">
          <cell r="A413" t="str">
            <v>A0001456</v>
          </cell>
          <cell r="B413" t="str">
            <v>M2 Metamark M7 112 Mandarina 0,61 x 50m</v>
          </cell>
          <cell r="C413" t="str">
            <v>Sí</v>
          </cell>
          <cell r="D413" t="str">
            <v>Si</v>
          </cell>
          <cell r="E413" t="str">
            <v>A0000103</v>
          </cell>
        </row>
        <row r="414">
          <cell r="A414" t="str">
            <v>A0001423</v>
          </cell>
          <cell r="B414" t="str">
            <v>M2 Metamark M7 112 Mandarina 1,22 x 50m</v>
          </cell>
          <cell r="C414" t="str">
            <v>Sí</v>
          </cell>
          <cell r="D414" t="str">
            <v>Si</v>
          </cell>
          <cell r="E414" t="str">
            <v>A0000103</v>
          </cell>
        </row>
        <row r="415">
          <cell r="A415" t="str">
            <v>A0001457</v>
          </cell>
          <cell r="B415" t="str">
            <v>M2 Metamark M7 113 Naranja Quemada 0,61 x 50m</v>
          </cell>
          <cell r="C415" t="str">
            <v>Sí</v>
          </cell>
          <cell r="D415" t="str">
            <v>Si</v>
          </cell>
          <cell r="E415" t="str">
            <v>A0000103</v>
          </cell>
        </row>
        <row r="416">
          <cell r="A416" t="str">
            <v>A0001424</v>
          </cell>
          <cell r="B416" t="str">
            <v>M2 Metamark M7 113 Naranja Quemada 1,22 x 50m</v>
          </cell>
          <cell r="C416" t="str">
            <v>Sí</v>
          </cell>
          <cell r="D416" t="str">
            <v>Si</v>
          </cell>
          <cell r="E416" t="str">
            <v>A0000103</v>
          </cell>
        </row>
        <row r="417">
          <cell r="A417" t="str">
            <v>A0001461</v>
          </cell>
          <cell r="B417" t="str">
            <v>M2 Metamark M7 114 Granate 0,61 x 50m</v>
          </cell>
          <cell r="C417" t="str">
            <v>Sí</v>
          </cell>
          <cell r="D417" t="str">
            <v>Si</v>
          </cell>
          <cell r="E417" t="str">
            <v>A0000103</v>
          </cell>
        </row>
        <row r="418">
          <cell r="A418" t="str">
            <v>A0001428</v>
          </cell>
          <cell r="B418" t="str">
            <v>M2 Metamark M7 114 Granate 1,22 x 50m</v>
          </cell>
          <cell r="C418" t="str">
            <v>Sí</v>
          </cell>
          <cell r="D418" t="str">
            <v>Si</v>
          </cell>
          <cell r="E418" t="str">
            <v>A0000103</v>
          </cell>
        </row>
        <row r="419">
          <cell r="A419" t="str">
            <v>A0001463</v>
          </cell>
          <cell r="B419" t="str">
            <v>M2 Metamark M7 115 Azul Maíz 0,61 x 50m</v>
          </cell>
          <cell r="C419" t="str">
            <v>Sí</v>
          </cell>
          <cell r="D419" t="str">
            <v>Si</v>
          </cell>
          <cell r="E419" t="str">
            <v>A0000103</v>
          </cell>
        </row>
        <row r="420">
          <cell r="A420" t="str">
            <v>A0001430</v>
          </cell>
          <cell r="B420" t="str">
            <v>M2 Metamark M7 115 Azul Maíz 1,22 x 50m</v>
          </cell>
          <cell r="C420" t="str">
            <v>Sí</v>
          </cell>
          <cell r="D420" t="str">
            <v>Si</v>
          </cell>
          <cell r="E420" t="str">
            <v>A0000103</v>
          </cell>
        </row>
        <row r="421">
          <cell r="A421" t="str">
            <v>A0000585</v>
          </cell>
          <cell r="B421" t="str">
            <v>Roll-up ExcelROLL 85x200cm</v>
          </cell>
          <cell r="C421" t="str">
            <v>Sí</v>
          </cell>
          <cell r="D421" t="str">
            <v>Si</v>
          </cell>
        </row>
        <row r="422">
          <cell r="A422" t="str">
            <v>A0000586</v>
          </cell>
          <cell r="B422" t="str">
            <v>Roll-up ExcelROLL 100x200cm</v>
          </cell>
          <cell r="C422" t="str">
            <v>Sí</v>
          </cell>
          <cell r="D422" t="str">
            <v>Si</v>
          </cell>
        </row>
        <row r="423">
          <cell r="A423" t="str">
            <v>A0000592</v>
          </cell>
          <cell r="B423" t="str">
            <v>Rollo Transportador AT 60n PP (bajo agarre) 1,22x100m</v>
          </cell>
          <cell r="C423" t="str">
            <v>Sí</v>
          </cell>
          <cell r="D423" t="str">
            <v>Si</v>
          </cell>
          <cell r="E423" t="str">
            <v>A0000595</v>
          </cell>
        </row>
        <row r="424">
          <cell r="A424" t="str">
            <v>A0000593</v>
          </cell>
          <cell r="B424" t="str">
            <v>Rollo Transportador AT 65 PP (medio agarre) 1,22x100m</v>
          </cell>
          <cell r="C424" t="str">
            <v>Sí</v>
          </cell>
          <cell r="D424" t="str">
            <v>Si</v>
          </cell>
          <cell r="E424" t="str">
            <v>A0000596</v>
          </cell>
        </row>
        <row r="425">
          <cell r="A425" t="str">
            <v>A0000594</v>
          </cell>
          <cell r="B425" t="str">
            <v>Rollo Transportador AT75.1 PT. PE (alto agarre) Sin Burbujas 1,22x100m</v>
          </cell>
          <cell r="C425" t="str">
            <v>Sí</v>
          </cell>
          <cell r="D425" t="str">
            <v>No</v>
          </cell>
          <cell r="E425" t="str">
            <v>A0000597</v>
          </cell>
        </row>
        <row r="426">
          <cell r="A426" t="str">
            <v>A0000595</v>
          </cell>
          <cell r="B426" t="str">
            <v>Rollo Transportador AT 60n PP (bajo agarre) 0,61x100m</v>
          </cell>
          <cell r="C426" t="str">
            <v>Sí</v>
          </cell>
          <cell r="D426" t="str">
            <v>Si</v>
          </cell>
          <cell r="E426" t="str">
            <v>A0000595</v>
          </cell>
        </row>
        <row r="427">
          <cell r="A427" t="str">
            <v>A0000596</v>
          </cell>
          <cell r="B427" t="str">
            <v>Rollo Transportador AT 65 PP (medio agarre) 0,61x100m</v>
          </cell>
          <cell r="C427" t="str">
            <v>Sí</v>
          </cell>
          <cell r="D427" t="str">
            <v>Si</v>
          </cell>
          <cell r="E427" t="str">
            <v>A0000596</v>
          </cell>
        </row>
        <row r="428">
          <cell r="A428" t="str">
            <v>A0000597</v>
          </cell>
          <cell r="B428" t="str">
            <v>Rollo Transportador AT75.1 PT. PE (alto agarre) Sin Burbujas 0,61x100m</v>
          </cell>
          <cell r="C428" t="str">
            <v>Sí</v>
          </cell>
          <cell r="D428" t="str">
            <v>Si</v>
          </cell>
          <cell r="E428" t="str">
            <v>A0000597</v>
          </cell>
        </row>
        <row r="429">
          <cell r="A429" t="str">
            <v>A0000598</v>
          </cell>
          <cell r="B429" t="str">
            <v>Rollo Transportador GXP-750 Conformable (Papel Medio agarre) 1,22x100m</v>
          </cell>
          <cell r="C429" t="str">
            <v>Sí</v>
          </cell>
          <cell r="D429" t="str">
            <v>Si</v>
          </cell>
          <cell r="E429" t="str">
            <v>A0000602</v>
          </cell>
        </row>
        <row r="430">
          <cell r="A430" t="str">
            <v>A0000599</v>
          </cell>
          <cell r="B430" t="str">
            <v>Rollo Transportador GXP-775 Conformable (Papel medio/alto agarre) 1.22x100m</v>
          </cell>
          <cell r="C430" t="str">
            <v>Sí</v>
          </cell>
          <cell r="D430" t="str">
            <v>Si</v>
          </cell>
          <cell r="E430" t="str">
            <v>A0000603</v>
          </cell>
        </row>
        <row r="431">
          <cell r="A431" t="str">
            <v>A0000600</v>
          </cell>
          <cell r="B431" t="str">
            <v>Rollo Transportador GXP-550 (Papel medio agarre) 1,22x91,4m</v>
          </cell>
          <cell r="C431" t="str">
            <v>Sí</v>
          </cell>
          <cell r="D431" t="str">
            <v>Si</v>
          </cell>
          <cell r="E431" t="str">
            <v>A0000604</v>
          </cell>
        </row>
        <row r="432">
          <cell r="A432" t="str">
            <v>A0000601</v>
          </cell>
          <cell r="B432" t="str">
            <v>Rollo Transportador GXP-575 (Papel medio/alto agarre) 1,22x91,4m</v>
          </cell>
          <cell r="C432" t="str">
            <v>Sí</v>
          </cell>
          <cell r="D432" t="str">
            <v>Si</v>
          </cell>
          <cell r="E432" t="str">
            <v>A0000605</v>
          </cell>
        </row>
        <row r="433">
          <cell r="A433" t="str">
            <v>A0000602</v>
          </cell>
          <cell r="B433" t="str">
            <v>Rollo Transportador GXP-750 Conform (Papel Medio agarre) 0,61x100m</v>
          </cell>
          <cell r="C433" t="str">
            <v>Sí</v>
          </cell>
          <cell r="D433" t="str">
            <v>Si</v>
          </cell>
          <cell r="E433" t="str">
            <v>A0000602</v>
          </cell>
        </row>
        <row r="434">
          <cell r="A434" t="str">
            <v>A0000603</v>
          </cell>
          <cell r="B434" t="str">
            <v>Rollo Transportador GXP-775 Conformable (Papel medio/alto agarre) 0,61x100m</v>
          </cell>
          <cell r="C434" t="str">
            <v>Sí</v>
          </cell>
          <cell r="D434" t="str">
            <v>Si</v>
          </cell>
          <cell r="E434" t="str">
            <v>A0000603</v>
          </cell>
        </row>
        <row r="435">
          <cell r="A435" t="str">
            <v>A0000604</v>
          </cell>
          <cell r="B435" t="str">
            <v>Rollo Transportador GXP-550 (Papel medio agarre) 0,61x91,4m</v>
          </cell>
          <cell r="C435" t="str">
            <v>Sí</v>
          </cell>
          <cell r="D435" t="str">
            <v>Si</v>
          </cell>
          <cell r="E435" t="str">
            <v>A0000604</v>
          </cell>
        </row>
        <row r="436">
          <cell r="A436" t="str">
            <v>A0000605</v>
          </cell>
          <cell r="B436" t="str">
            <v>Rollo Transportador GXP-575 (Papel medio/alto agarre) 0,61x91,4m</v>
          </cell>
          <cell r="C436" t="str">
            <v>Sí</v>
          </cell>
          <cell r="D436" t="str">
            <v>Si</v>
          </cell>
          <cell r="E436" t="str">
            <v>A0000605</v>
          </cell>
        </row>
        <row r="437">
          <cell r="A437" t="str">
            <v>A0000606</v>
          </cell>
          <cell r="B437" t="str">
            <v>ML Cad-Cut Sportsfilm 001 Blanco 500mm</v>
          </cell>
          <cell r="C437" t="str">
            <v>Sí</v>
          </cell>
          <cell r="D437" t="str">
            <v>Si</v>
          </cell>
          <cell r="E437" t="str">
            <v>A0000606</v>
          </cell>
        </row>
        <row r="438">
          <cell r="A438" t="str">
            <v>A0000607</v>
          </cell>
          <cell r="B438" t="str">
            <v>ML Cad-Cut Sportsfilm 004 Beige 500mm</v>
          </cell>
          <cell r="C438" t="str">
            <v>Sí</v>
          </cell>
          <cell r="D438" t="str">
            <v>Si</v>
          </cell>
          <cell r="E438" t="str">
            <v>A0000606</v>
          </cell>
        </row>
        <row r="439">
          <cell r="A439" t="str">
            <v>A0000608</v>
          </cell>
          <cell r="B439" t="str">
            <v>ML Cad-Cut Sportsfilm 005 Crema 500mm</v>
          </cell>
          <cell r="C439" t="str">
            <v>Sí</v>
          </cell>
          <cell r="D439" t="str">
            <v>Si</v>
          </cell>
          <cell r="E439" t="str">
            <v>A0000606</v>
          </cell>
        </row>
        <row r="440">
          <cell r="A440" t="str">
            <v>A0000609</v>
          </cell>
          <cell r="B440" t="str">
            <v>ML Cad-Cut Sportsfilm 100 Amarillo Limón 500mm</v>
          </cell>
          <cell r="C440" t="str">
            <v>Sí</v>
          </cell>
          <cell r="D440" t="str">
            <v>Si</v>
          </cell>
          <cell r="E440" t="str">
            <v>A0000606</v>
          </cell>
        </row>
        <row r="441">
          <cell r="A441" t="str">
            <v>A0000610</v>
          </cell>
          <cell r="B441" t="str">
            <v>ML Cad-Cut Sportsfilm 110 Amarillo 500mm</v>
          </cell>
          <cell r="C441" t="str">
            <v>Sí</v>
          </cell>
          <cell r="D441" t="str">
            <v>Si</v>
          </cell>
          <cell r="E441" t="str">
            <v>A0000606</v>
          </cell>
        </row>
        <row r="442">
          <cell r="A442" t="str">
            <v>A0000611</v>
          </cell>
          <cell r="B442" t="str">
            <v>ML Cad-Cut Sportsfilm 106 Amarillo Girasol 500mm</v>
          </cell>
          <cell r="C442" t="str">
            <v>Sí</v>
          </cell>
          <cell r="D442" t="str">
            <v>Si</v>
          </cell>
          <cell r="E442" t="str">
            <v>A0000606</v>
          </cell>
        </row>
        <row r="443">
          <cell r="A443" t="str">
            <v>A0000612</v>
          </cell>
          <cell r="B443" t="str">
            <v>ML Cad-Cut Sportsfilm 185 Naranja Ligero 500mm</v>
          </cell>
          <cell r="C443" t="str">
            <v>Sí</v>
          </cell>
          <cell r="D443" t="str">
            <v>Si</v>
          </cell>
          <cell r="E443" t="str">
            <v>A0000606</v>
          </cell>
        </row>
        <row r="444">
          <cell r="A444" t="str">
            <v>A0000613</v>
          </cell>
          <cell r="B444" t="str">
            <v>ML Cad-Cut Sportsfilm 180 Naranja 500mm</v>
          </cell>
          <cell r="C444" t="str">
            <v>Sí</v>
          </cell>
          <cell r="D444" t="str">
            <v>Si</v>
          </cell>
          <cell r="E444" t="str">
            <v>A0000606</v>
          </cell>
        </row>
        <row r="445">
          <cell r="A445" t="str">
            <v>A0000614</v>
          </cell>
          <cell r="B445" t="str">
            <v>ML Cad-Cut Sportsfilm 210 Rojo Señal 500mm</v>
          </cell>
          <cell r="C445" t="str">
            <v>Sí</v>
          </cell>
          <cell r="D445" t="str">
            <v>Si</v>
          </cell>
          <cell r="E445" t="str">
            <v>A0000606</v>
          </cell>
        </row>
        <row r="446">
          <cell r="A446" t="str">
            <v>A0000615</v>
          </cell>
          <cell r="B446" t="str">
            <v>ML Cad-Cut Sportsfilm 200 Rojo 500mm</v>
          </cell>
          <cell r="C446" t="str">
            <v>Sí</v>
          </cell>
          <cell r="D446" t="str">
            <v>Si</v>
          </cell>
          <cell r="E446" t="str">
            <v>A0000606</v>
          </cell>
        </row>
        <row r="447">
          <cell r="A447" t="str">
            <v>A0000616</v>
          </cell>
          <cell r="B447" t="str">
            <v>ML Cad-Cut Sportsfilm 270 Rojo Borgoña 500mm</v>
          </cell>
          <cell r="C447" t="str">
            <v>Sí</v>
          </cell>
          <cell r="D447" t="str">
            <v>Si</v>
          </cell>
          <cell r="E447" t="str">
            <v>A0000606</v>
          </cell>
        </row>
        <row r="448">
          <cell r="A448" t="str">
            <v>A0000617</v>
          </cell>
          <cell r="B448" t="str">
            <v>ML Cad-Cut Sportsfilm 255 Pastel Rosa 500mm</v>
          </cell>
          <cell r="C448" t="str">
            <v>Sí</v>
          </cell>
          <cell r="D448" t="str">
            <v>Si</v>
          </cell>
          <cell r="E448" t="str">
            <v>A0000606</v>
          </cell>
        </row>
        <row r="449">
          <cell r="A449" t="str">
            <v>A0000618</v>
          </cell>
          <cell r="B449" t="str">
            <v>ML Cad-Cut Sportsfilm 252 Rosa 500mm</v>
          </cell>
          <cell r="C449" t="str">
            <v>Sí</v>
          </cell>
          <cell r="D449" t="str">
            <v>Si</v>
          </cell>
          <cell r="E449" t="str">
            <v>A0000606</v>
          </cell>
        </row>
        <row r="450">
          <cell r="A450" t="str">
            <v>A0000619</v>
          </cell>
          <cell r="B450" t="str">
            <v>ML Cad-Cut Sportsfilm 250 Fucsia 500mm</v>
          </cell>
          <cell r="C450" t="str">
            <v>Sí</v>
          </cell>
          <cell r="D450" t="str">
            <v>Si</v>
          </cell>
          <cell r="E450" t="str">
            <v>A0000606</v>
          </cell>
        </row>
        <row r="451">
          <cell r="A451" t="str">
            <v>A0000620</v>
          </cell>
          <cell r="B451" t="str">
            <v>ML Cad-Cut Sportsfilm 285 Pastel Púrpura 500mm</v>
          </cell>
          <cell r="C451" t="str">
            <v>Sí</v>
          </cell>
          <cell r="D451" t="str">
            <v>Si</v>
          </cell>
          <cell r="E451" t="str">
            <v>A0000606</v>
          </cell>
        </row>
        <row r="452">
          <cell r="A452" t="str">
            <v>A0000621</v>
          </cell>
          <cell r="B452" t="str">
            <v>ML Cad-Cut Sportsfilm 280 Púrpura 500mm</v>
          </cell>
          <cell r="C452" t="str">
            <v>Sí</v>
          </cell>
          <cell r="D452" t="str">
            <v>Si</v>
          </cell>
          <cell r="E452" t="str">
            <v>A0000606</v>
          </cell>
        </row>
        <row r="453">
          <cell r="A453" t="str">
            <v>A0000622</v>
          </cell>
          <cell r="B453" t="str">
            <v>ML Cad-Cut Sportsfilm 321 Azul Pastel 500mm</v>
          </cell>
          <cell r="C453" t="str">
            <v>Sí</v>
          </cell>
          <cell r="D453" t="str">
            <v>Si</v>
          </cell>
          <cell r="E453" t="str">
            <v>A0000606</v>
          </cell>
        </row>
        <row r="454">
          <cell r="A454" t="str">
            <v>A0000623</v>
          </cell>
          <cell r="B454" t="str">
            <v>ML Cad-Cut Sportsfilm 320 Azul Ligero 500mm</v>
          </cell>
          <cell r="C454" t="str">
            <v>Sí</v>
          </cell>
          <cell r="D454" t="str">
            <v>Si</v>
          </cell>
          <cell r="E454" t="str">
            <v>A0000606</v>
          </cell>
        </row>
        <row r="455">
          <cell r="A455" t="str">
            <v>A0000624</v>
          </cell>
          <cell r="B455" t="str">
            <v>ML Cad-Cut Sportsfilm 300 Azul Real 500mm</v>
          </cell>
          <cell r="C455" t="str">
            <v>Sí</v>
          </cell>
          <cell r="D455" t="str">
            <v>Si</v>
          </cell>
          <cell r="E455" t="str">
            <v>A0000606</v>
          </cell>
        </row>
        <row r="456">
          <cell r="A456" t="str">
            <v>A0000625</v>
          </cell>
          <cell r="B456" t="str">
            <v>ML Cad-Cut Sportsfilm 350 Azul Naval 500mm</v>
          </cell>
          <cell r="C456" t="str">
            <v>Sí</v>
          </cell>
          <cell r="D456" t="str">
            <v>Si</v>
          </cell>
          <cell r="E456" t="str">
            <v>A0000606</v>
          </cell>
        </row>
        <row r="457">
          <cell r="A457" t="str">
            <v>A0000626</v>
          </cell>
          <cell r="B457" t="str">
            <v>ML Cad-Cut Sportsfilm 380 Verde Turquesa 500mm</v>
          </cell>
          <cell r="C457" t="str">
            <v>Sí</v>
          </cell>
          <cell r="D457" t="str">
            <v>Si</v>
          </cell>
          <cell r="E457" t="str">
            <v>A0000606</v>
          </cell>
        </row>
        <row r="458">
          <cell r="A458" t="str">
            <v>A0000627</v>
          </cell>
          <cell r="B458" t="str">
            <v>ML Cad-Cut Sportsfilm 420 Verde Pastel 500mm</v>
          </cell>
          <cell r="C458" t="str">
            <v>Sí</v>
          </cell>
          <cell r="D458" t="str">
            <v>Si</v>
          </cell>
          <cell r="E458" t="str">
            <v>A0000606</v>
          </cell>
        </row>
        <row r="459">
          <cell r="A459" t="str">
            <v>A0000628</v>
          </cell>
          <cell r="B459" t="str">
            <v>ML Cad-Cut Sportsfilm 421 Verde Manzana 500mm</v>
          </cell>
          <cell r="C459" t="str">
            <v>Sí</v>
          </cell>
          <cell r="D459" t="str">
            <v>Si</v>
          </cell>
          <cell r="E459" t="str">
            <v>A0000606</v>
          </cell>
        </row>
        <row r="460">
          <cell r="A460" t="str">
            <v>A0000629</v>
          </cell>
          <cell r="B460" t="str">
            <v>ML Cad-Cut Sportsfilm 422 Verde Ligero 500mm</v>
          </cell>
          <cell r="C460" t="str">
            <v>Sí</v>
          </cell>
          <cell r="D460" t="str">
            <v>Si</v>
          </cell>
          <cell r="E460" t="str">
            <v>A0000606</v>
          </cell>
        </row>
        <row r="461">
          <cell r="A461" t="str">
            <v>A0000630</v>
          </cell>
          <cell r="B461" t="str">
            <v>ML Cad-Cut Sportsfilm 400 Verde 500mm</v>
          </cell>
          <cell r="C461" t="str">
            <v>Sí</v>
          </cell>
          <cell r="D461" t="str">
            <v>Si</v>
          </cell>
          <cell r="E461" t="str">
            <v>A0000606</v>
          </cell>
        </row>
        <row r="462">
          <cell r="A462" t="str">
            <v>A0000631</v>
          </cell>
          <cell r="B462" t="str">
            <v>ML Cad-Cut Sportsfilm 410 Verde Oscuro 500mm</v>
          </cell>
          <cell r="C462" t="str">
            <v>Sí</v>
          </cell>
          <cell r="D462" t="str">
            <v>Si</v>
          </cell>
          <cell r="E462" t="str">
            <v>A0000606</v>
          </cell>
        </row>
        <row r="463">
          <cell r="A463" t="str">
            <v>A0000632</v>
          </cell>
          <cell r="B463" t="str">
            <v>ML Cad-Cut Sportsfilm 430 Verde Oliva 500mm</v>
          </cell>
          <cell r="C463" t="str">
            <v>Sí</v>
          </cell>
          <cell r="D463" t="str">
            <v>Si</v>
          </cell>
          <cell r="E463" t="str">
            <v>A0000606</v>
          </cell>
        </row>
        <row r="464">
          <cell r="A464" t="str">
            <v>A0000633</v>
          </cell>
          <cell r="B464" t="str">
            <v>ML Cad-Cut Sportsfilm 550 Marrón 500mm</v>
          </cell>
          <cell r="C464" t="str">
            <v>Sí</v>
          </cell>
          <cell r="D464" t="str">
            <v>Si</v>
          </cell>
          <cell r="E464" t="str">
            <v>A0000606</v>
          </cell>
        </row>
        <row r="465">
          <cell r="A465" t="str">
            <v>A0000634</v>
          </cell>
          <cell r="B465" t="str">
            <v>ML Cad-Cut Sportsfilm 730 Gris 500mm</v>
          </cell>
          <cell r="C465" t="str">
            <v>Sí</v>
          </cell>
          <cell r="D465" t="str">
            <v>Si</v>
          </cell>
          <cell r="E465" t="str">
            <v>A0000606</v>
          </cell>
        </row>
        <row r="466">
          <cell r="A466" t="str">
            <v>A0000635</v>
          </cell>
          <cell r="B466" t="str">
            <v>ML Cad-Cut Sportsfilm 780 Gris Oscuro 500mm</v>
          </cell>
          <cell r="C466" t="str">
            <v>Sí</v>
          </cell>
          <cell r="D466" t="str">
            <v>Si</v>
          </cell>
          <cell r="E466" t="str">
            <v>A0000606</v>
          </cell>
        </row>
        <row r="467">
          <cell r="A467" t="str">
            <v>A0000636</v>
          </cell>
          <cell r="B467" t="str">
            <v>ML Cad-Cut Sportsfilm 700 Negro 500mm</v>
          </cell>
          <cell r="C467" t="str">
            <v>Sí</v>
          </cell>
          <cell r="D467" t="str">
            <v>Si</v>
          </cell>
          <cell r="E467" t="str">
            <v>A0000606</v>
          </cell>
        </row>
        <row r="468">
          <cell r="A468" t="str">
            <v>A0000637</v>
          </cell>
          <cell r="B468" t="str">
            <v>ML Cad-Cut Sportsfilm 815 Plata 500mm</v>
          </cell>
          <cell r="C468" t="str">
            <v>Sí</v>
          </cell>
          <cell r="D468" t="str">
            <v>Si</v>
          </cell>
          <cell r="E468" t="str">
            <v>A0000606</v>
          </cell>
        </row>
        <row r="469">
          <cell r="A469" t="str">
            <v>A0000638</v>
          </cell>
          <cell r="B469" t="str">
            <v>ML Cad-Cut Sportsfilm 115 Oro 500mm</v>
          </cell>
          <cell r="C469" t="str">
            <v>Sí</v>
          </cell>
          <cell r="D469" t="str">
            <v>Si</v>
          </cell>
          <cell r="E469" t="str">
            <v>A0000606</v>
          </cell>
        </row>
        <row r="470">
          <cell r="A470" t="str">
            <v>A0000639</v>
          </cell>
          <cell r="B470" t="str">
            <v>ML Cad-Cut Sportsfilm 101 Neon Amarillo 500mm</v>
          </cell>
          <cell r="C470" t="str">
            <v>Sí</v>
          </cell>
          <cell r="D470" t="str">
            <v>Si</v>
          </cell>
          <cell r="E470" t="str">
            <v>A0000606</v>
          </cell>
        </row>
        <row r="471">
          <cell r="A471" t="str">
            <v>A0000640</v>
          </cell>
          <cell r="B471" t="str">
            <v>ML Cad-Cut Sportsfilm 181 Neon Naranja 500mm</v>
          </cell>
          <cell r="C471" t="str">
            <v>Sí</v>
          </cell>
          <cell r="D471" t="str">
            <v>Si</v>
          </cell>
          <cell r="E471" t="str">
            <v>A0000606</v>
          </cell>
        </row>
        <row r="472">
          <cell r="A472" t="str">
            <v>A0000641</v>
          </cell>
          <cell r="B472" t="str">
            <v>ML Cad-Cut Sportsfilm 241 Neon Rosa 500mm</v>
          </cell>
          <cell r="C472" t="str">
            <v>Sí</v>
          </cell>
          <cell r="D472" t="str">
            <v>Si</v>
          </cell>
          <cell r="E472" t="str">
            <v>A0000606</v>
          </cell>
        </row>
        <row r="473">
          <cell r="A473" t="str">
            <v>A0000642</v>
          </cell>
          <cell r="B473" t="str">
            <v>ML Cad-Cut Sportsfilm 301 Neon Azul 500mm</v>
          </cell>
          <cell r="C473" t="str">
            <v>Sí</v>
          </cell>
          <cell r="D473" t="str">
            <v>Si</v>
          </cell>
          <cell r="E473" t="str">
            <v>A0000606</v>
          </cell>
        </row>
        <row r="474">
          <cell r="A474" t="str">
            <v>A0000643</v>
          </cell>
          <cell r="B474" t="str">
            <v>ML Cad-Cut Sportsfilm 401 Neon Verde 500mm</v>
          </cell>
          <cell r="C474" t="str">
            <v>Sí</v>
          </cell>
          <cell r="D474" t="str">
            <v>Si</v>
          </cell>
          <cell r="E474" t="str">
            <v>A0000606</v>
          </cell>
        </row>
        <row r="475">
          <cell r="A475" t="str">
            <v>A0000644</v>
          </cell>
          <cell r="B475" t="str">
            <v>ML Cad-Cut Premium Plus 001 Blanco 500mm</v>
          </cell>
          <cell r="C475" t="str">
            <v>Sí</v>
          </cell>
          <cell r="D475" t="str">
            <v>Si</v>
          </cell>
          <cell r="E475" t="str">
            <v>A0000644</v>
          </cell>
        </row>
        <row r="476">
          <cell r="A476" t="str">
            <v>A0000645</v>
          </cell>
          <cell r="B476" t="str">
            <v>ML Cad-Cut Premium Plus 005 Crema 500mm</v>
          </cell>
          <cell r="C476" t="str">
            <v>Sí</v>
          </cell>
          <cell r="D476" t="str">
            <v>Si</v>
          </cell>
          <cell r="E476" t="str">
            <v>A0000644</v>
          </cell>
        </row>
        <row r="477">
          <cell r="A477" t="str">
            <v>A0000646</v>
          </cell>
          <cell r="B477" t="str">
            <v>ML Cad-Cut Premium Plus 100 Amarillo Limón 500mm</v>
          </cell>
          <cell r="C477" t="str">
            <v>Sí</v>
          </cell>
          <cell r="D477" t="str">
            <v>Si</v>
          </cell>
          <cell r="E477" t="str">
            <v>A0000644</v>
          </cell>
        </row>
        <row r="478">
          <cell r="A478" t="str">
            <v>A0000647</v>
          </cell>
          <cell r="B478" t="str">
            <v>ML Cad-Cut Premium Plus 110 Amarillo 500mm</v>
          </cell>
          <cell r="C478" t="str">
            <v>Sí</v>
          </cell>
          <cell r="D478" t="str">
            <v>Si</v>
          </cell>
          <cell r="E478" t="str">
            <v>A0000644</v>
          </cell>
        </row>
        <row r="479">
          <cell r="A479" t="str">
            <v>A0000648</v>
          </cell>
          <cell r="B479" t="str">
            <v>ML Cad-Cut Premium Plus 106 Amarillo Girasol 500mm</v>
          </cell>
          <cell r="C479" t="str">
            <v>Sí</v>
          </cell>
          <cell r="D479" t="str">
            <v>Si</v>
          </cell>
          <cell r="E479" t="str">
            <v>A0000644</v>
          </cell>
        </row>
        <row r="480">
          <cell r="A480" t="str">
            <v>A0000649</v>
          </cell>
          <cell r="B480" t="str">
            <v>ML Cad-Cut Premium Plus 185 Naranja Ligero 500mm</v>
          </cell>
          <cell r="C480" t="str">
            <v>Sí</v>
          </cell>
          <cell r="D480" t="str">
            <v>Si</v>
          </cell>
          <cell r="E480" t="str">
            <v>A0000644</v>
          </cell>
        </row>
        <row r="481">
          <cell r="A481" t="str">
            <v>A0000650</v>
          </cell>
          <cell r="B481" t="str">
            <v>ML Cad-Cut Premium Plus 180 Naranja 500mm</v>
          </cell>
          <cell r="C481" t="str">
            <v>Sí</v>
          </cell>
          <cell r="D481" t="str">
            <v>Si</v>
          </cell>
          <cell r="E481" t="str">
            <v>A0000644</v>
          </cell>
        </row>
        <row r="482">
          <cell r="A482" t="str">
            <v>A0000651</v>
          </cell>
          <cell r="B482" t="str">
            <v>ML Cad-Cut Premium Plus 210 Rojo Señal 500mm</v>
          </cell>
          <cell r="C482" t="str">
            <v>Sí</v>
          </cell>
          <cell r="D482" t="str">
            <v>Si</v>
          </cell>
          <cell r="E482" t="str">
            <v>A0000644</v>
          </cell>
        </row>
        <row r="483">
          <cell r="A483" t="str">
            <v>A0000652</v>
          </cell>
          <cell r="B483" t="str">
            <v>ML Cad-Cut Premium Plus 200 Rojo 500mm</v>
          </cell>
          <cell r="C483" t="str">
            <v>Sí</v>
          </cell>
          <cell r="D483" t="str">
            <v>Si</v>
          </cell>
          <cell r="E483" t="str">
            <v>A0000644</v>
          </cell>
        </row>
        <row r="484">
          <cell r="A484" t="str">
            <v>A0000653</v>
          </cell>
          <cell r="B484" t="str">
            <v>ML Cad-Cut Premium Plus 270 Rojo Borgoña 500mm</v>
          </cell>
          <cell r="C484" t="str">
            <v>Sí</v>
          </cell>
          <cell r="D484" t="str">
            <v>Si</v>
          </cell>
          <cell r="E484" t="str">
            <v>A0000644</v>
          </cell>
        </row>
        <row r="485">
          <cell r="A485" t="str">
            <v>A0000654</v>
          </cell>
          <cell r="B485" t="str">
            <v>ML Cad-Cut Premium Plus 255 Pastel Rosa 500mm</v>
          </cell>
          <cell r="C485" t="str">
            <v>Sí</v>
          </cell>
          <cell r="D485" t="str">
            <v>Si</v>
          </cell>
          <cell r="E485" t="str">
            <v>A0000644</v>
          </cell>
        </row>
        <row r="486">
          <cell r="A486" t="str">
            <v>A0000655</v>
          </cell>
          <cell r="B486" t="str">
            <v>ML Cad-Cut Premium Plus 252 Rosa 500mm</v>
          </cell>
          <cell r="C486" t="str">
            <v>Sí</v>
          </cell>
          <cell r="D486" t="str">
            <v>Si</v>
          </cell>
          <cell r="E486" t="str">
            <v>A0000644</v>
          </cell>
        </row>
        <row r="487">
          <cell r="A487" t="str">
            <v>A0000656</v>
          </cell>
          <cell r="B487" t="str">
            <v>ML Cad-Cut Premium Plus 250 Fucsia 500mm</v>
          </cell>
          <cell r="C487" t="str">
            <v>Sí</v>
          </cell>
          <cell r="D487" t="str">
            <v>Si</v>
          </cell>
          <cell r="E487" t="str">
            <v>A0000644</v>
          </cell>
        </row>
        <row r="488">
          <cell r="A488" t="str">
            <v>A0000657</v>
          </cell>
          <cell r="B488" t="str">
            <v>ML Cad-Cut Premium Plus 285 Pastel Púrpura 500mm</v>
          </cell>
          <cell r="C488" t="str">
            <v>Sí</v>
          </cell>
          <cell r="D488" t="str">
            <v>Si</v>
          </cell>
          <cell r="E488" t="str">
            <v>A0000644</v>
          </cell>
        </row>
        <row r="489">
          <cell r="A489" t="str">
            <v>A0000658</v>
          </cell>
          <cell r="B489" t="str">
            <v>ML Cad-Cut Premium Plus 280 Púrpura 500mm</v>
          </cell>
          <cell r="C489" t="str">
            <v>Sí</v>
          </cell>
          <cell r="D489" t="str">
            <v>Si</v>
          </cell>
          <cell r="E489" t="str">
            <v>A0000644</v>
          </cell>
        </row>
        <row r="490">
          <cell r="A490" t="str">
            <v>A0000659</v>
          </cell>
          <cell r="B490" t="str">
            <v>ML Cad-Cut Premium Plus 321 Azul Pastel500mm</v>
          </cell>
          <cell r="C490" t="str">
            <v>Sí</v>
          </cell>
          <cell r="D490" t="str">
            <v>Si</v>
          </cell>
          <cell r="E490" t="str">
            <v>A0000644</v>
          </cell>
        </row>
        <row r="491">
          <cell r="A491" t="str">
            <v>A0000660</v>
          </cell>
          <cell r="B491" t="str">
            <v>ML Cad-Cut Premium Plus 320 Azul Ligero 500mm</v>
          </cell>
          <cell r="C491" t="str">
            <v>Sí</v>
          </cell>
          <cell r="D491" t="str">
            <v>Si</v>
          </cell>
          <cell r="E491" t="str">
            <v>A0000644</v>
          </cell>
        </row>
        <row r="492">
          <cell r="A492" t="str">
            <v>A0000661</v>
          </cell>
          <cell r="B492" t="str">
            <v>ML Cad-Cut Premium Plus 300 Azul Real 500mm</v>
          </cell>
          <cell r="C492" t="str">
            <v>Sí</v>
          </cell>
          <cell r="D492" t="str">
            <v>Si</v>
          </cell>
          <cell r="E492" t="str">
            <v>A0000644</v>
          </cell>
        </row>
        <row r="493">
          <cell r="A493" t="str">
            <v>A0000662</v>
          </cell>
          <cell r="B493" t="str">
            <v>ML Cad-Cut Premium Plus 350 Azul Naval 500mm</v>
          </cell>
          <cell r="C493" t="str">
            <v>Sí</v>
          </cell>
          <cell r="D493" t="str">
            <v>Si</v>
          </cell>
          <cell r="E493" t="str">
            <v>A0000644</v>
          </cell>
        </row>
        <row r="494">
          <cell r="A494" t="str">
            <v>A0000663</v>
          </cell>
          <cell r="B494" t="str">
            <v>ML Cad-Cut Premium Plus 380 Verde Turquesa 500mm</v>
          </cell>
          <cell r="C494" t="str">
            <v>Sí</v>
          </cell>
          <cell r="D494" t="str">
            <v>Si</v>
          </cell>
          <cell r="E494" t="str">
            <v>A0000644</v>
          </cell>
        </row>
        <row r="495">
          <cell r="A495" t="str">
            <v>A0000664</v>
          </cell>
          <cell r="B495" t="str">
            <v>ML Cad-Cut Premium Plus 420 Verde Pastel 500mm</v>
          </cell>
          <cell r="C495" t="str">
            <v>Sí</v>
          </cell>
          <cell r="D495" t="str">
            <v>Si</v>
          </cell>
          <cell r="E495" t="str">
            <v>A0000644</v>
          </cell>
        </row>
        <row r="496">
          <cell r="A496" t="str">
            <v>A0000665</v>
          </cell>
          <cell r="B496" t="str">
            <v>ML Cad-Cut Premium Plus 421 Verde Manzana 500mm</v>
          </cell>
          <cell r="C496" t="str">
            <v>Sí</v>
          </cell>
          <cell r="D496" t="str">
            <v>Si</v>
          </cell>
          <cell r="E496" t="str">
            <v>A0000644</v>
          </cell>
        </row>
        <row r="497">
          <cell r="A497" t="str">
            <v>A0000666</v>
          </cell>
          <cell r="B497" t="str">
            <v>ML Cad-Cut Premium Plus 422 Verde Ligero 500mm</v>
          </cell>
          <cell r="C497" t="str">
            <v>Sí</v>
          </cell>
          <cell r="D497" t="str">
            <v>Si</v>
          </cell>
          <cell r="E497" t="str">
            <v>A0000644</v>
          </cell>
        </row>
        <row r="498">
          <cell r="A498" t="str">
            <v>A0000667</v>
          </cell>
          <cell r="B498" t="str">
            <v>ML Cad-Cut Premium Plus 400 Verde 500mm</v>
          </cell>
          <cell r="C498" t="str">
            <v>Sí</v>
          </cell>
          <cell r="D498" t="str">
            <v>Si</v>
          </cell>
          <cell r="E498" t="str">
            <v>A0000644</v>
          </cell>
        </row>
        <row r="499">
          <cell r="A499" t="str">
            <v>A0000668</v>
          </cell>
          <cell r="B499" t="str">
            <v>ML Cad-Cut Premium Plus 410 Verde Oscuro 500mm</v>
          </cell>
          <cell r="C499" t="str">
            <v>Sí</v>
          </cell>
          <cell r="D499" t="str">
            <v>Si</v>
          </cell>
          <cell r="E499" t="str">
            <v>A0000644</v>
          </cell>
        </row>
        <row r="500">
          <cell r="A500" t="str">
            <v>A0000669</v>
          </cell>
          <cell r="B500" t="str">
            <v>ML Cad-Cut Premium Plus 430 Verde Oliva 500mm</v>
          </cell>
          <cell r="C500" t="str">
            <v>Sí</v>
          </cell>
          <cell r="D500" t="str">
            <v>Si</v>
          </cell>
          <cell r="E500" t="str">
            <v>A0000644</v>
          </cell>
        </row>
        <row r="501">
          <cell r="A501" t="str">
            <v>A0000670</v>
          </cell>
          <cell r="B501" t="str">
            <v>ML Cad-Cut Premium Plus 550 Marrón 500mm</v>
          </cell>
          <cell r="C501" t="str">
            <v>Sí</v>
          </cell>
          <cell r="D501" t="str">
            <v>Si</v>
          </cell>
          <cell r="E501" t="str">
            <v>A0000644</v>
          </cell>
        </row>
        <row r="502">
          <cell r="A502" t="str">
            <v>A0000671</v>
          </cell>
          <cell r="B502" t="str">
            <v>ML Cad-Cut Premium Plus 730 Gris 500mm</v>
          </cell>
          <cell r="C502" t="str">
            <v>Sí</v>
          </cell>
          <cell r="D502" t="str">
            <v>Si</v>
          </cell>
          <cell r="E502" t="str">
            <v>A0000644</v>
          </cell>
        </row>
        <row r="503">
          <cell r="A503" t="str">
            <v>A0000672</v>
          </cell>
          <cell r="B503" t="str">
            <v>ML Cad-Cut Premium Plus 780 Gris Oscuro 500mm</v>
          </cell>
          <cell r="C503" t="str">
            <v>Sí</v>
          </cell>
          <cell r="D503" t="str">
            <v>Si</v>
          </cell>
          <cell r="E503" t="str">
            <v>A0000644</v>
          </cell>
        </row>
        <row r="504">
          <cell r="A504" t="str">
            <v>A0000673</v>
          </cell>
          <cell r="B504" t="str">
            <v>ML Cad-Cut Premium Plus 700 Negro 500mm</v>
          </cell>
          <cell r="C504" t="str">
            <v>Sí</v>
          </cell>
          <cell r="D504" t="str">
            <v>Si</v>
          </cell>
          <cell r="E504" t="str">
            <v>A0000644</v>
          </cell>
        </row>
        <row r="505">
          <cell r="A505" t="str">
            <v>A0000674</v>
          </cell>
          <cell r="B505" t="str">
            <v>ML Cad-Cut Premium Plus 815 Plata 500mm</v>
          </cell>
          <cell r="C505" t="str">
            <v>Sí</v>
          </cell>
          <cell r="D505" t="str">
            <v>Si</v>
          </cell>
          <cell r="E505" t="str">
            <v>A0000644</v>
          </cell>
        </row>
        <row r="506">
          <cell r="A506" t="str">
            <v>A0000675</v>
          </cell>
          <cell r="B506" t="str">
            <v>ML Cad-Cut Premium Plus 115 Oro 500mm</v>
          </cell>
          <cell r="C506" t="str">
            <v>Sí</v>
          </cell>
          <cell r="D506" t="str">
            <v>Si</v>
          </cell>
          <cell r="E506" t="str">
            <v>A0000644</v>
          </cell>
        </row>
        <row r="507">
          <cell r="A507" t="str">
            <v>A0000676</v>
          </cell>
          <cell r="B507" t="str">
            <v>ML Cad-Cut Premium Plus 101 Neon Amarillo 500mm</v>
          </cell>
          <cell r="C507" t="str">
            <v>Sí</v>
          </cell>
          <cell r="D507" t="str">
            <v>Si</v>
          </cell>
          <cell r="E507" t="str">
            <v>A0000644</v>
          </cell>
        </row>
        <row r="508">
          <cell r="A508" t="str">
            <v>A0000677</v>
          </cell>
          <cell r="B508" t="str">
            <v>ML Cad-Cut Flock 530 Marrón 500mm</v>
          </cell>
          <cell r="C508" t="str">
            <v>Sí</v>
          </cell>
          <cell r="D508" t="str">
            <v>Si</v>
          </cell>
          <cell r="E508" t="str">
            <v>A0000007</v>
          </cell>
        </row>
        <row r="509">
          <cell r="A509" t="str">
            <v>A0000678</v>
          </cell>
          <cell r="B509" t="str">
            <v>ML Cad-Cut Flock 550 Marrón Oscuro 500mm</v>
          </cell>
          <cell r="C509" t="str">
            <v>Sí</v>
          </cell>
          <cell r="D509" t="str">
            <v>Si</v>
          </cell>
          <cell r="E509" t="str">
            <v>A0000007</v>
          </cell>
        </row>
        <row r="510">
          <cell r="A510" t="str">
            <v>A0000679</v>
          </cell>
          <cell r="B510" t="str">
            <v>ML Cad-Cut Flock 730 Cool Gris 500mm</v>
          </cell>
          <cell r="C510" t="str">
            <v>Sí</v>
          </cell>
          <cell r="D510" t="str">
            <v>Si</v>
          </cell>
          <cell r="E510" t="str">
            <v>A0000007</v>
          </cell>
        </row>
        <row r="511">
          <cell r="A511" t="str">
            <v>A0000680</v>
          </cell>
          <cell r="B511" t="str">
            <v>ML Cad-Cut Flock 780 Gris Oscuro 500mm</v>
          </cell>
          <cell r="C511" t="str">
            <v>Sí</v>
          </cell>
          <cell r="D511" t="str">
            <v>Si</v>
          </cell>
          <cell r="E511" t="str">
            <v>A0000007</v>
          </cell>
        </row>
        <row r="512">
          <cell r="A512" t="str">
            <v>A0000681</v>
          </cell>
          <cell r="B512" t="str">
            <v>ML Cad-Cut Flock 700 Negro 500mm</v>
          </cell>
          <cell r="C512" t="str">
            <v>Sí</v>
          </cell>
          <cell r="D512" t="str">
            <v>Si</v>
          </cell>
          <cell r="E512" t="str">
            <v>A0000007</v>
          </cell>
        </row>
        <row r="513">
          <cell r="A513" t="str">
            <v>A0000682</v>
          </cell>
          <cell r="B513" t="str">
            <v>ML Cad-Cut Flock 101 Neon Amarillo 500mm</v>
          </cell>
          <cell r="C513" t="str">
            <v>Sí</v>
          </cell>
          <cell r="D513" t="str">
            <v>Si</v>
          </cell>
          <cell r="E513" t="str">
            <v>A0000007</v>
          </cell>
        </row>
        <row r="514">
          <cell r="A514" t="str">
            <v>A0000683</v>
          </cell>
          <cell r="B514" t="str">
            <v>ML Cad-Cut Flock 181 Neon Naranja 500mm</v>
          </cell>
          <cell r="C514" t="str">
            <v>Sí</v>
          </cell>
          <cell r="D514" t="str">
            <v>Si</v>
          </cell>
          <cell r="E514" t="str">
            <v>A0000007</v>
          </cell>
        </row>
        <row r="515">
          <cell r="A515" t="str">
            <v>A0000684</v>
          </cell>
          <cell r="B515" t="str">
            <v>ML Cad-Cut Flock 241 Neon Rosa 500mm</v>
          </cell>
          <cell r="C515" t="str">
            <v>Sí</v>
          </cell>
          <cell r="D515" t="str">
            <v>Si</v>
          </cell>
          <cell r="E515" t="str">
            <v>A0000007</v>
          </cell>
        </row>
        <row r="516">
          <cell r="A516" t="str">
            <v>A0000685</v>
          </cell>
          <cell r="B516" t="str">
            <v>ML Cad-Cut Flock 401 Neon Verde 500mm</v>
          </cell>
          <cell r="C516" t="str">
            <v>Sí</v>
          </cell>
          <cell r="D516" t="str">
            <v>Si</v>
          </cell>
          <cell r="E516" t="str">
            <v>A0000007</v>
          </cell>
        </row>
        <row r="517">
          <cell r="A517" t="str">
            <v>A0000702</v>
          </cell>
          <cell r="B517" t="str">
            <v>ML Cad-Cut Glitter 934 Blanco 500mm</v>
          </cell>
          <cell r="C517" t="str">
            <v>Sí</v>
          </cell>
          <cell r="D517" t="str">
            <v>Si</v>
          </cell>
          <cell r="E517" t="str">
            <v>A0000702</v>
          </cell>
        </row>
        <row r="518">
          <cell r="A518" t="str">
            <v>A0000703</v>
          </cell>
          <cell r="B518" t="str">
            <v>ML Cad-Cut Glitter 931 Naranja 500mm</v>
          </cell>
          <cell r="C518" t="str">
            <v>Sí</v>
          </cell>
          <cell r="D518" t="str">
            <v>Si</v>
          </cell>
          <cell r="E518" t="str">
            <v>A0000702</v>
          </cell>
        </row>
        <row r="519">
          <cell r="A519" t="str">
            <v>A0000704</v>
          </cell>
          <cell r="B519" t="str">
            <v>ML Cad-Cut Glitter 952 Rojo Cereza 500mm</v>
          </cell>
          <cell r="C519" t="str">
            <v>Sí</v>
          </cell>
          <cell r="D519" t="str">
            <v>Si</v>
          </cell>
          <cell r="E519" t="str">
            <v>A0000702</v>
          </cell>
        </row>
        <row r="520">
          <cell r="A520" t="str">
            <v>A0000705</v>
          </cell>
          <cell r="B520" t="str">
            <v>ML Cad-Cut Glitter 923 Rojo 500mm</v>
          </cell>
          <cell r="C520" t="str">
            <v>Sí</v>
          </cell>
          <cell r="D520" t="str">
            <v>Si</v>
          </cell>
          <cell r="E520" t="str">
            <v>A0000702</v>
          </cell>
        </row>
        <row r="521">
          <cell r="A521" t="str">
            <v>A0000706</v>
          </cell>
          <cell r="B521" t="str">
            <v>ML Cad-Cut Glitter 996 Holo Rosa 500mm</v>
          </cell>
          <cell r="C521" t="str">
            <v>Sí</v>
          </cell>
          <cell r="D521" t="str">
            <v>Si</v>
          </cell>
          <cell r="E521" t="str">
            <v>A0000702</v>
          </cell>
        </row>
        <row r="522">
          <cell r="A522" t="str">
            <v>A0000707</v>
          </cell>
          <cell r="B522" t="str">
            <v>ML Cad-Cut Glitter 943 Hot Rosa 500mm</v>
          </cell>
          <cell r="C522" t="str">
            <v>Sí</v>
          </cell>
          <cell r="D522" t="str">
            <v>Si</v>
          </cell>
          <cell r="E522" t="str">
            <v>A0000702</v>
          </cell>
        </row>
        <row r="523">
          <cell r="A523" t="str">
            <v>A0000708</v>
          </cell>
          <cell r="B523" t="str">
            <v>ML Cad-Cut Glitter 927 Rosa 500mm</v>
          </cell>
          <cell r="C523" t="str">
            <v>Sí</v>
          </cell>
          <cell r="D523" t="str">
            <v>Si</v>
          </cell>
          <cell r="E523" t="str">
            <v>A0000702</v>
          </cell>
        </row>
        <row r="524">
          <cell r="A524" t="str">
            <v>A0000709</v>
          </cell>
          <cell r="B524" t="str">
            <v>ML Cad-Cut Glitter 946 Lavanda 500mm</v>
          </cell>
          <cell r="C524" t="str">
            <v>Sí</v>
          </cell>
          <cell r="D524" t="str">
            <v>Si</v>
          </cell>
          <cell r="E524" t="str">
            <v>A0000702</v>
          </cell>
        </row>
        <row r="525">
          <cell r="A525" t="str">
            <v>A0000710</v>
          </cell>
          <cell r="B525" t="str">
            <v>ML Cad-Cut Glitter 924 Púrpura 500mm</v>
          </cell>
          <cell r="C525" t="str">
            <v>Sí</v>
          </cell>
          <cell r="D525" t="str">
            <v>Si</v>
          </cell>
          <cell r="E525" t="str">
            <v>A0000702</v>
          </cell>
        </row>
        <row r="526">
          <cell r="A526" t="str">
            <v>A0000711</v>
          </cell>
          <cell r="B526" t="str">
            <v>ML Cad-Cut Glitter 954 Berenjena 500mm</v>
          </cell>
          <cell r="C526" t="str">
            <v>Sí</v>
          </cell>
          <cell r="D526" t="str">
            <v>Si</v>
          </cell>
          <cell r="E526" t="str">
            <v>A0000702</v>
          </cell>
        </row>
        <row r="527">
          <cell r="A527" t="str">
            <v>A0000712</v>
          </cell>
          <cell r="B527" t="str">
            <v>ML Cad-Cut Glitter 950 Azul Ligero 500mm</v>
          </cell>
          <cell r="C527" t="str">
            <v>Sí</v>
          </cell>
          <cell r="D527" t="str">
            <v>Si</v>
          </cell>
          <cell r="E527" t="str">
            <v>A0000702</v>
          </cell>
        </row>
        <row r="528">
          <cell r="A528" t="str">
            <v>A0000713</v>
          </cell>
          <cell r="B528" t="str">
            <v>ML Cad-Cut Glitter 930 Azul Colonia 500mm</v>
          </cell>
          <cell r="C528" t="str">
            <v>Sí</v>
          </cell>
          <cell r="D528" t="str">
            <v>Si</v>
          </cell>
          <cell r="E528" t="str">
            <v>A0000702</v>
          </cell>
        </row>
        <row r="529">
          <cell r="A529" t="str">
            <v>A0000714</v>
          </cell>
          <cell r="B529" t="str">
            <v>ML Cad-Cut Glitter 922 Azul 500mm</v>
          </cell>
          <cell r="C529" t="str">
            <v>Sí</v>
          </cell>
          <cell r="D529" t="str">
            <v>Si</v>
          </cell>
          <cell r="E529" t="str">
            <v>A0000702</v>
          </cell>
        </row>
        <row r="530">
          <cell r="A530" t="str">
            <v>A0000715</v>
          </cell>
          <cell r="B530" t="str">
            <v>ML Cad-Cut Glitter 942 Azul Real 500mm</v>
          </cell>
          <cell r="C530" t="str">
            <v>Sí</v>
          </cell>
          <cell r="D530" t="str">
            <v>Si</v>
          </cell>
          <cell r="E530" t="str">
            <v>A0000702</v>
          </cell>
        </row>
        <row r="531">
          <cell r="A531" t="str">
            <v>A0000716</v>
          </cell>
          <cell r="B531" t="str">
            <v>ML Cad-Cut Glitter 944 Azul Naval 500mm</v>
          </cell>
          <cell r="C531" t="str">
            <v>Sí</v>
          </cell>
          <cell r="D531" t="str">
            <v>Si</v>
          </cell>
          <cell r="E531" t="str">
            <v>A0000702</v>
          </cell>
        </row>
        <row r="532">
          <cell r="A532" t="str">
            <v>A0000717</v>
          </cell>
          <cell r="B532" t="str">
            <v>ML Cad-Cut Glitter 953 Verde Ligero 500mm</v>
          </cell>
          <cell r="C532" t="str">
            <v>Sí</v>
          </cell>
          <cell r="D532" t="str">
            <v>Si</v>
          </cell>
          <cell r="E532" t="str">
            <v>A0000702</v>
          </cell>
        </row>
        <row r="533">
          <cell r="A533" t="str">
            <v>A0000718</v>
          </cell>
          <cell r="B533" t="str">
            <v>ML Cad-Cut Glitter 925 Verde 500mm</v>
          </cell>
          <cell r="C533" t="str">
            <v>Sí</v>
          </cell>
          <cell r="D533" t="str">
            <v>Si</v>
          </cell>
          <cell r="E533" t="str">
            <v>A0000702</v>
          </cell>
        </row>
        <row r="534">
          <cell r="A534" t="str">
            <v>A0000719</v>
          </cell>
          <cell r="B534" t="str">
            <v>ML Cad-Cut Glitter 932 Verde Kelly 500mm</v>
          </cell>
          <cell r="C534" t="str">
            <v>Sí</v>
          </cell>
          <cell r="D534" t="str">
            <v>Si</v>
          </cell>
          <cell r="E534" t="str">
            <v>A0000702</v>
          </cell>
        </row>
        <row r="535">
          <cell r="A535" t="str">
            <v>A0000720</v>
          </cell>
          <cell r="B535" t="str">
            <v>ML Cad-Cut Glitter 926 Marrón 500mm</v>
          </cell>
          <cell r="C535" t="str">
            <v>Sí</v>
          </cell>
          <cell r="D535" t="str">
            <v>Si</v>
          </cell>
          <cell r="E535" t="str">
            <v>A0000702</v>
          </cell>
        </row>
        <row r="536">
          <cell r="A536" t="str">
            <v>A0000721</v>
          </cell>
          <cell r="B536" t="str">
            <v>ML Cad-Cut Glitter 951 Holo Gris 500mm</v>
          </cell>
          <cell r="C536" t="str">
            <v>Sí</v>
          </cell>
          <cell r="D536" t="str">
            <v>Si</v>
          </cell>
          <cell r="E536" t="str">
            <v>A0000702</v>
          </cell>
        </row>
        <row r="537">
          <cell r="A537" t="str">
            <v>A0000722</v>
          </cell>
          <cell r="B537" t="str">
            <v>ML Cad-Cut Glitter 921 Plata 500mm</v>
          </cell>
          <cell r="C537" t="str">
            <v>Sí</v>
          </cell>
          <cell r="D537" t="str">
            <v>Si</v>
          </cell>
          <cell r="E537" t="str">
            <v>A0000702</v>
          </cell>
        </row>
        <row r="538">
          <cell r="A538" t="str">
            <v>A0000723</v>
          </cell>
          <cell r="B538" t="str">
            <v>ML Cad-Cut Glitter 949 Negro Plata 500mm</v>
          </cell>
          <cell r="C538" t="str">
            <v>Sí</v>
          </cell>
          <cell r="D538" t="str">
            <v>Si</v>
          </cell>
          <cell r="E538" t="str">
            <v>A0000702</v>
          </cell>
        </row>
        <row r="539">
          <cell r="A539" t="str">
            <v>A0000724</v>
          </cell>
          <cell r="B539" t="str">
            <v>ML Cad-Cut Glitter 929 Multi 500mm</v>
          </cell>
          <cell r="C539" t="str">
            <v>Sí</v>
          </cell>
          <cell r="D539" t="str">
            <v>Si</v>
          </cell>
          <cell r="E539" t="str">
            <v>A0000702</v>
          </cell>
        </row>
        <row r="540">
          <cell r="A540" t="str">
            <v>A0000725</v>
          </cell>
          <cell r="B540" t="str">
            <v>ML Cad-Cut Glitter 948 Confetti 500mm</v>
          </cell>
          <cell r="C540" t="str">
            <v>Sí</v>
          </cell>
          <cell r="D540" t="str">
            <v>Si</v>
          </cell>
          <cell r="E540" t="str">
            <v>A0000702</v>
          </cell>
        </row>
        <row r="541">
          <cell r="A541" t="str">
            <v>A0000726</v>
          </cell>
          <cell r="B541" t="str">
            <v>ML Cad-Cut Glitter 935 Holo Oro 500mm</v>
          </cell>
          <cell r="C541" t="str">
            <v>Sí</v>
          </cell>
          <cell r="D541" t="str">
            <v>Si</v>
          </cell>
          <cell r="E541" t="str">
            <v>A0000702</v>
          </cell>
        </row>
        <row r="542">
          <cell r="A542" t="str">
            <v>A0000727</v>
          </cell>
          <cell r="B542" t="str">
            <v>ML Cad-Cut Glitter 920 Oro 500mm</v>
          </cell>
          <cell r="C542" t="str">
            <v>Sí</v>
          </cell>
          <cell r="D542" t="str">
            <v>Si</v>
          </cell>
          <cell r="E542" t="str">
            <v>A0000702</v>
          </cell>
        </row>
        <row r="543">
          <cell r="A543" t="str">
            <v>A0000728</v>
          </cell>
          <cell r="B543" t="str">
            <v>ML Cad-Cut Glitter 947 Negro Oro 500mm</v>
          </cell>
          <cell r="C543" t="str">
            <v>Sí</v>
          </cell>
          <cell r="D543" t="str">
            <v>Si</v>
          </cell>
          <cell r="E543" t="str">
            <v>A0000702</v>
          </cell>
        </row>
        <row r="544">
          <cell r="A544" t="str">
            <v>A0000729</v>
          </cell>
          <cell r="B544" t="str">
            <v>ML Cad-Cut Glitter 928 Negro 500mm</v>
          </cell>
          <cell r="C544" t="str">
            <v>Sí</v>
          </cell>
          <cell r="D544" t="str">
            <v>Si</v>
          </cell>
          <cell r="E544" t="str">
            <v>A0000702</v>
          </cell>
        </row>
        <row r="545">
          <cell r="A545" t="str">
            <v>A0000730</v>
          </cell>
          <cell r="B545" t="str">
            <v>ML Cad-Cut Glitter 936 Neon Amarillo 500mm</v>
          </cell>
          <cell r="C545" t="str">
            <v>Sí</v>
          </cell>
          <cell r="D545" t="str">
            <v>Si</v>
          </cell>
          <cell r="E545" t="str">
            <v>A0000702</v>
          </cell>
        </row>
        <row r="546">
          <cell r="A546" t="str">
            <v>A0000731</v>
          </cell>
          <cell r="B546" t="str">
            <v>ML Cad-Cut Glitter 939 Neon Naranja 500mm</v>
          </cell>
          <cell r="C546" t="str">
            <v>Sí</v>
          </cell>
          <cell r="D546" t="str">
            <v>Si</v>
          </cell>
          <cell r="E546" t="str">
            <v>A0000702</v>
          </cell>
        </row>
        <row r="547">
          <cell r="A547" t="str">
            <v>A0000732</v>
          </cell>
          <cell r="B547" t="str">
            <v>ML Cad-Cut Glitter 941 Neon Rosa 500mm</v>
          </cell>
          <cell r="C547" t="str">
            <v>Sí</v>
          </cell>
          <cell r="D547" t="str">
            <v>Si</v>
          </cell>
          <cell r="E547" t="str">
            <v>A0000702</v>
          </cell>
        </row>
        <row r="548">
          <cell r="A548" t="str">
            <v>A0000733</v>
          </cell>
          <cell r="B548" t="str">
            <v>ML Cad-Cut Glitter 938 Neon Azul 500mm</v>
          </cell>
          <cell r="C548" t="str">
            <v>Sí</v>
          </cell>
          <cell r="D548" t="str">
            <v>Si</v>
          </cell>
          <cell r="E548" t="str">
            <v>A0000702</v>
          </cell>
        </row>
        <row r="549">
          <cell r="A549" t="str">
            <v>A0000734</v>
          </cell>
          <cell r="B549" t="str">
            <v>ML Cad-Cut Glitter 937 Neon Verde 500mm</v>
          </cell>
          <cell r="C549" t="str">
            <v>Sí</v>
          </cell>
          <cell r="D549" t="str">
            <v>Si</v>
          </cell>
          <cell r="E549" t="str">
            <v>A0000702</v>
          </cell>
        </row>
        <row r="550">
          <cell r="A550" t="str">
            <v>A0000735</v>
          </cell>
          <cell r="B550" t="str">
            <v>ML Cad-Cut Glitter 940 Neon Púrpura 500mm</v>
          </cell>
          <cell r="C550" t="str">
            <v>Sí</v>
          </cell>
          <cell r="D550" t="str">
            <v>Si</v>
          </cell>
          <cell r="E550" t="str">
            <v>A0000702</v>
          </cell>
        </row>
        <row r="551">
          <cell r="A551" t="str">
            <v>A0000736</v>
          </cell>
          <cell r="B551" t="str">
            <v>ML Cad-Cut Glitter 945 Old Oro 500mm</v>
          </cell>
          <cell r="C551" t="str">
            <v>Sí</v>
          </cell>
          <cell r="D551" t="str">
            <v>Si</v>
          </cell>
          <cell r="E551" t="str">
            <v>A0000702</v>
          </cell>
        </row>
        <row r="552">
          <cell r="A552" t="str">
            <v>A0000737</v>
          </cell>
          <cell r="B552" t="str">
            <v>ML Cad-Cut Glitter 933 Verde Oscuro 500mm</v>
          </cell>
          <cell r="C552" t="str">
            <v>Sí</v>
          </cell>
          <cell r="D552" t="str">
            <v>Si</v>
          </cell>
          <cell r="E552" t="str">
            <v>A0000702</v>
          </cell>
        </row>
        <row r="553">
          <cell r="A553" t="str">
            <v>A0000738</v>
          </cell>
          <cell r="B553" t="str">
            <v>ML Cad-Cut Effect 900 Rainbow 500mm</v>
          </cell>
          <cell r="C553" t="str">
            <v>Sí</v>
          </cell>
          <cell r="D553" t="str">
            <v>Si</v>
          </cell>
          <cell r="E553" t="str">
            <v>A0000738</v>
          </cell>
        </row>
        <row r="554">
          <cell r="A554" t="str">
            <v>A0000739</v>
          </cell>
          <cell r="B554" t="str">
            <v>ML Cad-Cut Effect 901 Spectrum 500mm</v>
          </cell>
          <cell r="C554" t="str">
            <v>Sí</v>
          </cell>
          <cell r="D554" t="str">
            <v>Si</v>
          </cell>
          <cell r="E554" t="str">
            <v>A0000738</v>
          </cell>
        </row>
        <row r="555">
          <cell r="A555" t="str">
            <v>A0000740</v>
          </cell>
          <cell r="B555" t="str">
            <v>ML Cad-Cut Effect 902 Sparkle Plata 500mm</v>
          </cell>
          <cell r="C555" t="str">
            <v>Sí</v>
          </cell>
          <cell r="D555" t="str">
            <v>Si</v>
          </cell>
          <cell r="E555" t="str">
            <v>A0000738</v>
          </cell>
        </row>
        <row r="556">
          <cell r="A556" t="str">
            <v>A0000741</v>
          </cell>
          <cell r="B556" t="str">
            <v>ML Cad-Cut Effect 903 Sparkle Oro 500mm</v>
          </cell>
          <cell r="C556" t="str">
            <v>Sí</v>
          </cell>
          <cell r="D556" t="str">
            <v>Si</v>
          </cell>
          <cell r="E556" t="str">
            <v>A0000738</v>
          </cell>
        </row>
        <row r="557">
          <cell r="A557" t="str">
            <v>A0000742</v>
          </cell>
          <cell r="B557" t="str">
            <v>ML Cad-Cut Effect 904 Sparkle Rojo 500mm</v>
          </cell>
          <cell r="C557" t="str">
            <v>Sí</v>
          </cell>
          <cell r="D557" t="str">
            <v>Si</v>
          </cell>
          <cell r="E557" t="str">
            <v>A0000738</v>
          </cell>
        </row>
        <row r="558">
          <cell r="A558" t="str">
            <v>A0000743</v>
          </cell>
          <cell r="B558" t="str">
            <v>ML Cad-Cut Effect 905 Sparkle Azul Ligero 500mm</v>
          </cell>
          <cell r="C558" t="str">
            <v>Sí</v>
          </cell>
          <cell r="D558" t="str">
            <v>Si</v>
          </cell>
          <cell r="E558" t="str">
            <v>A0000738</v>
          </cell>
        </row>
        <row r="559">
          <cell r="A559" t="str">
            <v>A0000744</v>
          </cell>
          <cell r="B559" t="str">
            <v>ML Cad-Cut Effect 906 Sparkle Azul 500mm</v>
          </cell>
          <cell r="C559" t="str">
            <v>Sí</v>
          </cell>
          <cell r="D559" t="str">
            <v>Si</v>
          </cell>
          <cell r="E559" t="str">
            <v>A0000738</v>
          </cell>
        </row>
        <row r="560">
          <cell r="A560" t="str">
            <v>A0000745</v>
          </cell>
          <cell r="B560" t="str">
            <v>ML Cad-Cut Effect 907 Sparkle Púrpura 500mm</v>
          </cell>
          <cell r="C560" t="str">
            <v>Sí</v>
          </cell>
          <cell r="D560" t="str">
            <v>Si</v>
          </cell>
          <cell r="E560" t="str">
            <v>A0000738</v>
          </cell>
        </row>
        <row r="561">
          <cell r="A561" t="str">
            <v>A0000746</v>
          </cell>
          <cell r="B561" t="str">
            <v>ML Cad-Cut Effect 908 Sparkle Verde 500mm</v>
          </cell>
          <cell r="C561" t="str">
            <v>Sí</v>
          </cell>
          <cell r="D561" t="str">
            <v>Si</v>
          </cell>
          <cell r="E561" t="str">
            <v>A0000738</v>
          </cell>
        </row>
        <row r="562">
          <cell r="A562" t="str">
            <v>A0000747</v>
          </cell>
          <cell r="B562" t="str">
            <v>ML Cad-Cut Effect 909 Sparkle Rosa 500mm</v>
          </cell>
          <cell r="C562" t="str">
            <v>Sí</v>
          </cell>
          <cell r="D562" t="str">
            <v>Si</v>
          </cell>
          <cell r="E562" t="str">
            <v>A0000738</v>
          </cell>
        </row>
        <row r="563">
          <cell r="A563" t="str">
            <v>A0000748</v>
          </cell>
          <cell r="B563" t="str">
            <v>ML Cad-Cut Effect 913 Crystal 500mm</v>
          </cell>
          <cell r="C563" t="str">
            <v>Sí</v>
          </cell>
          <cell r="D563" t="str">
            <v>Si</v>
          </cell>
          <cell r="E563" t="str">
            <v>A0000738</v>
          </cell>
        </row>
        <row r="564">
          <cell r="A564" t="str">
            <v>A0000749</v>
          </cell>
          <cell r="B564" t="str">
            <v>ML Cad-Cut Effect 914 Multi 500mm</v>
          </cell>
          <cell r="C564" t="str">
            <v>Sí</v>
          </cell>
          <cell r="D564" t="str">
            <v>Si</v>
          </cell>
          <cell r="E564" t="str">
            <v>A0000738</v>
          </cell>
        </row>
        <row r="565">
          <cell r="A565" t="str">
            <v>A0000750</v>
          </cell>
          <cell r="B565" t="str">
            <v>ML Cad-Cut Premium Plus Sublistop 001 Blanco 500mm</v>
          </cell>
          <cell r="C565" t="str">
            <v>Sí</v>
          </cell>
          <cell r="D565" t="str">
            <v>Si</v>
          </cell>
          <cell r="E565" t="str">
            <v>A0000750</v>
          </cell>
        </row>
        <row r="566">
          <cell r="A566" t="str">
            <v>A0000751</v>
          </cell>
          <cell r="B566" t="str">
            <v>ML Cad-Cut Premium Plus Sublistop 005 Crema 500mm</v>
          </cell>
          <cell r="C566" t="str">
            <v>Sí</v>
          </cell>
          <cell r="D566" t="str">
            <v>Si</v>
          </cell>
          <cell r="E566" t="str">
            <v>A0000750</v>
          </cell>
        </row>
        <row r="567">
          <cell r="A567" t="str">
            <v>A0000752</v>
          </cell>
          <cell r="B567" t="str">
            <v>ML Cad-Cut Premium Plus Sublistop 110 Amarillo 500mm</v>
          </cell>
          <cell r="C567" t="str">
            <v>Sí</v>
          </cell>
          <cell r="D567" t="str">
            <v>Si</v>
          </cell>
          <cell r="E567" t="str">
            <v>A0000750</v>
          </cell>
        </row>
        <row r="568">
          <cell r="A568" t="str">
            <v>A0000753</v>
          </cell>
          <cell r="B568" t="str">
            <v>ML Cad-Cut Premium Plus Sublistop 185 Naranja Ligero 500mm</v>
          </cell>
          <cell r="C568" t="str">
            <v>Sí</v>
          </cell>
          <cell r="D568" t="str">
            <v>Si</v>
          </cell>
          <cell r="E568" t="str">
            <v>A0000750</v>
          </cell>
        </row>
        <row r="569">
          <cell r="A569" t="str">
            <v>A0000754</v>
          </cell>
          <cell r="B569" t="str">
            <v>ML Cad-Cut Premium Plus Sublistop 200 Rojo 500mm</v>
          </cell>
          <cell r="C569" t="str">
            <v>Sí</v>
          </cell>
          <cell r="D569" t="str">
            <v>Si</v>
          </cell>
          <cell r="E569" t="str">
            <v>A0000750</v>
          </cell>
        </row>
        <row r="570">
          <cell r="A570" t="str">
            <v>A0000755</v>
          </cell>
          <cell r="B570" t="str">
            <v>ML Cad-Cut Premium Plus Sublistop 320 Azul Ligero 500mm</v>
          </cell>
          <cell r="C570" t="str">
            <v>Sí</v>
          </cell>
          <cell r="D570" t="str">
            <v>Si</v>
          </cell>
          <cell r="E570" t="str">
            <v>A0000750</v>
          </cell>
        </row>
        <row r="571">
          <cell r="A571" t="str">
            <v>A0000756</v>
          </cell>
          <cell r="B571" t="str">
            <v>ML Cad-Cut Premium Plus Sublistop 380 Verde Turquesa 500mm</v>
          </cell>
          <cell r="C571" t="str">
            <v>Sí</v>
          </cell>
          <cell r="D571" t="str">
            <v>Si</v>
          </cell>
          <cell r="E571" t="str">
            <v>A0000750</v>
          </cell>
        </row>
        <row r="572">
          <cell r="A572" t="str">
            <v>A0000757</v>
          </cell>
          <cell r="B572" t="str">
            <v>ML Cad-Cut Premium Plus Sublistop 422 Verde Ligero 500mm</v>
          </cell>
          <cell r="C572" t="str">
            <v>Sí</v>
          </cell>
          <cell r="D572" t="str">
            <v>Si</v>
          </cell>
          <cell r="E572" t="str">
            <v>A0000750</v>
          </cell>
        </row>
        <row r="573">
          <cell r="A573" t="str">
            <v>A0000758</v>
          </cell>
          <cell r="B573" t="str">
            <v>ML Cad-Cut Premium Plus Sublistop 730 Gris 500mm</v>
          </cell>
          <cell r="C573" t="str">
            <v>Sí</v>
          </cell>
          <cell r="D573" t="str">
            <v>Si</v>
          </cell>
          <cell r="E573" t="str">
            <v>A0000750</v>
          </cell>
        </row>
        <row r="574">
          <cell r="A574" t="str">
            <v>A0000759</v>
          </cell>
          <cell r="B574" t="str">
            <v>ML Cad-Cut Premium Plus Sublistop 815 Plata 500mm</v>
          </cell>
          <cell r="C574" t="str">
            <v>Sí</v>
          </cell>
          <cell r="D574" t="str">
            <v>Si</v>
          </cell>
          <cell r="E574" t="str">
            <v>A0000750</v>
          </cell>
        </row>
        <row r="575">
          <cell r="A575" t="str">
            <v>A0000760</v>
          </cell>
          <cell r="B575" t="str">
            <v>ML Cad-Cut Premium Plus Sublistop 115 Oro 500mm</v>
          </cell>
          <cell r="C575" t="str">
            <v>Sí</v>
          </cell>
          <cell r="D575" t="str">
            <v>Si</v>
          </cell>
          <cell r="E575" t="str">
            <v>A0000750</v>
          </cell>
        </row>
        <row r="576">
          <cell r="A576" t="str">
            <v>A0000762</v>
          </cell>
          <cell r="B576" t="str">
            <v>ML Cad-Cut Silicone 200 001 Blanco 500mm</v>
          </cell>
          <cell r="C576" t="str">
            <v>Sí</v>
          </cell>
          <cell r="D576" t="str">
            <v>Si</v>
          </cell>
          <cell r="E576" t="str">
            <v>A0000762</v>
          </cell>
        </row>
        <row r="577">
          <cell r="A577" t="str">
            <v>A0000763</v>
          </cell>
          <cell r="B577" t="str">
            <v>ML Cad-Cut Silicone 200 200 Rojo 500mm</v>
          </cell>
          <cell r="C577" t="str">
            <v>Sí</v>
          </cell>
          <cell r="D577" t="str">
            <v>Si</v>
          </cell>
          <cell r="E577" t="str">
            <v>A0000762</v>
          </cell>
        </row>
        <row r="578">
          <cell r="A578" t="str">
            <v>A0000764</v>
          </cell>
          <cell r="B578" t="str">
            <v>ML Cad-Cut Silicone 200 320 Azul Ligero 500mm</v>
          </cell>
          <cell r="C578" t="str">
            <v>Sí</v>
          </cell>
          <cell r="D578" t="str">
            <v>Si</v>
          </cell>
          <cell r="E578" t="str">
            <v>A0000762</v>
          </cell>
        </row>
        <row r="579">
          <cell r="A579" t="str">
            <v>A0000765</v>
          </cell>
          <cell r="B579" t="str">
            <v>ML Cad-Cut Silicone 200 300 Azul Real 500mm</v>
          </cell>
          <cell r="C579" t="str">
            <v>Sí</v>
          </cell>
          <cell r="D579" t="str">
            <v>Si</v>
          </cell>
          <cell r="E579" t="str">
            <v>A0000762</v>
          </cell>
        </row>
        <row r="580">
          <cell r="A580" t="str">
            <v>A0000766</v>
          </cell>
          <cell r="B580" t="str">
            <v>ML Cad-Cut Silicone 200 730 Gris 500mm</v>
          </cell>
          <cell r="C580" t="str">
            <v>Sí</v>
          </cell>
          <cell r="D580" t="str">
            <v>Si</v>
          </cell>
          <cell r="E580" t="str">
            <v>A0000762</v>
          </cell>
        </row>
        <row r="581">
          <cell r="A581" t="str">
            <v>A0000767</v>
          </cell>
          <cell r="B581" t="str">
            <v>ML Cad-Cut Silicone 200 700 Negro 500mm</v>
          </cell>
          <cell r="C581" t="str">
            <v>Sí</v>
          </cell>
          <cell r="D581" t="str">
            <v>Si</v>
          </cell>
          <cell r="E581" t="str">
            <v>A0000762</v>
          </cell>
        </row>
        <row r="582">
          <cell r="A582" t="str">
            <v>A0000768</v>
          </cell>
          <cell r="B582" t="str">
            <v>ML Cad-Cut Silicone 200 400 Verde 500mm</v>
          </cell>
          <cell r="C582" t="str">
            <v>Sí</v>
          </cell>
          <cell r="D582" t="str">
            <v>Si</v>
          </cell>
          <cell r="E582" t="str">
            <v>A0000762</v>
          </cell>
        </row>
        <row r="583">
          <cell r="A583" t="str">
            <v>A0000769</v>
          </cell>
          <cell r="B583" t="str">
            <v>ML Cad-Cut Silicone 500 001 Blanco 500mm</v>
          </cell>
          <cell r="C583" t="str">
            <v>Sí</v>
          </cell>
          <cell r="D583" t="str">
            <v>Si</v>
          </cell>
          <cell r="E583" t="str">
            <v>A0000769</v>
          </cell>
        </row>
        <row r="584">
          <cell r="A584" t="str">
            <v>A0000770</v>
          </cell>
          <cell r="B584" t="str">
            <v>ML Cad-Cut Silicone 500 500 Rojo 500mm</v>
          </cell>
          <cell r="C584" t="str">
            <v>Sí</v>
          </cell>
          <cell r="D584" t="str">
            <v>Si</v>
          </cell>
          <cell r="E584" t="str">
            <v>A0000769</v>
          </cell>
        </row>
        <row r="585">
          <cell r="A585" t="str">
            <v>A0000771</v>
          </cell>
          <cell r="B585" t="str">
            <v>ML Cad-Cut Silicone 500 320 Azul Ligero 500mm</v>
          </cell>
          <cell r="C585" t="str">
            <v>Sí</v>
          </cell>
          <cell r="D585" t="str">
            <v>Si</v>
          </cell>
          <cell r="E585" t="str">
            <v>A0000769</v>
          </cell>
        </row>
        <row r="586">
          <cell r="A586" t="str">
            <v>A0000772</v>
          </cell>
          <cell r="B586" t="str">
            <v>ML Cad-Cut Silicone 500 300 Azul Real 500mm</v>
          </cell>
          <cell r="C586" t="str">
            <v>Sí</v>
          </cell>
          <cell r="D586" t="str">
            <v>Si</v>
          </cell>
          <cell r="E586" t="str">
            <v>A0000769</v>
          </cell>
        </row>
        <row r="587">
          <cell r="A587" t="str">
            <v>A0000773</v>
          </cell>
          <cell r="B587" t="str">
            <v>ML Cad-Cut Silicone 500 730 Gris 500mm</v>
          </cell>
          <cell r="C587" t="str">
            <v>Sí</v>
          </cell>
          <cell r="D587" t="str">
            <v>Si</v>
          </cell>
          <cell r="E587" t="str">
            <v>A0000769</v>
          </cell>
        </row>
        <row r="588">
          <cell r="A588" t="str">
            <v>A0000774</v>
          </cell>
          <cell r="B588" t="str">
            <v>ML Cad-Cut Silicone 500 700 Negro 500mm</v>
          </cell>
          <cell r="C588" t="str">
            <v>Sí</v>
          </cell>
          <cell r="D588" t="str">
            <v>Si</v>
          </cell>
          <cell r="E588" t="str">
            <v>A0000769</v>
          </cell>
        </row>
        <row r="589">
          <cell r="A589" t="str">
            <v>A0000775</v>
          </cell>
          <cell r="B589" t="str">
            <v>ML Cad-Cut Silicone 500 400 Verde 500mm</v>
          </cell>
          <cell r="C589" t="str">
            <v>Sí</v>
          </cell>
          <cell r="D589" t="str">
            <v>Si</v>
          </cell>
          <cell r="E589" t="str">
            <v>A0000769</v>
          </cell>
        </row>
        <row r="590">
          <cell r="A590" t="str">
            <v>A0000776</v>
          </cell>
          <cell r="B590" t="str">
            <v>Rollo Cad-Color Sportsfilm 500mmX25m</v>
          </cell>
          <cell r="C590" t="str">
            <v>Sí</v>
          </cell>
          <cell r="D590" t="str">
            <v>Si</v>
          </cell>
        </row>
        <row r="591">
          <cell r="A591" t="str">
            <v>A0000777</v>
          </cell>
          <cell r="B591" t="str">
            <v>Rollo Cad-Color Sportsfilm 750mmX25m</v>
          </cell>
          <cell r="C591" t="str">
            <v>Sí</v>
          </cell>
          <cell r="D591" t="str">
            <v>Si</v>
          </cell>
        </row>
        <row r="592">
          <cell r="A592" t="str">
            <v>A0000778</v>
          </cell>
          <cell r="B592" t="str">
            <v>Rollo Cad-Color Sublistop 500mmX25m</v>
          </cell>
          <cell r="C592" t="str">
            <v>Sí</v>
          </cell>
          <cell r="D592" t="str">
            <v>Si</v>
          </cell>
        </row>
        <row r="593">
          <cell r="A593" t="str">
            <v>A0000779</v>
          </cell>
          <cell r="B593" t="str">
            <v>Rollo Cad-Color SuperTEK Sublistop 500mmX25m</v>
          </cell>
          <cell r="C593" t="str">
            <v>Sí</v>
          </cell>
          <cell r="D593" t="str">
            <v>Si</v>
          </cell>
        </row>
        <row r="594">
          <cell r="A594" t="str">
            <v>A0000781</v>
          </cell>
          <cell r="B594" t="str">
            <v>Rollo Cad-Color SuperTEK Transparente Mate 500mmX25m</v>
          </cell>
          <cell r="C594" t="str">
            <v>Sí</v>
          </cell>
          <cell r="D594" t="str">
            <v>Si</v>
          </cell>
        </row>
        <row r="595">
          <cell r="A595" t="str">
            <v>A0000782</v>
          </cell>
          <cell r="B595" t="str">
            <v>Rollo Cad-Color Premium 500mmX25m</v>
          </cell>
          <cell r="C595" t="str">
            <v>Sí</v>
          </cell>
          <cell r="D595" t="str">
            <v>Si</v>
          </cell>
        </row>
        <row r="596">
          <cell r="A596" t="str">
            <v>A0000783</v>
          </cell>
          <cell r="B596" t="str">
            <v>Rollo Cad-Color Solvent Flock 500mmX25m</v>
          </cell>
          <cell r="C596" t="str">
            <v>Sí</v>
          </cell>
          <cell r="D596" t="str">
            <v>Si</v>
          </cell>
        </row>
        <row r="597">
          <cell r="A597" t="str">
            <v>A0000785</v>
          </cell>
          <cell r="B597" t="str">
            <v>Rollo Cad-Color FoilTEK 500mmX25m</v>
          </cell>
          <cell r="C597" t="str">
            <v>Sí</v>
          </cell>
          <cell r="D597" t="str">
            <v>Si</v>
          </cell>
        </row>
        <row r="598">
          <cell r="A598" t="str">
            <v>A0000786</v>
          </cell>
          <cell r="B598" t="str">
            <v>Magic Mask + Cad Color 500mmX50m</v>
          </cell>
          <cell r="C598" t="str">
            <v>Sí</v>
          </cell>
          <cell r="D598" t="str">
            <v>Si</v>
          </cell>
        </row>
        <row r="599">
          <cell r="A599" t="str">
            <v>A0001464</v>
          </cell>
          <cell r="B599" t="str">
            <v>M2 Metamark M7 116 Azul Almirante 0,61 x 50m</v>
          </cell>
          <cell r="C599" t="str">
            <v>Sí</v>
          </cell>
          <cell r="D599" t="str">
            <v>Si</v>
          </cell>
          <cell r="E599" t="str">
            <v>A0000103</v>
          </cell>
        </row>
        <row r="600">
          <cell r="A600" t="str">
            <v>A0001431</v>
          </cell>
          <cell r="B600" t="str">
            <v>M2 Metamark M7 116 Azul Almirante 1,22 x 50m</v>
          </cell>
          <cell r="C600" t="str">
            <v>Sí</v>
          </cell>
          <cell r="D600" t="str">
            <v>Si</v>
          </cell>
          <cell r="E600" t="str">
            <v>A0000103</v>
          </cell>
        </row>
        <row r="601">
          <cell r="A601" t="str">
            <v>A0001465</v>
          </cell>
          <cell r="B601" t="str">
            <v>M2 Metamark M7 117 Oxford 0,61 x 50m</v>
          </cell>
          <cell r="C601" t="str">
            <v>Sí</v>
          </cell>
          <cell r="D601" t="str">
            <v>Si</v>
          </cell>
          <cell r="E601" t="str">
            <v>A0000103</v>
          </cell>
        </row>
        <row r="602">
          <cell r="A602" t="str">
            <v>A0001432</v>
          </cell>
          <cell r="B602" t="str">
            <v>M2 Metamark M7 117 Oxford 1,22 x 50m</v>
          </cell>
          <cell r="C602" t="str">
            <v>Sí</v>
          </cell>
          <cell r="D602" t="str">
            <v>Si</v>
          </cell>
          <cell r="E602" t="str">
            <v>A0000103</v>
          </cell>
        </row>
        <row r="603">
          <cell r="A603" t="str">
            <v>A0001466</v>
          </cell>
          <cell r="B603" t="str">
            <v>M2 Metamark M7 118 Azul Reflex 0,61 x 50m</v>
          </cell>
          <cell r="C603" t="str">
            <v>Sí</v>
          </cell>
          <cell r="D603" t="str">
            <v>Si</v>
          </cell>
          <cell r="E603" t="str">
            <v>A0000103</v>
          </cell>
        </row>
        <row r="604">
          <cell r="A604" t="str">
            <v>A0000849</v>
          </cell>
          <cell r="B604" t="str">
            <v>Hora de mano de Obra</v>
          </cell>
          <cell r="C604" t="str">
            <v>Sí</v>
          </cell>
          <cell r="D604" t="str">
            <v>No</v>
          </cell>
        </row>
        <row r="605">
          <cell r="A605" t="str">
            <v>A0000851</v>
          </cell>
          <cell r="B605" t="str">
            <v>Desplazamiento</v>
          </cell>
          <cell r="C605" t="str">
            <v>Sí</v>
          </cell>
          <cell r="D605" t="str">
            <v>No</v>
          </cell>
        </row>
        <row r="606">
          <cell r="A606" t="str">
            <v>A0000854</v>
          </cell>
          <cell r="B606" t="str">
            <v>Transistor TR 2SC4131 GB (A)</v>
          </cell>
          <cell r="C606" t="str">
            <v>Sí</v>
          </cell>
          <cell r="D606" t="str">
            <v>No</v>
          </cell>
        </row>
        <row r="607">
          <cell r="A607" t="str">
            <v>A0000855</v>
          </cell>
          <cell r="B607" t="str">
            <v>Transistor TR, FET 2SJ535 (A)</v>
          </cell>
          <cell r="C607" t="str">
            <v>Sí</v>
          </cell>
          <cell r="D607" t="str">
            <v>No</v>
          </cell>
        </row>
        <row r="608">
          <cell r="A608" t="str">
            <v>A0000856</v>
          </cell>
          <cell r="B608" t="str">
            <v>1000001053 - Fusible, Fuse 04533. 15MR (A)</v>
          </cell>
          <cell r="C608" t="str">
            <v>Sí</v>
          </cell>
          <cell r="D608" t="str">
            <v>No</v>
          </cell>
        </row>
        <row r="609">
          <cell r="A609" t="str">
            <v>A0000859</v>
          </cell>
          <cell r="B609" t="str">
            <v>Jeringa 20ml (A)</v>
          </cell>
          <cell r="C609" t="str">
            <v>Sí</v>
          </cell>
          <cell r="D609" t="str">
            <v>No</v>
          </cell>
        </row>
        <row r="610">
          <cell r="A610" t="str">
            <v>A0000860</v>
          </cell>
          <cell r="B610" t="str">
            <v>DX4 Large Damper (A)</v>
          </cell>
          <cell r="C610" t="str">
            <v>Sí</v>
          </cell>
          <cell r="D610" t="str">
            <v>No</v>
          </cell>
        </row>
        <row r="611">
          <cell r="A611" t="str">
            <v>A0000861</v>
          </cell>
          <cell r="B611" t="str">
            <v>Rollo antideslizante Tesa 60950 25mmx15m Negro</v>
          </cell>
          <cell r="C611" t="str">
            <v>Sí</v>
          </cell>
          <cell r="D611" t="str">
            <v>No</v>
          </cell>
        </row>
        <row r="612">
          <cell r="A612" t="str">
            <v>A0000862</v>
          </cell>
          <cell r="B612" t="str">
            <v>Rollo antideslizante Tesa 60951 50mmx15m Amarillo/Negro</v>
          </cell>
          <cell r="C612" t="str">
            <v>Sí</v>
          </cell>
          <cell r="D612" t="str">
            <v>No</v>
          </cell>
        </row>
        <row r="613">
          <cell r="A613" t="str">
            <v>A0000863</v>
          </cell>
          <cell r="B613" t="str">
            <v>Rollo antideslizante Tesa 60952 25mmx15m Transparente</v>
          </cell>
          <cell r="C613" t="str">
            <v>Sí</v>
          </cell>
          <cell r="D613" t="str">
            <v>No</v>
          </cell>
        </row>
        <row r="614">
          <cell r="A614" t="str">
            <v>A0000864</v>
          </cell>
          <cell r="B614" t="str">
            <v>Rollo antideslizante Tesa 60953 25mmx15m Fotoluminiscente</v>
          </cell>
          <cell r="C614" t="str">
            <v>Sí</v>
          </cell>
          <cell r="D614" t="str">
            <v>No</v>
          </cell>
        </row>
        <row r="615">
          <cell r="A615" t="str">
            <v>A0000865</v>
          </cell>
          <cell r="B615" t="str">
            <v>Rollo cinta americana Tesa 4613 Gris 48mmx50m</v>
          </cell>
          <cell r="C615" t="str">
            <v>Sí</v>
          </cell>
          <cell r="D615" t="str">
            <v>No</v>
          </cell>
        </row>
        <row r="616">
          <cell r="A616" t="str">
            <v>A0000866</v>
          </cell>
          <cell r="B616" t="str">
            <v>6701409200 - Assy cap top VS 640</v>
          </cell>
          <cell r="C616" t="str">
            <v>Sí</v>
          </cell>
          <cell r="D616" t="str">
            <v>No</v>
          </cell>
        </row>
        <row r="617">
          <cell r="A617" t="str">
            <v>A0000867</v>
          </cell>
          <cell r="B617" t="str">
            <v>Wiper Scraper XC 540</v>
          </cell>
          <cell r="C617" t="str">
            <v>Sí</v>
          </cell>
          <cell r="D617" t="str">
            <v>No</v>
          </cell>
        </row>
        <row r="618">
          <cell r="A618" t="str">
            <v>A0000868</v>
          </cell>
          <cell r="B618" t="str">
            <v>SP-300 Filter (M) Serge Mist (A)</v>
          </cell>
          <cell r="C618" t="str">
            <v>Sí</v>
          </cell>
          <cell r="D618" t="str">
            <v>No</v>
          </cell>
        </row>
        <row r="619">
          <cell r="A619" t="str">
            <v>A0000869</v>
          </cell>
          <cell r="B619" t="str">
            <v>1000000415 - FILTER(M),SERGE MIST 3 SJ-540</v>
          </cell>
          <cell r="C619" t="str">
            <v>Sí</v>
          </cell>
          <cell r="D619" t="str">
            <v>No</v>
          </cell>
        </row>
        <row r="620">
          <cell r="A620" t="str">
            <v>A0000870</v>
          </cell>
          <cell r="B620" t="str">
            <v>1000001383 - Pad Cutter GX-500</v>
          </cell>
          <cell r="C620" t="str">
            <v>Sí</v>
          </cell>
          <cell r="D620" t="str">
            <v>Si</v>
          </cell>
        </row>
        <row r="621">
          <cell r="A621" t="str">
            <v>A0001433</v>
          </cell>
          <cell r="B621" t="str">
            <v>M2 Metamark M7 118 Azul Reflex 1,22 x 50m</v>
          </cell>
          <cell r="C621" t="str">
            <v>Sí</v>
          </cell>
          <cell r="D621" t="str">
            <v>Si</v>
          </cell>
          <cell r="E621" t="str">
            <v>A0000103</v>
          </cell>
        </row>
        <row r="622">
          <cell r="A622" t="str">
            <v>A0001467</v>
          </cell>
          <cell r="B622" t="str">
            <v>M2 Metamark M7 119 Azul Prusiano 0,61 x 50m</v>
          </cell>
          <cell r="C622" t="str">
            <v>Sí</v>
          </cell>
          <cell r="D622" t="str">
            <v>Si</v>
          </cell>
          <cell r="E622" t="str">
            <v>A0000103</v>
          </cell>
        </row>
        <row r="623">
          <cell r="A623" t="str">
            <v>A0000873</v>
          </cell>
          <cell r="B623" t="str">
            <v>Lápiz sellador de bordes</v>
          </cell>
          <cell r="C623" t="str">
            <v>Sí</v>
          </cell>
          <cell r="D623" t="str">
            <v>Si</v>
          </cell>
        </row>
        <row r="624">
          <cell r="A624" t="str">
            <v>A0000878</v>
          </cell>
          <cell r="B624" t="str">
            <v>Pinzas de descarte</v>
          </cell>
          <cell r="C624" t="str">
            <v>Sí</v>
          </cell>
          <cell r="D624" t="str">
            <v>Si</v>
          </cell>
        </row>
        <row r="625">
          <cell r="A625" t="str">
            <v>A0000879</v>
          </cell>
          <cell r="B625" t="str">
            <v>Imanes para fijación 43mm</v>
          </cell>
          <cell r="C625" t="str">
            <v>Sí</v>
          </cell>
          <cell r="D625" t="str">
            <v>Si</v>
          </cell>
        </row>
        <row r="626">
          <cell r="A626" t="str">
            <v>A0000880</v>
          </cell>
          <cell r="B626" t="str">
            <v>Espátula naranja soft 10cm</v>
          </cell>
          <cell r="C626" t="str">
            <v>Sí</v>
          </cell>
          <cell r="D626" t="str">
            <v>No</v>
          </cell>
        </row>
        <row r="627">
          <cell r="A627" t="str">
            <v>A0000881</v>
          </cell>
          <cell r="B627" t="str">
            <v>Espátula negra 10cm</v>
          </cell>
          <cell r="C627" t="str">
            <v>Sí</v>
          </cell>
          <cell r="D627" t="str">
            <v>No</v>
          </cell>
        </row>
        <row r="628">
          <cell r="A628" t="str">
            <v>A0000882</v>
          </cell>
          <cell r="B628" t="str">
            <v>Fieltro adhesivo para espátula</v>
          </cell>
          <cell r="C628" t="str">
            <v>Sí</v>
          </cell>
          <cell r="D628" t="str">
            <v>Si</v>
          </cell>
        </row>
        <row r="629">
          <cell r="A629" t="str">
            <v>A0000883</v>
          </cell>
          <cell r="B629" t="str">
            <v>Rollo Precinto Tesa 4122 PVC Extra Fuerte 50mm X 66m Tte.</v>
          </cell>
          <cell r="C629" t="str">
            <v>Sí</v>
          </cell>
          <cell r="D629" t="str">
            <v>No</v>
          </cell>
        </row>
        <row r="630">
          <cell r="A630" t="str">
            <v>A0000884</v>
          </cell>
          <cell r="B630" t="str">
            <v>Rollo Precinto Tesa 4120 PVC Estándar 50mm X 66m Blanco.</v>
          </cell>
          <cell r="C630" t="str">
            <v>Sí</v>
          </cell>
          <cell r="D630" t="str">
            <v>No</v>
          </cell>
        </row>
        <row r="631">
          <cell r="A631" t="str">
            <v>A0000885</v>
          </cell>
          <cell r="B631" t="str">
            <v>Rollo Precinto Tesa 4120 PVC Estándar 50mm X 66m Tte.</v>
          </cell>
          <cell r="C631" t="str">
            <v>Sí</v>
          </cell>
          <cell r="D631" t="str">
            <v>No</v>
          </cell>
        </row>
        <row r="632">
          <cell r="A632" t="str">
            <v>A0000886</v>
          </cell>
          <cell r="B632" t="str">
            <v>Rollo Precinto Tesa 4120 PVC Estándar 50mm X 132m Tte.</v>
          </cell>
          <cell r="C632" t="str">
            <v>Sí</v>
          </cell>
          <cell r="D632" t="str">
            <v>No</v>
          </cell>
        </row>
        <row r="633">
          <cell r="A633" t="str">
            <v>A0000887</v>
          </cell>
          <cell r="B633" t="str">
            <v>Rollo Precinto Tesa 4120 PVC Estándar 50mm X 66m Marrón.</v>
          </cell>
          <cell r="C633" t="str">
            <v>Sí</v>
          </cell>
          <cell r="D633" t="str">
            <v>No</v>
          </cell>
        </row>
        <row r="634">
          <cell r="A634" t="str">
            <v>A0000888</v>
          </cell>
          <cell r="B634" t="str">
            <v>Rollo Precinto Tesa 4120 PVC Estándar 50mm X 132m Marrón.</v>
          </cell>
          <cell r="C634" t="str">
            <v>Sí</v>
          </cell>
          <cell r="D634" t="str">
            <v>No</v>
          </cell>
        </row>
        <row r="635">
          <cell r="A635" t="str">
            <v>A0000889</v>
          </cell>
          <cell r="B635" t="str">
            <v>Rollo Precinto Tesa 4089 PP 50mm X 132m Marrón.</v>
          </cell>
          <cell r="C635" t="str">
            <v>Sí</v>
          </cell>
          <cell r="D635" t="str">
            <v>No</v>
          </cell>
        </row>
        <row r="636">
          <cell r="A636" t="str">
            <v>A0000890</v>
          </cell>
          <cell r="B636" t="str">
            <v>Rollo Precinto Tesa 4089 PP 50mm X 66m Marrón.</v>
          </cell>
          <cell r="C636" t="str">
            <v>Sí</v>
          </cell>
          <cell r="D636" t="str">
            <v>No</v>
          </cell>
        </row>
        <row r="637">
          <cell r="A637" t="str">
            <v>A0000891</v>
          </cell>
          <cell r="B637" t="str">
            <v>Rollo Precinto Tesa 4089 PP 50mm X 132m Blanco.</v>
          </cell>
          <cell r="C637" t="str">
            <v>Sí</v>
          </cell>
          <cell r="D637" t="str">
            <v>No</v>
          </cell>
        </row>
        <row r="638">
          <cell r="A638" t="str">
            <v>A0000892</v>
          </cell>
          <cell r="B638" t="str">
            <v>Rollo Precinto Tesa 4089 PP 50mm X 66m Blanco.</v>
          </cell>
          <cell r="C638" t="str">
            <v>Sí</v>
          </cell>
          <cell r="D638" t="str">
            <v>No</v>
          </cell>
        </row>
        <row r="639">
          <cell r="A639" t="str">
            <v>A0000893</v>
          </cell>
          <cell r="B639" t="str">
            <v>Rollo Precinto Tesa 4089 PP 50mm X 132m Tte.</v>
          </cell>
          <cell r="C639" t="str">
            <v>Sí</v>
          </cell>
          <cell r="D639" t="str">
            <v>No</v>
          </cell>
        </row>
        <row r="640">
          <cell r="A640" t="str">
            <v>A0000894</v>
          </cell>
          <cell r="B640" t="str">
            <v>Rollo Precinto Tesa 4122 PVC Extra Fuerte 50mm X 66m Marrón.</v>
          </cell>
          <cell r="C640" t="str">
            <v>Sí</v>
          </cell>
          <cell r="D640" t="str">
            <v>No</v>
          </cell>
        </row>
        <row r="641">
          <cell r="A641" t="str">
            <v>A0000895</v>
          </cell>
          <cell r="B641" t="str">
            <v>Rollo Precinto Tesa 4089 PP 50mm X 66m Tte.</v>
          </cell>
          <cell r="C641" t="str">
            <v>Sí</v>
          </cell>
          <cell r="D641" t="str">
            <v>No</v>
          </cell>
        </row>
        <row r="642">
          <cell r="A642" t="str">
            <v>A0000896</v>
          </cell>
          <cell r="B642" t="str">
            <v>Rollo Precinto Tesa 4280 PP 48mm X 66m Tte.</v>
          </cell>
          <cell r="C642" t="str">
            <v>Sí</v>
          </cell>
          <cell r="D642" t="str">
            <v>No</v>
          </cell>
        </row>
        <row r="643">
          <cell r="A643" t="str">
            <v>A0000897</v>
          </cell>
          <cell r="B643" t="str">
            <v>Rollo Precinto Tesa 4280 PP 50mm X 132m Tte.</v>
          </cell>
          <cell r="C643" t="str">
            <v>Sí</v>
          </cell>
          <cell r="D643" t="str">
            <v>No</v>
          </cell>
        </row>
        <row r="644">
          <cell r="A644" t="str">
            <v>A0000898</v>
          </cell>
          <cell r="B644" t="str">
            <v>Rollo Precinto Tesa 4280 PP 50mm X 132m Marrón.</v>
          </cell>
          <cell r="C644" t="str">
            <v>Sí</v>
          </cell>
          <cell r="D644" t="str">
            <v>No</v>
          </cell>
        </row>
        <row r="645">
          <cell r="A645" t="str">
            <v>A0000899</v>
          </cell>
          <cell r="B645" t="str">
            <v>Rollo Precinto Tesa 4280 PP 48mm X 66m Marrón.</v>
          </cell>
          <cell r="C645" t="str">
            <v>Sí</v>
          </cell>
          <cell r="D645" t="str">
            <v>No</v>
          </cell>
        </row>
        <row r="646">
          <cell r="A646" t="str">
            <v>A0000900</v>
          </cell>
          <cell r="B646" t="str">
            <v>Rollo Precinto Tesa 64264 PP 48mm X 66m Marrón.</v>
          </cell>
          <cell r="C646" t="str">
            <v>Sí</v>
          </cell>
          <cell r="D646" t="str">
            <v>No</v>
          </cell>
        </row>
        <row r="647">
          <cell r="A647" t="str">
            <v>A0000901</v>
          </cell>
          <cell r="B647" t="str">
            <v>Rollo Precinto Tesa 64264 PP 48mm X 66m Tte.</v>
          </cell>
          <cell r="C647" t="str">
            <v>Sí</v>
          </cell>
          <cell r="D647" t="str">
            <v>No</v>
          </cell>
        </row>
        <row r="648">
          <cell r="A648" t="str">
            <v>A0000902</v>
          </cell>
          <cell r="B648" t="str">
            <v>Rollo Precinto Tesa 64264 PP 48mm X 126m Tte.</v>
          </cell>
          <cell r="C648" t="str">
            <v>Sí</v>
          </cell>
          <cell r="D648" t="str">
            <v>No</v>
          </cell>
        </row>
        <row r="649">
          <cell r="A649" t="str">
            <v>A0000903</v>
          </cell>
          <cell r="B649" t="str">
            <v>Rollo Precinto Tesa 64264 PP 48mm X 126m Marron.</v>
          </cell>
          <cell r="C649" t="str">
            <v>Sí</v>
          </cell>
          <cell r="D649" t="str">
            <v>No</v>
          </cell>
        </row>
        <row r="650">
          <cell r="A650" t="str">
            <v>A0000904</v>
          </cell>
          <cell r="B650" t="str">
            <v>Rollo Doble Cara Tesa 4964 S. Tejido 25mm X 50m.</v>
          </cell>
          <cell r="C650" t="str">
            <v>Sí</v>
          </cell>
          <cell r="D650" t="str">
            <v>No</v>
          </cell>
        </row>
        <row r="651">
          <cell r="A651" t="str">
            <v>A0000905</v>
          </cell>
          <cell r="B651" t="str">
            <v>Rollo Precinto Tesa 4124 PVC Fuerte 50mm X 66m Tte.</v>
          </cell>
          <cell r="C651" t="str">
            <v>Sí</v>
          </cell>
          <cell r="D651" t="str">
            <v>No</v>
          </cell>
        </row>
        <row r="652">
          <cell r="A652" t="str">
            <v>A0000906</v>
          </cell>
          <cell r="B652" t="str">
            <v>Rollo Doble Cara Tesa 4964 S. Tejido 30mm X 50m.</v>
          </cell>
          <cell r="C652" t="str">
            <v>Sí</v>
          </cell>
          <cell r="D652" t="str">
            <v>No</v>
          </cell>
        </row>
        <row r="653">
          <cell r="A653" t="str">
            <v>A0000907</v>
          </cell>
          <cell r="B653" t="str">
            <v>Rollo PreciDoble Caracnto Tesa 4964 S. Tejido 50mm X 50m.</v>
          </cell>
          <cell r="C653" t="str">
            <v>Sí</v>
          </cell>
          <cell r="D653" t="str">
            <v>No</v>
          </cell>
        </row>
        <row r="654">
          <cell r="A654" t="str">
            <v>A0000908</v>
          </cell>
          <cell r="B654" t="str">
            <v>Rollo Doble Cara Tesa 4934 S. Tejido 25mm X 25m.</v>
          </cell>
          <cell r="C654" t="str">
            <v>Sí</v>
          </cell>
          <cell r="D654" t="str">
            <v>No</v>
          </cell>
        </row>
        <row r="655">
          <cell r="A655" t="str">
            <v>A0000909</v>
          </cell>
          <cell r="B655" t="str">
            <v>Rollo Doble Cara Tesa 4934 S. Tejido 50mm X 25m.</v>
          </cell>
          <cell r="C655" t="str">
            <v>Sí</v>
          </cell>
          <cell r="D655" t="str">
            <v>No</v>
          </cell>
        </row>
        <row r="656">
          <cell r="A656" t="str">
            <v>A0000910</v>
          </cell>
          <cell r="B656" t="str">
            <v>Rollo Doble Cara Tesa 62510 Espuma Polietileno (PE) 19mm X 50m Blanco.</v>
          </cell>
          <cell r="C656" t="str">
            <v>Sí</v>
          </cell>
          <cell r="D656" t="str">
            <v>No</v>
          </cell>
        </row>
        <row r="657">
          <cell r="A657" t="str">
            <v>A0000911</v>
          </cell>
          <cell r="B657" t="str">
            <v>Rollo Doble Cara Tesa 4965 Poliester (PET) 19mm X 50m</v>
          </cell>
          <cell r="C657" t="str">
            <v>Sí</v>
          </cell>
          <cell r="D657" t="str">
            <v>No</v>
          </cell>
        </row>
        <row r="658">
          <cell r="A658" t="str">
            <v>A0000912</v>
          </cell>
          <cell r="B658" t="str">
            <v>Rollo Doble Cara Tesa 4965 Poliester (PET) 25mm X 50m</v>
          </cell>
          <cell r="C658" t="str">
            <v>Sí</v>
          </cell>
          <cell r="D658" t="str">
            <v>No</v>
          </cell>
        </row>
        <row r="659">
          <cell r="A659" t="str">
            <v>A0000913</v>
          </cell>
          <cell r="B659" t="str">
            <v>Rollo Doble Cara Tesa 4965 Poliester (PET) 38mm X 50m</v>
          </cell>
          <cell r="C659" t="str">
            <v>Sí</v>
          </cell>
          <cell r="D659" t="str">
            <v>No</v>
          </cell>
        </row>
        <row r="660">
          <cell r="A660" t="str">
            <v>A0000914</v>
          </cell>
          <cell r="B660" t="str">
            <v>Rollo Doble Cara Tesa ACXplus 7054 12mm X 25m. 0,5mm Tte.</v>
          </cell>
          <cell r="C660" t="str">
            <v>Sí</v>
          </cell>
          <cell r="D660" t="str">
            <v>No</v>
          </cell>
        </row>
        <row r="661">
          <cell r="A661" t="str">
            <v>A0000915</v>
          </cell>
          <cell r="B661" t="str">
            <v>Rollo Precinto Tesa 4124 PVC Fuerte 50mm X 66m Marrón.</v>
          </cell>
          <cell r="C661" t="str">
            <v>Sí</v>
          </cell>
          <cell r="D661" t="str">
            <v>No</v>
          </cell>
        </row>
        <row r="662">
          <cell r="A662" t="str">
            <v>A0000916</v>
          </cell>
          <cell r="B662" t="str">
            <v>Rollo Doble Cara Tesa ACXplus 7054 19mm X 25m. 0,5mm Tte.</v>
          </cell>
          <cell r="C662" t="str">
            <v>Sí</v>
          </cell>
          <cell r="D662" t="str">
            <v>No</v>
          </cell>
        </row>
        <row r="663">
          <cell r="A663" t="str">
            <v>A0000918</v>
          </cell>
          <cell r="B663" t="str">
            <v>Rollo Doble Cara Tesa ACXplus 7055 12mm X 25m. 1mm Tte.</v>
          </cell>
          <cell r="C663" t="str">
            <v>Sí</v>
          </cell>
          <cell r="D663" t="str">
            <v>No</v>
          </cell>
        </row>
        <row r="664">
          <cell r="A664" t="str">
            <v>A0000919</v>
          </cell>
          <cell r="B664" t="str">
            <v>Rollo Doble Cara Tesa ACXplus 7055 19mm X 25m. 1mm Tte.</v>
          </cell>
          <cell r="C664" t="str">
            <v>Sí</v>
          </cell>
          <cell r="D664" t="str">
            <v>No</v>
          </cell>
        </row>
        <row r="665">
          <cell r="A665" t="str">
            <v>A0000920</v>
          </cell>
          <cell r="B665" t="str">
            <v>Rollo Doble Cara Tesa ACXplus 7055 25mm X 25m. 1mm Tte.</v>
          </cell>
          <cell r="C665" t="str">
            <v>Sí</v>
          </cell>
          <cell r="D665" t="str">
            <v>No</v>
          </cell>
        </row>
        <row r="666">
          <cell r="A666" t="str">
            <v>A0000921</v>
          </cell>
          <cell r="B666" t="str">
            <v>Rollo Doble Cara Tesa ACXplus 7063 12mm X 25m. 0,8mm Negro. Alta. Adhe</v>
          </cell>
          <cell r="C666" t="str">
            <v>Sí</v>
          </cell>
          <cell r="D666" t="str">
            <v>No</v>
          </cell>
        </row>
        <row r="667">
          <cell r="A667" t="str">
            <v>A0000922</v>
          </cell>
          <cell r="B667" t="str">
            <v>Rollo Doble Cara Tesa ACXplus 7063 15mm X 25m. 0,8mm Negro. Alta. Adhe</v>
          </cell>
          <cell r="C667" t="str">
            <v>Sí</v>
          </cell>
          <cell r="D667" t="str">
            <v>No</v>
          </cell>
        </row>
        <row r="668">
          <cell r="A668" t="str">
            <v>A0000923</v>
          </cell>
          <cell r="B668" t="str">
            <v>Rollo Doble Cara Tesa ACXplus 7063 19mm X 25m. 0,8mm Negro. Alta. Adhe</v>
          </cell>
          <cell r="C668" t="str">
            <v>Sí</v>
          </cell>
          <cell r="D668" t="str">
            <v>No</v>
          </cell>
        </row>
        <row r="669">
          <cell r="A669" t="str">
            <v>A0000924</v>
          </cell>
          <cell r="B669" t="str">
            <v>Rollo Doble Cara Tesa ACXplus 7063 25mm X 25m. 0,8mm Negro. Alta. Adhe</v>
          </cell>
          <cell r="C669" t="str">
            <v>Sí</v>
          </cell>
          <cell r="D669" t="str">
            <v>No</v>
          </cell>
        </row>
        <row r="670">
          <cell r="A670" t="str">
            <v>A0000925</v>
          </cell>
          <cell r="B670" t="str">
            <v>Rollo Doble Cara Tesa ACXplus 7065 12mm X 25m. 1,2mm Negro. Alta. Adhe</v>
          </cell>
          <cell r="C670" t="str">
            <v>Sí</v>
          </cell>
          <cell r="D670" t="str">
            <v>No</v>
          </cell>
        </row>
        <row r="671">
          <cell r="A671" t="str">
            <v>A0000926</v>
          </cell>
          <cell r="B671" t="str">
            <v>Rollo Doble Cara Tesa ACXplus 7065 15mm X 25m. 1,2mm Negro. Alta. Adhe</v>
          </cell>
          <cell r="C671" t="str">
            <v>Sí</v>
          </cell>
          <cell r="D671" t="str">
            <v>No</v>
          </cell>
        </row>
        <row r="672">
          <cell r="A672" t="str">
            <v>A0000927</v>
          </cell>
          <cell r="B672" t="str">
            <v>Rollo Precinto Tesa 4100 PVC Rugoso 50mm X 66m Blanco.</v>
          </cell>
          <cell r="C672" t="str">
            <v>Sí</v>
          </cell>
          <cell r="D672" t="str">
            <v>No</v>
          </cell>
        </row>
        <row r="673">
          <cell r="A673" t="str">
            <v>A0000928</v>
          </cell>
          <cell r="B673" t="str">
            <v>Rollo Doble Cara Tesa ACXplus 7065 19mm X 25m. 1,2mm Negro. Alta. Adhe</v>
          </cell>
          <cell r="C673" t="str">
            <v>Sí</v>
          </cell>
          <cell r="D673" t="str">
            <v>No</v>
          </cell>
        </row>
        <row r="674">
          <cell r="A674" t="str">
            <v>A0000929</v>
          </cell>
          <cell r="B674" t="str">
            <v>Rollo Doble Cara Tesa ACXplus 7065 25mm X 25m. 1,2mm Negro. Alta. Adhe</v>
          </cell>
          <cell r="C674" t="str">
            <v>Sí</v>
          </cell>
          <cell r="D674" t="str">
            <v>No</v>
          </cell>
        </row>
        <row r="675">
          <cell r="A675" t="str">
            <v>A0000930</v>
          </cell>
          <cell r="B675" t="str">
            <v>Rollo Doble Cara Tesa ACXplus 7066 12mm X 18m. 1,5mm Negro. Alta. Adhe</v>
          </cell>
          <cell r="C675" t="str">
            <v>Sí</v>
          </cell>
          <cell r="D675" t="str">
            <v>No</v>
          </cell>
        </row>
        <row r="676">
          <cell r="A676" t="str">
            <v>A0000931</v>
          </cell>
          <cell r="B676" t="str">
            <v>Rollo Doble Cara Tesa ACXplus 7074 12mm X 25m. 1mm Negro. Alta. Resist</v>
          </cell>
          <cell r="C676" t="str">
            <v>Sí</v>
          </cell>
          <cell r="D676" t="str">
            <v>No</v>
          </cell>
        </row>
        <row r="677">
          <cell r="A677" t="str">
            <v>A0000932</v>
          </cell>
          <cell r="B677" t="str">
            <v>Rollo Doble Cara Tesa ACXplus 7074 15mm X 25m. 1mm Negro. Alta. Resist</v>
          </cell>
          <cell r="C677" t="str">
            <v>Sí</v>
          </cell>
          <cell r="D677" t="str">
            <v>No</v>
          </cell>
        </row>
        <row r="678">
          <cell r="A678" t="str">
            <v>A0000933</v>
          </cell>
          <cell r="B678" t="str">
            <v>Rollo Doble Cara Tesa ACXplus 7074 19mm X 25m. 1mm Negro. Alta. Resist</v>
          </cell>
          <cell r="C678" t="str">
            <v>Sí</v>
          </cell>
          <cell r="D678" t="str">
            <v>No</v>
          </cell>
        </row>
        <row r="679">
          <cell r="A679" t="str">
            <v>A0000934</v>
          </cell>
          <cell r="B679" t="str">
            <v>Rollo Doble Cara Tesa ACXplus 7074 25mm X 25m. 1mm Negro. Alta. Resist</v>
          </cell>
          <cell r="C679" t="str">
            <v>Sí</v>
          </cell>
          <cell r="D679" t="str">
            <v>No</v>
          </cell>
        </row>
        <row r="680">
          <cell r="A680" t="str">
            <v>A0000935</v>
          </cell>
          <cell r="B680" t="str">
            <v>Rollo Doble Cara Tesa ACXplus 7076 12mm X 18m. 1,5mm Negro. Alta. Resist</v>
          </cell>
          <cell r="C680" t="str">
            <v>Sí</v>
          </cell>
          <cell r="D680" t="str">
            <v>No</v>
          </cell>
        </row>
        <row r="681">
          <cell r="A681" t="str">
            <v>A0000936</v>
          </cell>
          <cell r="B681" t="str">
            <v>Rollo Doble Cara Tesa ACXplus 7076 25mm X 18m. 1,5mm Negro. Alta. Resist</v>
          </cell>
          <cell r="C681" t="str">
            <v>Sí</v>
          </cell>
          <cell r="D681" t="str">
            <v>No</v>
          </cell>
        </row>
        <row r="682">
          <cell r="A682" t="str">
            <v>A0000937</v>
          </cell>
          <cell r="B682" t="str">
            <v>Rollo Doble Cara Tesa ACXplus 7078 12mm X 18m. 2mm Negro. Alta. Resist</v>
          </cell>
          <cell r="C682" t="str">
            <v>Sí</v>
          </cell>
          <cell r="D682" t="str">
            <v>No</v>
          </cell>
        </row>
        <row r="683">
          <cell r="A683" t="str">
            <v>A0000938</v>
          </cell>
          <cell r="B683" t="str">
            <v>Rollo Precinto Tesa 4100 PVC Rugoso 50mm X 66m Tte.</v>
          </cell>
          <cell r="C683" t="str">
            <v>Sí</v>
          </cell>
          <cell r="D683" t="str">
            <v>No</v>
          </cell>
        </row>
        <row r="684">
          <cell r="A684" t="str">
            <v>A0000939</v>
          </cell>
          <cell r="B684" t="str">
            <v>Rollo Doble Cara Tesa ACXplus 7078 19mm X 18m. 2mm Negro. Alta. Resist</v>
          </cell>
          <cell r="C684" t="str">
            <v>Sí</v>
          </cell>
          <cell r="D684" t="str">
            <v>No</v>
          </cell>
        </row>
        <row r="685">
          <cell r="A685" t="str">
            <v>A0000940</v>
          </cell>
          <cell r="B685" t="str">
            <v>Rollo Doble Cara Tesa ACXplus 7078 25mm X 18m. 2mm Negro. Alta. Resist</v>
          </cell>
          <cell r="C685" t="str">
            <v>Sí</v>
          </cell>
          <cell r="D685" t="str">
            <v>No</v>
          </cell>
        </row>
        <row r="686">
          <cell r="A686" t="str">
            <v>A0000941</v>
          </cell>
          <cell r="B686" t="str">
            <v>Bote 1L Tesa 60150 Primer PP, EDPM, Metal</v>
          </cell>
          <cell r="C686" t="str">
            <v>Sí</v>
          </cell>
          <cell r="D686" t="str">
            <v>No</v>
          </cell>
        </row>
        <row r="687">
          <cell r="A687" t="str">
            <v>A0000942</v>
          </cell>
          <cell r="B687" t="str">
            <v>Bote 1L Tesa 60151 Primer Cristal</v>
          </cell>
          <cell r="C687" t="str">
            <v>Sí</v>
          </cell>
          <cell r="D687" t="str">
            <v>No</v>
          </cell>
        </row>
        <row r="688">
          <cell r="A688" t="str">
            <v>A0000943</v>
          </cell>
          <cell r="B688" t="str">
            <v>Bote 1L Tesa 60152 Primer PU</v>
          </cell>
          <cell r="C688" t="str">
            <v>Sí</v>
          </cell>
          <cell r="D688" t="str">
            <v>No</v>
          </cell>
        </row>
        <row r="689">
          <cell r="A689" t="str">
            <v>A0000944</v>
          </cell>
          <cell r="B689" t="str">
            <v>Bote 1L Tesa 60153 Primer Fast Cure.</v>
          </cell>
          <cell r="C689" t="str">
            <v>Sí</v>
          </cell>
          <cell r="D689" t="str">
            <v>No</v>
          </cell>
        </row>
        <row r="690">
          <cell r="A690" t="str">
            <v>A0000945</v>
          </cell>
          <cell r="B690" t="str">
            <v>Rollo Tesa Krepp 60 C. 15mm X 50m</v>
          </cell>
          <cell r="C690" t="str">
            <v>Sí</v>
          </cell>
          <cell r="D690" t="str">
            <v>No</v>
          </cell>
        </row>
        <row r="691">
          <cell r="A691" t="str">
            <v>A0000946</v>
          </cell>
          <cell r="B691" t="str">
            <v>Rollo Tesa Krepp 60 C. 12mm X 50m</v>
          </cell>
          <cell r="C691" t="str">
            <v>Sí</v>
          </cell>
          <cell r="D691" t="str">
            <v>No</v>
          </cell>
        </row>
        <row r="692">
          <cell r="A692" t="str">
            <v>A0000947</v>
          </cell>
          <cell r="B692" t="str">
            <v>Rollo Tesa Krepp 60 C. 19mm X 50m</v>
          </cell>
          <cell r="C692" t="str">
            <v>Sí</v>
          </cell>
          <cell r="D692" t="str">
            <v>No</v>
          </cell>
        </row>
        <row r="693">
          <cell r="A693" t="str">
            <v>A0000948</v>
          </cell>
          <cell r="B693" t="str">
            <v>Rollo Tesa Krepp 60 C. 25mm X 50m</v>
          </cell>
          <cell r="C693" t="str">
            <v>Sí</v>
          </cell>
          <cell r="D693" t="str">
            <v>No</v>
          </cell>
        </row>
        <row r="694">
          <cell r="A694" t="str">
            <v>A0000949</v>
          </cell>
          <cell r="B694" t="str">
            <v>Rollo Precinto Tesa 4100 PVC Rugoso 50mm X 132m Tte.</v>
          </cell>
          <cell r="C694" t="str">
            <v>Sí</v>
          </cell>
          <cell r="D694" t="str">
            <v>No</v>
          </cell>
        </row>
        <row r="695">
          <cell r="A695" t="str">
            <v>A0000950</v>
          </cell>
          <cell r="B695" t="str">
            <v>Rollo Tesa Krepp 60 C. 30mm X 50m</v>
          </cell>
          <cell r="C695" t="str">
            <v>Sí</v>
          </cell>
          <cell r="D695" t="str">
            <v>No</v>
          </cell>
        </row>
        <row r="696">
          <cell r="A696" t="str">
            <v>A0000951</v>
          </cell>
          <cell r="B696" t="str">
            <v>Rollo Tesa Krepp 60 C. 50mm X 50m</v>
          </cell>
          <cell r="C696" t="str">
            <v>Sí</v>
          </cell>
          <cell r="D696" t="str">
            <v>No</v>
          </cell>
        </row>
        <row r="697">
          <cell r="A697" t="str">
            <v>A0000952</v>
          </cell>
          <cell r="B697" t="str">
            <v>Rollo Tesa Krepp NOPI 4349 19mm X 45m</v>
          </cell>
          <cell r="C697" t="str">
            <v>Sí</v>
          </cell>
          <cell r="D697" t="str">
            <v>No</v>
          </cell>
        </row>
        <row r="698">
          <cell r="A698" t="str">
            <v>A0000953</v>
          </cell>
          <cell r="B698" t="str">
            <v>Rollo Tesa Krepp NOPI 4349 25mm X 45m</v>
          </cell>
          <cell r="C698" t="str">
            <v>Sí</v>
          </cell>
          <cell r="D698" t="str">
            <v>No</v>
          </cell>
        </row>
        <row r="699">
          <cell r="A699" t="str">
            <v>A0000954</v>
          </cell>
          <cell r="B699" t="str">
            <v>Rollo Tesa Krepp NOPI 4349 30mm X 45m</v>
          </cell>
          <cell r="C699" t="str">
            <v>Sí</v>
          </cell>
          <cell r="D699" t="str">
            <v>No</v>
          </cell>
        </row>
        <row r="700">
          <cell r="A700" t="str">
            <v>A0000955</v>
          </cell>
          <cell r="B700" t="str">
            <v>Rollo Tesa Krepp NOPI 4349 50mm X 45m</v>
          </cell>
          <cell r="C700" t="str">
            <v>Sí</v>
          </cell>
          <cell r="D700" t="str">
            <v>No</v>
          </cell>
        </row>
        <row r="701">
          <cell r="A701" t="str">
            <v>A0000956</v>
          </cell>
          <cell r="B701" t="str">
            <v>Rollo Cinta Americana Tesa 4662 48mmX 50m Negro</v>
          </cell>
          <cell r="C701" t="str">
            <v>Sí</v>
          </cell>
          <cell r="D701" t="str">
            <v>No</v>
          </cell>
        </row>
        <row r="702">
          <cell r="A702" t="str">
            <v>A0000957</v>
          </cell>
          <cell r="B702" t="str">
            <v>Rollo Cinta Americana Tesa 4662 48mmX 50m Amarillo</v>
          </cell>
          <cell r="C702" t="str">
            <v>Sí</v>
          </cell>
          <cell r="D702" t="str">
            <v>No</v>
          </cell>
        </row>
        <row r="703">
          <cell r="A703" t="str">
            <v>A0000958</v>
          </cell>
          <cell r="B703" t="str">
            <v>Rollo Cinta Transferidora Tesa 4900 19mmX 33m Rebobibano inv.</v>
          </cell>
          <cell r="C703" t="str">
            <v>Sí</v>
          </cell>
          <cell r="D703" t="str">
            <v>No</v>
          </cell>
        </row>
        <row r="704">
          <cell r="A704" t="str">
            <v>A0000959</v>
          </cell>
          <cell r="B704" t="str">
            <v>Rollo Cinta Transferidora Tesa 4900 12mmX 33m Rebobibano inv.</v>
          </cell>
          <cell r="C704" t="str">
            <v>Sí</v>
          </cell>
          <cell r="D704" t="str">
            <v>No</v>
          </cell>
        </row>
        <row r="705">
          <cell r="A705" t="str">
            <v>A0000960</v>
          </cell>
          <cell r="B705" t="str">
            <v>Rollo Precinto Tesa 4100 PVC Rugoso 50mm X 66m Marrón.</v>
          </cell>
          <cell r="C705" t="str">
            <v>Sí</v>
          </cell>
          <cell r="D705" t="str">
            <v>No</v>
          </cell>
        </row>
        <row r="706">
          <cell r="A706" t="str">
            <v>A0000961</v>
          </cell>
          <cell r="B706" t="str">
            <v>Rollo Cinta Transferidora Tesa 4900 12mmX 33m</v>
          </cell>
          <cell r="C706" t="str">
            <v>Sí</v>
          </cell>
          <cell r="D706" t="str">
            <v>No</v>
          </cell>
        </row>
        <row r="707">
          <cell r="A707" t="str">
            <v>A0000962</v>
          </cell>
          <cell r="B707" t="str">
            <v>Rollo Cinta Transferidora Tesa 4900 19mmX 33m</v>
          </cell>
          <cell r="C707" t="str">
            <v>Sí</v>
          </cell>
          <cell r="D707" t="str">
            <v>No</v>
          </cell>
        </row>
        <row r="708">
          <cell r="A708" t="str">
            <v>A0000963</v>
          </cell>
          <cell r="B708" t="str">
            <v>Rollo Cinta PET Tesa 4129 12mmX66m</v>
          </cell>
          <cell r="C708" t="str">
            <v>Sí</v>
          </cell>
          <cell r="D708" t="str">
            <v>No</v>
          </cell>
        </row>
        <row r="709">
          <cell r="A709" t="str">
            <v>A0000964</v>
          </cell>
          <cell r="B709" t="str">
            <v>Rollo Cinta PET Tesa 4129 19mmX66m</v>
          </cell>
          <cell r="C709" t="str">
            <v>Sí</v>
          </cell>
          <cell r="D709" t="str">
            <v>No</v>
          </cell>
        </row>
        <row r="710">
          <cell r="A710" t="str">
            <v>A0000965</v>
          </cell>
          <cell r="B710" t="str">
            <v>Rollo Cinta PET Tesa 4129 25mmX66m</v>
          </cell>
          <cell r="C710" t="str">
            <v>Sí</v>
          </cell>
          <cell r="D710" t="str">
            <v>No</v>
          </cell>
        </row>
        <row r="711">
          <cell r="A711" t="str">
            <v>A0000966</v>
          </cell>
          <cell r="B711" t="str">
            <v>Rollo Cinta PET Tesa 4129 50mmX66m</v>
          </cell>
          <cell r="C711" t="str">
            <v>Sí</v>
          </cell>
          <cell r="D711" t="str">
            <v>No</v>
          </cell>
        </row>
        <row r="712">
          <cell r="A712" t="str">
            <v>A0000967</v>
          </cell>
          <cell r="B712" t="str">
            <v>Rollo Cinta D/C Tesa 51570 9mmX50m</v>
          </cell>
          <cell r="C712" t="str">
            <v>Sí</v>
          </cell>
          <cell r="D712" t="str">
            <v>No</v>
          </cell>
        </row>
        <row r="713">
          <cell r="A713" t="str">
            <v>A0000968</v>
          </cell>
          <cell r="B713" t="str">
            <v>Rollo Cinta D/C Tesa 51570 12mmX50m</v>
          </cell>
          <cell r="C713" t="str">
            <v>Sí</v>
          </cell>
          <cell r="D713" t="str">
            <v>No</v>
          </cell>
        </row>
        <row r="714">
          <cell r="A714" t="str">
            <v>A0000969</v>
          </cell>
          <cell r="B714" t="str">
            <v>Rollo Cinta D/C Tesa 51570 19mmX50m</v>
          </cell>
          <cell r="C714" t="str">
            <v>Sí</v>
          </cell>
          <cell r="D714" t="str">
            <v>No</v>
          </cell>
        </row>
        <row r="715">
          <cell r="A715" t="str">
            <v>A0000970</v>
          </cell>
          <cell r="B715" t="str">
            <v>Rollo Cinta D/C Tesa 51570 25mmX50m</v>
          </cell>
          <cell r="C715" t="str">
            <v>Sí</v>
          </cell>
          <cell r="D715" t="str">
            <v>No</v>
          </cell>
        </row>
        <row r="716">
          <cell r="A716" t="str">
            <v>A0000971</v>
          </cell>
          <cell r="B716" t="str">
            <v>Rollo Precinto Tesa 4100 PVC Rugoso 50mm X 132m Marrón.</v>
          </cell>
          <cell r="C716" t="str">
            <v>Sí</v>
          </cell>
          <cell r="D716" t="str">
            <v>No</v>
          </cell>
        </row>
        <row r="717">
          <cell r="A717" t="str">
            <v>A0000972</v>
          </cell>
          <cell r="B717" t="str">
            <v>Rollo Precinto Impreso Tesa 50mmX66 (2 Tintas)</v>
          </cell>
          <cell r="C717" t="str">
            <v>Sí</v>
          </cell>
          <cell r="D717" t="str">
            <v>No</v>
          </cell>
        </row>
        <row r="718">
          <cell r="A718" t="str">
            <v>A0000973</v>
          </cell>
          <cell r="B718" t="str">
            <v>Rollo Cinta D/C Tesa 51570 50mmX50m</v>
          </cell>
          <cell r="C718" t="str">
            <v>Sí</v>
          </cell>
          <cell r="D718" t="str">
            <v>No</v>
          </cell>
        </row>
        <row r="719">
          <cell r="A719" t="str">
            <v>A0000974</v>
          </cell>
          <cell r="B719" t="str">
            <v>Rollo Precinto Impreso Tesa 50mmX132 (2 Tintas)</v>
          </cell>
          <cell r="C719" t="str">
            <v>Sí</v>
          </cell>
          <cell r="D719" t="str">
            <v>No</v>
          </cell>
        </row>
        <row r="720">
          <cell r="A720" t="str">
            <v>A0000976</v>
          </cell>
          <cell r="B720" t="str">
            <v>Bote Ecoflush 1 Litro</v>
          </cell>
          <cell r="C720" t="str">
            <v>Sí</v>
          </cell>
          <cell r="D720" t="str">
            <v>No</v>
          </cell>
        </row>
        <row r="721">
          <cell r="A721" t="str">
            <v>A0000980</v>
          </cell>
          <cell r="B721" t="str">
            <v>Solvent Head Manifold for Epson DX4 printhead (A)</v>
          </cell>
          <cell r="C721" t="str">
            <v>Sí</v>
          </cell>
          <cell r="D721" t="str">
            <v>No</v>
          </cell>
        </row>
        <row r="722">
          <cell r="A722" t="str">
            <v>A0000981</v>
          </cell>
          <cell r="B722" t="str">
            <v>DX4 Small Damper (A)</v>
          </cell>
          <cell r="C722" t="str">
            <v>Sí</v>
          </cell>
          <cell r="D722" t="str">
            <v>No</v>
          </cell>
        </row>
        <row r="723">
          <cell r="A723" t="str">
            <v>A0000982</v>
          </cell>
          <cell r="B723" t="str">
            <v>DX7 Damper (A)</v>
          </cell>
          <cell r="C723" t="str">
            <v>Sí</v>
          </cell>
          <cell r="D723" t="str">
            <v>No</v>
          </cell>
        </row>
        <row r="724">
          <cell r="A724" t="str">
            <v>A0001434</v>
          </cell>
          <cell r="B724" t="str">
            <v>M2 Metamark M7 119 Azul Prusiano 1,22 x 50m</v>
          </cell>
          <cell r="C724" t="str">
            <v>Sí</v>
          </cell>
          <cell r="D724" t="str">
            <v>Si</v>
          </cell>
          <cell r="E724" t="str">
            <v>A0000103</v>
          </cell>
        </row>
        <row r="725">
          <cell r="A725" t="str">
            <v>A0000984</v>
          </cell>
          <cell r="B725" t="str">
            <v>SP-540 Pad Cutter</v>
          </cell>
          <cell r="C725" t="str">
            <v>Sí</v>
          </cell>
          <cell r="D725" t="str">
            <v>Si</v>
          </cell>
        </row>
        <row r="726">
          <cell r="A726" t="str">
            <v>A0000985</v>
          </cell>
          <cell r="B726" t="str">
            <v>Magic Mask + Cad Color 500mmX25m</v>
          </cell>
          <cell r="C726" t="str">
            <v>Sí</v>
          </cell>
          <cell r="D726" t="str">
            <v>Si</v>
          </cell>
        </row>
        <row r="727">
          <cell r="A727" t="str">
            <v>A0000986</v>
          </cell>
          <cell r="B727" t="str">
            <v>Rollo Metaguard FloorArt Laminado Suelo 1,37x50m</v>
          </cell>
          <cell r="C727" t="str">
            <v>Sí</v>
          </cell>
          <cell r="D727" t="str">
            <v>Si</v>
          </cell>
          <cell r="E727" t="str">
            <v>A0000986</v>
          </cell>
        </row>
        <row r="728">
          <cell r="A728" t="str">
            <v>A0000987</v>
          </cell>
          <cell r="B728" t="str">
            <v>Rollo Metamark MD PR Removible (100mc Imp. y Corte) Brillo 1,37x50m</v>
          </cell>
          <cell r="C728" t="str">
            <v>Sí</v>
          </cell>
          <cell r="D728" t="str">
            <v>Si</v>
          </cell>
          <cell r="E728" t="str">
            <v>A0000209</v>
          </cell>
        </row>
        <row r="729">
          <cell r="A729" t="str">
            <v>A0000990</v>
          </cell>
          <cell r="B729" t="str">
            <v>Roland P-Roller</v>
          </cell>
          <cell r="C729" t="str">
            <v>Sí</v>
          </cell>
          <cell r="D729" t="str">
            <v>No</v>
          </cell>
        </row>
        <row r="730">
          <cell r="A730" t="str">
            <v>A0000991</v>
          </cell>
          <cell r="B730" t="str">
            <v>Roland Sensor Interrupter GP1A05A5 15229506 (A)</v>
          </cell>
          <cell r="C730" t="str">
            <v>Sí</v>
          </cell>
          <cell r="D730" t="str">
            <v>No</v>
          </cell>
        </row>
        <row r="731">
          <cell r="A731" t="str">
            <v>A0000992</v>
          </cell>
          <cell r="B731" t="str">
            <v>Roland CJ-540 Photo Interrupter GP1A71A1 15229705 (A)</v>
          </cell>
          <cell r="C731" t="str">
            <v>Sí</v>
          </cell>
          <cell r="D731" t="str">
            <v>No</v>
          </cell>
        </row>
        <row r="732">
          <cell r="A732" t="str">
            <v>A0001003</v>
          </cell>
          <cell r="B732" t="str">
            <v>Assy, Scan Motor SP-540</v>
          </cell>
          <cell r="C732" t="str">
            <v>Sí</v>
          </cell>
          <cell r="D732" t="str">
            <v>No</v>
          </cell>
        </row>
        <row r="733">
          <cell r="A733" t="str">
            <v>A0001004</v>
          </cell>
          <cell r="B733" t="str">
            <v>1000003390 - Wiper, DX-4 Head For Solink</v>
          </cell>
          <cell r="C733" t="str">
            <v>Sí</v>
          </cell>
          <cell r="D733" t="str">
            <v>No</v>
          </cell>
        </row>
        <row r="734">
          <cell r="A734" t="str">
            <v>A0001005</v>
          </cell>
          <cell r="B734" t="str">
            <v>Wiper, Scraper VS 640</v>
          </cell>
          <cell r="C734" t="str">
            <v>Sí</v>
          </cell>
          <cell r="D734" t="str">
            <v>No</v>
          </cell>
        </row>
        <row r="735">
          <cell r="A735" t="str">
            <v>A0001006</v>
          </cell>
          <cell r="B735" t="str">
            <v>Assy, Long media clamp L SP-540</v>
          </cell>
          <cell r="C735" t="str">
            <v>Sí</v>
          </cell>
          <cell r="D735" t="str">
            <v>No</v>
          </cell>
        </row>
        <row r="736">
          <cell r="A736" t="str">
            <v>A0001007</v>
          </cell>
          <cell r="B736" t="str">
            <v>Assy, Long media clamp R SP-540</v>
          </cell>
          <cell r="C736" t="str">
            <v>Sí</v>
          </cell>
          <cell r="D736" t="str">
            <v>No</v>
          </cell>
        </row>
        <row r="737">
          <cell r="A737" t="str">
            <v>A0001008</v>
          </cell>
          <cell r="B737" t="str">
            <v>22805576 - Assy, Short media clamp R SP-540</v>
          </cell>
          <cell r="C737" t="str">
            <v>Sí</v>
          </cell>
          <cell r="D737" t="str">
            <v>No</v>
          </cell>
        </row>
        <row r="738">
          <cell r="A738" t="str">
            <v>A0001009</v>
          </cell>
          <cell r="B738" t="str">
            <v>22805575 - Assy, Short media clamp L SP-540</v>
          </cell>
          <cell r="C738" t="str">
            <v>Sí</v>
          </cell>
          <cell r="D738" t="str">
            <v>No</v>
          </cell>
        </row>
        <row r="739">
          <cell r="A739" t="str">
            <v>A0001010</v>
          </cell>
          <cell r="B739" t="str">
            <v>1000015117 - Base media clamp  SP-300</v>
          </cell>
          <cell r="C739" t="str">
            <v>Sí</v>
          </cell>
          <cell r="D739" t="str">
            <v>No</v>
          </cell>
        </row>
        <row r="740">
          <cell r="A740" t="str">
            <v>A0001011</v>
          </cell>
          <cell r="B740" t="str">
            <v>Patín Block SSR15XWSSGK</v>
          </cell>
          <cell r="C740" t="str">
            <v>Sí</v>
          </cell>
          <cell r="D740" t="str">
            <v>No</v>
          </cell>
        </row>
        <row r="741">
          <cell r="A741" t="str">
            <v>A0001012</v>
          </cell>
          <cell r="B741" t="str">
            <v>EASYMOUNT EMS-1400H</v>
          </cell>
          <cell r="C741" t="str">
            <v>Sí</v>
          </cell>
          <cell r="D741" t="str">
            <v>No</v>
          </cell>
        </row>
        <row r="742">
          <cell r="A742" t="str">
            <v>A0001013</v>
          </cell>
          <cell r="B742" t="str">
            <v>Cartucho Eco Sol Max Light Cyan 440cc</v>
          </cell>
          <cell r="C742" t="str">
            <v>Sí</v>
          </cell>
          <cell r="D742" t="str">
            <v>Si</v>
          </cell>
          <cell r="E742" t="str">
            <v>A0001033</v>
          </cell>
        </row>
        <row r="743">
          <cell r="A743" t="str">
            <v>A0001014</v>
          </cell>
          <cell r="B743" t="str">
            <v>Cartucho Eco Sol Max Light Magenta 440cc</v>
          </cell>
          <cell r="C743" t="str">
            <v>Sí</v>
          </cell>
          <cell r="D743" t="str">
            <v>Si</v>
          </cell>
          <cell r="E743" t="str">
            <v>A0001033</v>
          </cell>
        </row>
        <row r="744">
          <cell r="A744" t="str">
            <v>A0001015</v>
          </cell>
          <cell r="B744" t="str">
            <v>Cartucho Eco Sol Max Magenta 440cc</v>
          </cell>
          <cell r="C744" t="str">
            <v>Sí</v>
          </cell>
          <cell r="D744" t="str">
            <v>Si</v>
          </cell>
          <cell r="E744" t="str">
            <v>A0001033</v>
          </cell>
        </row>
        <row r="745">
          <cell r="A745" t="str">
            <v>A0001016</v>
          </cell>
          <cell r="B745" t="str">
            <v>Cartucho Eco Sol Max Cyan 440cc</v>
          </cell>
          <cell r="C745" t="str">
            <v>Sí</v>
          </cell>
          <cell r="D745" t="str">
            <v>Si</v>
          </cell>
          <cell r="E745" t="str">
            <v>A0001033</v>
          </cell>
        </row>
        <row r="746">
          <cell r="A746" t="str">
            <v>A0001017</v>
          </cell>
          <cell r="B746" t="str">
            <v>Cartucho Eco Sol Max Negro 440cc</v>
          </cell>
          <cell r="C746" t="str">
            <v>Sí</v>
          </cell>
          <cell r="D746" t="str">
            <v>Si</v>
          </cell>
          <cell r="E746" t="str">
            <v>A0001033</v>
          </cell>
        </row>
        <row r="747">
          <cell r="A747" t="str">
            <v>A0001018</v>
          </cell>
          <cell r="B747" t="str">
            <v>Cartucho Eco Sol Max Amarillo 440cc</v>
          </cell>
          <cell r="C747" t="str">
            <v>Sí</v>
          </cell>
          <cell r="D747" t="str">
            <v>Si</v>
          </cell>
          <cell r="E747" t="str">
            <v>A0001033</v>
          </cell>
        </row>
        <row r="748">
          <cell r="A748" t="str">
            <v>A0001019</v>
          </cell>
          <cell r="B748" t="str">
            <v>Cartucho Eco Sol Max Light Cyan 220cc</v>
          </cell>
          <cell r="C748" t="str">
            <v>Sí</v>
          </cell>
          <cell r="D748" t="str">
            <v>Si</v>
          </cell>
          <cell r="E748" t="str">
            <v>A0001033</v>
          </cell>
        </row>
        <row r="749">
          <cell r="A749" t="str">
            <v>A0001025</v>
          </cell>
          <cell r="B749" t="str">
            <v>Cartucho Eco Sol Max II Amarillo 440cc</v>
          </cell>
          <cell r="C749" t="str">
            <v>Sí</v>
          </cell>
          <cell r="D749" t="str">
            <v>Si</v>
          </cell>
          <cell r="E749" t="str">
            <v>A0001023</v>
          </cell>
        </row>
        <row r="750">
          <cell r="A750" t="str">
            <v>A0001026</v>
          </cell>
          <cell r="B750" t="str">
            <v>Cartucho Eco Sol Max II Light Cyan 440cc</v>
          </cell>
          <cell r="C750" t="str">
            <v>Sí</v>
          </cell>
          <cell r="D750" t="str">
            <v>Si</v>
          </cell>
          <cell r="E750" t="str">
            <v>A0001023</v>
          </cell>
        </row>
        <row r="751">
          <cell r="A751" t="str">
            <v>A0001027</v>
          </cell>
          <cell r="B751" t="str">
            <v>Cartucho Eco Sol Max II Light Magenta 440cc</v>
          </cell>
          <cell r="C751" t="str">
            <v>Sí</v>
          </cell>
          <cell r="D751" t="str">
            <v>Si</v>
          </cell>
          <cell r="E751" t="str">
            <v>A0001023</v>
          </cell>
        </row>
        <row r="752">
          <cell r="A752" t="str">
            <v>A0001028</v>
          </cell>
          <cell r="B752" t="str">
            <v>Cartucho Eco Sol Max II Magenta 440cc</v>
          </cell>
          <cell r="C752" t="str">
            <v>Sí</v>
          </cell>
          <cell r="D752" t="str">
            <v>Si</v>
          </cell>
          <cell r="E752" t="str">
            <v>A0001023</v>
          </cell>
        </row>
        <row r="753">
          <cell r="A753" t="str">
            <v>A0001029</v>
          </cell>
          <cell r="B753" t="str">
            <v>Cartucho Eco Sol Max II Cyan 440cc</v>
          </cell>
          <cell r="C753" t="str">
            <v>Sí</v>
          </cell>
          <cell r="D753" t="str">
            <v>Si</v>
          </cell>
          <cell r="E753" t="str">
            <v>A0001023</v>
          </cell>
        </row>
        <row r="754">
          <cell r="A754" t="str">
            <v>A0001030</v>
          </cell>
          <cell r="B754" t="str">
            <v>Cartucho Eco Sol Max II Negro 440cc</v>
          </cell>
          <cell r="C754" t="str">
            <v>Sí</v>
          </cell>
          <cell r="D754" t="str">
            <v>Si</v>
          </cell>
          <cell r="E754" t="str">
            <v>A0001023</v>
          </cell>
        </row>
        <row r="755">
          <cell r="A755" t="str">
            <v>A0001032</v>
          </cell>
          <cell r="B755" t="str">
            <v>Cartucho Eco Sol Max Light Magenta 220cc</v>
          </cell>
          <cell r="C755" t="str">
            <v>Sí</v>
          </cell>
          <cell r="D755" t="str">
            <v>Si</v>
          </cell>
          <cell r="E755" t="str">
            <v>A0001033</v>
          </cell>
        </row>
        <row r="756">
          <cell r="A756" t="str">
            <v>A0001033</v>
          </cell>
          <cell r="B756" t="str">
            <v>Cartucho Eco Sol Max Cyan 220cc</v>
          </cell>
          <cell r="C756" t="str">
            <v>Sí</v>
          </cell>
          <cell r="D756" t="str">
            <v>Si</v>
          </cell>
          <cell r="E756" t="str">
            <v>A0001033</v>
          </cell>
        </row>
        <row r="757">
          <cell r="A757" t="str">
            <v>A0001034</v>
          </cell>
          <cell r="B757" t="str">
            <v>Cartucho Eco Sol Max Magenta 220cc</v>
          </cell>
          <cell r="C757" t="str">
            <v>Sí</v>
          </cell>
          <cell r="D757" t="str">
            <v>Si</v>
          </cell>
          <cell r="E757" t="str">
            <v>A0001033</v>
          </cell>
        </row>
        <row r="758">
          <cell r="A758" t="str">
            <v>A0001035</v>
          </cell>
          <cell r="B758" t="str">
            <v>Cartucho Eco Sol Max Negro 220cc</v>
          </cell>
          <cell r="C758" t="str">
            <v>Sí</v>
          </cell>
          <cell r="D758" t="str">
            <v>Si</v>
          </cell>
          <cell r="E758" t="str">
            <v>A0001033</v>
          </cell>
        </row>
        <row r="759">
          <cell r="A759" t="str">
            <v>A0001036</v>
          </cell>
          <cell r="B759" t="str">
            <v>Cartucho Eco Sol Max Amarillo 220cc</v>
          </cell>
          <cell r="C759" t="str">
            <v>Sí</v>
          </cell>
          <cell r="D759" t="str">
            <v>Si</v>
          </cell>
          <cell r="E759" t="str">
            <v>A0001033</v>
          </cell>
        </row>
        <row r="760">
          <cell r="A760" t="str">
            <v>A0001038</v>
          </cell>
          <cell r="B760" t="str">
            <v>Cartucho Eco Sol Max II Light Negro 440cc</v>
          </cell>
          <cell r="C760" t="str">
            <v>Sí</v>
          </cell>
          <cell r="D760" t="str">
            <v>Si</v>
          </cell>
          <cell r="E760" t="str">
            <v>A0001023</v>
          </cell>
        </row>
        <row r="761">
          <cell r="A761" t="str">
            <v>A0001039</v>
          </cell>
          <cell r="B761" t="str">
            <v>Rollo Metaguard FloorArt Laminado Suelo 1,52x50m</v>
          </cell>
          <cell r="C761" t="str">
            <v>Sí</v>
          </cell>
          <cell r="D761" t="str">
            <v>Si</v>
          </cell>
          <cell r="E761" t="str">
            <v>A0000986</v>
          </cell>
        </row>
        <row r="762">
          <cell r="A762" t="str">
            <v>A0001040</v>
          </cell>
          <cell r="B762" t="str">
            <v>Cartucho Eco Sol Max 3 Light Magenta 220cc</v>
          </cell>
          <cell r="C762" t="str">
            <v>Sí</v>
          </cell>
          <cell r="D762" t="str">
            <v>Si</v>
          </cell>
          <cell r="E762" t="str">
            <v>A0001043</v>
          </cell>
        </row>
        <row r="763">
          <cell r="A763" t="str">
            <v>A0001041</v>
          </cell>
          <cell r="B763" t="str">
            <v>Cartucho Eco Sol Max 3 Magenta 220cc</v>
          </cell>
          <cell r="C763" t="str">
            <v>Sí</v>
          </cell>
          <cell r="D763" t="str">
            <v>Si</v>
          </cell>
          <cell r="E763" t="str">
            <v>A0001043</v>
          </cell>
        </row>
        <row r="764">
          <cell r="A764" t="str">
            <v>A0001042</v>
          </cell>
          <cell r="B764" t="str">
            <v>Cartucho Eco Sol Max 3 Amarillo 220cc</v>
          </cell>
          <cell r="C764" t="str">
            <v>Sí</v>
          </cell>
          <cell r="D764" t="str">
            <v>Si</v>
          </cell>
          <cell r="E764" t="str">
            <v>A0001043</v>
          </cell>
        </row>
        <row r="765">
          <cell r="A765" t="str">
            <v>A0001043</v>
          </cell>
          <cell r="B765" t="str">
            <v>Cartucho Eco Sol Max 3 Cyan 220cc</v>
          </cell>
          <cell r="C765" t="str">
            <v>Sí</v>
          </cell>
          <cell r="D765" t="str">
            <v>Si</v>
          </cell>
          <cell r="E765" t="str">
            <v>A0001043</v>
          </cell>
        </row>
        <row r="766">
          <cell r="A766" t="str">
            <v>A0001044</v>
          </cell>
          <cell r="B766" t="str">
            <v>Cartucho Eco Sol Max 3 Negro 220cc</v>
          </cell>
          <cell r="C766" t="str">
            <v>Sí</v>
          </cell>
          <cell r="D766" t="str">
            <v>Si</v>
          </cell>
          <cell r="E766" t="str">
            <v>A0001043</v>
          </cell>
        </row>
        <row r="767">
          <cell r="A767" t="str">
            <v>A0001045</v>
          </cell>
          <cell r="B767" t="str">
            <v>Cartucho Eco Sol Max 3 Amarillo 500cc</v>
          </cell>
          <cell r="C767" t="str">
            <v>Sí</v>
          </cell>
          <cell r="D767" t="str">
            <v>Si</v>
          </cell>
          <cell r="E767" t="str">
            <v>A0001043</v>
          </cell>
        </row>
        <row r="768">
          <cell r="A768" t="str">
            <v>A0001046</v>
          </cell>
          <cell r="B768" t="str">
            <v>Cartucho Eco Sol Max 3 Light Cyan 500cc</v>
          </cell>
          <cell r="C768" t="str">
            <v>Sí</v>
          </cell>
          <cell r="D768" t="str">
            <v>Si</v>
          </cell>
          <cell r="E768" t="str">
            <v>A0001043</v>
          </cell>
        </row>
        <row r="769">
          <cell r="A769" t="str">
            <v>A0001047</v>
          </cell>
          <cell r="B769" t="str">
            <v>Cartucho Eco Sol Max 3 Light Magenta 500cc</v>
          </cell>
          <cell r="C769" t="str">
            <v>Sí</v>
          </cell>
          <cell r="D769" t="str">
            <v>Si</v>
          </cell>
          <cell r="E769" t="str">
            <v>A0001043</v>
          </cell>
        </row>
        <row r="770">
          <cell r="A770" t="str">
            <v>A0001048</v>
          </cell>
          <cell r="B770" t="str">
            <v>Cartucho Eco Sol Max 3 Magenta 500cc</v>
          </cell>
          <cell r="C770" t="str">
            <v>Sí</v>
          </cell>
          <cell r="D770" t="str">
            <v>Si</v>
          </cell>
          <cell r="E770" t="str">
            <v>A0001043</v>
          </cell>
        </row>
        <row r="771">
          <cell r="A771" t="str">
            <v>A0001049</v>
          </cell>
          <cell r="B771" t="str">
            <v>Cartucho Eco Sol Max 3 Cyan 500cc</v>
          </cell>
          <cell r="C771" t="str">
            <v>Sí</v>
          </cell>
          <cell r="D771" t="str">
            <v>Si</v>
          </cell>
          <cell r="E771" t="str">
            <v>A0001043</v>
          </cell>
        </row>
        <row r="772">
          <cell r="A772" t="str">
            <v>A0001050</v>
          </cell>
          <cell r="B772" t="str">
            <v>Cartucho Eco Sol Max 3 Negro 500cc</v>
          </cell>
          <cell r="C772" t="str">
            <v>Sí</v>
          </cell>
          <cell r="D772" t="str">
            <v>Si</v>
          </cell>
          <cell r="E772" t="str">
            <v>A0001043</v>
          </cell>
        </row>
        <row r="773">
          <cell r="A773" t="str">
            <v>A0001051</v>
          </cell>
          <cell r="B773" t="str">
            <v>Cartucho Eco Sol Max 3 Light Cyan 220cc</v>
          </cell>
          <cell r="C773" t="str">
            <v>Sí</v>
          </cell>
          <cell r="D773" t="str">
            <v>Si</v>
          </cell>
          <cell r="E773" t="str">
            <v>A0001043</v>
          </cell>
        </row>
        <row r="774">
          <cell r="A774" t="str">
            <v>A0001052</v>
          </cell>
          <cell r="B774" t="str">
            <v>Cartucho Eco Sol Max 3 Light Negro 500cc</v>
          </cell>
          <cell r="C774" t="str">
            <v>Sí</v>
          </cell>
          <cell r="D774" t="str">
            <v>Si</v>
          </cell>
          <cell r="E774" t="str">
            <v>A0001043</v>
          </cell>
        </row>
        <row r="775">
          <cell r="A775" t="str">
            <v>A0001053</v>
          </cell>
          <cell r="B775" t="str">
            <v>Pack 5 Cuchillas para vinilo ZECA1005-5</v>
          </cell>
          <cell r="C775" t="str">
            <v>Sí</v>
          </cell>
          <cell r="D775" t="str">
            <v>Si</v>
          </cell>
        </row>
        <row r="776">
          <cell r="A776" t="str">
            <v>A0001054</v>
          </cell>
          <cell r="B776" t="str">
            <v>Pack 3 Cuchillas para vinilo ZECA1005-3</v>
          </cell>
          <cell r="C776" t="str">
            <v>Sí</v>
          </cell>
          <cell r="D776" t="str">
            <v>Si</v>
          </cell>
        </row>
        <row r="777">
          <cell r="A777" t="str">
            <v>A0001055</v>
          </cell>
          <cell r="B777" t="str">
            <v>Pack 5 Cuchillas para sandblast ZECA1715-5</v>
          </cell>
          <cell r="C777" t="str">
            <v>Sí</v>
          </cell>
          <cell r="D777" t="str">
            <v>Si</v>
          </cell>
        </row>
        <row r="778">
          <cell r="A778" t="str">
            <v>A0001056</v>
          </cell>
          <cell r="B778" t="str">
            <v>Pack 3 Cuchillas para sandblast ZECA1715-3</v>
          </cell>
          <cell r="C778" t="str">
            <v>Sí</v>
          </cell>
          <cell r="D778" t="str">
            <v>Si</v>
          </cell>
        </row>
        <row r="779">
          <cell r="A779" t="str">
            <v>A0001057</v>
          </cell>
          <cell r="B779" t="str">
            <v>Pack 2 Cuchillas para vinilo ZEC-U5032</v>
          </cell>
          <cell r="C779" t="str">
            <v>Sí</v>
          </cell>
          <cell r="D779" t="str">
            <v>Si</v>
          </cell>
        </row>
        <row r="780">
          <cell r="A780" t="str">
            <v>A0001058</v>
          </cell>
          <cell r="B780" t="str">
            <v>Pack 5 Cuchillas para reflectante 25º ZEC-U5025</v>
          </cell>
          <cell r="C780" t="str">
            <v>Sí</v>
          </cell>
          <cell r="D780" t="str">
            <v>Si</v>
          </cell>
        </row>
        <row r="781">
          <cell r="A781" t="str">
            <v>A0001059</v>
          </cell>
          <cell r="B781" t="str">
            <v>Pack 5 Cuchillas para semirigido 0,5mm grosor ZEC-U3050</v>
          </cell>
          <cell r="C781" t="str">
            <v>Sí</v>
          </cell>
          <cell r="D781" t="str">
            <v>Si</v>
          </cell>
        </row>
        <row r="782">
          <cell r="A782" t="str">
            <v>A0001060</v>
          </cell>
          <cell r="B782" t="str">
            <v>Pack 5 Cuchillas para semirigido 0,75mm grosor ZEC-U3075</v>
          </cell>
          <cell r="C782" t="str">
            <v>Sí</v>
          </cell>
          <cell r="D782" t="str">
            <v>Si</v>
          </cell>
        </row>
        <row r="783">
          <cell r="A783" t="str">
            <v>A0001061</v>
          </cell>
          <cell r="B783" t="str">
            <v>Pack 5 Cuchillas para semirigido 1 mm grosor ZEC-U3100</v>
          </cell>
          <cell r="C783" t="str">
            <v>Sí</v>
          </cell>
          <cell r="D783" t="str">
            <v>Si</v>
          </cell>
        </row>
        <row r="784">
          <cell r="A784" t="str">
            <v>A0001062</v>
          </cell>
          <cell r="B784" t="str">
            <v>Porta cuchillas Azul XD-CH4-BL</v>
          </cell>
          <cell r="C784" t="str">
            <v>Sí</v>
          </cell>
          <cell r="D784" t="str">
            <v>Si</v>
          </cell>
        </row>
        <row r="785">
          <cell r="A785" t="str">
            <v>A0001063</v>
          </cell>
          <cell r="B785" t="str">
            <v>Porta cuchillas Rojo XD-CH4-RD</v>
          </cell>
          <cell r="C785" t="str">
            <v>Sí</v>
          </cell>
          <cell r="D785" t="str">
            <v>Si</v>
          </cell>
        </row>
        <row r="786">
          <cell r="A786" t="str">
            <v>A0001064</v>
          </cell>
          <cell r="B786" t="str">
            <v>Porta cuchillas Naranja XD-CH4-OR</v>
          </cell>
          <cell r="C786" t="str">
            <v>Sí</v>
          </cell>
          <cell r="D786" t="str">
            <v>Si</v>
          </cell>
        </row>
        <row r="787">
          <cell r="A787" t="str">
            <v>A0001065</v>
          </cell>
          <cell r="B787" t="str">
            <v>Bastoncillos Limpieza de Cabezales (PACK 10 unidades)</v>
          </cell>
          <cell r="C787" t="str">
            <v>Sí</v>
          </cell>
          <cell r="D787" t="str">
            <v>Si</v>
          </cell>
        </row>
        <row r="788">
          <cell r="A788" t="str">
            <v>A0001066</v>
          </cell>
          <cell r="B788" t="str">
            <v>Roland Grabadora Metaza MPX-95</v>
          </cell>
          <cell r="C788" t="str">
            <v>Sí</v>
          </cell>
          <cell r="D788" t="str">
            <v>Si</v>
          </cell>
        </row>
        <row r="789">
          <cell r="A789" t="str">
            <v>A0001067</v>
          </cell>
          <cell r="B789" t="str">
            <v>Rollo Metaguard MG 850 brillo (Antigraffiti) 1,37x50m</v>
          </cell>
          <cell r="C789" t="str">
            <v>Sí</v>
          </cell>
          <cell r="D789" t="str">
            <v>Si</v>
          </cell>
        </row>
        <row r="790">
          <cell r="A790" t="str">
            <v>A0001072</v>
          </cell>
          <cell r="B790" t="str">
            <v>Rollo Vinilo Microperforado 1,37x50</v>
          </cell>
          <cell r="C790" t="str">
            <v>Sí</v>
          </cell>
          <cell r="D790" t="str">
            <v>Si</v>
          </cell>
        </row>
        <row r="791">
          <cell r="A791" t="str">
            <v>A0001073</v>
          </cell>
          <cell r="B791" t="str">
            <v>Cartucho Eco Sol Max 3 Light Negro 220cc</v>
          </cell>
          <cell r="C791" t="str">
            <v>Sí</v>
          </cell>
          <cell r="D791" t="str">
            <v>Si</v>
          </cell>
          <cell r="E791" t="str">
            <v>A0001043</v>
          </cell>
        </row>
        <row r="792">
          <cell r="A792" t="str">
            <v>A0001081</v>
          </cell>
          <cell r="B792" t="str">
            <v>Plotter Impresión y Corte Roland TrueVis VG2-640</v>
          </cell>
          <cell r="C792" t="str">
            <v>Sí</v>
          </cell>
          <cell r="D792" t="str">
            <v>Si</v>
          </cell>
        </row>
        <row r="793">
          <cell r="A793" t="str">
            <v>A0001083</v>
          </cell>
          <cell r="B793" t="str">
            <v>Plotter Impresión Roland VersaExpress RF-640</v>
          </cell>
          <cell r="C793" t="str">
            <v>Sí</v>
          </cell>
          <cell r="D793" t="str">
            <v>Si</v>
          </cell>
        </row>
        <row r="794">
          <cell r="A794" t="str">
            <v>A0001097</v>
          </cell>
          <cell r="B794" t="str">
            <v>Plotter Impresión Roland Texart RT-640</v>
          </cell>
          <cell r="C794" t="str">
            <v>Sí</v>
          </cell>
          <cell r="D794" t="str">
            <v>Si</v>
          </cell>
        </row>
        <row r="795">
          <cell r="A795" t="str">
            <v>A0001100</v>
          </cell>
          <cell r="B795" t="str">
            <v>Plotter Corte Roland GS2-24</v>
          </cell>
          <cell r="C795" t="str">
            <v>Sí</v>
          </cell>
          <cell r="D795" t="str">
            <v>Si</v>
          </cell>
        </row>
        <row r="796">
          <cell r="A796" t="str">
            <v>A0001104</v>
          </cell>
          <cell r="B796" t="str">
            <v>Plotter Impresión con Cinta Roland UV LEJ-640S-B150</v>
          </cell>
          <cell r="C796" t="str">
            <v>Sí</v>
          </cell>
          <cell r="D796" t="str">
            <v>Si</v>
          </cell>
        </row>
        <row r="797">
          <cell r="A797" t="str">
            <v>A0001106</v>
          </cell>
          <cell r="B797" t="str">
            <v>Plotter Impresión con Mesa Plana UV LEJ-640S-F200</v>
          </cell>
          <cell r="C797" t="str">
            <v>Sí</v>
          </cell>
          <cell r="D797" t="str">
            <v>Si</v>
          </cell>
        </row>
        <row r="798">
          <cell r="A798" t="str">
            <v>A0001109</v>
          </cell>
          <cell r="B798" t="str">
            <v>Assy Cut org board XR-640_01</v>
          </cell>
          <cell r="C798" t="str">
            <v>Sí</v>
          </cell>
          <cell r="D798" t="str">
            <v>No</v>
          </cell>
        </row>
        <row r="799">
          <cell r="A799" t="str">
            <v>A0001110</v>
          </cell>
          <cell r="B799" t="str">
            <v>6702029010 - Assy Cap Top XR-640</v>
          </cell>
          <cell r="C799" t="str">
            <v>Sí</v>
          </cell>
          <cell r="D799" t="str">
            <v>No</v>
          </cell>
        </row>
        <row r="800">
          <cell r="A800" t="str">
            <v>A0001111</v>
          </cell>
          <cell r="B800" t="str">
            <v>Assy Print Carriage Board VS-640i</v>
          </cell>
          <cell r="C800" t="str">
            <v>Sí</v>
          </cell>
          <cell r="D800" t="str">
            <v>No</v>
          </cell>
        </row>
        <row r="801">
          <cell r="A801" t="str">
            <v>A0001112</v>
          </cell>
          <cell r="B801" t="str">
            <v>Assy Cut org board XC-540</v>
          </cell>
          <cell r="C801" t="str">
            <v>Sí</v>
          </cell>
          <cell r="D801" t="str">
            <v>No</v>
          </cell>
        </row>
        <row r="802">
          <cell r="A802" t="str">
            <v>A0001113</v>
          </cell>
          <cell r="B802" t="str">
            <v>1000006517 - Wiper Head VS-640</v>
          </cell>
          <cell r="C802" t="str">
            <v>Sí</v>
          </cell>
          <cell r="D802" t="str">
            <v>No</v>
          </cell>
        </row>
        <row r="803">
          <cell r="A803" t="str">
            <v>A0001114</v>
          </cell>
          <cell r="B803" t="str">
            <v>1000006736 - Wiper Head Felt VS-640</v>
          </cell>
          <cell r="C803" t="str">
            <v>Sí</v>
          </cell>
          <cell r="D803" t="str">
            <v>No</v>
          </cell>
        </row>
        <row r="804">
          <cell r="A804" t="str">
            <v>A0001115</v>
          </cell>
          <cell r="B804" t="str">
            <v>Lec-540 Cut-Carriage Cable-Card (A)</v>
          </cell>
          <cell r="C804" t="str">
            <v>Sí</v>
          </cell>
          <cell r="D804" t="str">
            <v>No</v>
          </cell>
        </row>
        <row r="805">
          <cell r="A805" t="str">
            <v>A0001117</v>
          </cell>
          <cell r="B805" t="str">
            <v>Cartucho Eco Sol Max II Limpiador 220cc</v>
          </cell>
          <cell r="C805" t="str">
            <v>Sí</v>
          </cell>
          <cell r="D805" t="str">
            <v>Si</v>
          </cell>
        </row>
        <row r="806">
          <cell r="A806" t="str">
            <v>A0001118</v>
          </cell>
          <cell r="B806" t="str">
            <v>Rollo Metaguard MG 850RW Poliester brillo (Antigraffiti) 1,37x50m</v>
          </cell>
          <cell r="C806" t="str">
            <v>Sí</v>
          </cell>
          <cell r="D806" t="str">
            <v>Si</v>
          </cell>
        </row>
        <row r="807">
          <cell r="A807" t="str">
            <v>A0001122</v>
          </cell>
          <cell r="B807" t="str">
            <v>Stay, Cut Carriage Hold XR-640</v>
          </cell>
          <cell r="C807" t="str">
            <v>Sí</v>
          </cell>
          <cell r="D807" t="str">
            <v>No</v>
          </cell>
        </row>
        <row r="808">
          <cell r="A808" t="str">
            <v>A0001123</v>
          </cell>
          <cell r="B808" t="str">
            <v>Assy, Cut Carriage Board VS-640i_01</v>
          </cell>
          <cell r="C808" t="str">
            <v>Sí</v>
          </cell>
          <cell r="D808" t="str">
            <v>No</v>
          </cell>
        </row>
        <row r="809">
          <cell r="A809" t="str">
            <v>A0001124</v>
          </cell>
          <cell r="B809" t="str">
            <v>Assy, Servo Board XR-640</v>
          </cell>
          <cell r="C809" t="str">
            <v>Sí</v>
          </cell>
          <cell r="D809" t="str">
            <v>No</v>
          </cell>
        </row>
        <row r="810">
          <cell r="A810" t="str">
            <v>A0001125</v>
          </cell>
          <cell r="B810" t="str">
            <v>1000013163 - Cable-Card 12P1 2950L BB High-V</v>
          </cell>
          <cell r="C810" t="str">
            <v>Sí</v>
          </cell>
          <cell r="D810" t="str">
            <v>No</v>
          </cell>
        </row>
        <row r="811">
          <cell r="A811" t="str">
            <v>A0001126</v>
          </cell>
          <cell r="B811" t="str">
            <v>Puntero pelador con Luz (Weeder With Light)</v>
          </cell>
          <cell r="C811" t="str">
            <v>Sí</v>
          </cell>
          <cell r="D811" t="str">
            <v>Si</v>
          </cell>
        </row>
        <row r="812">
          <cell r="A812" t="str">
            <v>A0001133</v>
          </cell>
          <cell r="B812" t="str">
            <v>Cartucho EcoFlush Limpiador 440ml</v>
          </cell>
          <cell r="C812" t="str">
            <v>Sí</v>
          </cell>
          <cell r="D812" t="str">
            <v>No</v>
          </cell>
        </row>
        <row r="813">
          <cell r="A813" t="str">
            <v>A0001134</v>
          </cell>
          <cell r="B813" t="str">
            <v>Assy, Flange Guide VP-540</v>
          </cell>
          <cell r="C813" t="str">
            <v>Sí</v>
          </cell>
          <cell r="D813" t="str">
            <v>No</v>
          </cell>
        </row>
        <row r="814">
          <cell r="A814" t="str">
            <v>A0001139</v>
          </cell>
          <cell r="B814" t="str">
            <v>Botella 1 litro de Removedor de Adhesivos KMK Remover Gold</v>
          </cell>
          <cell r="C814" t="str">
            <v>Sí</v>
          </cell>
          <cell r="D814" t="str">
            <v>Si</v>
          </cell>
        </row>
        <row r="815">
          <cell r="A815" t="str">
            <v>A0001141</v>
          </cell>
          <cell r="B815" t="str">
            <v>Botella 1 litro de Limpiador Antiestático KMK Cleaner Antiestatic</v>
          </cell>
          <cell r="C815" t="str">
            <v>Sí</v>
          </cell>
          <cell r="D815" t="str">
            <v>Si</v>
          </cell>
        </row>
        <row r="816">
          <cell r="A816" t="str">
            <v>A0001142</v>
          </cell>
          <cell r="B816" t="str">
            <v>Cortadora Vertical V-Sign FS165</v>
          </cell>
          <cell r="C816" t="str">
            <v>Sí</v>
          </cell>
          <cell r="D816" t="str">
            <v>No</v>
          </cell>
        </row>
        <row r="817">
          <cell r="A817" t="str">
            <v>A0001143</v>
          </cell>
          <cell r="B817" t="str">
            <v>Cortadora Vertical V-Sign FS210</v>
          </cell>
          <cell r="C817" t="str">
            <v>Sí</v>
          </cell>
          <cell r="D817" t="str">
            <v>No</v>
          </cell>
        </row>
        <row r="818">
          <cell r="A818" t="str">
            <v>A0001480</v>
          </cell>
          <cell r="B818" t="str">
            <v>M2 Metamark M7 120 Estaño 0,61 x 50m</v>
          </cell>
          <cell r="C818" t="str">
            <v>Sí</v>
          </cell>
          <cell r="D818" t="str">
            <v>Si</v>
          </cell>
          <cell r="E818" t="str">
            <v>A0000103</v>
          </cell>
        </row>
        <row r="819">
          <cell r="A819" t="str">
            <v>A0001447</v>
          </cell>
          <cell r="B819" t="str">
            <v>M2 Metamark M7 120 Estaño 1,22 x 50m</v>
          </cell>
          <cell r="C819" t="str">
            <v>Sí</v>
          </cell>
          <cell r="D819" t="str">
            <v>Si</v>
          </cell>
          <cell r="E819" t="str">
            <v>A0000103</v>
          </cell>
        </row>
        <row r="820">
          <cell r="A820" t="str">
            <v>A0000464</v>
          </cell>
          <cell r="B820" t="str">
            <v>M2 Metamark M7 121 Gris Ligero 0,61 x 50m</v>
          </cell>
          <cell r="C820" t="str">
            <v>Sí</v>
          </cell>
          <cell r="D820" t="str">
            <v>Si</v>
          </cell>
          <cell r="E820" t="str">
            <v>A0000103</v>
          </cell>
        </row>
        <row r="821">
          <cell r="A821" t="str">
            <v>A0001180</v>
          </cell>
          <cell r="B821" t="str">
            <v>Assy, Servo Board VS-640i</v>
          </cell>
          <cell r="C821" t="str">
            <v>Sí</v>
          </cell>
          <cell r="D821" t="str">
            <v>No</v>
          </cell>
        </row>
        <row r="822">
          <cell r="A822" t="str">
            <v>A0001181</v>
          </cell>
          <cell r="B822" t="str">
            <v>6701409010 - Assy, Head Inkjet Sol VS-640</v>
          </cell>
          <cell r="C822" t="str">
            <v>Sí</v>
          </cell>
          <cell r="D822" t="str">
            <v>Si</v>
          </cell>
        </row>
        <row r="823">
          <cell r="A823" t="str">
            <v>A0001182</v>
          </cell>
          <cell r="B823" t="str">
            <v>Rollo Vinilo Fotoluminiscente (Clase B) 1mx10m</v>
          </cell>
          <cell r="C823" t="str">
            <v>Sí</v>
          </cell>
          <cell r="D823" t="str">
            <v>No</v>
          </cell>
        </row>
        <row r="824">
          <cell r="A824" t="str">
            <v>A0001185</v>
          </cell>
          <cell r="B824" t="str">
            <v>Rollo LaminadoExtreme Guard Antigravilla 300 micras 1,37x25m</v>
          </cell>
          <cell r="C824" t="str">
            <v>Sí</v>
          </cell>
          <cell r="D824" t="str">
            <v>Si</v>
          </cell>
        </row>
        <row r="825">
          <cell r="A825" t="str">
            <v>A0001193</v>
          </cell>
          <cell r="B825" t="str">
            <v>Rollo Metaguard MG 302 Mate 1,05x50m</v>
          </cell>
          <cell r="C825" t="str">
            <v>Sí</v>
          </cell>
          <cell r="D825" t="str">
            <v>No</v>
          </cell>
          <cell r="E825" t="str">
            <v>A0000245</v>
          </cell>
        </row>
        <row r="826">
          <cell r="A826" t="str">
            <v>A0001194</v>
          </cell>
          <cell r="B826" t="str">
            <v>Rollo Metaguard MG 305 Brillo 1,05x50m</v>
          </cell>
          <cell r="C826" t="str">
            <v>Sí</v>
          </cell>
          <cell r="D826" t="str">
            <v>No</v>
          </cell>
          <cell r="E826" t="str">
            <v>A0000245</v>
          </cell>
        </row>
        <row r="827">
          <cell r="A827" t="str">
            <v>A0001195</v>
          </cell>
          <cell r="B827" t="str">
            <v>Assy Cap Top VG-640</v>
          </cell>
          <cell r="C827" t="str">
            <v>Sí</v>
          </cell>
          <cell r="D827" t="str">
            <v>No</v>
          </cell>
        </row>
        <row r="828">
          <cell r="A828" t="str">
            <v>A0001197</v>
          </cell>
          <cell r="B828" t="str">
            <v>Kit Head DX4-A</v>
          </cell>
          <cell r="C828" t="str">
            <v>Sí</v>
          </cell>
          <cell r="D828" t="str">
            <v>No</v>
          </cell>
        </row>
        <row r="829">
          <cell r="A829" t="str">
            <v>A0001201</v>
          </cell>
          <cell r="B829" t="str">
            <v>Rollo Metamark MD PR Removible (100mc Imp. y Corte) Brillo 1,60x50m</v>
          </cell>
          <cell r="C829" t="str">
            <v>Sí</v>
          </cell>
          <cell r="D829" t="str">
            <v>No</v>
          </cell>
          <cell r="E829" t="str">
            <v>A0000209</v>
          </cell>
        </row>
        <row r="830">
          <cell r="A830" t="str">
            <v>A0001203</v>
          </cell>
          <cell r="B830" t="str">
            <v>Gx-24 Pad Cutter</v>
          </cell>
          <cell r="C830" t="str">
            <v>Sí</v>
          </cell>
          <cell r="D830" t="str">
            <v>Si</v>
          </cell>
        </row>
        <row r="831">
          <cell r="A831" t="str">
            <v>A0001204</v>
          </cell>
          <cell r="B831" t="str">
            <v>1000002598 - Pad Cutter VP-540</v>
          </cell>
          <cell r="C831" t="str">
            <v>Sí</v>
          </cell>
          <cell r="D831" t="str">
            <v>No</v>
          </cell>
        </row>
        <row r="832">
          <cell r="A832" t="str">
            <v>A0001205</v>
          </cell>
          <cell r="B832" t="str">
            <v>Sheet Linear Scale XJ-640</v>
          </cell>
          <cell r="C832" t="str">
            <v>Sí</v>
          </cell>
          <cell r="D832" t="str">
            <v>No</v>
          </cell>
        </row>
        <row r="833">
          <cell r="A833" t="str">
            <v>A0001206</v>
          </cell>
          <cell r="B833" t="str">
            <v>Assy Linear Encoder Board Service 2</v>
          </cell>
          <cell r="C833" t="str">
            <v>Sí</v>
          </cell>
          <cell r="D833" t="str">
            <v>No</v>
          </cell>
        </row>
        <row r="834">
          <cell r="A834" t="str">
            <v>A0001209</v>
          </cell>
          <cell r="B834" t="str">
            <v>Rollo Metamark MD 101B (100mc Adhesivo Gris) Mate 1,05x50m</v>
          </cell>
          <cell r="C834" t="str">
            <v>Sí</v>
          </cell>
          <cell r="D834" t="str">
            <v>Si</v>
          </cell>
          <cell r="E834" t="str">
            <v>A0000127</v>
          </cell>
        </row>
        <row r="835">
          <cell r="A835" t="str">
            <v>A0001210</v>
          </cell>
          <cell r="B835" t="str">
            <v>Rollo Metamark MD 101B (100mc Adhesivo Gris) Mate 1,6 x 50m</v>
          </cell>
          <cell r="C835" t="str">
            <v>Sí</v>
          </cell>
          <cell r="D835" t="str">
            <v>Si</v>
          </cell>
          <cell r="E835" t="str">
            <v>A0000127</v>
          </cell>
        </row>
        <row r="836">
          <cell r="A836" t="str">
            <v>A0001211</v>
          </cell>
          <cell r="B836" t="str">
            <v>Rollo Metamark MD 101B (100mc Adhesivo Gris) Mate 1,37x50m</v>
          </cell>
          <cell r="C836" t="str">
            <v>Sí</v>
          </cell>
          <cell r="D836" t="str">
            <v>Si</v>
          </cell>
          <cell r="E836" t="str">
            <v>A0000127</v>
          </cell>
        </row>
        <row r="837">
          <cell r="A837" t="str">
            <v>A0001214</v>
          </cell>
          <cell r="B837" t="str">
            <v>Plancha Maxx 38x38cm</v>
          </cell>
          <cell r="C837" t="str">
            <v>Sí</v>
          </cell>
          <cell r="D837" t="str">
            <v>No</v>
          </cell>
        </row>
        <row r="838">
          <cell r="A838" t="str">
            <v>A0001217</v>
          </cell>
          <cell r="B838" t="str">
            <v>Rollo Transportador 4000RLA (Baja Adherencia) 1,22x100m</v>
          </cell>
          <cell r="C838" t="str">
            <v>Sí</v>
          </cell>
          <cell r="D838" t="str">
            <v>Si</v>
          </cell>
        </row>
        <row r="839">
          <cell r="A839" t="str">
            <v>A0001218</v>
          </cell>
          <cell r="B839" t="str">
            <v>Rollo MetamarkMM-BM Máscara de Pintor Azul  1,22x50m</v>
          </cell>
          <cell r="C839" t="str">
            <v>Sí</v>
          </cell>
          <cell r="D839" t="str">
            <v>Si</v>
          </cell>
          <cell r="E839" t="str">
            <v>A0000994</v>
          </cell>
        </row>
        <row r="840">
          <cell r="A840" t="str">
            <v>A0001219</v>
          </cell>
          <cell r="B840" t="str">
            <v>Assy Sub XC-540 Bomba (A)</v>
          </cell>
          <cell r="C840" t="str">
            <v>Sí</v>
          </cell>
          <cell r="D840" t="str">
            <v>No</v>
          </cell>
        </row>
        <row r="841">
          <cell r="A841" t="str">
            <v>A0001222</v>
          </cell>
          <cell r="B841" t="str">
            <v>Guide Cable Flex</v>
          </cell>
          <cell r="C841" t="str">
            <v>Sí</v>
          </cell>
          <cell r="D841" t="str">
            <v>No</v>
          </cell>
        </row>
        <row r="842">
          <cell r="A842" t="str">
            <v>A0001224</v>
          </cell>
          <cell r="B842" t="str">
            <v>23475207- Cable-Card 15P1 1900L BB High-V (SP-300)</v>
          </cell>
          <cell r="C842" t="str">
            <v>Sí</v>
          </cell>
          <cell r="D842" t="str">
            <v>No</v>
          </cell>
        </row>
        <row r="843">
          <cell r="A843" t="str">
            <v>A0001225</v>
          </cell>
          <cell r="B843" t="str">
            <v>Guide Cable Flex (SP 300)</v>
          </cell>
          <cell r="C843" t="str">
            <v>Sí</v>
          </cell>
          <cell r="D843" t="str">
            <v>No</v>
          </cell>
        </row>
        <row r="844">
          <cell r="A844" t="str">
            <v>A0001226</v>
          </cell>
          <cell r="B844" t="str">
            <v>6081181200 - Assy, Ink Damper 3 2FAI SJ 540 (SP 540)</v>
          </cell>
          <cell r="C844" t="str">
            <v>Sí</v>
          </cell>
          <cell r="D844" t="str">
            <v>No</v>
          </cell>
        </row>
        <row r="845">
          <cell r="A845" t="str">
            <v>A0000415</v>
          </cell>
          <cell r="B845" t="str">
            <v>M2 Metamark M7 121 Gris Ligero 1,22 x 50m</v>
          </cell>
          <cell r="C845" t="str">
            <v>Sí</v>
          </cell>
          <cell r="D845" t="str">
            <v>Si</v>
          </cell>
          <cell r="E845" t="str">
            <v>A0000103</v>
          </cell>
        </row>
        <row r="846">
          <cell r="A846" t="str">
            <v>A0001230</v>
          </cell>
          <cell r="B846" t="str">
            <v>Kit Head Gold- A (Cabezal VS 640 + Assy Cap-top)</v>
          </cell>
          <cell r="C846" t="str">
            <v>Sí</v>
          </cell>
          <cell r="D846" t="str">
            <v>No</v>
          </cell>
        </row>
        <row r="847">
          <cell r="A847" t="str">
            <v>A0001234</v>
          </cell>
          <cell r="B847" t="str">
            <v>Cartucho Ecopure 440ml EM1 Amarillo</v>
          </cell>
          <cell r="C847" t="str">
            <v>Sí</v>
          </cell>
          <cell r="D847" t="str">
            <v>Si</v>
          </cell>
          <cell r="E847" t="str">
            <v>A0001234</v>
          </cell>
        </row>
        <row r="848">
          <cell r="A848" t="str">
            <v>A0001235</v>
          </cell>
          <cell r="B848" t="str">
            <v>Cartucho Ecopure 440ml EM1 Magenta</v>
          </cell>
          <cell r="C848" t="str">
            <v>Sí</v>
          </cell>
          <cell r="D848" t="str">
            <v>Si</v>
          </cell>
          <cell r="E848" t="str">
            <v>A0001234</v>
          </cell>
        </row>
        <row r="849">
          <cell r="A849" t="str">
            <v>A0000463</v>
          </cell>
          <cell r="B849" t="str">
            <v>M2 Metamark M7 122 Gris Palo 0,61 x 50m</v>
          </cell>
          <cell r="C849" t="str">
            <v>Sí</v>
          </cell>
          <cell r="D849" t="str">
            <v>Si</v>
          </cell>
          <cell r="E849" t="str">
            <v>A0000103</v>
          </cell>
        </row>
        <row r="850">
          <cell r="A850" t="str">
            <v>A0000414</v>
          </cell>
          <cell r="B850" t="str">
            <v>M2 Metamark M7 122 Gris Palo 1,22 x 50m</v>
          </cell>
          <cell r="C850" t="str">
            <v>Sí</v>
          </cell>
          <cell r="D850" t="str">
            <v>Si</v>
          </cell>
          <cell r="E850" t="str">
            <v>A0000103</v>
          </cell>
        </row>
        <row r="851">
          <cell r="A851" t="str">
            <v>A0001238</v>
          </cell>
          <cell r="B851" t="str">
            <v>Cartucho Ecopure 440ml EM1 Cyan</v>
          </cell>
          <cell r="C851" t="str">
            <v>Sí</v>
          </cell>
          <cell r="D851" t="str">
            <v>Si</v>
          </cell>
          <cell r="E851" t="str">
            <v>A0001234</v>
          </cell>
        </row>
        <row r="852">
          <cell r="A852" t="str">
            <v>A0001239</v>
          </cell>
          <cell r="B852" t="str">
            <v>Cartucho Ecopure 440ml EM1 Light Cyan</v>
          </cell>
          <cell r="C852" t="str">
            <v>Sí</v>
          </cell>
          <cell r="D852" t="str">
            <v>Si</v>
          </cell>
          <cell r="E852" t="str">
            <v>A0001234</v>
          </cell>
        </row>
        <row r="853">
          <cell r="A853" t="str">
            <v>A0001240</v>
          </cell>
          <cell r="B853" t="str">
            <v>Cartucho Ecopure 440ml EM1 Light Magenta</v>
          </cell>
          <cell r="C853" t="str">
            <v>Sí</v>
          </cell>
          <cell r="D853" t="str">
            <v>Si</v>
          </cell>
          <cell r="E853" t="str">
            <v>A0001234</v>
          </cell>
        </row>
        <row r="854">
          <cell r="A854" t="str">
            <v>A0001241</v>
          </cell>
          <cell r="B854" t="str">
            <v>Cartucho Ecopure 440ml EM1 Negro</v>
          </cell>
          <cell r="C854" t="str">
            <v>Sí</v>
          </cell>
          <cell r="D854" t="str">
            <v>Si</v>
          </cell>
          <cell r="E854" t="str">
            <v>A0001234</v>
          </cell>
        </row>
        <row r="855">
          <cell r="A855" t="str">
            <v>A0000465</v>
          </cell>
          <cell r="B855" t="str">
            <v>M2 Metamark M7 123 Gris Medio 0,61 x 50m</v>
          </cell>
          <cell r="C855" t="str">
            <v>Sí</v>
          </cell>
          <cell r="D855" t="str">
            <v>Si</v>
          </cell>
          <cell r="E855" t="str">
            <v>A0000103</v>
          </cell>
        </row>
        <row r="856">
          <cell r="A856" t="str">
            <v>A0000416</v>
          </cell>
          <cell r="B856" t="str">
            <v>M2 Metamark M7 123 Gris Medio 1,22 x 50m</v>
          </cell>
          <cell r="C856" t="str">
            <v>Sí</v>
          </cell>
          <cell r="D856" t="str">
            <v>Si</v>
          </cell>
          <cell r="E856" t="str">
            <v>A0000103</v>
          </cell>
        </row>
        <row r="857">
          <cell r="A857" t="str">
            <v>A0000466</v>
          </cell>
          <cell r="B857" t="str">
            <v>M2 Metamark M7 124 Gris Oscuro 0,61 x 50m</v>
          </cell>
          <cell r="C857" t="str">
            <v>Sí</v>
          </cell>
          <cell r="D857" t="str">
            <v>Si</v>
          </cell>
          <cell r="E857" t="str">
            <v>A0000103</v>
          </cell>
        </row>
        <row r="858">
          <cell r="A858" t="str">
            <v>A0000417</v>
          </cell>
          <cell r="B858" t="str">
            <v>M2 Metamark M7 124 Gris Oscuro 1,22 x 50m</v>
          </cell>
          <cell r="C858" t="str">
            <v>Sí</v>
          </cell>
          <cell r="D858" t="str">
            <v>Si</v>
          </cell>
          <cell r="E858" t="str">
            <v>A0000103</v>
          </cell>
        </row>
        <row r="859">
          <cell r="A859" t="str">
            <v>A0001246</v>
          </cell>
          <cell r="B859" t="str">
            <v>Cartucho Ecopure 880ml EM1 Amarillo</v>
          </cell>
          <cell r="C859" t="str">
            <v>Sí</v>
          </cell>
          <cell r="D859" t="str">
            <v>Si</v>
          </cell>
          <cell r="E859" t="str">
            <v>A0001246</v>
          </cell>
        </row>
        <row r="860">
          <cell r="A860" t="str">
            <v>A0001247</v>
          </cell>
          <cell r="B860" t="str">
            <v>Cartucho Ecopure 880ml EM1 Cyan</v>
          </cell>
          <cell r="C860" t="str">
            <v>Sí</v>
          </cell>
          <cell r="D860" t="str">
            <v>Si</v>
          </cell>
          <cell r="E860" t="str">
            <v>A0001246</v>
          </cell>
        </row>
        <row r="861">
          <cell r="A861" t="str">
            <v>A0001248</v>
          </cell>
          <cell r="B861" t="str">
            <v>Cartucho Ecopure 880ml EM1 Light Cyan</v>
          </cell>
          <cell r="C861" t="str">
            <v>Sí</v>
          </cell>
          <cell r="D861" t="str">
            <v>Si</v>
          </cell>
          <cell r="E861" t="str">
            <v>A0001246</v>
          </cell>
        </row>
        <row r="862">
          <cell r="A862" t="str">
            <v>A0001249</v>
          </cell>
          <cell r="B862" t="str">
            <v>Cartucho Ecopure 880ml EM1 Light Magenta</v>
          </cell>
          <cell r="C862" t="str">
            <v>Sí</v>
          </cell>
          <cell r="D862" t="str">
            <v>Si</v>
          </cell>
          <cell r="E862" t="str">
            <v>A0001246</v>
          </cell>
        </row>
        <row r="863">
          <cell r="A863" t="str">
            <v>A0001250</v>
          </cell>
          <cell r="B863" t="str">
            <v>Cartucho Ecopure 880ml EM1 Magenta</v>
          </cell>
          <cell r="C863" t="str">
            <v>Sí</v>
          </cell>
          <cell r="D863" t="str">
            <v>Si</v>
          </cell>
          <cell r="E863" t="str">
            <v>A0001246</v>
          </cell>
        </row>
        <row r="864">
          <cell r="A864" t="str">
            <v>A0001251</v>
          </cell>
          <cell r="B864" t="str">
            <v>Cartucho Ecopure 880ml EM1 Negro</v>
          </cell>
          <cell r="C864" t="str">
            <v>Sí</v>
          </cell>
          <cell r="D864" t="str">
            <v>Si</v>
          </cell>
          <cell r="E864" t="str">
            <v>A0001246</v>
          </cell>
        </row>
        <row r="865">
          <cell r="A865" t="str">
            <v>A0000467</v>
          </cell>
          <cell r="B865" t="str">
            <v>M2 Metamark M7 125 Gris Nimbo 0,61 x 50m</v>
          </cell>
          <cell r="C865" t="str">
            <v>Sí</v>
          </cell>
          <cell r="D865" t="str">
            <v>Si</v>
          </cell>
          <cell r="E865" t="str">
            <v>A0000103</v>
          </cell>
        </row>
        <row r="866">
          <cell r="A866" t="str">
            <v>A0000418</v>
          </cell>
          <cell r="B866" t="str">
            <v>M2 Metamark M7 125 Gris Nimbo 1,22 x 50m</v>
          </cell>
          <cell r="C866" t="str">
            <v>Sí</v>
          </cell>
          <cell r="D866" t="str">
            <v>Si</v>
          </cell>
          <cell r="E866" t="str">
            <v>A0000103</v>
          </cell>
        </row>
        <row r="867">
          <cell r="A867" t="str">
            <v>A0001765</v>
          </cell>
          <cell r="B867" t="str">
            <v>M2 Metamark M7 126 Gris Tormenta 0,61 x 50m</v>
          </cell>
          <cell r="C867" t="str">
            <v>Sí</v>
          </cell>
          <cell r="D867" t="str">
            <v>Si</v>
          </cell>
          <cell r="E867" t="str">
            <v>A0000103</v>
          </cell>
        </row>
        <row r="868">
          <cell r="A868" t="str">
            <v>A0001227</v>
          </cell>
          <cell r="B868" t="str">
            <v>M2 Metamark M7 126 Gris Tormenta 1,22 x 50m</v>
          </cell>
          <cell r="C868" t="str">
            <v>Sí</v>
          </cell>
          <cell r="D868" t="str">
            <v>Si</v>
          </cell>
          <cell r="E868" t="str">
            <v>A0000103</v>
          </cell>
        </row>
        <row r="869">
          <cell r="A869" t="str">
            <v>A0001481</v>
          </cell>
          <cell r="B869" t="str">
            <v>M2 Metamark M7 127 Gris Ceniza 0,61 x 50m</v>
          </cell>
          <cell r="C869" t="str">
            <v>Sí</v>
          </cell>
          <cell r="D869" t="str">
            <v>Si</v>
          </cell>
          <cell r="E869" t="str">
            <v>A0000103</v>
          </cell>
        </row>
        <row r="870">
          <cell r="A870" t="str">
            <v>A0001448</v>
          </cell>
          <cell r="B870" t="str">
            <v>M2 Metamark M7 127 Gris Ceniza 1,22 x 50m</v>
          </cell>
          <cell r="C870" t="str">
            <v>Sí</v>
          </cell>
          <cell r="D870" t="str">
            <v>Si</v>
          </cell>
          <cell r="E870" t="str">
            <v>A0000103</v>
          </cell>
        </row>
        <row r="871">
          <cell r="A871" t="str">
            <v>A0001258</v>
          </cell>
          <cell r="B871" t="str">
            <v>Rollo Papel fotográfico satin 200g 1,52 x 50m</v>
          </cell>
          <cell r="C871" t="str">
            <v>Sí</v>
          </cell>
          <cell r="D871" t="str">
            <v>No</v>
          </cell>
        </row>
        <row r="872">
          <cell r="A872" t="str">
            <v>A0001260</v>
          </cell>
          <cell r="B872" t="str">
            <v>1000006713 - Pad Cutter VS-640</v>
          </cell>
          <cell r="C872" t="str">
            <v>Sí</v>
          </cell>
          <cell r="D872" t="str">
            <v>Si</v>
          </cell>
        </row>
        <row r="873">
          <cell r="A873" t="str">
            <v>A0001261</v>
          </cell>
          <cell r="B873" t="str">
            <v>Roland P-Roller TD16S4(B10) Type3</v>
          </cell>
          <cell r="C873" t="str">
            <v>Sí</v>
          </cell>
          <cell r="D873" t="str">
            <v>No</v>
          </cell>
        </row>
        <row r="874">
          <cell r="A874" t="str">
            <v>A0001262</v>
          </cell>
          <cell r="B874" t="str">
            <v>Assy, Thermistor Board VP-540</v>
          </cell>
          <cell r="C874" t="str">
            <v>Sí</v>
          </cell>
          <cell r="D874" t="str">
            <v>No</v>
          </cell>
        </row>
        <row r="875">
          <cell r="A875" t="str">
            <v>A0001263</v>
          </cell>
          <cell r="B875" t="str">
            <v>Assy, Fan Juction Board VP 540</v>
          </cell>
          <cell r="C875" t="str">
            <v>Sí</v>
          </cell>
          <cell r="D875" t="str">
            <v>No</v>
          </cell>
        </row>
        <row r="876">
          <cell r="A876" t="str">
            <v>A0001265</v>
          </cell>
          <cell r="B876" t="str">
            <v>Cuchillas para Cutter 9mm BD-100 (Blister 5 cuchillas)</v>
          </cell>
          <cell r="C876" t="str">
            <v>Sí</v>
          </cell>
          <cell r="D876" t="str">
            <v>No</v>
          </cell>
        </row>
        <row r="877">
          <cell r="A877" t="str">
            <v>A0001268</v>
          </cell>
          <cell r="B877" t="str">
            <v>1000009646 - Pad Cutter XR-640</v>
          </cell>
          <cell r="C877" t="str">
            <v>Sí</v>
          </cell>
          <cell r="D877" t="str">
            <v>Si</v>
          </cell>
        </row>
        <row r="878">
          <cell r="A878" t="str">
            <v>A0001269</v>
          </cell>
          <cell r="B878" t="str">
            <v>Cable-Card 15P1 2570L BB High-V (SP-540V)</v>
          </cell>
          <cell r="C878" t="str">
            <v>Sí</v>
          </cell>
          <cell r="D878" t="str">
            <v>No</v>
          </cell>
        </row>
        <row r="879">
          <cell r="A879" t="str">
            <v>A0001270</v>
          </cell>
          <cell r="B879" t="str">
            <v>Assy Scan Motor SP 540V</v>
          </cell>
          <cell r="C879" t="str">
            <v>Sí</v>
          </cell>
          <cell r="D879" t="str">
            <v>No</v>
          </cell>
        </row>
        <row r="880">
          <cell r="A880" t="str">
            <v>A0001271</v>
          </cell>
          <cell r="B880" t="str">
            <v>Rollo  Mactac JT 8300 WM-RT Dot Blanco Mate 1,37x50m</v>
          </cell>
          <cell r="C880" t="str">
            <v>Sí</v>
          </cell>
          <cell r="D880" t="str">
            <v>No</v>
          </cell>
        </row>
        <row r="881">
          <cell r="A881" t="str">
            <v>A0001272</v>
          </cell>
          <cell r="B881" t="str">
            <v>Assy, Ink Tank Board FH-740</v>
          </cell>
          <cell r="C881" t="str">
            <v>Sí</v>
          </cell>
          <cell r="D881" t="str">
            <v>No</v>
          </cell>
        </row>
        <row r="882">
          <cell r="A882" t="str">
            <v>A0001273</v>
          </cell>
          <cell r="B882" t="str">
            <v>Assy, Thermistor Cable SP-300</v>
          </cell>
          <cell r="C882" t="str">
            <v>Sí</v>
          </cell>
          <cell r="D882" t="str">
            <v>No</v>
          </cell>
        </row>
        <row r="883">
          <cell r="A883" t="str">
            <v>A0001274</v>
          </cell>
          <cell r="B883" t="str">
            <v>Rollo MetaWrap MDXB (50mc Adh Gris) Brillo 1,37x25m</v>
          </cell>
          <cell r="C883" t="str">
            <v>Sí</v>
          </cell>
          <cell r="D883" t="str">
            <v>No</v>
          </cell>
          <cell r="E883" t="str">
            <v>A0000205</v>
          </cell>
        </row>
        <row r="884">
          <cell r="A884" t="str">
            <v>A0001275</v>
          </cell>
          <cell r="B884" t="str">
            <v>Rollo MetaWrap Laminado MG-X 105 Brillo 1,37x25m</v>
          </cell>
          <cell r="C884" t="str">
            <v>Sí</v>
          </cell>
          <cell r="D884" t="str">
            <v>Si</v>
          </cell>
          <cell r="E884" t="str">
            <v>A0000269</v>
          </cell>
        </row>
        <row r="885">
          <cell r="A885" t="str">
            <v>A0001482</v>
          </cell>
          <cell r="B885" t="str">
            <v>M2 Metamark M7 128 Gris Sombra 0,61 x 50m</v>
          </cell>
          <cell r="C885" t="str">
            <v>Sí</v>
          </cell>
          <cell r="D885" t="str">
            <v>Si</v>
          </cell>
          <cell r="E885" t="str">
            <v>A0000103</v>
          </cell>
        </row>
        <row r="886">
          <cell r="A886" t="str">
            <v>A0001449</v>
          </cell>
          <cell r="B886" t="str">
            <v>M2 Metamark M7 128 Gris Sombra 1,22 x 50m</v>
          </cell>
          <cell r="C886" t="str">
            <v>Sí</v>
          </cell>
          <cell r="D886" t="str">
            <v>Si</v>
          </cell>
          <cell r="E886" t="str">
            <v>A0000103</v>
          </cell>
        </row>
        <row r="887">
          <cell r="A887" t="str">
            <v>A0000469</v>
          </cell>
          <cell r="B887" t="str">
            <v>M2 Metamark M7 130 Amarillo Limón 0,61 x 50m</v>
          </cell>
          <cell r="C887" t="str">
            <v>Sí</v>
          </cell>
          <cell r="D887" t="str">
            <v>Si</v>
          </cell>
          <cell r="E887" t="str">
            <v>A0000103</v>
          </cell>
        </row>
        <row r="888">
          <cell r="A888" t="str">
            <v>A0000419</v>
          </cell>
          <cell r="B888" t="str">
            <v>M2 Metamark M7 130 Amarillo Limón 1,22 x 50m</v>
          </cell>
          <cell r="C888" t="str">
            <v>Sí</v>
          </cell>
          <cell r="D888" t="str">
            <v>Si</v>
          </cell>
          <cell r="E888" t="str">
            <v>A0000103</v>
          </cell>
        </row>
        <row r="889">
          <cell r="A889" t="str">
            <v>A0000471</v>
          </cell>
          <cell r="B889" t="str">
            <v>M2 Metamark M7 131 Amarillo Girasol 0,61 x 50m</v>
          </cell>
          <cell r="C889" t="str">
            <v>Sí</v>
          </cell>
          <cell r="D889" t="str">
            <v>Si</v>
          </cell>
          <cell r="E889" t="str">
            <v>A0000103</v>
          </cell>
        </row>
        <row r="890">
          <cell r="A890" t="str">
            <v>A0000421</v>
          </cell>
          <cell r="B890" t="str">
            <v>M2 Metamark M7 131 Amarillo Girasol 1,22 x 50m</v>
          </cell>
          <cell r="C890" t="str">
            <v>Sí</v>
          </cell>
          <cell r="D890" t="str">
            <v>Si</v>
          </cell>
          <cell r="E890" t="str">
            <v>A0000103</v>
          </cell>
        </row>
        <row r="891">
          <cell r="A891" t="str">
            <v>A0000472</v>
          </cell>
          <cell r="B891" t="str">
            <v>M2 Metamark M7 132 Amarillo Medio 0,61 x 50m</v>
          </cell>
          <cell r="C891" t="str">
            <v>Sí</v>
          </cell>
          <cell r="D891" t="str">
            <v>Si</v>
          </cell>
          <cell r="E891" t="str">
            <v>A0000103</v>
          </cell>
        </row>
        <row r="892">
          <cell r="A892" t="str">
            <v>A0000422</v>
          </cell>
          <cell r="B892" t="str">
            <v>M2 Metamark M7 132 Amarillo Medio 1,22 x 50m</v>
          </cell>
          <cell r="C892" t="str">
            <v>Sí</v>
          </cell>
          <cell r="D892" t="str">
            <v>Si</v>
          </cell>
          <cell r="E892" t="str">
            <v>A0000103</v>
          </cell>
        </row>
        <row r="893">
          <cell r="A893" t="str">
            <v>A0000475</v>
          </cell>
          <cell r="B893" t="str">
            <v>M2 Metamark M7 133 Naranja 0,61 x 50m</v>
          </cell>
          <cell r="C893" t="str">
            <v>Sí</v>
          </cell>
          <cell r="D893" t="str">
            <v>Si</v>
          </cell>
          <cell r="E893" t="str">
            <v>A0000103</v>
          </cell>
        </row>
        <row r="894">
          <cell r="A894" t="str">
            <v>A0000425</v>
          </cell>
          <cell r="B894" t="str">
            <v>M2 Metamark M7 133 Naranja 1,22 x 50m</v>
          </cell>
          <cell r="C894" t="str">
            <v>Sí</v>
          </cell>
          <cell r="D894" t="str">
            <v>Si</v>
          </cell>
          <cell r="E894" t="str">
            <v>A0000103</v>
          </cell>
        </row>
        <row r="895">
          <cell r="A895" t="str">
            <v>A0000474</v>
          </cell>
          <cell r="B895" t="str">
            <v>M2 Metamark M7 134 Naranja Mandarina 0,61 x 50m</v>
          </cell>
          <cell r="C895" t="str">
            <v>Sí</v>
          </cell>
          <cell r="D895" t="str">
            <v>Si</v>
          </cell>
          <cell r="E895" t="str">
            <v>A0000103</v>
          </cell>
        </row>
        <row r="896">
          <cell r="A896" t="str">
            <v>A0000424</v>
          </cell>
          <cell r="B896" t="str">
            <v>M2 Metamark M7 134 Naranja Mandarina 1,22 x 50m</v>
          </cell>
          <cell r="C896" t="str">
            <v>Sí</v>
          </cell>
          <cell r="D896" t="str">
            <v>Si</v>
          </cell>
          <cell r="E896" t="str">
            <v>A0000103</v>
          </cell>
        </row>
        <row r="897">
          <cell r="A897" t="str">
            <v>A0001453</v>
          </cell>
          <cell r="B897" t="str">
            <v>M2 Metamark M7 135 Albaricoque 0,61 x 50m</v>
          </cell>
          <cell r="C897" t="str">
            <v>Sí</v>
          </cell>
          <cell r="D897" t="str">
            <v>Si</v>
          </cell>
          <cell r="E897" t="str">
            <v>A0000103</v>
          </cell>
        </row>
        <row r="898">
          <cell r="A898" t="str">
            <v>A0001420</v>
          </cell>
          <cell r="B898" t="str">
            <v>M2 Metamark M7 135 Albaricoque 1,22 x 50m</v>
          </cell>
          <cell r="C898" t="str">
            <v>Sí</v>
          </cell>
          <cell r="D898" t="str">
            <v>Si</v>
          </cell>
          <cell r="E898" t="str">
            <v>A0000103</v>
          </cell>
        </row>
        <row r="899">
          <cell r="A899" t="str">
            <v>A0000470</v>
          </cell>
          <cell r="B899" t="str">
            <v>M2 Metamark M7 136 Amarillo Brillante 0,61 x 50m</v>
          </cell>
          <cell r="C899" t="str">
            <v>Sí</v>
          </cell>
          <cell r="D899" t="str">
            <v>Si</v>
          </cell>
          <cell r="E899" t="str">
            <v>A0000103</v>
          </cell>
        </row>
        <row r="900">
          <cell r="A900" t="str">
            <v>A0000420</v>
          </cell>
          <cell r="B900" t="str">
            <v>M2 Metamark M7 136 Amarillo Brillante 1,22 x 50m</v>
          </cell>
          <cell r="C900" t="str">
            <v>Sí</v>
          </cell>
          <cell r="D900" t="str">
            <v>Si</v>
          </cell>
          <cell r="E900" t="str">
            <v>A0000103</v>
          </cell>
        </row>
        <row r="901">
          <cell r="A901" t="str">
            <v>A0000473</v>
          </cell>
          <cell r="B901" t="str">
            <v>M2 Metamark M7 137 Amarillo Melón 0,61 x 50m</v>
          </cell>
          <cell r="C901" t="str">
            <v>Sí</v>
          </cell>
          <cell r="D901" t="str">
            <v>Si</v>
          </cell>
          <cell r="E901" t="str">
            <v>A0000103</v>
          </cell>
        </row>
        <row r="902">
          <cell r="A902" t="str">
            <v>A0000423</v>
          </cell>
          <cell r="B902" t="str">
            <v>M2 Metamark M7 137 Amarillo Melón 1,22 x 50m</v>
          </cell>
          <cell r="C902" t="str">
            <v>Sí</v>
          </cell>
          <cell r="D902" t="str">
            <v>Si</v>
          </cell>
          <cell r="E902" t="str">
            <v>A0000103</v>
          </cell>
        </row>
        <row r="903">
          <cell r="A903" t="str">
            <v>A0001454</v>
          </cell>
          <cell r="B903" t="str">
            <v>M2 Metamark M7 138 Azafrán 0,61 x 50m</v>
          </cell>
          <cell r="C903" t="str">
            <v>Sí</v>
          </cell>
          <cell r="D903" t="str">
            <v>Si</v>
          </cell>
          <cell r="E903" t="str">
            <v>A0000103</v>
          </cell>
        </row>
        <row r="904">
          <cell r="A904" t="str">
            <v>A0001421</v>
          </cell>
          <cell r="B904" t="str">
            <v>M2 Metamark M7 138 Azafrán 1,22 x 50m</v>
          </cell>
          <cell r="C904" t="str">
            <v>Sí</v>
          </cell>
          <cell r="D904" t="str">
            <v>Si</v>
          </cell>
          <cell r="E904" t="str">
            <v>A0000103</v>
          </cell>
        </row>
        <row r="905">
          <cell r="A905" t="str">
            <v>A0001455</v>
          </cell>
          <cell r="B905" t="str">
            <v>M2 Metamark M7 139 Calabaza 0,61 x 50m</v>
          </cell>
          <cell r="C905" t="str">
            <v>Sí</v>
          </cell>
          <cell r="D905" t="str">
            <v>Si</v>
          </cell>
          <cell r="E905" t="str">
            <v>A0000103</v>
          </cell>
        </row>
        <row r="906">
          <cell r="A906" t="str">
            <v>A0001422</v>
          </cell>
          <cell r="B906" t="str">
            <v>M2 Metamark M7 139 Calabaza 1,22 x 50m</v>
          </cell>
          <cell r="C906" t="str">
            <v>Sí</v>
          </cell>
          <cell r="D906" t="str">
            <v>Si</v>
          </cell>
          <cell r="E906" t="str">
            <v>A0000103</v>
          </cell>
        </row>
        <row r="907">
          <cell r="A907" t="str">
            <v>A0000477</v>
          </cell>
          <cell r="B907" t="str">
            <v>M2 Metamark M7 140 Amapola 0,61 x 50m</v>
          </cell>
          <cell r="C907" t="str">
            <v>Sí</v>
          </cell>
          <cell r="D907" t="str">
            <v>Si</v>
          </cell>
          <cell r="E907" t="str">
            <v>A0000103</v>
          </cell>
        </row>
        <row r="908">
          <cell r="A908" t="str">
            <v>A0000427</v>
          </cell>
          <cell r="B908" t="str">
            <v>M2 Metamark M7 140 Amapola 1,22 x 50m</v>
          </cell>
          <cell r="C908" t="str">
            <v>Sí</v>
          </cell>
          <cell r="D908" t="str">
            <v>Si</v>
          </cell>
          <cell r="E908" t="str">
            <v>A0000103</v>
          </cell>
        </row>
        <row r="909">
          <cell r="A909" t="str">
            <v>A0000479</v>
          </cell>
          <cell r="B909" t="str">
            <v>M2 Metamark M7 141 Rojo Llama 0,61 x 50m</v>
          </cell>
          <cell r="C909" t="str">
            <v>Sí</v>
          </cell>
          <cell r="D909" t="str">
            <v>Si</v>
          </cell>
          <cell r="E909" t="str">
            <v>A0000103</v>
          </cell>
        </row>
        <row r="910">
          <cell r="A910" t="str">
            <v>A0000429</v>
          </cell>
          <cell r="B910" t="str">
            <v>M2 Metamark M7 141 Rojo Llama 1,22 x 50m</v>
          </cell>
          <cell r="C910" t="str">
            <v>Sí</v>
          </cell>
          <cell r="D910" t="str">
            <v>Si</v>
          </cell>
          <cell r="E910" t="str">
            <v>A0000103</v>
          </cell>
        </row>
        <row r="911">
          <cell r="A911" t="str">
            <v>A0000480</v>
          </cell>
          <cell r="B911" t="str">
            <v>M2 Metamark M7 142 Rojo Tomate 0,61 x 50m</v>
          </cell>
          <cell r="C911" t="str">
            <v>Sí</v>
          </cell>
          <cell r="D911" t="str">
            <v>Si</v>
          </cell>
          <cell r="E911" t="str">
            <v>A0000103</v>
          </cell>
        </row>
        <row r="912">
          <cell r="A912" t="str">
            <v>A0000430</v>
          </cell>
          <cell r="B912" t="str">
            <v>M2 Metamark M7 142 Rojo Tomate 1,22 x 50m</v>
          </cell>
          <cell r="C912" t="str">
            <v>Sí</v>
          </cell>
          <cell r="D912" t="str">
            <v>Si</v>
          </cell>
          <cell r="E912" t="str">
            <v>A0000103</v>
          </cell>
        </row>
        <row r="913">
          <cell r="A913" t="str">
            <v>A0000481</v>
          </cell>
          <cell r="B913" t="str">
            <v>M2 Metamark M7 143 Rojo Cereza 0,61 x 50m</v>
          </cell>
          <cell r="C913" t="str">
            <v>Sí</v>
          </cell>
          <cell r="D913" t="str">
            <v>Si</v>
          </cell>
          <cell r="E913" t="str">
            <v>A0000103</v>
          </cell>
        </row>
        <row r="914">
          <cell r="A914" t="str">
            <v>A0000431</v>
          </cell>
          <cell r="B914" t="str">
            <v>M2 Metamark M7 143 Rojo Cereza 1,22 x 50m</v>
          </cell>
          <cell r="C914" t="str">
            <v>Sí</v>
          </cell>
          <cell r="D914" t="str">
            <v>Si</v>
          </cell>
          <cell r="E914" t="str">
            <v>A0000103</v>
          </cell>
        </row>
        <row r="915">
          <cell r="A915" t="str">
            <v>A0000478</v>
          </cell>
          <cell r="B915" t="str">
            <v>M2 Metamark M7 144 Rojo Medio 0,61 x 50m</v>
          </cell>
          <cell r="C915" t="str">
            <v>Sí</v>
          </cell>
          <cell r="D915" t="str">
            <v>Si</v>
          </cell>
          <cell r="E915" t="str">
            <v>A0000103</v>
          </cell>
        </row>
        <row r="916">
          <cell r="A916" t="str">
            <v>A0000428</v>
          </cell>
          <cell r="B916" t="str">
            <v>M2 Metamark M7 144 Rojo Medio 1,22 x 50m</v>
          </cell>
          <cell r="C916" t="str">
            <v>Sí</v>
          </cell>
          <cell r="D916" t="str">
            <v>Si</v>
          </cell>
          <cell r="E916" t="str">
            <v>A0000103</v>
          </cell>
        </row>
        <row r="917">
          <cell r="A917" t="str">
            <v>A0000483</v>
          </cell>
          <cell r="B917" t="str">
            <v>M2 Metamark M7 145 Rojo Borgoña 0,61 x 50m</v>
          </cell>
          <cell r="C917" t="str">
            <v>Sí</v>
          </cell>
          <cell r="D917" t="str">
            <v>Si</v>
          </cell>
          <cell r="E917" t="str">
            <v>A0000103</v>
          </cell>
        </row>
        <row r="918">
          <cell r="A918" t="str">
            <v>A0000433</v>
          </cell>
          <cell r="B918" t="str">
            <v>M2 Metamark M7 145 Rojo Borgoña 1,22 x 50m</v>
          </cell>
          <cell r="C918" t="str">
            <v>Sí</v>
          </cell>
          <cell r="D918" t="str">
            <v>Si</v>
          </cell>
          <cell r="E918" t="str">
            <v>A0000103</v>
          </cell>
        </row>
        <row r="919">
          <cell r="A919" t="str">
            <v>A0001458</v>
          </cell>
          <cell r="B919" t="str">
            <v>M2 Metamark M7 146 Rubí 0,61 x 50m</v>
          </cell>
          <cell r="C919" t="str">
            <v>Sí</v>
          </cell>
          <cell r="D919" t="str">
            <v>Si</v>
          </cell>
          <cell r="E919" t="str">
            <v>A0000103</v>
          </cell>
        </row>
        <row r="920">
          <cell r="A920" t="str">
            <v>A0001425</v>
          </cell>
          <cell r="B920" t="str">
            <v>M2 Metamark M7 146 Rubí 1,22 x 50m</v>
          </cell>
          <cell r="C920" t="str">
            <v>Sí</v>
          </cell>
          <cell r="D920" t="str">
            <v>Si</v>
          </cell>
          <cell r="E920" t="str">
            <v>A0000103</v>
          </cell>
        </row>
        <row r="921">
          <cell r="A921" t="str">
            <v>A0001459</v>
          </cell>
          <cell r="B921" t="str">
            <v>M2 Metamark M7 147 Rojo Rosa 0,61 x 50m</v>
          </cell>
          <cell r="C921" t="str">
            <v>Sí</v>
          </cell>
          <cell r="D921" t="str">
            <v>Si</v>
          </cell>
          <cell r="E921" t="str">
            <v>A0000103</v>
          </cell>
        </row>
        <row r="922">
          <cell r="A922" t="str">
            <v>A0001426</v>
          </cell>
          <cell r="B922" t="str">
            <v>M2 Metamark M7 147 Rojo Rosa 1,22 x 50m</v>
          </cell>
          <cell r="C922" t="str">
            <v>Sí</v>
          </cell>
          <cell r="D922" t="str">
            <v>Si</v>
          </cell>
          <cell r="E922" t="str">
            <v>A0000103</v>
          </cell>
        </row>
        <row r="923">
          <cell r="A923" t="str">
            <v>A0000482</v>
          </cell>
          <cell r="B923" t="str">
            <v>M2 Metamark M7 148 Rojo Profundo 0,61 x 50m</v>
          </cell>
          <cell r="C923" t="str">
            <v>Sí</v>
          </cell>
          <cell r="D923" t="str">
            <v>Si</v>
          </cell>
          <cell r="E923" t="str">
            <v>A0000103</v>
          </cell>
        </row>
        <row r="924">
          <cell r="A924" t="str">
            <v>A0000432</v>
          </cell>
          <cell r="B924" t="str">
            <v>M2 Metamark M7 148 Rojo Profundo 1,22 x 50m</v>
          </cell>
          <cell r="C924" t="str">
            <v>Sí</v>
          </cell>
          <cell r="D924" t="str">
            <v>Si</v>
          </cell>
          <cell r="E924" t="str">
            <v>A0000103</v>
          </cell>
        </row>
        <row r="925">
          <cell r="A925" t="str">
            <v>A0001460</v>
          </cell>
          <cell r="B925" t="str">
            <v>M2 Metamark M7 149 Rojo Carmesí 0,61 x 50m</v>
          </cell>
          <cell r="C925" t="str">
            <v>Sí</v>
          </cell>
          <cell r="D925" t="str">
            <v>Si</v>
          </cell>
          <cell r="E925" t="str">
            <v>A0000103</v>
          </cell>
        </row>
        <row r="926">
          <cell r="A926" t="str">
            <v>A0001427</v>
          </cell>
          <cell r="B926" t="str">
            <v>M2 Metamark M7 149 Rojo Carmesí 1,22 x 50m</v>
          </cell>
          <cell r="C926" t="str">
            <v>Sí</v>
          </cell>
          <cell r="D926" t="str">
            <v>Si</v>
          </cell>
          <cell r="E926" t="str">
            <v>A0000103</v>
          </cell>
        </row>
        <row r="927">
          <cell r="A927" t="str">
            <v>A0000485</v>
          </cell>
          <cell r="B927" t="str">
            <v>M2 Metamark M7 150 Azul Pálido 0,61 x 50m</v>
          </cell>
          <cell r="C927" t="str">
            <v>Sí</v>
          </cell>
          <cell r="D927" t="str">
            <v>Si</v>
          </cell>
          <cell r="E927" t="str">
            <v>A0000103</v>
          </cell>
        </row>
        <row r="928">
          <cell r="A928" t="str">
            <v>A0000435</v>
          </cell>
          <cell r="B928" t="str">
            <v>M2 Metamark M7 150 Azul Pálido 1,22 x 50m</v>
          </cell>
          <cell r="C928" t="str">
            <v>Sí</v>
          </cell>
          <cell r="D928" t="str">
            <v>Si</v>
          </cell>
          <cell r="E928" t="str">
            <v>A0000103</v>
          </cell>
        </row>
        <row r="929">
          <cell r="A929" t="str">
            <v>A0000486</v>
          </cell>
          <cell r="B929" t="str">
            <v>M2 Metamark M7 151 Azul Olímpico 0,61 x 50m</v>
          </cell>
          <cell r="C929" t="str">
            <v>Sí</v>
          </cell>
          <cell r="D929" t="str">
            <v>Si</v>
          </cell>
          <cell r="E929" t="str">
            <v>A0000103</v>
          </cell>
        </row>
        <row r="930">
          <cell r="A930" t="str">
            <v>A0000436</v>
          </cell>
          <cell r="B930" t="str">
            <v>M2 Metamark M7 151 Azul Olímpico 1,22 x 50m</v>
          </cell>
          <cell r="C930" t="str">
            <v>Sí</v>
          </cell>
          <cell r="D930" t="str">
            <v>Si</v>
          </cell>
          <cell r="E930" t="str">
            <v>A0000103</v>
          </cell>
        </row>
        <row r="931">
          <cell r="A931" t="str">
            <v>A0000487</v>
          </cell>
          <cell r="B931" t="str">
            <v>M2 Metamark M7 152 Azul Oceano 0,61 x 50m</v>
          </cell>
          <cell r="C931" t="str">
            <v>Sí</v>
          </cell>
          <cell r="D931" t="str">
            <v>Si</v>
          </cell>
          <cell r="E931" t="str">
            <v>A0000103</v>
          </cell>
        </row>
        <row r="932">
          <cell r="A932" t="str">
            <v>A0000437</v>
          </cell>
          <cell r="B932" t="str">
            <v>M2 Metamark M7 152 Azul Oceano 1,22 x 50m</v>
          </cell>
          <cell r="C932" t="str">
            <v>Sí</v>
          </cell>
          <cell r="D932" t="str">
            <v>Si</v>
          </cell>
          <cell r="E932" t="str">
            <v>A0000103</v>
          </cell>
        </row>
        <row r="933">
          <cell r="A933" t="str">
            <v>A0000488</v>
          </cell>
          <cell r="B933" t="str">
            <v>M2 Metamark M7 153 Azul Marino 0,61 x 50m</v>
          </cell>
          <cell r="C933" t="str">
            <v>Sí</v>
          </cell>
          <cell r="D933" t="str">
            <v>Si</v>
          </cell>
          <cell r="E933" t="str">
            <v>A0000103</v>
          </cell>
        </row>
        <row r="934">
          <cell r="A934" t="str">
            <v>A0000438</v>
          </cell>
          <cell r="B934" t="str">
            <v>M2 Metamark M7 153 Azul Marino 1,22 x 50m</v>
          </cell>
          <cell r="C934" t="str">
            <v>Sí</v>
          </cell>
          <cell r="D934" t="str">
            <v>Si</v>
          </cell>
          <cell r="E934" t="str">
            <v>A0000103</v>
          </cell>
        </row>
        <row r="935">
          <cell r="A935" t="str">
            <v>A0000489</v>
          </cell>
          <cell r="B935" t="str">
            <v>M2 Metamark M7 154 Azul Medio 0,61 x 50m</v>
          </cell>
          <cell r="C935" t="str">
            <v>Sí</v>
          </cell>
          <cell r="D935" t="str">
            <v>Si</v>
          </cell>
          <cell r="E935" t="str">
            <v>A0000103</v>
          </cell>
        </row>
        <row r="936">
          <cell r="A936" t="str">
            <v>A0000439</v>
          </cell>
          <cell r="B936" t="str">
            <v>M2 Metamark M7 154 Azul Medio 1,22 x 50m</v>
          </cell>
          <cell r="C936" t="str">
            <v>Sí</v>
          </cell>
          <cell r="D936" t="str">
            <v>Si</v>
          </cell>
          <cell r="E936" t="str">
            <v>A0000103</v>
          </cell>
        </row>
        <row r="937">
          <cell r="A937" t="str">
            <v>A0000490</v>
          </cell>
          <cell r="B937" t="str">
            <v>M2 Metamark M7 155 Azul Ultramarino 0,61 x 50m</v>
          </cell>
          <cell r="C937" t="str">
            <v>Sí</v>
          </cell>
          <cell r="D937" t="str">
            <v>Si</v>
          </cell>
          <cell r="E937" t="str">
            <v>A0000103</v>
          </cell>
        </row>
        <row r="938">
          <cell r="A938" t="str">
            <v>A0000440</v>
          </cell>
          <cell r="B938" t="str">
            <v>M2 Metamark M7 155 Azul Ultramarino 1,22 x 50m</v>
          </cell>
          <cell r="C938" t="str">
            <v>Sí</v>
          </cell>
          <cell r="D938" t="str">
            <v>Si</v>
          </cell>
          <cell r="E938" t="str">
            <v>A0000103</v>
          </cell>
        </row>
        <row r="939">
          <cell r="A939" t="str">
            <v>A0000493</v>
          </cell>
          <cell r="B939" t="str">
            <v>M2 Metamark M7 156 Azul Naval 0,61 x 50m</v>
          </cell>
          <cell r="C939" t="str">
            <v>Sí</v>
          </cell>
          <cell r="D939" t="str">
            <v>Si</v>
          </cell>
          <cell r="E939" t="str">
            <v>A0000103</v>
          </cell>
        </row>
        <row r="940">
          <cell r="A940" t="str">
            <v>A0000443</v>
          </cell>
          <cell r="B940" t="str">
            <v>M2 Metamark M7 156 Azul Naval 1,22 x 50m</v>
          </cell>
          <cell r="C940" t="str">
            <v>Sí</v>
          </cell>
          <cell r="D940" t="str">
            <v>Si</v>
          </cell>
          <cell r="E940" t="str">
            <v>A0000103</v>
          </cell>
        </row>
        <row r="941">
          <cell r="A941" t="str">
            <v>A0000494</v>
          </cell>
          <cell r="B941" t="str">
            <v>M2 Metamark M7 157 Azul Medianoche 0,61 x 50m</v>
          </cell>
          <cell r="C941" t="str">
            <v>Sí</v>
          </cell>
          <cell r="D941" t="str">
            <v>Si</v>
          </cell>
          <cell r="E941" t="str">
            <v>A0000103</v>
          </cell>
        </row>
        <row r="942">
          <cell r="A942" t="str">
            <v>A0000444</v>
          </cell>
          <cell r="B942" t="str">
            <v>M2 Metamark M7 157 Azul Medianoche 1,22 x 50m</v>
          </cell>
          <cell r="C942" t="str">
            <v>Sí</v>
          </cell>
          <cell r="D942" t="str">
            <v>Si</v>
          </cell>
          <cell r="E942" t="str">
            <v>A0000103</v>
          </cell>
        </row>
        <row r="943">
          <cell r="A943" t="str">
            <v>A0000491</v>
          </cell>
          <cell r="B943" t="str">
            <v>M2 Metamark M7 158 Azul Brillo 0,61 x 50m</v>
          </cell>
          <cell r="C943" t="str">
            <v>Sí</v>
          </cell>
          <cell r="D943" t="str">
            <v>Si</v>
          </cell>
          <cell r="E943" t="str">
            <v>A0000103</v>
          </cell>
        </row>
        <row r="944">
          <cell r="A944" t="str">
            <v>A0000441</v>
          </cell>
          <cell r="B944" t="str">
            <v>M2 Metamark M7 158 Azul Brillo 1,22 x 50m</v>
          </cell>
          <cell r="C944" t="str">
            <v>Sí</v>
          </cell>
          <cell r="D944" t="str">
            <v>Si</v>
          </cell>
          <cell r="E944" t="str">
            <v>A0000103</v>
          </cell>
        </row>
        <row r="945">
          <cell r="A945" t="str">
            <v>A0001462</v>
          </cell>
          <cell r="B945" t="str">
            <v>M2 Metamark M7 159 Azul Cielo 0,61 x 50m</v>
          </cell>
          <cell r="C945" t="str">
            <v>Sí</v>
          </cell>
          <cell r="D945" t="str">
            <v>Si</v>
          </cell>
          <cell r="E945" t="str">
            <v>A0000103</v>
          </cell>
        </row>
        <row r="946">
          <cell r="A946" t="str">
            <v>A0001429</v>
          </cell>
          <cell r="B946" t="str">
            <v>M2 Metamark M7 159 Azul Cielo 1,22 x 50m</v>
          </cell>
          <cell r="C946" t="str">
            <v>Sí</v>
          </cell>
          <cell r="D946" t="str">
            <v>Si</v>
          </cell>
          <cell r="E946" t="str">
            <v>A0000103</v>
          </cell>
        </row>
        <row r="947">
          <cell r="A947" t="str">
            <v>A0000495</v>
          </cell>
          <cell r="B947" t="str">
            <v>M2 Metamark M7 160 Verde Lima 0,61 x 50m</v>
          </cell>
          <cell r="C947" t="str">
            <v>Sí</v>
          </cell>
          <cell r="D947" t="str">
            <v>Si</v>
          </cell>
          <cell r="E947" t="str">
            <v>A0000103</v>
          </cell>
        </row>
        <row r="948">
          <cell r="A948" t="str">
            <v>A0000445</v>
          </cell>
          <cell r="B948" t="str">
            <v>M2 Metamark M7 160 Verde Lima 1,22 x 50m</v>
          </cell>
          <cell r="C948" t="str">
            <v>Sí</v>
          </cell>
          <cell r="D948" t="str">
            <v>Si</v>
          </cell>
          <cell r="E948" t="str">
            <v>A0000103</v>
          </cell>
        </row>
        <row r="949">
          <cell r="A949" t="str">
            <v>A0000496</v>
          </cell>
          <cell r="B949" t="str">
            <v>M2 Metamark M7 161 Verde Cesped 0,61 x 50m</v>
          </cell>
          <cell r="C949" t="str">
            <v>Sí</v>
          </cell>
          <cell r="D949" t="str">
            <v>Si</v>
          </cell>
          <cell r="E949" t="str">
            <v>A0000103</v>
          </cell>
        </row>
        <row r="950">
          <cell r="A950" t="str">
            <v>A0000446</v>
          </cell>
          <cell r="B950" t="str">
            <v>M2 Metamark M7 161 Verde Cesped 1,22 x 50m</v>
          </cell>
          <cell r="C950" t="str">
            <v>Sí</v>
          </cell>
          <cell r="D950" t="str">
            <v>Si</v>
          </cell>
          <cell r="E950" t="str">
            <v>A0000103</v>
          </cell>
        </row>
        <row r="951">
          <cell r="A951" t="str">
            <v>A0000497</v>
          </cell>
          <cell r="B951" t="str">
            <v>M2 Metamark M7 162 Verde Esmeralda 0,61 x 50m</v>
          </cell>
          <cell r="C951" t="str">
            <v>Sí</v>
          </cell>
          <cell r="D951" t="str">
            <v>Si</v>
          </cell>
          <cell r="E951" t="str">
            <v>A0000103</v>
          </cell>
        </row>
        <row r="952">
          <cell r="A952" t="str">
            <v>A0000447</v>
          </cell>
          <cell r="B952" t="str">
            <v>M2 Metamark M7 162 Verde Esmeralda 1,22 x 50m</v>
          </cell>
          <cell r="C952" t="str">
            <v>Sí</v>
          </cell>
          <cell r="D952" t="str">
            <v>Si</v>
          </cell>
          <cell r="E952" t="str">
            <v>A0000103</v>
          </cell>
        </row>
        <row r="953">
          <cell r="A953" t="str">
            <v>A0000498</v>
          </cell>
          <cell r="B953" t="str">
            <v>M2 Metamark M7 163 Verde Medio 0,61 x 50m</v>
          </cell>
          <cell r="C953" t="str">
            <v>Sí</v>
          </cell>
          <cell r="D953" t="str">
            <v>Si</v>
          </cell>
          <cell r="E953" t="str">
            <v>A0000103</v>
          </cell>
        </row>
        <row r="954">
          <cell r="A954" t="str">
            <v>A0000448</v>
          </cell>
          <cell r="B954" t="str">
            <v>M2 Metamark M7 163 Verde Medio 1,22 x 50m</v>
          </cell>
          <cell r="C954" t="str">
            <v>Sí</v>
          </cell>
          <cell r="D954" t="str">
            <v>Si</v>
          </cell>
          <cell r="E954" t="str">
            <v>A0000103</v>
          </cell>
        </row>
        <row r="955">
          <cell r="A955" t="str">
            <v>A0000499</v>
          </cell>
          <cell r="B955" t="str">
            <v>M2 Metamark M7 164 Verde Bosque 0,61 x 50m</v>
          </cell>
          <cell r="C955" t="str">
            <v>Sí</v>
          </cell>
          <cell r="D955" t="str">
            <v>Si</v>
          </cell>
          <cell r="E955" t="str">
            <v>A0000103</v>
          </cell>
        </row>
        <row r="956">
          <cell r="A956" t="str">
            <v>A0000449</v>
          </cell>
          <cell r="B956" t="str">
            <v>M2 Metamark M7 164 Verde Bosque 1,22 x 50m</v>
          </cell>
          <cell r="C956" t="str">
            <v>Sí</v>
          </cell>
          <cell r="D956" t="str">
            <v>Si</v>
          </cell>
          <cell r="E956" t="str">
            <v>A0000103</v>
          </cell>
        </row>
        <row r="957">
          <cell r="A957" t="str">
            <v>A0000501</v>
          </cell>
          <cell r="B957" t="str">
            <v>M2 Metamark M7 165 Verde Azulado 0,61 x 50m</v>
          </cell>
          <cell r="C957" t="str">
            <v>Sí</v>
          </cell>
          <cell r="D957" t="str">
            <v>Si</v>
          </cell>
          <cell r="E957" t="str">
            <v>A0000103</v>
          </cell>
        </row>
        <row r="958">
          <cell r="A958" t="str">
            <v>A0001494</v>
          </cell>
          <cell r="B958" t="str">
            <v>Assy, Main Board VP-540</v>
          </cell>
          <cell r="C958" t="str">
            <v>Sí</v>
          </cell>
          <cell r="D958" t="str">
            <v>No</v>
          </cell>
        </row>
        <row r="959">
          <cell r="A959" t="str">
            <v>A0001495</v>
          </cell>
          <cell r="B959" t="str">
            <v>Rollo Máscara  Ritrama Beige 300mc  1,22x25m</v>
          </cell>
          <cell r="C959" t="str">
            <v>Sí</v>
          </cell>
          <cell r="D959" t="str">
            <v>No</v>
          </cell>
          <cell r="E959" t="str">
            <v>A0000994</v>
          </cell>
        </row>
        <row r="960">
          <cell r="A960" t="str">
            <v>A0000451</v>
          </cell>
          <cell r="B960" t="str">
            <v>M2 Metamark M7 165 Verde Azulado 1,22 x 50m</v>
          </cell>
          <cell r="C960" t="str">
            <v>Sí</v>
          </cell>
          <cell r="D960" t="str">
            <v>Si</v>
          </cell>
          <cell r="E960" t="str">
            <v>A0000103</v>
          </cell>
        </row>
        <row r="961">
          <cell r="A961" t="str">
            <v>A0001499</v>
          </cell>
          <cell r="B961" t="str">
            <v>SC-500 Pump Assy for sol ink</v>
          </cell>
          <cell r="C961" t="str">
            <v>Sí</v>
          </cell>
          <cell r="D961" t="str">
            <v>No</v>
          </cell>
        </row>
        <row r="962">
          <cell r="A962" t="str">
            <v>A0001500</v>
          </cell>
          <cell r="B962" t="str">
            <v>Assy, Pump Sub XC 540</v>
          </cell>
          <cell r="C962" t="str">
            <v>Sí</v>
          </cell>
          <cell r="D962" t="str">
            <v>No</v>
          </cell>
        </row>
        <row r="963">
          <cell r="A963" t="str">
            <v>A0001501</v>
          </cell>
          <cell r="B963" t="str">
            <v>Assy, Paperside sens XF-640</v>
          </cell>
          <cell r="C963" t="str">
            <v>Sí</v>
          </cell>
          <cell r="D963" t="str">
            <v>No</v>
          </cell>
        </row>
        <row r="964">
          <cell r="A964" t="str">
            <v>A0001502</v>
          </cell>
          <cell r="B964" t="str">
            <v>Rollo Papel Mupi Skylight 150g 1,4 x 100m</v>
          </cell>
          <cell r="C964" t="str">
            <v>Sí</v>
          </cell>
          <cell r="D964" t="str">
            <v>No</v>
          </cell>
        </row>
        <row r="965">
          <cell r="A965" t="str">
            <v>A0001503</v>
          </cell>
          <cell r="B965" t="str">
            <v>Rollo Reflectiv Sol 101 1,52x2,5m</v>
          </cell>
          <cell r="C965" t="str">
            <v>Sí</v>
          </cell>
          <cell r="D965" t="str">
            <v>No</v>
          </cell>
        </row>
        <row r="966">
          <cell r="A966" t="str">
            <v>A0001504</v>
          </cell>
          <cell r="B966" t="str">
            <v>Rollo Reflectiv Sol 101 1,52x5m</v>
          </cell>
          <cell r="C966" t="str">
            <v>Sí</v>
          </cell>
          <cell r="D966" t="str">
            <v>No</v>
          </cell>
        </row>
        <row r="967">
          <cell r="A967" t="str">
            <v>A0001505</v>
          </cell>
          <cell r="B967" t="str">
            <v>Rollo Reflectiv Sol 101 1,52x10m</v>
          </cell>
          <cell r="C967" t="str">
            <v>Sí</v>
          </cell>
          <cell r="D967" t="str">
            <v>No</v>
          </cell>
        </row>
        <row r="968">
          <cell r="A968" t="str">
            <v>A0001506</v>
          </cell>
          <cell r="B968" t="str">
            <v>Rollo Reflectiv Sol 101 1,52x30m</v>
          </cell>
          <cell r="C968" t="str">
            <v>Sí</v>
          </cell>
          <cell r="D968" t="str">
            <v>No</v>
          </cell>
        </row>
        <row r="969">
          <cell r="A969" t="str">
            <v>A0001507</v>
          </cell>
          <cell r="B969" t="str">
            <v>Rollo Reflectiv Sol 102 1,52x2,5m</v>
          </cell>
          <cell r="C969" t="str">
            <v>Sí</v>
          </cell>
          <cell r="D969" t="str">
            <v>No</v>
          </cell>
        </row>
        <row r="970">
          <cell r="A970" t="str">
            <v>A0001508</v>
          </cell>
          <cell r="B970" t="str">
            <v>Rollo Reflectiv Sol 102 1,52x5m</v>
          </cell>
          <cell r="C970" t="str">
            <v>Sí</v>
          </cell>
          <cell r="D970" t="str">
            <v>No</v>
          </cell>
        </row>
        <row r="971">
          <cell r="A971" t="str">
            <v>A0001509</v>
          </cell>
          <cell r="B971" t="str">
            <v>Rollo Reflectiv Sol 102 1,52x30m</v>
          </cell>
          <cell r="C971" t="str">
            <v>Sí</v>
          </cell>
          <cell r="D971" t="str">
            <v>No</v>
          </cell>
        </row>
        <row r="972">
          <cell r="A972" t="str">
            <v>A0001510</v>
          </cell>
          <cell r="B972" t="str">
            <v>Rollo Reflectiv Sol 102 1,52x10m</v>
          </cell>
          <cell r="C972" t="str">
            <v>Sí</v>
          </cell>
          <cell r="D972" t="str">
            <v>No</v>
          </cell>
        </row>
        <row r="973">
          <cell r="A973" t="str">
            <v>A0001511</v>
          </cell>
          <cell r="B973" t="str">
            <v>Rollo Reflectiv IR 50 1,52x2,5m</v>
          </cell>
          <cell r="C973" t="str">
            <v>Sí</v>
          </cell>
          <cell r="D973" t="str">
            <v>No</v>
          </cell>
        </row>
        <row r="974">
          <cell r="A974" t="str">
            <v>A0001512</v>
          </cell>
          <cell r="B974" t="str">
            <v>Rollo Reflectiv IR 50 1,52x5m</v>
          </cell>
          <cell r="C974" t="str">
            <v>Sí</v>
          </cell>
          <cell r="D974" t="str">
            <v>No</v>
          </cell>
        </row>
        <row r="975">
          <cell r="A975" t="str">
            <v>A0001513</v>
          </cell>
          <cell r="B975" t="str">
            <v>Rollo Reflectiv IR 50 1,52x10m</v>
          </cell>
          <cell r="C975" t="str">
            <v>Sí</v>
          </cell>
          <cell r="D975" t="str">
            <v>No</v>
          </cell>
        </row>
        <row r="976">
          <cell r="A976" t="str">
            <v>A0001514</v>
          </cell>
          <cell r="B976" t="str">
            <v>Rollo Reflectiv UV 151 1,52x2,5m</v>
          </cell>
          <cell r="C976" t="str">
            <v>Sí</v>
          </cell>
          <cell r="D976" t="str">
            <v>No</v>
          </cell>
        </row>
        <row r="977">
          <cell r="A977" t="str">
            <v>A0001515</v>
          </cell>
          <cell r="B977" t="str">
            <v>Rollo Reflectiv UV 151 1,52x5m</v>
          </cell>
          <cell r="C977" t="str">
            <v>Sí</v>
          </cell>
          <cell r="D977" t="str">
            <v>No</v>
          </cell>
        </row>
        <row r="978">
          <cell r="A978" t="str">
            <v>A0001516</v>
          </cell>
          <cell r="B978" t="str">
            <v>Rollo Reflectiv UV 151 1,52x10m</v>
          </cell>
          <cell r="C978" t="str">
            <v>Sí</v>
          </cell>
          <cell r="D978" t="str">
            <v>No</v>
          </cell>
        </row>
        <row r="979">
          <cell r="A979" t="str">
            <v>A0001517</v>
          </cell>
          <cell r="B979" t="str">
            <v>Cutter Metal 9mm</v>
          </cell>
          <cell r="C979" t="str">
            <v>Sí</v>
          </cell>
          <cell r="D979" t="str">
            <v>No</v>
          </cell>
        </row>
        <row r="980">
          <cell r="A980" t="str">
            <v>A0001518</v>
          </cell>
          <cell r="B980" t="str">
            <v>Cutter Plástico 9mm</v>
          </cell>
          <cell r="C980" t="str">
            <v>Sí</v>
          </cell>
          <cell r="D980" t="str">
            <v>No</v>
          </cell>
        </row>
        <row r="981">
          <cell r="A981" t="str">
            <v>A0001521</v>
          </cell>
          <cell r="B981" t="str">
            <v>Plancha Basic Claim 40x50cm</v>
          </cell>
          <cell r="C981" t="str">
            <v>Sí</v>
          </cell>
          <cell r="D981" t="str">
            <v>No</v>
          </cell>
        </row>
        <row r="982">
          <cell r="A982" t="str">
            <v>A0001522</v>
          </cell>
          <cell r="B982" t="str">
            <v>Assy, Drain BN-20</v>
          </cell>
          <cell r="C982" t="str">
            <v>Sí</v>
          </cell>
          <cell r="D982" t="str">
            <v>No</v>
          </cell>
        </row>
        <row r="983">
          <cell r="A983" t="str">
            <v>A0001523</v>
          </cell>
          <cell r="B983" t="str">
            <v>22435106 - Motor 103.593.1041</v>
          </cell>
          <cell r="C983" t="str">
            <v>Sí</v>
          </cell>
          <cell r="D983" t="str">
            <v>No</v>
          </cell>
        </row>
        <row r="984">
          <cell r="A984" t="str">
            <v>A0001524</v>
          </cell>
          <cell r="B984" t="str">
            <v>Knob, bolt 117-10313</v>
          </cell>
          <cell r="C984" t="str">
            <v>Sí</v>
          </cell>
          <cell r="D984" t="str">
            <v>No</v>
          </cell>
        </row>
        <row r="985">
          <cell r="A985" t="str">
            <v>A0001525</v>
          </cell>
          <cell r="B985" t="str">
            <v>Pad, Cutter CJ-540</v>
          </cell>
          <cell r="C985" t="str">
            <v>Sí</v>
          </cell>
          <cell r="D985" t="str">
            <v>No</v>
          </cell>
        </row>
        <row r="986">
          <cell r="A986" t="str">
            <v>A0000502</v>
          </cell>
          <cell r="B986" t="str">
            <v>M2 Metamark M7 166 Verde Turquesa 0,61 x 50m</v>
          </cell>
          <cell r="C986" t="str">
            <v>Sí</v>
          </cell>
          <cell r="D986" t="str">
            <v>Si</v>
          </cell>
          <cell r="E986" t="str">
            <v>A0000103</v>
          </cell>
        </row>
        <row r="987">
          <cell r="A987" t="str">
            <v>A0001527</v>
          </cell>
          <cell r="B987" t="str">
            <v>Rollo Canvas Skynet JConnor 320gr 1,06mx25m</v>
          </cell>
          <cell r="C987" t="str">
            <v>Sí</v>
          </cell>
          <cell r="D987" t="str">
            <v>No</v>
          </cell>
        </row>
        <row r="988">
          <cell r="A988" t="str">
            <v>A0001529</v>
          </cell>
          <cell r="B988" t="str">
            <v>Power unit, LFA100F-24-HJ1</v>
          </cell>
          <cell r="C988" t="str">
            <v>Sí</v>
          </cell>
          <cell r="D988" t="str">
            <v>No</v>
          </cell>
        </row>
        <row r="989">
          <cell r="A989" t="str">
            <v>A0001530</v>
          </cell>
          <cell r="B989" t="str">
            <v>Kit, pump versacam</v>
          </cell>
          <cell r="C989" t="str">
            <v>Sí</v>
          </cell>
          <cell r="D989" t="str">
            <v>No</v>
          </cell>
        </row>
        <row r="990">
          <cell r="A990" t="str">
            <v>A0000452</v>
          </cell>
          <cell r="B990" t="str">
            <v>M2 Metamark M7 166 Verde Turquesa 1,22 x 50m</v>
          </cell>
          <cell r="C990" t="str">
            <v>Sí</v>
          </cell>
          <cell r="D990" t="str">
            <v>Si</v>
          </cell>
          <cell r="E990" t="str">
            <v>A0000103</v>
          </cell>
        </row>
        <row r="991">
          <cell r="A991" t="str">
            <v>A0001470</v>
          </cell>
          <cell r="B991" t="str">
            <v>M2 Metamark M7 167 Verde Poseidón 0,61 x 50m</v>
          </cell>
          <cell r="C991" t="str">
            <v>Sí</v>
          </cell>
          <cell r="D991" t="str">
            <v>Si</v>
          </cell>
          <cell r="E991" t="str">
            <v>A0000103</v>
          </cell>
        </row>
        <row r="992">
          <cell r="A992" t="str">
            <v>A0001536</v>
          </cell>
          <cell r="B992" t="str">
            <v>Assy, Scan Motor SJ-1045EX</v>
          </cell>
          <cell r="C992" t="str">
            <v>Sí</v>
          </cell>
          <cell r="D992" t="str">
            <v>No</v>
          </cell>
        </row>
        <row r="993">
          <cell r="A993" t="str">
            <v>A0001537</v>
          </cell>
          <cell r="B993" t="str">
            <v>6000005213 - Assy, Head Inkjet Sol XC-540 (DX4)</v>
          </cell>
          <cell r="C993" t="str">
            <v>Sí</v>
          </cell>
          <cell r="D993" t="str">
            <v>Si</v>
          </cell>
        </row>
        <row r="994">
          <cell r="A994" t="str">
            <v>A0001538</v>
          </cell>
          <cell r="B994" t="str">
            <v>Rollo Polimérico Isee2 (StrongTouch) Alto Agarre Mate 1,37x50m</v>
          </cell>
          <cell r="C994" t="str">
            <v>Sí</v>
          </cell>
          <cell r="D994" t="str">
            <v>Si</v>
          </cell>
        </row>
        <row r="995">
          <cell r="A995" t="str">
            <v>A0001539</v>
          </cell>
          <cell r="B995" t="str">
            <v>Prensa Hotronix Fusion IQ 40x50 cm</v>
          </cell>
          <cell r="C995" t="str">
            <v>Sí</v>
          </cell>
          <cell r="D995" t="str">
            <v>Si</v>
          </cell>
        </row>
        <row r="996">
          <cell r="A996" t="str">
            <v>A0001540</v>
          </cell>
          <cell r="B996" t="str">
            <v>Rollo Papel Mupi Skylight 150g 1,27 x 100m</v>
          </cell>
          <cell r="C996" t="str">
            <v>Sí</v>
          </cell>
          <cell r="D996" t="str">
            <v>No</v>
          </cell>
        </row>
        <row r="997">
          <cell r="A997" t="str">
            <v>A0001541</v>
          </cell>
          <cell r="B997" t="str">
            <v>Rollo MetaWrap MDX (50mc) Brillo 1,37x25m</v>
          </cell>
          <cell r="C997" t="str">
            <v>Sí</v>
          </cell>
          <cell r="D997" t="str">
            <v>No</v>
          </cell>
          <cell r="E997" t="str">
            <v>A0000205</v>
          </cell>
        </row>
        <row r="998">
          <cell r="A998" t="str">
            <v>A0001543</v>
          </cell>
          <cell r="B998" t="str">
            <v>Rollo Canvas Skynet JConnor 300gr 1,37mx25m</v>
          </cell>
          <cell r="C998" t="str">
            <v>Sí</v>
          </cell>
          <cell r="D998" t="str">
            <v>No</v>
          </cell>
        </row>
        <row r="999">
          <cell r="A999" t="str">
            <v>A0001544</v>
          </cell>
          <cell r="B999" t="str">
            <v>Cable-Card 29P1 256L BB HIGH-V</v>
          </cell>
          <cell r="C999" t="str">
            <v>Sí</v>
          </cell>
          <cell r="D999" t="str">
            <v>No</v>
          </cell>
        </row>
        <row r="1000">
          <cell r="A1000" t="str">
            <v>A0001545</v>
          </cell>
          <cell r="B1000" t="str">
            <v>Rollo HP Everiday Matte Polipropylene 1,07m X 61m (Roll-up)</v>
          </cell>
          <cell r="C1000" t="str">
            <v>Sí</v>
          </cell>
          <cell r="D1000" t="str">
            <v>No</v>
          </cell>
        </row>
        <row r="1001">
          <cell r="A1001" t="str">
            <v>A0000207</v>
          </cell>
          <cell r="B1001" t="str">
            <v>Rollo MetaWrap MDXB (50mc Adh Gris) Brillo 1,37x50m</v>
          </cell>
          <cell r="C1001" t="str">
            <v>Sí</v>
          </cell>
          <cell r="D1001" t="str">
            <v>Si</v>
          </cell>
          <cell r="E1001" t="str">
            <v>A0000205</v>
          </cell>
        </row>
        <row r="1002">
          <cell r="A1002" t="str">
            <v>A0001547</v>
          </cell>
          <cell r="B1002" t="str">
            <v>Rollo MetaWrap MDXB (50mc Adh Gris) Brillo 1,6x25m</v>
          </cell>
          <cell r="C1002" t="str">
            <v>Sí</v>
          </cell>
          <cell r="D1002" t="str">
            <v>Si</v>
          </cell>
          <cell r="E1002" t="str">
            <v>A0000205</v>
          </cell>
        </row>
        <row r="1003">
          <cell r="A1003" t="str">
            <v>A0001548</v>
          </cell>
          <cell r="B1003" t="str">
            <v>Rollo MetaWrap Laminado MG-X 105 Brillo 1,6x25m</v>
          </cell>
          <cell r="C1003" t="str">
            <v>Sí</v>
          </cell>
          <cell r="D1003" t="str">
            <v>Si</v>
          </cell>
          <cell r="E1003" t="str">
            <v>A0000269</v>
          </cell>
        </row>
        <row r="1004">
          <cell r="A1004" t="str">
            <v>A0001550</v>
          </cell>
          <cell r="B1004" t="str">
            <v>Assy, Scan Motor XF-640</v>
          </cell>
          <cell r="C1004" t="str">
            <v>Sí</v>
          </cell>
          <cell r="D1004" t="str">
            <v>No</v>
          </cell>
        </row>
        <row r="1005">
          <cell r="A1005" t="str">
            <v>A0001551</v>
          </cell>
          <cell r="B1005" t="str">
            <v>Pad, Cutter SG 540</v>
          </cell>
          <cell r="C1005" t="str">
            <v>Sí</v>
          </cell>
          <cell r="D1005" t="str">
            <v>Si</v>
          </cell>
        </row>
        <row r="1006">
          <cell r="A1006" t="str">
            <v>A0001553</v>
          </cell>
          <cell r="B1006" t="str">
            <v>Rollo Reflectiv Sec054X 1,52x10m</v>
          </cell>
          <cell r="C1006" t="str">
            <v>Sí</v>
          </cell>
          <cell r="D1006" t="str">
            <v>No</v>
          </cell>
        </row>
        <row r="1007">
          <cell r="A1007" t="str">
            <v>A0001554</v>
          </cell>
          <cell r="B1007" t="str">
            <v>Rollo Reflectiv Sec054X 1,52x2,5m</v>
          </cell>
          <cell r="C1007" t="str">
            <v>Sí</v>
          </cell>
          <cell r="D1007" t="str">
            <v>No</v>
          </cell>
        </row>
        <row r="1008">
          <cell r="A1008" t="str">
            <v>A0001555</v>
          </cell>
          <cell r="B1008" t="str">
            <v>Rollo Reflectiv Sec054X 1,52x5m</v>
          </cell>
          <cell r="C1008" t="str">
            <v>Sí</v>
          </cell>
          <cell r="D1008" t="str">
            <v>No</v>
          </cell>
        </row>
        <row r="1009">
          <cell r="A1009" t="str">
            <v>A0001556</v>
          </cell>
          <cell r="B1009" t="str">
            <v>Rollo Reflectiv Sec054X 1,52x30m</v>
          </cell>
          <cell r="C1009" t="str">
            <v>Sí</v>
          </cell>
          <cell r="D1009" t="str">
            <v>No</v>
          </cell>
        </row>
        <row r="1010">
          <cell r="A1010" t="str">
            <v>A0001560</v>
          </cell>
          <cell r="B1010" t="str">
            <v>Pack 5 cuchillas Summa  45º</v>
          </cell>
          <cell r="C1010" t="str">
            <v>Sí</v>
          </cell>
          <cell r="D1010" t="str">
            <v>No</v>
          </cell>
        </row>
        <row r="1011">
          <cell r="A1011" t="str">
            <v>A0001561</v>
          </cell>
          <cell r="B1011" t="str">
            <v>VS 640, Belt 172P2M4-530</v>
          </cell>
          <cell r="C1011" t="str">
            <v>Sí</v>
          </cell>
          <cell r="D1011" t="str">
            <v>No</v>
          </cell>
        </row>
        <row r="1012">
          <cell r="A1012" t="str">
            <v>A0001437</v>
          </cell>
          <cell r="B1012" t="str">
            <v>M2 Metamark M7 167 Verde Poseidón 1,22 x 50m</v>
          </cell>
          <cell r="C1012" t="str">
            <v>Sí</v>
          </cell>
          <cell r="D1012" t="str">
            <v>Si</v>
          </cell>
          <cell r="E1012" t="str">
            <v>A0000103</v>
          </cell>
        </row>
        <row r="1013">
          <cell r="A1013" t="str">
            <v>A0001471</v>
          </cell>
          <cell r="B1013" t="str">
            <v>M2 Metamark M7 168 Verde Laguna 0,61 x 50m</v>
          </cell>
          <cell r="C1013" t="str">
            <v>Sí</v>
          </cell>
          <cell r="D1013" t="str">
            <v>Si</v>
          </cell>
          <cell r="E1013" t="str">
            <v>A0000103</v>
          </cell>
        </row>
        <row r="1014">
          <cell r="A1014" t="str">
            <v>A0001438</v>
          </cell>
          <cell r="B1014" t="str">
            <v>M2 Metamark M7 168 Verde Laguna 1,22 x 50m</v>
          </cell>
          <cell r="C1014" t="str">
            <v>Sí</v>
          </cell>
          <cell r="D1014" t="str">
            <v>Si</v>
          </cell>
          <cell r="E1014" t="str">
            <v>A0000103</v>
          </cell>
        </row>
        <row r="1015">
          <cell r="A1015" t="str">
            <v>A0001472</v>
          </cell>
          <cell r="B1015" t="str">
            <v>M2 Metamark M7 169 Verde Cazador 0,61 x 50m</v>
          </cell>
          <cell r="C1015" t="str">
            <v>Sí</v>
          </cell>
          <cell r="D1015" t="str">
            <v>Si</v>
          </cell>
          <cell r="E1015" t="str">
            <v>A0000103</v>
          </cell>
        </row>
        <row r="1016">
          <cell r="A1016" t="str">
            <v>A0001569</v>
          </cell>
          <cell r="B1016" t="str">
            <v>Rollo Termo Adhesive 71cm x 22,8</v>
          </cell>
          <cell r="C1016" t="str">
            <v>Sí</v>
          </cell>
          <cell r="D1016" t="str">
            <v>Si</v>
          </cell>
        </row>
        <row r="1017">
          <cell r="A1017" t="str">
            <v>A0001572</v>
          </cell>
          <cell r="B1017" t="str">
            <v>Pack Hoja teflonada Stahls 38X48cm (25und)</v>
          </cell>
          <cell r="C1017" t="str">
            <v>Sí</v>
          </cell>
          <cell r="D1017" t="str">
            <v>Si</v>
          </cell>
          <cell r="E1017" t="str">
            <v>A0000606</v>
          </cell>
        </row>
        <row r="1018">
          <cell r="A1018" t="str">
            <v>A0001573</v>
          </cell>
          <cell r="B1018" t="str">
            <v>NonStick Coated Pressure Pad - SET X4</v>
          </cell>
          <cell r="C1018" t="str">
            <v>Sí</v>
          </cell>
          <cell r="D1018" t="str">
            <v>No</v>
          </cell>
        </row>
        <row r="1019">
          <cell r="A1019" t="str">
            <v>A0001574</v>
          </cell>
          <cell r="B1019" t="str">
            <v>Screw set,set wp M3*3 NI 20 pcs</v>
          </cell>
          <cell r="C1019" t="str">
            <v>Sí</v>
          </cell>
          <cell r="D1019" t="str">
            <v>No</v>
          </cell>
        </row>
        <row r="1020">
          <cell r="A1020" t="str">
            <v>A0001575</v>
          </cell>
          <cell r="B1020" t="str">
            <v>Cartucho Tinta TrueVIS 2 500ml Cyan</v>
          </cell>
          <cell r="C1020" t="str">
            <v>Sí</v>
          </cell>
          <cell r="D1020" t="str">
            <v>Si</v>
          </cell>
          <cell r="E1020" t="str">
            <v>A0000996</v>
          </cell>
        </row>
        <row r="1021">
          <cell r="A1021" t="str">
            <v>A0001576</v>
          </cell>
          <cell r="B1021" t="str">
            <v>Cartucho Tinta TrueVIS 2 500ml Negro</v>
          </cell>
          <cell r="C1021" t="str">
            <v>Sí</v>
          </cell>
          <cell r="D1021" t="str">
            <v>Si</v>
          </cell>
          <cell r="E1021" t="str">
            <v>A0000996</v>
          </cell>
        </row>
        <row r="1022">
          <cell r="A1022" t="str">
            <v>A0001577</v>
          </cell>
          <cell r="B1022" t="str">
            <v>Cartucho Tinta TrueVIS 2 500ml Magenta</v>
          </cell>
          <cell r="C1022" t="str">
            <v>Sí</v>
          </cell>
          <cell r="D1022" t="str">
            <v>Si</v>
          </cell>
          <cell r="E1022" t="str">
            <v>A0000996</v>
          </cell>
        </row>
        <row r="1023">
          <cell r="A1023" t="str">
            <v>A0001578</v>
          </cell>
          <cell r="B1023" t="str">
            <v>Cartucho Tinta TrueVIS 2 500ml Light Cyan</v>
          </cell>
          <cell r="C1023" t="str">
            <v>Sí</v>
          </cell>
          <cell r="D1023" t="str">
            <v>Si</v>
          </cell>
          <cell r="E1023" t="str">
            <v>A0000996</v>
          </cell>
        </row>
        <row r="1024">
          <cell r="A1024" t="str">
            <v>A0001579</v>
          </cell>
          <cell r="B1024" t="str">
            <v>Cartucho Tinta TrueVIS 2 500ml Light Magenta</v>
          </cell>
          <cell r="C1024" t="str">
            <v>Sí</v>
          </cell>
          <cell r="D1024" t="str">
            <v>Si</v>
          </cell>
          <cell r="E1024" t="str">
            <v>A0000996</v>
          </cell>
        </row>
        <row r="1025">
          <cell r="A1025" t="str">
            <v>A0001580</v>
          </cell>
          <cell r="B1025" t="str">
            <v>Cartucho Tinta TrueVIS 2 500ml Naranja</v>
          </cell>
          <cell r="C1025" t="str">
            <v>Sí</v>
          </cell>
          <cell r="D1025" t="str">
            <v>Si</v>
          </cell>
          <cell r="E1025" t="str">
            <v>A0000996</v>
          </cell>
        </row>
        <row r="1026">
          <cell r="A1026" t="str">
            <v>A0001581</v>
          </cell>
          <cell r="B1026" t="str">
            <v>Cartucho Tinta TrueVIS 2 500ml Amarillo</v>
          </cell>
          <cell r="C1026" t="str">
            <v>Sí</v>
          </cell>
          <cell r="D1026" t="str">
            <v>Si</v>
          </cell>
          <cell r="E1026" t="str">
            <v>A0000996</v>
          </cell>
        </row>
        <row r="1027">
          <cell r="A1027" t="str">
            <v>A0001582</v>
          </cell>
          <cell r="B1027" t="str">
            <v>Cartucho Tinta TrueVIS 2 500ml Limpieza</v>
          </cell>
          <cell r="C1027" t="str">
            <v>Sí</v>
          </cell>
          <cell r="D1027" t="str">
            <v>Si</v>
          </cell>
        </row>
        <row r="1028">
          <cell r="A1028" t="str">
            <v>A0001583</v>
          </cell>
          <cell r="B1028" t="str">
            <v>Cartucho Tinta TrueVIS 2 500ml Light Negro</v>
          </cell>
          <cell r="C1028" t="str">
            <v>Sí</v>
          </cell>
          <cell r="D1028" t="str">
            <v>Si</v>
          </cell>
          <cell r="E1028" t="str">
            <v>A0000996</v>
          </cell>
        </row>
        <row r="1029">
          <cell r="A1029" t="str">
            <v>A0001439</v>
          </cell>
          <cell r="B1029" t="str">
            <v>M2 Metamark M7 169 Verde Cazador 1,22 x 50m</v>
          </cell>
          <cell r="C1029" t="str">
            <v>Sí</v>
          </cell>
          <cell r="D1029" t="str">
            <v>Si</v>
          </cell>
          <cell r="E1029" t="str">
            <v>A0000103</v>
          </cell>
        </row>
        <row r="1030">
          <cell r="A1030" t="str">
            <v>A0001586</v>
          </cell>
          <cell r="B1030" t="str">
            <v>Rollo Transportador GXP-775 (Papel medio/alto agarre) 1,52x100m</v>
          </cell>
          <cell r="C1030" t="str">
            <v>Sí</v>
          </cell>
          <cell r="D1030" t="str">
            <v>Si</v>
          </cell>
          <cell r="E1030" t="str">
            <v>A0000605</v>
          </cell>
        </row>
        <row r="1031">
          <cell r="A1031" t="str">
            <v>A0001588</v>
          </cell>
          <cell r="B1031" t="str">
            <v>ML Cad-Cut Silicone 100 001 Blanco 500mm</v>
          </cell>
          <cell r="C1031" t="str">
            <v>Sí</v>
          </cell>
          <cell r="D1031" t="str">
            <v>Si</v>
          </cell>
          <cell r="E1031" t="str">
            <v>A0000762</v>
          </cell>
        </row>
        <row r="1032">
          <cell r="A1032" t="str">
            <v>A0001589</v>
          </cell>
          <cell r="B1032" t="str">
            <v>ML Cad-Cut Silicone 100 110 Amarillo 500mm</v>
          </cell>
          <cell r="C1032" t="str">
            <v>Sí</v>
          </cell>
          <cell r="D1032" t="str">
            <v>Si</v>
          </cell>
          <cell r="E1032" t="str">
            <v>A0000762</v>
          </cell>
        </row>
        <row r="1033">
          <cell r="A1033" t="str">
            <v>A0001590</v>
          </cell>
          <cell r="B1033" t="str">
            <v>ML Cad-Cut Silicone 100 200 rojo 500mm</v>
          </cell>
          <cell r="C1033" t="str">
            <v>Sí</v>
          </cell>
          <cell r="D1033" t="str">
            <v>Si</v>
          </cell>
          <cell r="E1033" t="str">
            <v>A0000762</v>
          </cell>
        </row>
        <row r="1034">
          <cell r="A1034" t="str">
            <v>A0001591</v>
          </cell>
          <cell r="B1034" t="str">
            <v>ML Cad-Cut Silicone 100 180 Naranja 500mm</v>
          </cell>
          <cell r="C1034" t="str">
            <v>Sí</v>
          </cell>
          <cell r="D1034" t="str">
            <v>Si</v>
          </cell>
          <cell r="E1034" t="str">
            <v>A0000762</v>
          </cell>
        </row>
        <row r="1035">
          <cell r="A1035" t="str">
            <v>A0001592</v>
          </cell>
          <cell r="B1035" t="str">
            <v>ML Cad-Cut Silicone 100 730 Gris 500mm</v>
          </cell>
          <cell r="C1035" t="str">
            <v>Sí</v>
          </cell>
          <cell r="D1035" t="str">
            <v>Si</v>
          </cell>
          <cell r="E1035" t="str">
            <v>A0000762</v>
          </cell>
        </row>
        <row r="1036">
          <cell r="A1036" t="str">
            <v>A0001593</v>
          </cell>
          <cell r="B1036" t="str">
            <v>ML Cad-Cut Silicone 100 400 Verde 500mm</v>
          </cell>
          <cell r="C1036" t="str">
            <v>Sí</v>
          </cell>
          <cell r="D1036" t="str">
            <v>Si</v>
          </cell>
          <cell r="E1036" t="str">
            <v>A0000762</v>
          </cell>
        </row>
        <row r="1037">
          <cell r="A1037" t="str">
            <v>A0001594</v>
          </cell>
          <cell r="B1037" t="str">
            <v>ML Cad-Cut Silicone 100 300 Azul Marino 500mm</v>
          </cell>
          <cell r="C1037" t="str">
            <v>Sí</v>
          </cell>
          <cell r="D1037" t="str">
            <v>Si</v>
          </cell>
          <cell r="E1037" t="str">
            <v>A0000762</v>
          </cell>
        </row>
        <row r="1038">
          <cell r="A1038" t="str">
            <v>A0001595</v>
          </cell>
          <cell r="B1038" t="str">
            <v>ML Cad-Cut Silicone 100 380 Turquesa 500mm</v>
          </cell>
          <cell r="C1038" t="str">
            <v>Sí</v>
          </cell>
          <cell r="D1038" t="str">
            <v>Si</v>
          </cell>
          <cell r="E1038" t="str">
            <v>A0000762</v>
          </cell>
        </row>
        <row r="1039">
          <cell r="A1039" t="str">
            <v>A0001596</v>
          </cell>
          <cell r="B1039" t="str">
            <v>ML Cad-Cut Silicone 100 320 Azul Claro 500mm</v>
          </cell>
          <cell r="C1039" t="str">
            <v>Sí</v>
          </cell>
          <cell r="D1039" t="str">
            <v>Si</v>
          </cell>
          <cell r="E1039" t="str">
            <v>A0000762</v>
          </cell>
        </row>
        <row r="1040">
          <cell r="A1040" t="str">
            <v>A0001597</v>
          </cell>
          <cell r="B1040" t="str">
            <v>ML Cad-Cut Silicone 100 421 Vede Manzana 500mm</v>
          </cell>
          <cell r="C1040" t="str">
            <v>Sí</v>
          </cell>
          <cell r="D1040" t="str">
            <v>Si</v>
          </cell>
          <cell r="E1040" t="str">
            <v>A0000762</v>
          </cell>
        </row>
        <row r="1041">
          <cell r="A1041" t="str">
            <v>A0001598</v>
          </cell>
          <cell r="B1041" t="str">
            <v>ML Cad-Cut Silicone 100 410 Verde Oscuro 500mm</v>
          </cell>
          <cell r="C1041" t="str">
            <v>Sí</v>
          </cell>
          <cell r="D1041" t="str">
            <v>Si</v>
          </cell>
          <cell r="E1041" t="str">
            <v>A0000762</v>
          </cell>
        </row>
        <row r="1042">
          <cell r="A1042" t="str">
            <v>A0001599</v>
          </cell>
          <cell r="B1042" t="str">
            <v>ML Cad-Cut Silicone 100 815 Plata 500mm</v>
          </cell>
          <cell r="C1042" t="str">
            <v>Sí</v>
          </cell>
          <cell r="D1042" t="str">
            <v>Si</v>
          </cell>
          <cell r="E1042" t="str">
            <v>A0000762</v>
          </cell>
        </row>
        <row r="1043">
          <cell r="A1043" t="str">
            <v>A0001600</v>
          </cell>
          <cell r="B1043" t="str">
            <v>ML Cad-Cut Silicone 100 115 Oro 500mm</v>
          </cell>
          <cell r="C1043" t="str">
            <v>Sí</v>
          </cell>
          <cell r="D1043" t="str">
            <v>Si</v>
          </cell>
          <cell r="E1043" t="str">
            <v>A0000762</v>
          </cell>
        </row>
        <row r="1044">
          <cell r="A1044" t="str">
            <v>A0001601</v>
          </cell>
          <cell r="B1044" t="str">
            <v>ML Cad-Cut Silicone 100 285 Púrpura Pastel 500mm</v>
          </cell>
          <cell r="C1044" t="str">
            <v>Sí</v>
          </cell>
          <cell r="D1044" t="str">
            <v>Si</v>
          </cell>
          <cell r="E1044" t="str">
            <v>A0000762</v>
          </cell>
        </row>
        <row r="1045">
          <cell r="A1045" t="str">
            <v>A0001602</v>
          </cell>
          <cell r="B1045" t="str">
            <v>ML Cad-Cut Silicone 100 255 Rosa Pastel 500mm</v>
          </cell>
          <cell r="C1045" t="str">
            <v>Sí</v>
          </cell>
          <cell r="D1045" t="str">
            <v>Si</v>
          </cell>
          <cell r="E1045" t="str">
            <v>A0000762</v>
          </cell>
        </row>
        <row r="1046">
          <cell r="A1046" t="str">
            <v>A0001603</v>
          </cell>
          <cell r="B1046" t="str">
            <v>ML Cad-Cut Silicone 100 321 Azul Pastel 500mm</v>
          </cell>
          <cell r="C1046" t="str">
            <v>Sí</v>
          </cell>
          <cell r="D1046" t="str">
            <v>Si</v>
          </cell>
          <cell r="E1046" t="str">
            <v>A0000762</v>
          </cell>
        </row>
        <row r="1047">
          <cell r="A1047" t="str">
            <v>A0001604</v>
          </cell>
          <cell r="B1047" t="str">
            <v>ML Cad-Cut Silicone 100 241 Rosa Neon 500mm</v>
          </cell>
          <cell r="C1047" t="str">
            <v>Sí</v>
          </cell>
          <cell r="D1047" t="str">
            <v>Si</v>
          </cell>
          <cell r="E1047" t="str">
            <v>A0000762</v>
          </cell>
        </row>
        <row r="1048">
          <cell r="A1048" t="str">
            <v>A0001605</v>
          </cell>
          <cell r="B1048" t="str">
            <v>ML Cad-Cut Silicone 100 301 Azul Neon 500mm</v>
          </cell>
          <cell r="C1048" t="str">
            <v>Sí</v>
          </cell>
          <cell r="D1048" t="str">
            <v>Si</v>
          </cell>
          <cell r="E1048" t="str">
            <v>A0000762</v>
          </cell>
        </row>
        <row r="1049">
          <cell r="A1049" t="str">
            <v>A0001606</v>
          </cell>
          <cell r="B1049" t="str">
            <v>ML Cad-Cut Silicone 100 700 Negro 500mm</v>
          </cell>
          <cell r="C1049" t="str">
            <v>Sí</v>
          </cell>
          <cell r="D1049" t="str">
            <v>Si</v>
          </cell>
          <cell r="E1049" t="str">
            <v>A0000762</v>
          </cell>
        </row>
        <row r="1050">
          <cell r="A1050" t="str">
            <v>A0001607</v>
          </cell>
          <cell r="B1050" t="str">
            <v>Assy Scan Motor VS 640_ 01</v>
          </cell>
          <cell r="C1050" t="str">
            <v>Sí</v>
          </cell>
          <cell r="D1050" t="str">
            <v>No</v>
          </cell>
        </row>
        <row r="1051">
          <cell r="A1051" t="str">
            <v>A0001609</v>
          </cell>
          <cell r="B1051" t="str">
            <v>Cable-Card 21P1 330L BB</v>
          </cell>
          <cell r="C1051" t="str">
            <v>Sí</v>
          </cell>
          <cell r="D1051" t="str">
            <v>No</v>
          </cell>
        </row>
        <row r="1052">
          <cell r="A1052" t="str">
            <v>A0001610</v>
          </cell>
          <cell r="B1052" t="str">
            <v>Assy, Crop Sensor Board XR-640</v>
          </cell>
          <cell r="C1052" t="str">
            <v>Sí</v>
          </cell>
          <cell r="D1052" t="str">
            <v>No</v>
          </cell>
        </row>
        <row r="1053">
          <cell r="A1053" t="str">
            <v>A0001611</v>
          </cell>
          <cell r="B1053" t="str">
            <v>Assy, Holder Wiper FJ-540</v>
          </cell>
          <cell r="C1053" t="str">
            <v>Sí</v>
          </cell>
          <cell r="D1053" t="str">
            <v>No</v>
          </cell>
        </row>
        <row r="1054">
          <cell r="A1054" t="str">
            <v>A0001612</v>
          </cell>
          <cell r="B1054" t="str">
            <v>Belt, 408P2M44-530 FJ-540</v>
          </cell>
          <cell r="C1054" t="str">
            <v>Sí</v>
          </cell>
          <cell r="D1054" t="str">
            <v>No</v>
          </cell>
        </row>
        <row r="1055">
          <cell r="A1055" t="str">
            <v>A0001613</v>
          </cell>
          <cell r="B1055" t="str">
            <v>Rollo Papel Blueback 120g 1,40 x 100m</v>
          </cell>
          <cell r="C1055" t="str">
            <v>Sí</v>
          </cell>
          <cell r="D1055" t="str">
            <v>No</v>
          </cell>
        </row>
        <row r="1056">
          <cell r="A1056" t="str">
            <v>A0001614</v>
          </cell>
          <cell r="B1056" t="str">
            <v>Rollo Laminado SlipStop 100 Antideslizante 1,37x50m</v>
          </cell>
          <cell r="C1056" t="str">
            <v>Sí</v>
          </cell>
          <cell r="D1056" t="str">
            <v>No</v>
          </cell>
        </row>
        <row r="1057">
          <cell r="A1057" t="str">
            <v>A0001616</v>
          </cell>
          <cell r="B1057" t="str">
            <v>Rollo alcántara adhesiva 3x1m</v>
          </cell>
          <cell r="C1057" t="str">
            <v>Sí</v>
          </cell>
          <cell r="D1057" t="str">
            <v>Si</v>
          </cell>
        </row>
        <row r="1058">
          <cell r="A1058" t="str">
            <v>A0001617</v>
          </cell>
          <cell r="B1058" t="str">
            <v>1000014754 - Wiper, head VG 640</v>
          </cell>
          <cell r="C1058" t="str">
            <v>Sí</v>
          </cell>
          <cell r="D1058" t="str">
            <v>No</v>
          </cell>
        </row>
        <row r="1059">
          <cell r="A1059" t="str">
            <v>A0001618</v>
          </cell>
          <cell r="B1059" t="str">
            <v>Plotter Impresión y Corte Roland TrueVis SG2-540</v>
          </cell>
          <cell r="C1059" t="str">
            <v>Sí</v>
          </cell>
          <cell r="D1059" t="str">
            <v>Si</v>
          </cell>
        </row>
        <row r="1060">
          <cell r="A1060" t="str">
            <v>A0001619</v>
          </cell>
          <cell r="B1060" t="str">
            <v>Plotter Impresión y Corte Roland TrueVis SG2-640</v>
          </cell>
          <cell r="C1060" t="str">
            <v>Sí</v>
          </cell>
          <cell r="D1060" t="str">
            <v>Si</v>
          </cell>
        </row>
        <row r="1061">
          <cell r="A1061" t="str">
            <v>A0001621</v>
          </cell>
          <cell r="B1061" t="str">
            <v>ML Cad-Cut Reflectante 500mm</v>
          </cell>
          <cell r="C1061" t="str">
            <v>Sí</v>
          </cell>
          <cell r="D1061" t="str">
            <v>Si</v>
          </cell>
          <cell r="E1061" t="str">
            <v>A0000606</v>
          </cell>
        </row>
        <row r="1062">
          <cell r="A1062" t="str">
            <v>A0001622</v>
          </cell>
          <cell r="B1062" t="str">
            <v>Ollao 12mm. Transparente - Plástico (1000uds)</v>
          </cell>
          <cell r="C1062" t="str">
            <v>Sí</v>
          </cell>
          <cell r="D1062" t="str">
            <v>No</v>
          </cell>
        </row>
        <row r="1063">
          <cell r="A1063" t="str">
            <v>A0001623</v>
          </cell>
          <cell r="B1063" t="str">
            <v>Arandela 12mm. Transparente - Plástico (1000uds)</v>
          </cell>
          <cell r="C1063" t="str">
            <v>Sí</v>
          </cell>
          <cell r="D1063" t="str">
            <v>No</v>
          </cell>
        </row>
        <row r="1064">
          <cell r="A1064" t="str">
            <v>A0001625</v>
          </cell>
          <cell r="B1064" t="str">
            <v>Espátula Verde Eco 15cm</v>
          </cell>
          <cell r="C1064" t="str">
            <v>Sí</v>
          </cell>
          <cell r="D1064" t="str">
            <v>No</v>
          </cell>
        </row>
        <row r="1065">
          <cell r="A1065" t="str">
            <v>A0001626</v>
          </cell>
          <cell r="B1065" t="str">
            <v>Repuesto Fieltro 15cm</v>
          </cell>
          <cell r="C1065" t="str">
            <v>Sí</v>
          </cell>
          <cell r="D1065" t="str">
            <v>No</v>
          </cell>
        </row>
        <row r="1066">
          <cell r="A1066" t="str">
            <v>A0001627</v>
          </cell>
          <cell r="B1066" t="str">
            <v>Espátula roja con Fieltro 15cm</v>
          </cell>
          <cell r="C1066" t="str">
            <v>Sí</v>
          </cell>
          <cell r="D1066" t="str">
            <v>No</v>
          </cell>
        </row>
        <row r="1067">
          <cell r="A1067" t="str">
            <v>A0001628</v>
          </cell>
          <cell r="B1067" t="str">
            <v>Repuesto Fieltro 10cm</v>
          </cell>
          <cell r="C1067" t="str">
            <v>Sí</v>
          </cell>
          <cell r="D1067" t="str">
            <v>No</v>
          </cell>
        </row>
        <row r="1068">
          <cell r="A1068" t="str">
            <v>A0001629</v>
          </cell>
          <cell r="B1068" t="str">
            <v>Espátula roja con Fieltro 10cm</v>
          </cell>
          <cell r="C1068" t="str">
            <v>Sí</v>
          </cell>
          <cell r="D1068" t="str">
            <v>No</v>
          </cell>
        </row>
        <row r="1069">
          <cell r="A1069" t="str">
            <v>A0001631</v>
          </cell>
          <cell r="B1069" t="str">
            <v>Espátula Fieltro 10cm ECO</v>
          </cell>
          <cell r="C1069" t="str">
            <v>Sí</v>
          </cell>
          <cell r="D1069" t="str">
            <v>No</v>
          </cell>
        </row>
        <row r="1070">
          <cell r="A1070" t="str">
            <v>A0000509</v>
          </cell>
          <cell r="B1070" t="str">
            <v>M2 Metamark M7 170 Crema 0,61 x 50m</v>
          </cell>
          <cell r="C1070" t="str">
            <v>Sí</v>
          </cell>
          <cell r="D1070" t="str">
            <v>Si</v>
          </cell>
          <cell r="E1070" t="str">
            <v>A0000103</v>
          </cell>
        </row>
        <row r="1071">
          <cell r="A1071" t="str">
            <v>A0001634</v>
          </cell>
          <cell r="B1071" t="str">
            <v>Rollo Reflectiv INT401 1,22x50m</v>
          </cell>
          <cell r="C1071" t="str">
            <v>Sí</v>
          </cell>
          <cell r="D1071" t="str">
            <v>No</v>
          </cell>
        </row>
        <row r="1072">
          <cell r="A1072" t="str">
            <v>A0001636</v>
          </cell>
          <cell r="B1072" t="str">
            <v>Ollao + Arandela 12mm Plata (Metal)</v>
          </cell>
          <cell r="C1072" t="str">
            <v>Sí</v>
          </cell>
          <cell r="D1072" t="str">
            <v>No</v>
          </cell>
        </row>
        <row r="1073">
          <cell r="A1073" t="str">
            <v>A0001637</v>
          </cell>
          <cell r="B1073" t="str">
            <v>Máquina Olladora 12 mm (Plástico)</v>
          </cell>
          <cell r="C1073" t="str">
            <v>Sí</v>
          </cell>
          <cell r="D1073" t="str">
            <v>No</v>
          </cell>
        </row>
        <row r="1074">
          <cell r="A1074" t="str">
            <v>A0001638</v>
          </cell>
          <cell r="B1074" t="str">
            <v>Troquel ollao 11,5mm</v>
          </cell>
          <cell r="C1074" t="str">
            <v>Sí</v>
          </cell>
          <cell r="D1074" t="str">
            <v>No</v>
          </cell>
          <cell r="E1074" t="str">
            <v>A0001002</v>
          </cell>
        </row>
        <row r="1075">
          <cell r="A1075" t="str">
            <v>A0001639</v>
          </cell>
          <cell r="B1075" t="str">
            <v>Troquel ollao 9,5mm</v>
          </cell>
          <cell r="C1075" t="str">
            <v>Sí</v>
          </cell>
          <cell r="D1075" t="str">
            <v>No</v>
          </cell>
          <cell r="E1075" t="str">
            <v>A0001002</v>
          </cell>
        </row>
        <row r="1076">
          <cell r="A1076" t="str">
            <v>A0001640</v>
          </cell>
          <cell r="B1076" t="str">
            <v>Rodillo de aplicacion 45mm 1 eje (Lona)</v>
          </cell>
          <cell r="C1076" t="str">
            <v>Sí</v>
          </cell>
          <cell r="D1076" t="str">
            <v>No</v>
          </cell>
        </row>
        <row r="1077">
          <cell r="A1077" t="str">
            <v>A0001641</v>
          </cell>
          <cell r="B1077" t="str">
            <v>Rodillo de aplicacion 45mm 2 ejes (Lona)</v>
          </cell>
          <cell r="C1077" t="str">
            <v>Sí</v>
          </cell>
          <cell r="D1077" t="str">
            <v>No</v>
          </cell>
        </row>
        <row r="1078">
          <cell r="A1078" t="str">
            <v>A0001642</v>
          </cell>
          <cell r="B1078" t="str">
            <v>Rodillo de aplicacion 80mm 2 ejes (Lona)</v>
          </cell>
          <cell r="C1078" t="str">
            <v>Sí</v>
          </cell>
          <cell r="D1078" t="str">
            <v>No</v>
          </cell>
        </row>
        <row r="1079">
          <cell r="A1079" t="str">
            <v>A0001643</v>
          </cell>
          <cell r="B1079" t="str">
            <v>Rollo Doble Cara Tesa 64958 Espuma  (PE) 19mm X 25m INT</v>
          </cell>
          <cell r="C1079" t="str">
            <v>Sí</v>
          </cell>
          <cell r="D1079" t="str">
            <v>No</v>
          </cell>
        </row>
        <row r="1080">
          <cell r="A1080" t="str">
            <v>A0001644</v>
          </cell>
          <cell r="B1080" t="str">
            <v>Rollo Doble Cara Tesa 51970 (PP) 19mm X 50m</v>
          </cell>
          <cell r="C1080" t="str">
            <v>Sí</v>
          </cell>
          <cell r="D1080" t="str">
            <v>No</v>
          </cell>
        </row>
        <row r="1081">
          <cell r="A1081" t="str">
            <v>A0001645</v>
          </cell>
          <cell r="B1081" t="str">
            <v>6700469020 - Assy Scan Motor VP 540</v>
          </cell>
          <cell r="C1081" t="str">
            <v>Sí</v>
          </cell>
          <cell r="D1081" t="str">
            <v>No</v>
          </cell>
        </row>
        <row r="1082">
          <cell r="A1082" t="str">
            <v>A0001646</v>
          </cell>
          <cell r="B1082" t="str">
            <v>1000014464 - Pad, Cleaner D VG 640</v>
          </cell>
          <cell r="C1082" t="str">
            <v>Sí</v>
          </cell>
          <cell r="D1082" t="str">
            <v>No</v>
          </cell>
        </row>
        <row r="1083">
          <cell r="A1083" t="str">
            <v>A0000459</v>
          </cell>
          <cell r="B1083" t="str">
            <v>M2 Metamark M7 170 Crema 1,22 x 50m</v>
          </cell>
          <cell r="C1083" t="str">
            <v>Sí</v>
          </cell>
          <cell r="D1083" t="str">
            <v>Si</v>
          </cell>
          <cell r="E1083" t="str">
            <v>A0000103</v>
          </cell>
        </row>
        <row r="1084">
          <cell r="A1084" t="str">
            <v>A0000476</v>
          </cell>
          <cell r="B1084" t="str">
            <v>M2 Metamark M7 171 Marrón 0,61 x 50m</v>
          </cell>
          <cell r="C1084" t="str">
            <v>Sí</v>
          </cell>
          <cell r="D1084" t="str">
            <v>Si</v>
          </cell>
          <cell r="E1084" t="str">
            <v>A0000103</v>
          </cell>
        </row>
        <row r="1085">
          <cell r="A1085" t="str">
            <v>A0001649</v>
          </cell>
          <cell r="B1085" t="str">
            <v>Low Platen Cap 7,5x14,5cm PLCAP3x5</v>
          </cell>
          <cell r="C1085" t="str">
            <v>Sí</v>
          </cell>
          <cell r="D1085" t="str">
            <v>No</v>
          </cell>
        </row>
        <row r="1086">
          <cell r="A1086" t="str">
            <v>A0001650</v>
          </cell>
          <cell r="B1086" t="str">
            <v>NonStick Quick Slip Pad Protector 38x38</v>
          </cell>
          <cell r="C1086" t="str">
            <v>Sí</v>
          </cell>
          <cell r="D1086" t="str">
            <v>No</v>
          </cell>
        </row>
        <row r="1087">
          <cell r="A1087" t="str">
            <v>A0001653</v>
          </cell>
          <cell r="B1087" t="str">
            <v>Rollo Ritrama RI MASK máscara verde  1,26x50m</v>
          </cell>
          <cell r="C1087" t="str">
            <v>Sí</v>
          </cell>
          <cell r="D1087" t="str">
            <v>Si</v>
          </cell>
        </row>
        <row r="1088">
          <cell r="A1088" t="str">
            <v>A0001654</v>
          </cell>
          <cell r="B1088" t="str">
            <v>Rollo Papel Mupi Skylight 150g 1,6 x 100m</v>
          </cell>
          <cell r="C1088" t="str">
            <v>Sí</v>
          </cell>
          <cell r="D1088" t="str">
            <v>No</v>
          </cell>
        </row>
        <row r="1089">
          <cell r="A1089" t="str">
            <v>A0000426</v>
          </cell>
          <cell r="B1089" t="str">
            <v>M2 Metamark M7 171 Marrón 1,22 x 50m</v>
          </cell>
          <cell r="C1089" t="str">
            <v>Sí</v>
          </cell>
          <cell r="D1089" t="str">
            <v>Si</v>
          </cell>
          <cell r="E1089" t="str">
            <v>A0000103</v>
          </cell>
        </row>
        <row r="1090">
          <cell r="A1090" t="str">
            <v>A0001656</v>
          </cell>
          <cell r="B1090" t="str">
            <v>Rollo Reflectiv INT120 1,52x2,5m</v>
          </cell>
          <cell r="C1090" t="str">
            <v>Sí</v>
          </cell>
          <cell r="D1090" t="str">
            <v>No</v>
          </cell>
        </row>
        <row r="1091">
          <cell r="A1091" t="str">
            <v>A0001657</v>
          </cell>
          <cell r="B1091" t="str">
            <v>Rollo Reflectiv INT130 1,52x10m</v>
          </cell>
          <cell r="C1091" t="str">
            <v>Sí</v>
          </cell>
          <cell r="D1091" t="str">
            <v>No</v>
          </cell>
        </row>
        <row r="1092">
          <cell r="A1092" t="str">
            <v>A0001658</v>
          </cell>
          <cell r="B1092" t="str">
            <v>Rollo Reflectiv Film Transparente 60894 Verde Menta 1,52x10m</v>
          </cell>
          <cell r="C1092" t="str">
            <v>Sí</v>
          </cell>
          <cell r="D1092" t="str">
            <v>No</v>
          </cell>
        </row>
        <row r="1093">
          <cell r="A1093" t="str">
            <v>A0001659</v>
          </cell>
          <cell r="B1093" t="str">
            <v>X-Banner 60x160</v>
          </cell>
          <cell r="C1093" t="str">
            <v>Sí</v>
          </cell>
          <cell r="D1093" t="str">
            <v>Si</v>
          </cell>
        </row>
        <row r="1094">
          <cell r="A1094" t="str">
            <v>A0001660</v>
          </cell>
          <cell r="B1094" t="str">
            <v>Rollo MDC MetaCast Wrap MGlide 005 Brillo 1,37x10m</v>
          </cell>
          <cell r="C1094" t="str">
            <v>Sí</v>
          </cell>
          <cell r="D1094" t="str">
            <v>Si</v>
          </cell>
          <cell r="E1094" t="str">
            <v>A0001660</v>
          </cell>
        </row>
        <row r="1095">
          <cell r="A1095" t="str">
            <v>A0001661</v>
          </cell>
          <cell r="B1095" t="str">
            <v>Rollo MDC 100 MetaCast Wrap MGlide Brillo 1,37x25m</v>
          </cell>
          <cell r="C1095" t="str">
            <v>Sí</v>
          </cell>
          <cell r="D1095" t="str">
            <v>Si</v>
          </cell>
          <cell r="E1095" t="str">
            <v>A0001660</v>
          </cell>
        </row>
        <row r="1096">
          <cell r="A1096" t="str">
            <v>A0001662</v>
          </cell>
          <cell r="B1096" t="str">
            <v>Rollo MetaGuard MGC Wrap 002 Mate 1,37x10m</v>
          </cell>
          <cell r="C1096" t="str">
            <v>Sí</v>
          </cell>
          <cell r="D1096" t="str">
            <v>Si</v>
          </cell>
          <cell r="E1096" t="str">
            <v>A0001664</v>
          </cell>
        </row>
        <row r="1097">
          <cell r="A1097" t="str">
            <v>A0001663</v>
          </cell>
          <cell r="B1097" t="str">
            <v>Rollo MetaGuard MGC Wrap 002 Mate 1,37x25m</v>
          </cell>
          <cell r="C1097" t="str">
            <v>Sí</v>
          </cell>
          <cell r="D1097" t="str">
            <v>Si</v>
          </cell>
          <cell r="E1097" t="str">
            <v>A0001664</v>
          </cell>
        </row>
        <row r="1098">
          <cell r="A1098" t="str">
            <v>A0001664</v>
          </cell>
          <cell r="B1098" t="str">
            <v>Rollo MetaGuard MGC Wrap 005 Brillo 1,37x10m</v>
          </cell>
          <cell r="C1098" t="str">
            <v>Sí</v>
          </cell>
          <cell r="D1098" t="str">
            <v>Si</v>
          </cell>
          <cell r="E1098" t="str">
            <v>A0001664</v>
          </cell>
        </row>
        <row r="1099">
          <cell r="A1099" t="str">
            <v>A0001665</v>
          </cell>
          <cell r="B1099" t="str">
            <v>Rollo MetaGuard MGC Wrap 005 Brillo 1,37x25m</v>
          </cell>
          <cell r="C1099" t="str">
            <v>Sí</v>
          </cell>
          <cell r="D1099" t="str">
            <v>Si</v>
          </cell>
          <cell r="E1099" t="str">
            <v>A0001664</v>
          </cell>
        </row>
        <row r="1100">
          <cell r="A1100" t="str">
            <v>A0001667</v>
          </cell>
          <cell r="B1100" t="str">
            <v>Rollo Metamark MDi 100 (70mc) Brillo 1,37x50m</v>
          </cell>
          <cell r="C1100" t="str">
            <v>Sí</v>
          </cell>
          <cell r="D1100" t="str">
            <v>Si</v>
          </cell>
          <cell r="E1100" t="str">
            <v>A0001667</v>
          </cell>
        </row>
        <row r="1101">
          <cell r="A1101" t="str">
            <v>A0001668</v>
          </cell>
          <cell r="B1101" t="str">
            <v>Rollo Metaguard MGi 005 Brillo 1,37x50m</v>
          </cell>
          <cell r="C1101" t="str">
            <v>Sí</v>
          </cell>
          <cell r="D1101" t="str">
            <v>Si</v>
          </cell>
          <cell r="E1101" t="str">
            <v>A0000245</v>
          </cell>
        </row>
        <row r="1102">
          <cell r="A1102" t="str">
            <v>A0001669</v>
          </cell>
          <cell r="B1102" t="str">
            <v>Rollo Metaguard MGi 002 Mate 1,37x50m</v>
          </cell>
          <cell r="C1102" t="str">
            <v>Sí</v>
          </cell>
          <cell r="D1102" t="str">
            <v>Si</v>
          </cell>
          <cell r="E1102" t="str">
            <v>A0000245</v>
          </cell>
        </row>
        <row r="1103">
          <cell r="A1103" t="str">
            <v>A0001670</v>
          </cell>
          <cell r="B1103" t="str">
            <v>Rollo Ri-jet 100 Adhesivo Negro Mate 1,05x50m</v>
          </cell>
          <cell r="C1103" t="str">
            <v>Sí</v>
          </cell>
          <cell r="D1103" t="str">
            <v>No</v>
          </cell>
        </row>
        <row r="1104">
          <cell r="A1104" t="str">
            <v>A0001671</v>
          </cell>
          <cell r="B1104" t="str">
            <v>Rollo Ri-jet 100 Adhesivo Negro Mate 1,37x50m</v>
          </cell>
          <cell r="C1104" t="str">
            <v>Sí</v>
          </cell>
          <cell r="D1104" t="str">
            <v>No</v>
          </cell>
          <cell r="E1104" t="str">
            <v>A0001147</v>
          </cell>
        </row>
        <row r="1105">
          <cell r="A1105" t="str">
            <v>A0001672</v>
          </cell>
          <cell r="B1105" t="str">
            <v>Rollo Ri-jet 100 Adhesivo Negro Mate 1,60x50m</v>
          </cell>
          <cell r="C1105" t="str">
            <v>Sí</v>
          </cell>
          <cell r="D1105" t="str">
            <v>Si</v>
          </cell>
          <cell r="E1105" t="str">
            <v>A0001147</v>
          </cell>
        </row>
        <row r="1106">
          <cell r="A1106" t="str">
            <v>A0001673</v>
          </cell>
          <cell r="B1106" t="str">
            <v>Assy, Main Board SV LEF_02</v>
          </cell>
          <cell r="C1106" t="str">
            <v>Sí</v>
          </cell>
          <cell r="D1106" t="str">
            <v>No</v>
          </cell>
        </row>
        <row r="1107">
          <cell r="A1107" t="str">
            <v>A0001674</v>
          </cell>
          <cell r="B1107" t="str">
            <v>Rollo Reflectiv INT130 1,52x2,5m</v>
          </cell>
          <cell r="C1107" t="str">
            <v>Sí</v>
          </cell>
          <cell r="D1107" t="str">
            <v>No</v>
          </cell>
        </row>
        <row r="1108">
          <cell r="A1108" t="str">
            <v>A0001675</v>
          </cell>
          <cell r="B1108" t="str">
            <v>Assy, Servo Board RS-540</v>
          </cell>
          <cell r="C1108" t="str">
            <v>Sí</v>
          </cell>
          <cell r="D1108" t="str">
            <v>No</v>
          </cell>
        </row>
        <row r="1109">
          <cell r="A1109" t="str">
            <v>A0001676</v>
          </cell>
          <cell r="B1109" t="str">
            <v>Hoja Ritrama RI-Screen M80 Transparente Perm Brillo 70x100 (Con  Corte)</v>
          </cell>
          <cell r="C1109" t="str">
            <v>Sí</v>
          </cell>
          <cell r="D1109" t="str">
            <v>Si</v>
          </cell>
        </row>
        <row r="1110">
          <cell r="A1110" t="str">
            <v>A0001678</v>
          </cell>
          <cell r="B1110" t="str">
            <v>Rollo Metamark MDi 100 (70mc) Brillo 1,60x50m</v>
          </cell>
          <cell r="C1110" t="str">
            <v>Sí</v>
          </cell>
          <cell r="D1110" t="str">
            <v>Si</v>
          </cell>
          <cell r="E1110" t="str">
            <v>A0001667</v>
          </cell>
        </row>
        <row r="1111">
          <cell r="A1111" t="str">
            <v>A0001679</v>
          </cell>
          <cell r="B1111" t="str">
            <v>Rollo MDC 100 MetaCast Wrap MGlide Brillo 1,37x50m</v>
          </cell>
          <cell r="C1111" t="str">
            <v>Sí</v>
          </cell>
          <cell r="D1111" t="str">
            <v>Si</v>
          </cell>
          <cell r="E1111" t="str">
            <v>A0001660</v>
          </cell>
        </row>
        <row r="1112">
          <cell r="A1112" t="str">
            <v>A0001680</v>
          </cell>
          <cell r="B1112" t="str">
            <v>Rollo MetaGuard MGC Wrap 002 Mate 1,37x50m</v>
          </cell>
          <cell r="C1112" t="str">
            <v>Sí</v>
          </cell>
          <cell r="D1112" t="str">
            <v>Si</v>
          </cell>
          <cell r="E1112" t="str">
            <v>A0001664</v>
          </cell>
        </row>
        <row r="1113">
          <cell r="A1113" t="str">
            <v>A0001681</v>
          </cell>
          <cell r="B1113" t="str">
            <v>Rollo MetaGuard MGC Wrap 005 Brillo 1,37x50m</v>
          </cell>
          <cell r="C1113" t="str">
            <v>Sí</v>
          </cell>
          <cell r="D1113" t="str">
            <v>Si</v>
          </cell>
          <cell r="E1113" t="str">
            <v>A0001664</v>
          </cell>
        </row>
        <row r="1114">
          <cell r="A1114" t="str">
            <v>A0001682</v>
          </cell>
          <cell r="B1114" t="str">
            <v>Rollo Transportador GXP-550 (Papel medio) 1,52x91,4m</v>
          </cell>
          <cell r="C1114" t="str">
            <v>Sí</v>
          </cell>
          <cell r="D1114" t="str">
            <v>Si</v>
          </cell>
          <cell r="E1114" t="str">
            <v>A0000605</v>
          </cell>
        </row>
        <row r="1115">
          <cell r="A1115" t="str">
            <v>A0001683</v>
          </cell>
          <cell r="B1115" t="str">
            <v>Tinta EcoUV 4 Negra 220ml</v>
          </cell>
          <cell r="C1115" t="str">
            <v>Sí</v>
          </cell>
          <cell r="D1115" t="str">
            <v>Si</v>
          </cell>
          <cell r="E1115" t="str">
            <v>A0000996</v>
          </cell>
        </row>
        <row r="1116">
          <cell r="A1116" t="str">
            <v>A0001684</v>
          </cell>
          <cell r="B1116" t="str">
            <v>Rollo Metamark MDi B (70 mc Adh Gris) Brillo 1,37x50m</v>
          </cell>
          <cell r="C1116" t="str">
            <v>Sí</v>
          </cell>
          <cell r="D1116" t="str">
            <v>Si</v>
          </cell>
          <cell r="E1116" t="str">
            <v>A0001667</v>
          </cell>
        </row>
        <row r="1117">
          <cell r="A1117" t="str">
            <v>A0001685</v>
          </cell>
          <cell r="B1117" t="str">
            <v>Rollo Metamark MDi A-B (70 mc Adh Gris) Brillo MetaScape 1,37x50m</v>
          </cell>
          <cell r="C1117" t="str">
            <v>Sí</v>
          </cell>
          <cell r="D1117" t="str">
            <v>Si</v>
          </cell>
          <cell r="E1117" t="str">
            <v>A0001667</v>
          </cell>
        </row>
        <row r="1118">
          <cell r="A1118" t="str">
            <v>A0001686</v>
          </cell>
          <cell r="B1118" t="str">
            <v>Assy, Main Board SP 300i</v>
          </cell>
          <cell r="C1118" t="str">
            <v>Sí</v>
          </cell>
          <cell r="D1118" t="str">
            <v>No</v>
          </cell>
        </row>
        <row r="1119">
          <cell r="A1119" t="str">
            <v>A0000508</v>
          </cell>
          <cell r="B1119" t="str">
            <v>M2 Metamark M7 172 Almendra 0,61 x 50m</v>
          </cell>
          <cell r="C1119" t="str">
            <v>Sí</v>
          </cell>
          <cell r="D1119" t="str">
            <v>Si</v>
          </cell>
          <cell r="E1119" t="str">
            <v>A0000103</v>
          </cell>
        </row>
        <row r="1120">
          <cell r="A1120" t="str">
            <v>A0000458</v>
          </cell>
          <cell r="B1120" t="str">
            <v>M2 Metamark M7 172 Almendra 1,22 x 50m</v>
          </cell>
          <cell r="C1120" t="str">
            <v>Sí</v>
          </cell>
          <cell r="D1120" t="str">
            <v>Si</v>
          </cell>
          <cell r="E1120" t="str">
            <v>A0000103</v>
          </cell>
        </row>
        <row r="1121">
          <cell r="A1121" t="str">
            <v>A0000500</v>
          </cell>
          <cell r="B1121" t="str">
            <v>M2 Metamark M7 173 Verde Tráfico 0,61 x 50m</v>
          </cell>
          <cell r="C1121" t="str">
            <v>Sí</v>
          </cell>
          <cell r="D1121" t="str">
            <v>Si</v>
          </cell>
          <cell r="E1121" t="str">
            <v>A0000103</v>
          </cell>
        </row>
        <row r="1122">
          <cell r="A1122" t="str">
            <v>A0000450</v>
          </cell>
          <cell r="B1122" t="str">
            <v>M2 Metamark M7 173 Verde Tráfico 1,22 x 50m</v>
          </cell>
          <cell r="C1122" t="str">
            <v>Sí</v>
          </cell>
          <cell r="D1122" t="str">
            <v>Si</v>
          </cell>
          <cell r="E1122" t="str">
            <v>A0000103</v>
          </cell>
        </row>
        <row r="1123">
          <cell r="A1123" t="str">
            <v>A0001476</v>
          </cell>
          <cell r="B1123" t="str">
            <v>M2 Metamark M7 174 Marrón Quemado 0,61 x 50m</v>
          </cell>
          <cell r="C1123" t="str">
            <v>Sí</v>
          </cell>
          <cell r="D1123" t="str">
            <v>Si</v>
          </cell>
          <cell r="E1123" t="str">
            <v>A0000103</v>
          </cell>
        </row>
        <row r="1124">
          <cell r="A1124" t="str">
            <v>A0001698</v>
          </cell>
          <cell r="B1124" t="str">
            <v>Rotulador Borrable ISee2 Eraze maker Negro</v>
          </cell>
          <cell r="C1124" t="str">
            <v>Sí</v>
          </cell>
          <cell r="D1124" t="str">
            <v>Si</v>
          </cell>
        </row>
        <row r="1125">
          <cell r="A1125" t="str">
            <v>A0001699</v>
          </cell>
          <cell r="B1125" t="str">
            <v>Rotulador Borrable ISee2 Blackboard maker Blanco</v>
          </cell>
          <cell r="C1125" t="str">
            <v>Sí</v>
          </cell>
          <cell r="D1125" t="str">
            <v>Si</v>
          </cell>
        </row>
        <row r="1126">
          <cell r="A1126" t="str">
            <v>A0001700</v>
          </cell>
          <cell r="B1126" t="str">
            <v>6085393800 - Assy, Ink Damper L 3FAI SJ 1000</v>
          </cell>
          <cell r="C1126" t="str">
            <v>Sí</v>
          </cell>
          <cell r="D1126" t="str">
            <v>Si</v>
          </cell>
        </row>
        <row r="1127">
          <cell r="A1127" t="str">
            <v>A0001701</v>
          </cell>
          <cell r="B1127" t="str">
            <v>Plotter Impresión Roland Texart RT-640M Tinta Reactiva</v>
          </cell>
          <cell r="C1127" t="str">
            <v>Sí</v>
          </cell>
          <cell r="D1127" t="str">
            <v>Si</v>
          </cell>
        </row>
        <row r="1128">
          <cell r="A1128" t="str">
            <v>A0001703</v>
          </cell>
          <cell r="B1128" t="str">
            <v>Rollo Transportador Nekoosa 4885 Agarre especial 1,22x100m</v>
          </cell>
          <cell r="C1128" t="str">
            <v>Sí</v>
          </cell>
          <cell r="D1128" t="str">
            <v>Si</v>
          </cell>
        </row>
        <row r="1129">
          <cell r="A1129" t="str">
            <v>A0001443</v>
          </cell>
          <cell r="B1129" t="str">
            <v>M2 Metamark M7 174 Marrón Quemado 1,22 x 50m</v>
          </cell>
          <cell r="C1129" t="str">
            <v>Sí</v>
          </cell>
          <cell r="D1129" t="str">
            <v>Si</v>
          </cell>
          <cell r="E1129" t="str">
            <v>A0000103</v>
          </cell>
        </row>
        <row r="1130">
          <cell r="A1130" t="str">
            <v>A0001477</v>
          </cell>
          <cell r="B1130" t="str">
            <v>M2 Metamark M7 175 Crema Claro 0,61 x 50m</v>
          </cell>
          <cell r="C1130" t="str">
            <v>Sí</v>
          </cell>
          <cell r="D1130" t="str">
            <v>Si</v>
          </cell>
          <cell r="E1130" t="str">
            <v>A0000103</v>
          </cell>
        </row>
        <row r="1131">
          <cell r="A1131" t="str">
            <v>A0001444</v>
          </cell>
          <cell r="B1131" t="str">
            <v>M2 Metamark M7 175 Crema Claro 1,22 x 50m</v>
          </cell>
          <cell r="C1131" t="str">
            <v>Sí</v>
          </cell>
          <cell r="D1131" t="str">
            <v>Si</v>
          </cell>
          <cell r="E1131" t="str">
            <v>A0000103</v>
          </cell>
        </row>
        <row r="1132">
          <cell r="A1132" t="str">
            <v>A0001710</v>
          </cell>
          <cell r="B1132" t="str">
            <v>Assy, Thermistor Board SG-540</v>
          </cell>
          <cell r="C1132" t="str">
            <v>Sí</v>
          </cell>
          <cell r="D1132" t="str">
            <v>No</v>
          </cell>
        </row>
        <row r="1133">
          <cell r="A1133" t="str">
            <v>A0001711</v>
          </cell>
          <cell r="B1133" t="str">
            <v>Assy, Heater control Board CG2075</v>
          </cell>
          <cell r="C1133" t="str">
            <v>Sí</v>
          </cell>
          <cell r="D1133" t="str">
            <v>No</v>
          </cell>
        </row>
        <row r="1134">
          <cell r="A1134" t="str">
            <v>A0001478</v>
          </cell>
          <cell r="B1134" t="str">
            <v>M2 Metamark M7 176 Marfil 0,61 x 50m</v>
          </cell>
          <cell r="C1134" t="str">
            <v>Sí</v>
          </cell>
          <cell r="D1134" t="str">
            <v>Si</v>
          </cell>
          <cell r="E1134" t="str">
            <v>A0000103</v>
          </cell>
        </row>
        <row r="1135">
          <cell r="A1135" t="str">
            <v>A0000175</v>
          </cell>
          <cell r="B1135" t="str">
            <v>Rollo Metamark MD5B 100 (70mc Adh Gris) Brillo 1,05x50m</v>
          </cell>
          <cell r="C1135" t="str">
            <v>Sí</v>
          </cell>
          <cell r="D1135" t="str">
            <v>Si</v>
          </cell>
          <cell r="E1135" t="str">
            <v>A0000994</v>
          </cell>
        </row>
        <row r="1136">
          <cell r="A1136" t="str">
            <v>A0001715</v>
          </cell>
          <cell r="B1136" t="str">
            <v>Espátula Lila Eco 10cm</v>
          </cell>
          <cell r="C1136" t="str">
            <v>Sí</v>
          </cell>
          <cell r="D1136" t="str">
            <v>No</v>
          </cell>
        </row>
        <row r="1137">
          <cell r="A1137" t="str">
            <v>A0001716</v>
          </cell>
          <cell r="B1137" t="str">
            <v>Rollo Metaguard MG 705 Brillo 1,37x25m</v>
          </cell>
          <cell r="C1137" t="str">
            <v>Sí</v>
          </cell>
          <cell r="D1137" t="str">
            <v>Si</v>
          </cell>
          <cell r="E1137" t="str">
            <v>A0000253</v>
          </cell>
        </row>
        <row r="1138">
          <cell r="A1138" t="str">
            <v>A0001445</v>
          </cell>
          <cell r="B1138" t="str">
            <v>M2 Metamark M7 176 Marfil 1,22 x 50m</v>
          </cell>
          <cell r="C1138" t="str">
            <v>Sí</v>
          </cell>
          <cell r="D1138" t="str">
            <v>Si</v>
          </cell>
          <cell r="E1138" t="str">
            <v>A0000103</v>
          </cell>
        </row>
        <row r="1139">
          <cell r="A1139" t="str">
            <v>A0000484</v>
          </cell>
          <cell r="B1139" t="str">
            <v>M2 Metamark M7 177 Azul Cáscara 0,61 x 50m</v>
          </cell>
          <cell r="C1139" t="str">
            <v>Sí</v>
          </cell>
          <cell r="D1139" t="str">
            <v>Si</v>
          </cell>
          <cell r="E1139" t="str">
            <v>A0000103</v>
          </cell>
        </row>
        <row r="1140">
          <cell r="A1140" t="str">
            <v>A0001719</v>
          </cell>
          <cell r="B1140" t="str">
            <v>ML Cad-Cut Glitter 966 Medium Pink 500mm</v>
          </cell>
          <cell r="C1140" t="str">
            <v>Sí</v>
          </cell>
          <cell r="D1140" t="str">
            <v>Si</v>
          </cell>
          <cell r="E1140" t="str">
            <v>A0000702</v>
          </cell>
        </row>
        <row r="1141">
          <cell r="A1141" t="str">
            <v>A0001720</v>
          </cell>
          <cell r="B1141" t="str">
            <v>ML Cad-Cut Glitter 962 Beach Blue 500mm</v>
          </cell>
          <cell r="C1141" t="str">
            <v>Sí</v>
          </cell>
          <cell r="D1141" t="str">
            <v>Si</v>
          </cell>
          <cell r="E1141" t="str">
            <v>A0000702</v>
          </cell>
        </row>
        <row r="1142">
          <cell r="A1142" t="str">
            <v>A0000434</v>
          </cell>
          <cell r="B1142" t="str">
            <v>M2 Metamark M7 177 Azul Cáscara 1,22 x 50m</v>
          </cell>
          <cell r="C1142" t="str">
            <v>Sí</v>
          </cell>
          <cell r="D1142" t="str">
            <v>Si</v>
          </cell>
          <cell r="E1142" t="str">
            <v>A0000103</v>
          </cell>
        </row>
        <row r="1143">
          <cell r="A1143" t="str">
            <v>A0000492</v>
          </cell>
          <cell r="B1143" t="str">
            <v>M2 Metamark M7 178 Azul Vikingo 0,61 x 50m</v>
          </cell>
          <cell r="C1143" t="str">
            <v>Sí</v>
          </cell>
          <cell r="D1143" t="str">
            <v>Si</v>
          </cell>
          <cell r="E1143" t="str">
            <v>A0000103</v>
          </cell>
        </row>
        <row r="1144">
          <cell r="A1144" t="str">
            <v>A0001726</v>
          </cell>
          <cell r="B1144" t="str">
            <v>Plancha Sprint Mag 40cmx50cm Auto-Open</v>
          </cell>
          <cell r="C1144" t="str">
            <v>Sí</v>
          </cell>
          <cell r="D1144" t="str">
            <v>No</v>
          </cell>
        </row>
        <row r="1145">
          <cell r="A1145" t="str">
            <v>A0001727</v>
          </cell>
          <cell r="B1145" t="str">
            <v>Lower Platen Leg/Sleeve</v>
          </cell>
          <cell r="C1145" t="str">
            <v>Sí</v>
          </cell>
          <cell r="D1145" t="str">
            <v>No</v>
          </cell>
        </row>
        <row r="1146">
          <cell r="A1146" t="str">
            <v>A0001728</v>
          </cell>
          <cell r="B1146" t="str">
            <v>Low Platen Hat Bill</v>
          </cell>
          <cell r="C1146" t="str">
            <v>Sí</v>
          </cell>
          <cell r="D1146" t="str">
            <v>No</v>
          </cell>
        </row>
        <row r="1147">
          <cell r="A1147" t="str">
            <v>A0000442</v>
          </cell>
          <cell r="B1147" t="str">
            <v>M2 Metamark M7 178 Azul Vikingo 1,22 x 50m</v>
          </cell>
          <cell r="C1147" t="str">
            <v>Sí</v>
          </cell>
          <cell r="D1147" t="str">
            <v>Si</v>
          </cell>
          <cell r="E1147" t="str">
            <v>A0000103</v>
          </cell>
        </row>
        <row r="1148">
          <cell r="A1148" t="str">
            <v>A0001479</v>
          </cell>
          <cell r="B1148" t="str">
            <v>M2 Metamark M7 179 Flor de Melocotón 0,61 x 50m</v>
          </cell>
          <cell r="C1148" t="str">
            <v>Sí</v>
          </cell>
          <cell r="D1148" t="str">
            <v>Si</v>
          </cell>
          <cell r="E1148" t="str">
            <v>A0000103</v>
          </cell>
        </row>
        <row r="1149">
          <cell r="A1149" t="str">
            <v>A0001731</v>
          </cell>
          <cell r="B1149" t="str">
            <v>Rollo Sublimación Skynnet 95g 1,62x150m</v>
          </cell>
          <cell r="C1149" t="str">
            <v>Sí</v>
          </cell>
          <cell r="D1149" t="str">
            <v>No</v>
          </cell>
        </row>
        <row r="1150">
          <cell r="A1150" t="str">
            <v>A0001732</v>
          </cell>
          <cell r="B1150" t="str">
            <v>Rollo Sublimación Skynnet 95g 1,118x100m</v>
          </cell>
          <cell r="C1150" t="str">
            <v>Sí</v>
          </cell>
          <cell r="D1150" t="str">
            <v>No</v>
          </cell>
        </row>
        <row r="1151">
          <cell r="A1151" t="str">
            <v>A0001733</v>
          </cell>
          <cell r="B1151" t="str">
            <v>Rollo Sublimación Skynnet Tack100g 1,62x150m</v>
          </cell>
          <cell r="C1151" t="str">
            <v>Sí</v>
          </cell>
          <cell r="D1151" t="str">
            <v>No</v>
          </cell>
        </row>
        <row r="1152">
          <cell r="A1152" t="str">
            <v>A0001734</v>
          </cell>
          <cell r="B1152" t="str">
            <v>Rollo Sublimación Skynnet Tack100g 1,118x100m</v>
          </cell>
          <cell r="C1152" t="str">
            <v>Sí</v>
          </cell>
          <cell r="D1152" t="str">
            <v>No</v>
          </cell>
        </row>
        <row r="1153">
          <cell r="A1153" t="str">
            <v>A0001735</v>
          </cell>
          <cell r="B1153" t="str">
            <v>Rollo Sublimación Skynnet HI-Protección 22g 1,65x800m</v>
          </cell>
          <cell r="C1153" t="str">
            <v>Sí</v>
          </cell>
          <cell r="D1153" t="str">
            <v>No</v>
          </cell>
        </row>
        <row r="1154">
          <cell r="A1154" t="str">
            <v>A0001446</v>
          </cell>
          <cell r="B1154" t="str">
            <v>M2 Metamark M7 179 Flor de Melocotón 1,22 x 50m</v>
          </cell>
          <cell r="C1154" t="str">
            <v>Sí</v>
          </cell>
          <cell r="D1154" t="str">
            <v>Si</v>
          </cell>
          <cell r="E1154" t="str">
            <v>A0000103</v>
          </cell>
        </row>
        <row r="1155">
          <cell r="A1155" t="str">
            <v>A0000505</v>
          </cell>
          <cell r="B1155" t="str">
            <v>M2 Metamark M7 180 Lila 0,61 x 50m</v>
          </cell>
          <cell r="C1155" t="str">
            <v>Sí</v>
          </cell>
          <cell r="D1155" t="str">
            <v>Si</v>
          </cell>
          <cell r="E1155" t="str">
            <v>A0000103</v>
          </cell>
        </row>
        <row r="1156">
          <cell r="A1156" t="str">
            <v>A0001739</v>
          </cell>
          <cell r="B1156" t="str">
            <v>Tinta Roland SBL3 Sublimación Amarillo 1.000cc</v>
          </cell>
          <cell r="C1156" t="str">
            <v>Sí</v>
          </cell>
          <cell r="D1156" t="str">
            <v>Si</v>
          </cell>
          <cell r="E1156" t="str">
            <v>A0001033</v>
          </cell>
        </row>
        <row r="1157">
          <cell r="A1157" t="str">
            <v>A0001740</v>
          </cell>
          <cell r="B1157" t="str">
            <v>Tinta Roland SBL3 Sublimación Violeta 1.000cc</v>
          </cell>
          <cell r="C1157" t="str">
            <v>Sí</v>
          </cell>
          <cell r="D1157" t="str">
            <v>Si</v>
          </cell>
          <cell r="E1157" t="str">
            <v>A0001033</v>
          </cell>
        </row>
        <row r="1158">
          <cell r="A1158" t="str">
            <v>A0001741</v>
          </cell>
          <cell r="B1158" t="str">
            <v>Tinta Roland SBL3 Sublimación Magenta 1.000cc</v>
          </cell>
          <cell r="C1158" t="str">
            <v>Sí</v>
          </cell>
          <cell r="D1158" t="str">
            <v>Si</v>
          </cell>
          <cell r="E1158" t="str">
            <v>A0001033</v>
          </cell>
        </row>
        <row r="1159">
          <cell r="A1159" t="str">
            <v>A0001742</v>
          </cell>
          <cell r="B1159" t="str">
            <v>Tinta Roland SBL3 Sublimación Naranja 1.000cc</v>
          </cell>
          <cell r="C1159" t="str">
            <v>Sí</v>
          </cell>
          <cell r="D1159" t="str">
            <v>Si</v>
          </cell>
          <cell r="E1159" t="str">
            <v>A0001033</v>
          </cell>
        </row>
        <row r="1160">
          <cell r="A1160" t="str">
            <v>A0001743</v>
          </cell>
          <cell r="B1160" t="str">
            <v>Tinta Roland SBL3 Sublimación Fluor Rosa 1.000cc</v>
          </cell>
          <cell r="C1160" t="str">
            <v>Sí</v>
          </cell>
          <cell r="D1160" t="str">
            <v>Si</v>
          </cell>
          <cell r="E1160" t="str">
            <v>A0001033</v>
          </cell>
        </row>
        <row r="1161">
          <cell r="A1161" t="str">
            <v>A0001744</v>
          </cell>
          <cell r="B1161" t="str">
            <v>013676 - NonStick Quick Slip Pad Protector 40x50</v>
          </cell>
          <cell r="C1161" t="str">
            <v>Sí</v>
          </cell>
          <cell r="D1161" t="str">
            <v>No</v>
          </cell>
        </row>
        <row r="1162">
          <cell r="A1162" t="str">
            <v>A0001745</v>
          </cell>
          <cell r="B1162" t="str">
            <v>NonStick Protection Cover for heat plate 40x50cm</v>
          </cell>
          <cell r="C1162" t="str">
            <v>Sí</v>
          </cell>
          <cell r="D1162" t="str">
            <v>No</v>
          </cell>
        </row>
        <row r="1163">
          <cell r="A1163" t="str">
            <v>A0001746</v>
          </cell>
          <cell r="B1163" t="str">
            <v>Tinta Roland SBL3 Sublimación Fluor Amarillo 1.000cc</v>
          </cell>
          <cell r="C1163" t="str">
            <v>Sí</v>
          </cell>
          <cell r="D1163" t="str">
            <v>Si</v>
          </cell>
          <cell r="E1163" t="str">
            <v>A0001033</v>
          </cell>
        </row>
        <row r="1164">
          <cell r="A1164" t="str">
            <v>A0001747</v>
          </cell>
          <cell r="B1164" t="str">
            <v>Tinta Roland SBL3 Sublimación Negro 1.000cc</v>
          </cell>
          <cell r="C1164" t="str">
            <v>Sí</v>
          </cell>
          <cell r="D1164" t="str">
            <v>Si</v>
          </cell>
          <cell r="E1164" t="str">
            <v>A0001033</v>
          </cell>
        </row>
        <row r="1165">
          <cell r="A1165" t="str">
            <v>A0001748</v>
          </cell>
          <cell r="B1165" t="str">
            <v>Tinta Roland SBL3 Sublimación Cyan 1.000cc</v>
          </cell>
          <cell r="C1165" t="str">
            <v>Sí</v>
          </cell>
          <cell r="D1165" t="str">
            <v>Si</v>
          </cell>
          <cell r="E1165" t="str">
            <v>A0001033</v>
          </cell>
        </row>
        <row r="1166">
          <cell r="A1166" t="str">
            <v>A0001749</v>
          </cell>
          <cell r="B1166" t="str">
            <v>Tinta Roland SBL3 Sublimación Light Magenta 1.000cc</v>
          </cell>
          <cell r="C1166" t="str">
            <v>Sí</v>
          </cell>
          <cell r="D1166" t="str">
            <v>Si</v>
          </cell>
          <cell r="E1166" t="str">
            <v>A0001033</v>
          </cell>
        </row>
        <row r="1167">
          <cell r="A1167" t="str">
            <v>A0001750</v>
          </cell>
          <cell r="B1167" t="str">
            <v>Cartucho Ecopure 880ml EM3 Amarillo</v>
          </cell>
          <cell r="C1167" t="str">
            <v>Sí</v>
          </cell>
          <cell r="D1167" t="str">
            <v>Si</v>
          </cell>
          <cell r="E1167" t="str">
            <v>A0001252</v>
          </cell>
        </row>
        <row r="1168">
          <cell r="A1168" t="str">
            <v>A0001751</v>
          </cell>
          <cell r="B1168" t="str">
            <v>Cartucho Ecopure 880ml EM3 Cyan</v>
          </cell>
          <cell r="C1168" t="str">
            <v>Sí</v>
          </cell>
          <cell r="D1168" t="str">
            <v>Si</v>
          </cell>
          <cell r="E1168" t="str">
            <v>A0001252</v>
          </cell>
        </row>
        <row r="1169">
          <cell r="A1169" t="str">
            <v>A0001752</v>
          </cell>
          <cell r="B1169" t="str">
            <v>Cartucho Ecopure 880ml EM3 Magenta</v>
          </cell>
          <cell r="C1169" t="str">
            <v>Sí</v>
          </cell>
          <cell r="D1169" t="str">
            <v>Si</v>
          </cell>
          <cell r="E1169" t="str">
            <v>A0001252</v>
          </cell>
        </row>
        <row r="1170">
          <cell r="A1170" t="str">
            <v>A0001754</v>
          </cell>
          <cell r="B1170" t="str">
            <v>Cartucho Ecopure 880ml EM3 Negro</v>
          </cell>
          <cell r="C1170" t="str">
            <v>Sí</v>
          </cell>
          <cell r="D1170" t="str">
            <v>Si</v>
          </cell>
          <cell r="E1170" t="str">
            <v>A0001252</v>
          </cell>
        </row>
        <row r="1171">
          <cell r="A1171" t="str">
            <v>A0001758</v>
          </cell>
          <cell r="B1171" t="str">
            <v>Tinta EcoUV 4 Blanca 220ml</v>
          </cell>
          <cell r="C1171" t="str">
            <v>Sí</v>
          </cell>
          <cell r="D1171" t="str">
            <v>Si</v>
          </cell>
          <cell r="E1171" t="str">
            <v>A0000996</v>
          </cell>
        </row>
        <row r="1172">
          <cell r="A1172" t="str">
            <v>A0000455</v>
          </cell>
          <cell r="B1172" t="str">
            <v>M2 Metamark M7 180 Lila 1,22 x 50m</v>
          </cell>
          <cell r="C1172" t="str">
            <v>Sí</v>
          </cell>
          <cell r="D1172" t="str">
            <v>Si</v>
          </cell>
          <cell r="E1172" t="str">
            <v>A0000103</v>
          </cell>
        </row>
        <row r="1173">
          <cell r="A1173" t="str">
            <v>A0001766</v>
          </cell>
          <cell r="B1173" t="str">
            <v>Rollo PVC+ PET para Roll-Up Trasera Gris 1.07x30m</v>
          </cell>
          <cell r="C1173" t="str">
            <v>Sí</v>
          </cell>
          <cell r="D1173" t="str">
            <v>No</v>
          </cell>
        </row>
        <row r="1174">
          <cell r="A1174" t="str">
            <v>A0001767</v>
          </cell>
          <cell r="B1174" t="str">
            <v>Assy, VP-540 Power Board</v>
          </cell>
          <cell r="C1174" t="str">
            <v>Sí</v>
          </cell>
          <cell r="D1174" t="str">
            <v>No</v>
          </cell>
        </row>
        <row r="1175">
          <cell r="A1175" t="str">
            <v>A0001768</v>
          </cell>
          <cell r="B1175" t="str">
            <v>Assy, FM3 Servo Board VG-640</v>
          </cell>
          <cell r="C1175" t="str">
            <v>Sí</v>
          </cell>
          <cell r="D1175" t="str">
            <v>No</v>
          </cell>
        </row>
        <row r="1176">
          <cell r="A1176" t="str">
            <v>A0001769</v>
          </cell>
          <cell r="B1176" t="str">
            <v>Kit Conversión TR2 CMMYK Lc Lm Lk CL</v>
          </cell>
          <cell r="C1176" t="str">
            <v>Sí</v>
          </cell>
          <cell r="D1176" t="str">
            <v>Si</v>
          </cell>
        </row>
        <row r="1177">
          <cell r="A1177" t="str">
            <v>A0001770</v>
          </cell>
          <cell r="B1177" t="str">
            <v>Cable-Card 15P1 3200L BB High-V (Vg-540/640)</v>
          </cell>
          <cell r="C1177" t="str">
            <v>Sí</v>
          </cell>
          <cell r="D1177" t="str">
            <v>No</v>
          </cell>
        </row>
        <row r="1178">
          <cell r="A1178" t="str">
            <v>A0001771</v>
          </cell>
          <cell r="B1178" t="str">
            <v>Cartucho Eco Sol Max II Blanco 220cc</v>
          </cell>
          <cell r="C1178" t="str">
            <v>Sí</v>
          </cell>
          <cell r="D1178" t="str">
            <v>Si</v>
          </cell>
        </row>
        <row r="1179">
          <cell r="A1179" t="str">
            <v>A0001772</v>
          </cell>
          <cell r="B1179" t="str">
            <v>Rollo MetaWalk MD-MW (Imprimible Suelo Antideslizante) R9 1,37x30m</v>
          </cell>
          <cell r="C1179" t="str">
            <v>Sí</v>
          </cell>
          <cell r="D1179" t="str">
            <v>Si</v>
          </cell>
          <cell r="E1179" t="str">
            <v>A0000988</v>
          </cell>
        </row>
        <row r="1180">
          <cell r="A1180" t="str">
            <v>A0001773</v>
          </cell>
          <cell r="B1180" t="str">
            <v>Rollo Metamark MDi A 100 Metascape (70mc) Brillo 1,37x50m</v>
          </cell>
          <cell r="C1180" t="str">
            <v>Sí</v>
          </cell>
          <cell r="D1180" t="str">
            <v>No</v>
          </cell>
          <cell r="E1180" t="str">
            <v>A0001667</v>
          </cell>
        </row>
        <row r="1181">
          <cell r="A1181" t="str">
            <v>A0001774</v>
          </cell>
          <cell r="B1181" t="str">
            <v>Lower Platen 15x25cm</v>
          </cell>
          <cell r="C1181" t="str">
            <v>Sí</v>
          </cell>
          <cell r="D1181" t="str">
            <v>No</v>
          </cell>
        </row>
        <row r="1182">
          <cell r="A1182" t="str">
            <v>A0001775</v>
          </cell>
          <cell r="B1182" t="str">
            <v>Adapter Plate N-3-1336</v>
          </cell>
          <cell r="C1182" t="str">
            <v>Sí</v>
          </cell>
          <cell r="D1182" t="str">
            <v>No</v>
          </cell>
        </row>
        <row r="1183">
          <cell r="A1183" t="str">
            <v>A0001776</v>
          </cell>
          <cell r="B1183" t="str">
            <v>Quick Change Pin N-1-2215</v>
          </cell>
          <cell r="C1183" t="str">
            <v>Sí</v>
          </cell>
          <cell r="D1183" t="str">
            <v>No</v>
          </cell>
        </row>
        <row r="1184">
          <cell r="A1184" t="str">
            <v>A0001777</v>
          </cell>
          <cell r="B1184" t="str">
            <v>Washser N-2-1006-21</v>
          </cell>
          <cell r="C1184" t="str">
            <v>Sí</v>
          </cell>
          <cell r="D1184" t="str">
            <v>No</v>
          </cell>
        </row>
        <row r="1185">
          <cell r="A1185" t="str">
            <v>A0001778</v>
          </cell>
          <cell r="B1185" t="str">
            <v>Washser Split Lock N-2-1006-21</v>
          </cell>
          <cell r="C1185" t="str">
            <v>Sí</v>
          </cell>
          <cell r="D1185" t="str">
            <v>No</v>
          </cell>
        </row>
        <row r="1186">
          <cell r="A1186" t="str">
            <v>A0001779</v>
          </cell>
          <cell r="B1186" t="str">
            <v>Cintas con Hebilla 1,5cm X 60cm Blanca</v>
          </cell>
          <cell r="C1186" t="str">
            <v>Sí</v>
          </cell>
          <cell r="D1186" t="str">
            <v>Si</v>
          </cell>
        </row>
        <row r="1187">
          <cell r="A1187" t="str">
            <v>A0001780</v>
          </cell>
          <cell r="B1187" t="str">
            <v>Cintas con Hebilla 1,5cm X 60cm Negra</v>
          </cell>
          <cell r="C1187" t="str">
            <v>Sí</v>
          </cell>
          <cell r="D1187" t="str">
            <v>Si</v>
          </cell>
        </row>
        <row r="1188">
          <cell r="A1188" t="str">
            <v>A0001781</v>
          </cell>
          <cell r="B1188" t="str">
            <v>Cintas con Hebilla (25uds) 2,5cm  X 60cm Negra</v>
          </cell>
          <cell r="C1188" t="str">
            <v>Sí</v>
          </cell>
          <cell r="D1188" t="str">
            <v>Si</v>
          </cell>
        </row>
        <row r="1189">
          <cell r="A1189" t="str">
            <v>A0001782</v>
          </cell>
          <cell r="B1189" t="str">
            <v>Cintas con Hebilla (25uds) 2,5cm  X 60cm Blanca</v>
          </cell>
          <cell r="C1189" t="str">
            <v>Sí</v>
          </cell>
          <cell r="D1189" t="str">
            <v>Si</v>
          </cell>
        </row>
        <row r="1190">
          <cell r="A1190" t="str">
            <v>A0001783</v>
          </cell>
          <cell r="B1190" t="str">
            <v>Cintas con Hebilla (25uds) 2,5cm  X 120cm Blanca</v>
          </cell>
          <cell r="C1190" t="str">
            <v>Sí</v>
          </cell>
          <cell r="D1190" t="str">
            <v>Si</v>
          </cell>
        </row>
        <row r="1191">
          <cell r="A1191" t="str">
            <v>A0001787</v>
          </cell>
          <cell r="B1191" t="str">
            <v>Assy, Pinch Sens Board Gx 500. Num.W700293033</v>
          </cell>
          <cell r="C1191" t="str">
            <v>Sí</v>
          </cell>
          <cell r="D1191" t="str">
            <v>No</v>
          </cell>
        </row>
        <row r="1192">
          <cell r="A1192" t="str">
            <v>A0001788</v>
          </cell>
          <cell r="B1192" t="str">
            <v>Cable card, 11p 2020L BB. Gx 500 Num. 1000001345</v>
          </cell>
          <cell r="C1192" t="str">
            <v>Sí</v>
          </cell>
          <cell r="D1192" t="str">
            <v>No</v>
          </cell>
        </row>
        <row r="1193">
          <cell r="A1193" t="str">
            <v>A0001789</v>
          </cell>
          <cell r="B1193" t="str">
            <v>Assy, FM3 Servo Board VG-540 T</v>
          </cell>
          <cell r="C1193" t="str">
            <v>Sí</v>
          </cell>
          <cell r="D1193" t="str">
            <v>No</v>
          </cell>
        </row>
        <row r="1194">
          <cell r="A1194" t="str">
            <v>A0001790</v>
          </cell>
          <cell r="B1194" t="str">
            <v>6000002333 - Assy, Scan Motor VG-640</v>
          </cell>
          <cell r="C1194" t="str">
            <v>Sí</v>
          </cell>
          <cell r="D1194" t="str">
            <v>No</v>
          </cell>
        </row>
        <row r="1195">
          <cell r="A1195" t="str">
            <v>A0000504</v>
          </cell>
          <cell r="B1195" t="str">
            <v>M2 Metamark M7 181 Rosa 0,61 x 50m</v>
          </cell>
          <cell r="C1195" t="str">
            <v>Sí</v>
          </cell>
          <cell r="D1195" t="str">
            <v>Si</v>
          </cell>
          <cell r="E1195" t="str">
            <v>A0000103</v>
          </cell>
        </row>
        <row r="1196">
          <cell r="A1196" t="str">
            <v>A0001792</v>
          </cell>
          <cell r="B1196" t="str">
            <v>Rollo Reflectiv AGI 100 Antigraffiti 1,52m x 5m</v>
          </cell>
          <cell r="C1196" t="str">
            <v>Sí</v>
          </cell>
          <cell r="D1196" t="str">
            <v>No</v>
          </cell>
        </row>
        <row r="1197">
          <cell r="A1197" t="str">
            <v>A0001793</v>
          </cell>
          <cell r="B1197" t="str">
            <v>Rollo Polimérico Isee2 (StrongTouch Supreme) Alto Agarre Mate 1,37x50m</v>
          </cell>
          <cell r="C1197" t="str">
            <v>Sí</v>
          </cell>
          <cell r="D1197" t="str">
            <v>Si</v>
          </cell>
        </row>
        <row r="1198">
          <cell r="A1198" t="str">
            <v>A0001794</v>
          </cell>
          <cell r="B1198" t="str">
            <v>ML Magnético 0.6mm espesor PVC Blanco 0.61x30m</v>
          </cell>
          <cell r="C1198" t="str">
            <v>Sí</v>
          </cell>
          <cell r="D1198" t="str">
            <v>No</v>
          </cell>
        </row>
        <row r="1199">
          <cell r="A1199" t="str">
            <v>A0001795</v>
          </cell>
          <cell r="B1199" t="str">
            <v>ML Magnético 0.6mm espesor PVC Blanco 1x20m</v>
          </cell>
          <cell r="C1199" t="str">
            <v>Sí</v>
          </cell>
          <cell r="D1199" t="str">
            <v>No</v>
          </cell>
        </row>
        <row r="1200">
          <cell r="A1200" t="str">
            <v>A0001796</v>
          </cell>
          <cell r="B1200" t="str">
            <v>ML Magnético 0.9mm espesor PVC Blanco 1x10m</v>
          </cell>
          <cell r="C1200" t="str">
            <v>Sí</v>
          </cell>
          <cell r="D1200" t="str">
            <v>No</v>
          </cell>
        </row>
        <row r="1201">
          <cell r="A1201" t="str">
            <v>A0001797</v>
          </cell>
          <cell r="B1201" t="str">
            <v>Assy, Tubing 2x900mm XC-540</v>
          </cell>
          <cell r="C1201" t="str">
            <v>Sí</v>
          </cell>
          <cell r="D1201" t="str">
            <v>No</v>
          </cell>
        </row>
        <row r="1202">
          <cell r="A1202" t="str">
            <v>A0001798</v>
          </cell>
          <cell r="B1202" t="str">
            <v>Adapter, Tube 2-3 FAI XC-540</v>
          </cell>
          <cell r="C1202" t="str">
            <v>Sí</v>
          </cell>
          <cell r="D1202" t="str">
            <v>No</v>
          </cell>
        </row>
        <row r="1203">
          <cell r="A1203" t="str">
            <v>A0001799</v>
          </cell>
          <cell r="B1203" t="str">
            <v>Assy, Tubing 3x1920mm BK LEC-300</v>
          </cell>
          <cell r="C1203" t="str">
            <v>Sí</v>
          </cell>
          <cell r="D1203" t="str">
            <v>No</v>
          </cell>
        </row>
        <row r="1204">
          <cell r="A1204" t="str">
            <v>A0001800</v>
          </cell>
          <cell r="B1204" t="str">
            <v>Assy, Holder, I/C RS-540</v>
          </cell>
          <cell r="C1204" t="str">
            <v>Sí</v>
          </cell>
          <cell r="D1204" t="str">
            <v>No</v>
          </cell>
        </row>
        <row r="1205">
          <cell r="A1205" t="str">
            <v>A0001801</v>
          </cell>
          <cell r="B1205" t="str">
            <v>Holder, Ring O 2FAI FJ-50</v>
          </cell>
          <cell r="C1205" t="str">
            <v>Sí</v>
          </cell>
          <cell r="D1205" t="str">
            <v>No</v>
          </cell>
        </row>
        <row r="1206">
          <cell r="A1206" t="str">
            <v>A0001802</v>
          </cell>
          <cell r="B1206" t="str">
            <v>Rollo Ri-Dot Blanco Mate 1,37x50m</v>
          </cell>
          <cell r="C1206" t="str">
            <v>Sí</v>
          </cell>
          <cell r="D1206" t="str">
            <v>No</v>
          </cell>
          <cell r="E1206" t="str">
            <v>A0001147</v>
          </cell>
        </row>
        <row r="1207">
          <cell r="A1207" t="str">
            <v>A0001803</v>
          </cell>
          <cell r="B1207" t="str">
            <v>Rollo Ri-Dot Transparente Mate 1,37x50m</v>
          </cell>
          <cell r="C1207" t="str">
            <v>Sí</v>
          </cell>
          <cell r="D1207" t="str">
            <v>No</v>
          </cell>
          <cell r="E1207" t="str">
            <v>A0001147</v>
          </cell>
        </row>
        <row r="1208">
          <cell r="A1208" t="str">
            <v>A0000454</v>
          </cell>
          <cell r="B1208" t="str">
            <v>M2 Metamark M7 181 Rosa 1,22 x 50m</v>
          </cell>
          <cell r="C1208" t="str">
            <v>Sí</v>
          </cell>
          <cell r="D1208" t="str">
            <v>Si</v>
          </cell>
          <cell r="E1208" t="str">
            <v>A0000103</v>
          </cell>
        </row>
        <row r="1209">
          <cell r="A1209" t="str">
            <v>A0001806</v>
          </cell>
          <cell r="B1209" t="str">
            <v>Gs-24 Pad Cutter</v>
          </cell>
          <cell r="C1209" t="str">
            <v>Sí</v>
          </cell>
          <cell r="D1209" t="str">
            <v>Si</v>
          </cell>
        </row>
        <row r="1210">
          <cell r="A1210" t="str">
            <v>A0001807</v>
          </cell>
          <cell r="B1210" t="str">
            <v>Guide Tube Type3 VP-540</v>
          </cell>
          <cell r="C1210" t="str">
            <v>Sí</v>
          </cell>
          <cell r="D1210" t="str">
            <v>No</v>
          </cell>
        </row>
        <row r="1211">
          <cell r="A1211" t="str">
            <v>A0001808</v>
          </cell>
          <cell r="B1211" t="str">
            <v>Cable Assy, Ink Serial XC-540</v>
          </cell>
          <cell r="C1211" t="str">
            <v>Sí</v>
          </cell>
          <cell r="D1211" t="str">
            <v>No</v>
          </cell>
        </row>
        <row r="1212">
          <cell r="A1212" t="str">
            <v>A0001809</v>
          </cell>
          <cell r="B1212" t="str">
            <v>Tinta EcoUV 4 Magenta 220ml</v>
          </cell>
          <cell r="C1212" t="str">
            <v>Sí</v>
          </cell>
          <cell r="D1212" t="str">
            <v>Si</v>
          </cell>
          <cell r="E1212" t="str">
            <v>A0000996</v>
          </cell>
        </row>
        <row r="1213">
          <cell r="A1213" t="str">
            <v>A0001810</v>
          </cell>
          <cell r="B1213" t="str">
            <v>Tinta EcoUV 4 Cyan 220ml</v>
          </cell>
          <cell r="C1213" t="str">
            <v>Sí</v>
          </cell>
          <cell r="D1213" t="str">
            <v>Si</v>
          </cell>
          <cell r="E1213" t="str">
            <v>A0000996</v>
          </cell>
        </row>
        <row r="1214">
          <cell r="A1214" t="str">
            <v>A0001811</v>
          </cell>
          <cell r="B1214" t="str">
            <v>Tinta EcoUV 4 Amarillo 220ml</v>
          </cell>
          <cell r="C1214" t="str">
            <v>Sí</v>
          </cell>
          <cell r="D1214" t="str">
            <v>Si</v>
          </cell>
          <cell r="E1214" t="str">
            <v>A0000996</v>
          </cell>
        </row>
        <row r="1215">
          <cell r="A1215" t="str">
            <v>A0001812</v>
          </cell>
          <cell r="B1215" t="str">
            <v>Cable-Card 6P1 420L BB High-V</v>
          </cell>
          <cell r="C1215" t="str">
            <v>Sí</v>
          </cell>
          <cell r="D1215" t="str">
            <v>No</v>
          </cell>
        </row>
        <row r="1216">
          <cell r="A1216" t="str">
            <v>A0001813</v>
          </cell>
          <cell r="B1216" t="str">
            <v>1000020747 - Cutter Pad 2 VG-640</v>
          </cell>
          <cell r="C1216" t="str">
            <v>Sí</v>
          </cell>
          <cell r="D1216" t="str">
            <v>No</v>
          </cell>
        </row>
        <row r="1217">
          <cell r="A1217" t="str">
            <v>A0001814</v>
          </cell>
          <cell r="B1217" t="str">
            <v>Holder, Cable RS-540</v>
          </cell>
          <cell r="C1217" t="str">
            <v>Sí</v>
          </cell>
          <cell r="D1217" t="str">
            <v>No</v>
          </cell>
        </row>
        <row r="1218">
          <cell r="A1218" t="str">
            <v>A0001815</v>
          </cell>
          <cell r="B1218" t="str">
            <v>Tinta EcoUV 4 Gloss 220ml</v>
          </cell>
          <cell r="C1218" t="str">
            <v>Sí</v>
          </cell>
          <cell r="D1218" t="str">
            <v>Si</v>
          </cell>
          <cell r="E1218" t="str">
            <v>A0000996</v>
          </cell>
        </row>
        <row r="1219">
          <cell r="A1219" t="str">
            <v>A0001816</v>
          </cell>
          <cell r="B1219" t="str">
            <v>Rollo Reflectiv AUT S05 23mc 1,52x10m</v>
          </cell>
          <cell r="C1219" t="str">
            <v>Sí</v>
          </cell>
          <cell r="D1219" t="str">
            <v>No</v>
          </cell>
          <cell r="E1219" t="str">
            <v>A0001174</v>
          </cell>
        </row>
        <row r="1220">
          <cell r="A1220" t="str">
            <v>A0000503</v>
          </cell>
          <cell r="B1220" t="str">
            <v>M2 Metamark M7 182 Magenta 0,61 x 50m</v>
          </cell>
          <cell r="C1220" t="str">
            <v>Sí</v>
          </cell>
          <cell r="D1220" t="str">
            <v>Si</v>
          </cell>
          <cell r="E1220" t="str">
            <v>A0000103</v>
          </cell>
        </row>
        <row r="1221">
          <cell r="A1221" t="str">
            <v>A0001818</v>
          </cell>
          <cell r="B1221" t="str">
            <v>ML Cad-Cut Sportsfilm 370 Menta Pastel 500mm</v>
          </cell>
          <cell r="C1221" t="str">
            <v>Sí</v>
          </cell>
          <cell r="D1221" t="str">
            <v>No</v>
          </cell>
          <cell r="E1221" t="str">
            <v>A0000606</v>
          </cell>
        </row>
        <row r="1222">
          <cell r="A1222" t="str">
            <v>A0001819</v>
          </cell>
          <cell r="B1222" t="str">
            <v>ML Cad-Cut Sportsfilm 215 Rosa Oro 500mm</v>
          </cell>
          <cell r="C1222" t="str">
            <v>Sí</v>
          </cell>
          <cell r="D1222" t="str">
            <v>Si</v>
          </cell>
          <cell r="E1222" t="str">
            <v>A0000606</v>
          </cell>
        </row>
        <row r="1223">
          <cell r="A1223" t="str">
            <v>A0001820</v>
          </cell>
          <cell r="B1223" t="str">
            <v>1000003665 - Sheet Linear Scale XJ-540</v>
          </cell>
          <cell r="C1223" t="str">
            <v>Sí</v>
          </cell>
          <cell r="D1223" t="str">
            <v>No</v>
          </cell>
        </row>
        <row r="1224">
          <cell r="A1224" t="str">
            <v>A0001821</v>
          </cell>
          <cell r="B1224" t="str">
            <v>Assy Scan Motor RE-640_ 01</v>
          </cell>
          <cell r="C1224" t="str">
            <v>Sí</v>
          </cell>
          <cell r="D1224" t="str">
            <v>No</v>
          </cell>
        </row>
        <row r="1225">
          <cell r="A1225" t="str">
            <v>A0001822</v>
          </cell>
          <cell r="B1225" t="str">
            <v>Roland P-Roller TD16S4(B10) Type2_01</v>
          </cell>
          <cell r="C1225" t="str">
            <v>Sí</v>
          </cell>
          <cell r="D1225" t="str">
            <v>No</v>
          </cell>
        </row>
        <row r="1226">
          <cell r="A1226" t="str">
            <v>A0001823</v>
          </cell>
          <cell r="B1226" t="str">
            <v>Roland P-Roller FD16S4(B10) Type2_01</v>
          </cell>
          <cell r="C1226" t="str">
            <v>Sí</v>
          </cell>
          <cell r="D1226" t="str">
            <v>No</v>
          </cell>
        </row>
        <row r="1227">
          <cell r="A1227" t="str">
            <v>A0001824</v>
          </cell>
          <cell r="B1227" t="str">
            <v>Display-Board XF IQ Gen2 N-1-2463-F</v>
          </cell>
          <cell r="C1227" t="str">
            <v>Sí</v>
          </cell>
          <cell r="D1227" t="str">
            <v>No</v>
          </cell>
        </row>
        <row r="1228">
          <cell r="A1228" t="str">
            <v>A0001825</v>
          </cell>
          <cell r="B1228" t="str">
            <v>Rollo Metaguard MGi 005 Brillo 1,60x50m</v>
          </cell>
          <cell r="C1228" t="str">
            <v>Sí</v>
          </cell>
          <cell r="D1228" t="str">
            <v>Si</v>
          </cell>
          <cell r="E1228" t="str">
            <v>A0000245</v>
          </cell>
        </row>
        <row r="1229">
          <cell r="A1229" t="str">
            <v>A0001826</v>
          </cell>
          <cell r="B1229" t="str">
            <v>Rollo Metaguard MGi 002 Mate 1,60x50m</v>
          </cell>
          <cell r="C1229" t="str">
            <v>Sí</v>
          </cell>
          <cell r="D1229" t="str">
            <v>Si</v>
          </cell>
          <cell r="E1229" t="str">
            <v>A0000245</v>
          </cell>
        </row>
        <row r="1230">
          <cell r="A1230" t="str">
            <v>A0001827</v>
          </cell>
          <cell r="B1230" t="str">
            <v>6000005975 - Assy,IJ Head Sol 200l SV VG640</v>
          </cell>
          <cell r="C1230" t="str">
            <v>Sí</v>
          </cell>
          <cell r="D1230" t="str">
            <v>No</v>
          </cell>
        </row>
        <row r="1231">
          <cell r="A1231" t="str">
            <v>A0001828</v>
          </cell>
          <cell r="B1231" t="str">
            <v>sensor-interrupter,oj-5305-a5</v>
          </cell>
          <cell r="C1231" t="str">
            <v>Sí</v>
          </cell>
          <cell r="D1231" t="str">
            <v>No</v>
          </cell>
        </row>
        <row r="1232">
          <cell r="A1232" t="str">
            <v>A0001829</v>
          </cell>
          <cell r="B1232" t="str">
            <v>rcl39020assy,damper double cir 2 vg-640</v>
          </cell>
          <cell r="C1232" t="str">
            <v>Sí</v>
          </cell>
          <cell r="D1232" t="str">
            <v>No</v>
          </cell>
        </row>
        <row r="1233">
          <cell r="A1233" t="str">
            <v>A0001830</v>
          </cell>
          <cell r="B1233" t="str">
            <v>Rollo Metamark MDi 100 (70mc) Brillo 1,05x50m</v>
          </cell>
          <cell r="C1233" t="str">
            <v>Sí</v>
          </cell>
          <cell r="D1233" t="str">
            <v>No</v>
          </cell>
          <cell r="E1233" t="str">
            <v>A0001667</v>
          </cell>
        </row>
        <row r="1234">
          <cell r="A1234" t="str">
            <v>A0001831</v>
          </cell>
          <cell r="B1234" t="str">
            <v>Rollo Metaguard MGi 005 Brillo 1,05x50m</v>
          </cell>
          <cell r="C1234" t="str">
            <v>Sí</v>
          </cell>
          <cell r="D1234" t="str">
            <v>No</v>
          </cell>
          <cell r="E1234" t="str">
            <v>A0000245</v>
          </cell>
        </row>
        <row r="1235">
          <cell r="A1235" t="str">
            <v>A0001832</v>
          </cell>
          <cell r="B1235" t="str">
            <v>Rollo Metaguard MGi 002 Mate 1,05x50m</v>
          </cell>
          <cell r="C1235" t="str">
            <v>Sí</v>
          </cell>
          <cell r="D1235" t="str">
            <v>No</v>
          </cell>
          <cell r="E1235" t="str">
            <v>A0000245</v>
          </cell>
        </row>
        <row r="1236">
          <cell r="A1236" t="str">
            <v>A0001834</v>
          </cell>
          <cell r="B1236" t="str">
            <v>Tube, Ink K-NA 3FAI 4000MM</v>
          </cell>
          <cell r="C1236" t="str">
            <v>Sí</v>
          </cell>
          <cell r="D1236" t="str">
            <v>Si</v>
          </cell>
        </row>
        <row r="1237">
          <cell r="A1237" t="str">
            <v>A0000453</v>
          </cell>
          <cell r="B1237" t="str">
            <v>M2 Metamark M7 182 Magenta 1,22 x 50m</v>
          </cell>
          <cell r="C1237" t="str">
            <v>Sí</v>
          </cell>
          <cell r="D1237" t="str">
            <v>Si</v>
          </cell>
          <cell r="E1237" t="str">
            <v>A0000103</v>
          </cell>
        </row>
        <row r="1238">
          <cell r="A1238" t="str">
            <v>A0001838</v>
          </cell>
          <cell r="B1238" t="str">
            <v>Assy, Main Board SV XR 640</v>
          </cell>
          <cell r="C1238" t="str">
            <v>Sí</v>
          </cell>
          <cell r="D1238" t="str">
            <v>No</v>
          </cell>
        </row>
        <row r="1239">
          <cell r="A1239" t="str">
            <v>A0001840</v>
          </cell>
          <cell r="B1239" t="str">
            <v>Assy, IJ Head Sol 250L SV CG2076</v>
          </cell>
          <cell r="C1239" t="str">
            <v>Sí</v>
          </cell>
          <cell r="D1239" t="str">
            <v>No</v>
          </cell>
        </row>
        <row r="1240">
          <cell r="A1240" t="str">
            <v>A0001841</v>
          </cell>
          <cell r="B1240" t="str">
            <v>Rollo Ri-jet 100 Adhesivo Gris Removible Mate 1,37x50m</v>
          </cell>
          <cell r="C1240" t="str">
            <v>Sí</v>
          </cell>
          <cell r="D1240" t="str">
            <v>Si</v>
          </cell>
          <cell r="E1240" t="str">
            <v>A0001147</v>
          </cell>
        </row>
        <row r="1241">
          <cell r="A1241" t="str">
            <v>A0001842</v>
          </cell>
          <cell r="B1241" t="str">
            <v>Rollo Ri-jet 100 Adhesivo Gris Removible Mate 1,60x50m</v>
          </cell>
          <cell r="C1241" t="str">
            <v>Sí</v>
          </cell>
          <cell r="D1241" t="str">
            <v>Si</v>
          </cell>
          <cell r="E1241" t="str">
            <v>A0001147</v>
          </cell>
        </row>
        <row r="1242">
          <cell r="A1242" t="str">
            <v>A0000506</v>
          </cell>
          <cell r="B1242" t="str">
            <v>M2 Metamark M7 183 Violeta 0,61 x 50m</v>
          </cell>
          <cell r="C1242" t="str">
            <v>Sí</v>
          </cell>
          <cell r="D1242" t="str">
            <v>Si</v>
          </cell>
          <cell r="E1242" t="str">
            <v>A0000103</v>
          </cell>
        </row>
        <row r="1243">
          <cell r="A1243" t="str">
            <v>A0000456</v>
          </cell>
          <cell r="B1243" t="str">
            <v>M2 Metamark M7 183 Violeta 1,22 x 50m</v>
          </cell>
          <cell r="C1243" t="str">
            <v>Sí</v>
          </cell>
          <cell r="D1243" t="str">
            <v>Si</v>
          </cell>
          <cell r="E1243" t="str">
            <v>A0000103</v>
          </cell>
        </row>
        <row r="1244">
          <cell r="A1244" t="str">
            <v>A0000507</v>
          </cell>
          <cell r="B1244" t="str">
            <v>M2 Metamark M7 184 Malva 0,61 x 50m</v>
          </cell>
          <cell r="C1244" t="str">
            <v>Sí</v>
          </cell>
          <cell r="D1244" t="str">
            <v>Si</v>
          </cell>
          <cell r="E1244" t="str">
            <v>A0000103</v>
          </cell>
        </row>
        <row r="1245">
          <cell r="A1245" t="str">
            <v>A0000457</v>
          </cell>
          <cell r="B1245" t="str">
            <v>M2 Metamark M7 184 Malva 1,22 x 50m</v>
          </cell>
          <cell r="C1245" t="str">
            <v>Sí</v>
          </cell>
          <cell r="D1245" t="str">
            <v>Si</v>
          </cell>
          <cell r="E1245" t="str">
            <v>A0000103</v>
          </cell>
        </row>
        <row r="1246">
          <cell r="A1246" t="str">
            <v>A0001468</v>
          </cell>
          <cell r="B1246" t="str">
            <v>M2 Metamark M7 185 Azul Oscuro 0,61 x 50m</v>
          </cell>
          <cell r="C1246" t="str">
            <v>Sí</v>
          </cell>
          <cell r="D1246" t="str">
            <v>Si</v>
          </cell>
          <cell r="E1246" t="str">
            <v>A0000103</v>
          </cell>
        </row>
        <row r="1247">
          <cell r="A1247" t="str">
            <v>A0001435</v>
          </cell>
          <cell r="B1247" t="str">
            <v>M2 Metamark M7 185 Azul Oscuro 1,22 x 50m</v>
          </cell>
          <cell r="C1247" t="str">
            <v>Sí</v>
          </cell>
          <cell r="D1247" t="str">
            <v>Si</v>
          </cell>
          <cell r="E1247" t="str">
            <v>A0000103</v>
          </cell>
        </row>
        <row r="1248">
          <cell r="A1248" t="str">
            <v>A0001851</v>
          </cell>
          <cell r="B1248" t="str">
            <v>1000013784 - Damper, Ink IHP XR-640</v>
          </cell>
          <cell r="C1248" t="str">
            <v>Sí</v>
          </cell>
          <cell r="D1248" t="str">
            <v>No</v>
          </cell>
        </row>
        <row r="1249">
          <cell r="A1249" t="str">
            <v>A0001852</v>
          </cell>
          <cell r="B1249" t="str">
            <v>Shield, Damper LEC-330</v>
          </cell>
          <cell r="C1249" t="str">
            <v>Sí</v>
          </cell>
          <cell r="D1249" t="str">
            <v>No</v>
          </cell>
        </row>
        <row r="1250">
          <cell r="A1250" t="str">
            <v>A0001853</v>
          </cell>
          <cell r="B1250" t="str">
            <v>1000012719 - Damper, ink VS-640_01</v>
          </cell>
          <cell r="C1250" t="str">
            <v>Sí</v>
          </cell>
          <cell r="D1250" t="str">
            <v>No</v>
          </cell>
        </row>
        <row r="1251">
          <cell r="A1251" t="str">
            <v>A0001565</v>
          </cell>
          <cell r="B1251" t="str">
            <v>M2 Metamark M7 186 Lavanda 0,61 x 50m</v>
          </cell>
          <cell r="C1251" t="str">
            <v>Sí</v>
          </cell>
          <cell r="D1251" t="str">
            <v>Si</v>
          </cell>
          <cell r="E1251" t="str">
            <v>A0000103</v>
          </cell>
        </row>
        <row r="1252">
          <cell r="A1252" t="str">
            <v>A0001564</v>
          </cell>
          <cell r="B1252" t="str">
            <v>M2 Metamark M7 186 Lavanda 1,22 x 50m</v>
          </cell>
          <cell r="C1252" t="str">
            <v>Sí</v>
          </cell>
          <cell r="D1252" t="str">
            <v>Si</v>
          </cell>
          <cell r="E1252" t="str">
            <v>A0000103</v>
          </cell>
        </row>
        <row r="1253">
          <cell r="A1253" t="str">
            <v>A0001469</v>
          </cell>
          <cell r="B1253" t="str">
            <v>M2 Metamark M7 187 Violeta Oscuro 0,61 x 50m</v>
          </cell>
          <cell r="C1253" t="str">
            <v>Sí</v>
          </cell>
          <cell r="D1253" t="str">
            <v>Si</v>
          </cell>
          <cell r="E1253" t="str">
            <v>A0000103</v>
          </cell>
        </row>
        <row r="1254">
          <cell r="A1254" t="str">
            <v>A0001436</v>
          </cell>
          <cell r="B1254" t="str">
            <v>M2 Metamark M7 187 Violeta Oscuro 1,22 x 50m</v>
          </cell>
          <cell r="C1254" t="str">
            <v>Sí</v>
          </cell>
          <cell r="D1254" t="str">
            <v>Si</v>
          </cell>
          <cell r="E1254" t="str">
            <v>A0000103</v>
          </cell>
        </row>
        <row r="1255">
          <cell r="A1255" t="str">
            <v>A0001858</v>
          </cell>
          <cell r="B1255" t="str">
            <v>Ollao + Arandela 9,5mm Plata - Metal (500uds)</v>
          </cell>
          <cell r="C1255" t="str">
            <v>Sí</v>
          </cell>
          <cell r="D1255" t="str">
            <v>No</v>
          </cell>
        </row>
        <row r="1256">
          <cell r="A1256" t="str">
            <v>A0001859</v>
          </cell>
          <cell r="B1256" t="str">
            <v>Ollao + Arandela  11,5mm Plata - Metal (500uds)</v>
          </cell>
          <cell r="C1256" t="str">
            <v>Sí</v>
          </cell>
          <cell r="D1256" t="str">
            <v>No</v>
          </cell>
        </row>
        <row r="1257">
          <cell r="A1257" t="str">
            <v>A0001860</v>
          </cell>
          <cell r="B1257" t="str">
            <v>Rollo Canvas Skynet JConnor 320gr 1,52mx25m</v>
          </cell>
          <cell r="C1257" t="str">
            <v>Sí</v>
          </cell>
          <cell r="D1257" t="str">
            <v>No</v>
          </cell>
        </row>
        <row r="1258">
          <cell r="A1258" t="str">
            <v>A0001861</v>
          </cell>
          <cell r="B1258" t="str">
            <v>Cartucho Ecopure 440ml EM3 Amarillo</v>
          </cell>
          <cell r="C1258" t="str">
            <v>Sí</v>
          </cell>
          <cell r="D1258" t="str">
            <v>Si</v>
          </cell>
          <cell r="E1258" t="str">
            <v>A0001252</v>
          </cell>
        </row>
        <row r="1259">
          <cell r="A1259" t="str">
            <v>A0001862</v>
          </cell>
          <cell r="B1259" t="str">
            <v>Cartucho Ecopure 440ml EM3 Magenta</v>
          </cell>
          <cell r="C1259" t="str">
            <v>Sí</v>
          </cell>
          <cell r="D1259" t="str">
            <v>Si</v>
          </cell>
          <cell r="E1259" t="str">
            <v>A0001252</v>
          </cell>
        </row>
        <row r="1260">
          <cell r="A1260" t="str">
            <v>A0001863</v>
          </cell>
          <cell r="B1260" t="str">
            <v>Cartucho Ecopure 440ml EM3 Negro</v>
          </cell>
          <cell r="C1260" t="str">
            <v>Sí</v>
          </cell>
          <cell r="D1260" t="str">
            <v>Si</v>
          </cell>
          <cell r="E1260" t="str">
            <v>A0001252</v>
          </cell>
        </row>
        <row r="1261">
          <cell r="A1261" t="str">
            <v>A0001864</v>
          </cell>
          <cell r="B1261" t="str">
            <v>Cartucho Ecopure 440ml EM3 Cyan</v>
          </cell>
          <cell r="C1261" t="str">
            <v>Sí</v>
          </cell>
          <cell r="D1261" t="str">
            <v>Si</v>
          </cell>
          <cell r="E1261" t="str">
            <v>A0001252</v>
          </cell>
        </row>
        <row r="1262">
          <cell r="A1262" t="str">
            <v>A0001487</v>
          </cell>
          <cell r="B1262" t="str">
            <v>M2 Metamark M7 188 Aguamarina 0,61 x 50m</v>
          </cell>
          <cell r="C1262" t="str">
            <v>Sí</v>
          </cell>
          <cell r="D1262" t="str">
            <v>Si</v>
          </cell>
          <cell r="E1262" t="str">
            <v>A0000103</v>
          </cell>
        </row>
        <row r="1263">
          <cell r="A1263" t="str">
            <v>A0001486</v>
          </cell>
          <cell r="B1263" t="str">
            <v>M2 Metamark M7 188 Aguamarina 1,22 x 50m</v>
          </cell>
          <cell r="C1263" t="str">
            <v>Sí</v>
          </cell>
          <cell r="D1263" t="str">
            <v>Si</v>
          </cell>
          <cell r="E1263" t="str">
            <v>A0000103</v>
          </cell>
        </row>
        <row r="1264">
          <cell r="A1264" t="str">
            <v>A0000511</v>
          </cell>
          <cell r="B1264" t="str">
            <v>M2 Metamark M7 190 Plata 0,61 x 50m</v>
          </cell>
          <cell r="C1264" t="str">
            <v>Sí</v>
          </cell>
          <cell r="D1264" t="str">
            <v>Si</v>
          </cell>
          <cell r="E1264" t="str">
            <v>A0000103</v>
          </cell>
        </row>
        <row r="1265">
          <cell r="A1265" t="str">
            <v>A0001869</v>
          </cell>
          <cell r="B1265" t="str">
            <v>Rollo Ri-jet 100 Adhesivo Gris Removible Mate 1,05x50m</v>
          </cell>
          <cell r="C1265" t="str">
            <v>Sí</v>
          </cell>
          <cell r="D1265" t="str">
            <v>Si</v>
          </cell>
        </row>
        <row r="1266">
          <cell r="A1266" t="str">
            <v>A0000461</v>
          </cell>
          <cell r="B1266" t="str">
            <v>M2 Metamark M7 190 Plata 1,22 x 50m</v>
          </cell>
          <cell r="C1266" t="str">
            <v>Sí</v>
          </cell>
          <cell r="D1266" t="str">
            <v>Si</v>
          </cell>
          <cell r="E1266" t="str">
            <v>A0000103</v>
          </cell>
        </row>
        <row r="1267">
          <cell r="A1267" t="str">
            <v>A0000510</v>
          </cell>
          <cell r="B1267" t="str">
            <v>M2 Metamark M7 191 Oro 0,61 x 50m</v>
          </cell>
          <cell r="C1267" t="str">
            <v>Sí</v>
          </cell>
          <cell r="D1267" t="str">
            <v>Si</v>
          </cell>
          <cell r="E1267" t="str">
            <v>A0000103</v>
          </cell>
        </row>
        <row r="1268">
          <cell r="A1268" t="str">
            <v>A0001872</v>
          </cell>
          <cell r="B1268" t="str">
            <v>Rollo Metamark MDi B (70 mc Adh Gris) Brillo 1,60x50m</v>
          </cell>
          <cell r="C1268" t="str">
            <v>Sí</v>
          </cell>
          <cell r="D1268" t="str">
            <v>Si</v>
          </cell>
          <cell r="E1268" t="str">
            <v>A0001667</v>
          </cell>
        </row>
        <row r="1269">
          <cell r="A1269" t="str">
            <v>A0001873</v>
          </cell>
          <cell r="B1269" t="str">
            <v>Rollo Metamark MDi B (70 mc Adh Gris) Brillo 1,05x50m</v>
          </cell>
          <cell r="C1269" t="str">
            <v>Sí</v>
          </cell>
          <cell r="D1269" t="str">
            <v>Si</v>
          </cell>
          <cell r="E1269" t="str">
            <v>A0001667</v>
          </cell>
        </row>
        <row r="1270">
          <cell r="A1270" t="str">
            <v>A0001874</v>
          </cell>
          <cell r="B1270" t="str">
            <v>Rollo Metamark MDi A-B (70 mc Adh Gris) Brillo MetaScape 1,60x50m</v>
          </cell>
          <cell r="C1270" t="str">
            <v>Sí</v>
          </cell>
          <cell r="D1270" t="str">
            <v>Si</v>
          </cell>
          <cell r="E1270" t="str">
            <v>A0001667</v>
          </cell>
        </row>
        <row r="1271">
          <cell r="A1271" t="str">
            <v>A0000460</v>
          </cell>
          <cell r="B1271" t="str">
            <v>M2 Metamark M7 191 Oro 1,22 x 50m</v>
          </cell>
          <cell r="C1271" t="str">
            <v>Sí</v>
          </cell>
          <cell r="D1271" t="str">
            <v>Si</v>
          </cell>
          <cell r="E1271" t="str">
            <v>A0000103</v>
          </cell>
        </row>
        <row r="1272">
          <cell r="A1272" t="str">
            <v>A0001876</v>
          </cell>
          <cell r="B1272" t="str">
            <v>Hoja Ritrama RI-Screen M80 Blanco Permanente. 70x100</v>
          </cell>
          <cell r="C1272" t="str">
            <v>Sí</v>
          </cell>
          <cell r="D1272" t="str">
            <v>Si</v>
          </cell>
        </row>
        <row r="1273">
          <cell r="A1273" t="str">
            <v>A0001877</v>
          </cell>
          <cell r="B1273" t="str">
            <v>Hoja Ritrama RI-Screen M80 Transparente Perm Brillo 70x100</v>
          </cell>
          <cell r="C1273" t="str">
            <v>Sí</v>
          </cell>
          <cell r="D1273" t="str">
            <v>Si</v>
          </cell>
        </row>
        <row r="1274">
          <cell r="A1274" t="str">
            <v>A0000174</v>
          </cell>
          <cell r="B1274" t="str">
            <v>Rollo Metamark MD5B 100 (70mc Adh Gris) Brillo 1,37x50m</v>
          </cell>
          <cell r="C1274" t="str">
            <v>Sí</v>
          </cell>
          <cell r="D1274" t="str">
            <v>Si</v>
          </cell>
          <cell r="E1274" t="str">
            <v>A0000994</v>
          </cell>
        </row>
        <row r="1275">
          <cell r="A1275" t="str">
            <v>A0001879</v>
          </cell>
          <cell r="B1275" t="str">
            <v>Rollo Metaguard MG 705 Brillo 1,6m x 25m</v>
          </cell>
          <cell r="C1275" t="str">
            <v>Sí</v>
          </cell>
          <cell r="D1275" t="str">
            <v>Si</v>
          </cell>
          <cell r="E1275" t="str">
            <v>A0000253</v>
          </cell>
        </row>
        <row r="1276">
          <cell r="A1276" t="str">
            <v>A0001880</v>
          </cell>
          <cell r="B1276" t="str">
            <v>Rollo Metaguard MG 702 Mate 1,6 x 25m</v>
          </cell>
          <cell r="C1276" t="str">
            <v>Sí</v>
          </cell>
          <cell r="D1276" t="str">
            <v>Si</v>
          </cell>
          <cell r="E1276" t="str">
            <v>A0000253</v>
          </cell>
        </row>
        <row r="1277">
          <cell r="A1277" t="str">
            <v>A0000512</v>
          </cell>
          <cell r="B1277" t="str">
            <v>M2 Metamark M7 192 Gris Carbón 0,61 x 50m</v>
          </cell>
          <cell r="C1277" t="str">
            <v>Sí</v>
          </cell>
          <cell r="D1277" t="str">
            <v>Si</v>
          </cell>
          <cell r="E1277" t="str">
            <v>A0000103</v>
          </cell>
        </row>
        <row r="1278">
          <cell r="A1278" t="str">
            <v>A0000462</v>
          </cell>
          <cell r="B1278" t="str">
            <v>M2 Metamark M7 192 Gris Carbón 1,22 x 50m</v>
          </cell>
          <cell r="C1278" t="str">
            <v>Sí</v>
          </cell>
          <cell r="D1278" t="str">
            <v>Si</v>
          </cell>
          <cell r="E1278" t="str">
            <v>A0000103</v>
          </cell>
        </row>
        <row r="1279">
          <cell r="A1279" t="str">
            <v>A0001883</v>
          </cell>
          <cell r="B1279" t="str">
            <v>Solenoid, TDS-08A DC-24V TYPE2</v>
          </cell>
          <cell r="C1279" t="str">
            <v>Sí</v>
          </cell>
          <cell r="D1279" t="str">
            <v>No</v>
          </cell>
        </row>
        <row r="1280">
          <cell r="A1280" t="str">
            <v>A0001884</v>
          </cell>
          <cell r="B1280" t="str">
            <v>Cable-Card, 15P1 2100L BB Hight-V</v>
          </cell>
          <cell r="C1280" t="str">
            <v>Sí</v>
          </cell>
          <cell r="D1280" t="str">
            <v>No</v>
          </cell>
        </row>
        <row r="1281">
          <cell r="A1281" t="str">
            <v>A0001885</v>
          </cell>
          <cell r="B1281" t="str">
            <v>Assy Cut Carriage SG-540</v>
          </cell>
          <cell r="C1281" t="str">
            <v>Sí</v>
          </cell>
          <cell r="D1281" t="str">
            <v>No</v>
          </cell>
        </row>
        <row r="1282">
          <cell r="A1282" t="str">
            <v>A0001886</v>
          </cell>
          <cell r="B1282" t="str">
            <v>Cartucho Ecopure 880ml EM3 Light Magenta</v>
          </cell>
          <cell r="C1282" t="str">
            <v>Sí</v>
          </cell>
          <cell r="D1282" t="str">
            <v>Si</v>
          </cell>
          <cell r="E1282" t="str">
            <v>A0001252</v>
          </cell>
        </row>
        <row r="1283">
          <cell r="A1283" t="str">
            <v>A0001887</v>
          </cell>
          <cell r="B1283" t="str">
            <v>Cartucho Ecopure 880ml EM3 Light Cyan</v>
          </cell>
          <cell r="C1283" t="str">
            <v>Sí</v>
          </cell>
          <cell r="D1283" t="str">
            <v>Si</v>
          </cell>
          <cell r="E1283" t="str">
            <v>A0001252</v>
          </cell>
        </row>
        <row r="1284">
          <cell r="A1284" t="str">
            <v>A0001888</v>
          </cell>
          <cell r="B1284" t="str">
            <v>Cartucho Ecopure 440ml EM3 Light Magenta</v>
          </cell>
          <cell r="C1284" t="str">
            <v>Sí</v>
          </cell>
          <cell r="D1284" t="str">
            <v>Si</v>
          </cell>
          <cell r="E1284" t="str">
            <v>A0001252</v>
          </cell>
        </row>
        <row r="1285">
          <cell r="A1285" t="str">
            <v>A0001889</v>
          </cell>
          <cell r="B1285" t="str">
            <v>Kit Conversión TR2 CMYK + Cleaning</v>
          </cell>
          <cell r="C1285" t="str">
            <v>Sí</v>
          </cell>
          <cell r="D1285" t="str">
            <v>Si</v>
          </cell>
        </row>
        <row r="1286">
          <cell r="A1286" t="str">
            <v>A0001890</v>
          </cell>
          <cell r="B1286" t="str">
            <v>Laminadora Mefu M1 Plus 1,63m</v>
          </cell>
          <cell r="C1286" t="str">
            <v>Sí</v>
          </cell>
          <cell r="D1286" t="str">
            <v>No</v>
          </cell>
        </row>
        <row r="1287">
          <cell r="A1287" t="str">
            <v>A0001891</v>
          </cell>
          <cell r="B1287" t="str">
            <v>Rollo Reflectiv UV 151 1,52x30m</v>
          </cell>
          <cell r="C1287" t="str">
            <v>Sí</v>
          </cell>
          <cell r="D1287" t="str">
            <v>No</v>
          </cell>
        </row>
        <row r="1288">
          <cell r="A1288" t="str">
            <v>A0001892</v>
          </cell>
          <cell r="B1288" t="str">
            <v>1000018621 - Pad, Cutter 2 GS-24</v>
          </cell>
          <cell r="C1288" t="str">
            <v>Sí</v>
          </cell>
          <cell r="D1288" t="str">
            <v>No</v>
          </cell>
        </row>
        <row r="1289">
          <cell r="A1289" t="str">
            <v>A0001893</v>
          </cell>
          <cell r="B1289" t="str">
            <v>Assy, Ink Damper</v>
          </cell>
          <cell r="C1289" t="str">
            <v>Sí</v>
          </cell>
          <cell r="D1289" t="str">
            <v>Si</v>
          </cell>
        </row>
        <row r="1290">
          <cell r="A1290" t="str">
            <v>A0001894</v>
          </cell>
          <cell r="B1290" t="str">
            <v>Wiper Head for UV INK</v>
          </cell>
          <cell r="C1290" t="str">
            <v>Sí</v>
          </cell>
          <cell r="D1290" t="str">
            <v>No</v>
          </cell>
        </row>
        <row r="1291">
          <cell r="A1291" t="str">
            <v>A0001895</v>
          </cell>
          <cell r="B1291" t="str">
            <v>Rollo Sign-Ad Brillo Transparente Medio Tack 1,37x45,7m</v>
          </cell>
          <cell r="C1291" t="str">
            <v>Sí</v>
          </cell>
          <cell r="D1291" t="str">
            <v>Si</v>
          </cell>
        </row>
        <row r="1292">
          <cell r="A1292" t="str">
            <v>A0001535</v>
          </cell>
          <cell r="B1292" t="str">
            <v>M2 Metamark M7 193 Gunmetal 0,61 x 50m</v>
          </cell>
          <cell r="C1292" t="str">
            <v>Sí</v>
          </cell>
          <cell r="D1292" t="str">
            <v>Si</v>
          </cell>
          <cell r="E1292" t="str">
            <v>A0000103</v>
          </cell>
        </row>
        <row r="1293">
          <cell r="A1293" t="str">
            <v>A0001534</v>
          </cell>
          <cell r="B1293" t="str">
            <v>M2 Metamark M7 193 Gunmetal 1,22 x 50m</v>
          </cell>
          <cell r="C1293" t="str">
            <v>Sí</v>
          </cell>
          <cell r="D1293" t="str">
            <v>Si</v>
          </cell>
          <cell r="E1293" t="str">
            <v>A0000103</v>
          </cell>
        </row>
        <row r="1294">
          <cell r="A1294" t="str">
            <v>A0001483</v>
          </cell>
          <cell r="B1294" t="str">
            <v>M2 Metamark M7 194 Acero 0,61 x 50m</v>
          </cell>
          <cell r="C1294" t="str">
            <v>Sí</v>
          </cell>
          <cell r="D1294" t="str">
            <v>Si</v>
          </cell>
          <cell r="E1294" t="str">
            <v>A0000103</v>
          </cell>
        </row>
        <row r="1295">
          <cell r="A1295" t="str">
            <v>A0001899</v>
          </cell>
          <cell r="B1295" t="str">
            <v>Triac IQ-Board N-1-1059-IQ</v>
          </cell>
          <cell r="C1295" t="str">
            <v>Sí</v>
          </cell>
          <cell r="D1295" t="str">
            <v>No</v>
          </cell>
        </row>
        <row r="1296">
          <cell r="A1296" t="str">
            <v>A0001900</v>
          </cell>
          <cell r="B1296" t="str">
            <v>Rollo Transportador Nekoosa 4885 Agarre especial 0,61x100m</v>
          </cell>
          <cell r="C1296" t="str">
            <v>Sí</v>
          </cell>
          <cell r="D1296" t="str">
            <v>Si</v>
          </cell>
        </row>
        <row r="1297">
          <cell r="A1297" t="str">
            <v>A0001901</v>
          </cell>
          <cell r="B1297" t="str">
            <v>Triac N-1-1059</v>
          </cell>
          <cell r="C1297" t="str">
            <v>Sí</v>
          </cell>
          <cell r="D1297" t="str">
            <v>No</v>
          </cell>
        </row>
        <row r="1298">
          <cell r="A1298" t="str">
            <v>A0001902</v>
          </cell>
          <cell r="B1298" t="str">
            <v>Control Board SSTT-P SM for STX, Hover STX6  N-1-2129</v>
          </cell>
          <cell r="C1298" t="str">
            <v>Sí</v>
          </cell>
          <cell r="D1298" t="str">
            <v>No</v>
          </cell>
        </row>
        <row r="1299">
          <cell r="A1299" t="str">
            <v>A0001903</v>
          </cell>
          <cell r="B1299" t="str">
            <v>Rollo Metamark MDi A-B (70 mc Adh Gris) Brillo MetaScape 1,05x50m</v>
          </cell>
          <cell r="C1299" t="str">
            <v>Sí</v>
          </cell>
          <cell r="D1299" t="str">
            <v>Si</v>
          </cell>
          <cell r="E1299" t="str">
            <v>A0001667</v>
          </cell>
        </row>
        <row r="1300">
          <cell r="A1300" t="str">
            <v>A0001904</v>
          </cell>
          <cell r="B1300" t="str">
            <v>Rollo Metamark MDi A 100 Metascape (70mc) Brillo 1,05x50m</v>
          </cell>
          <cell r="C1300" t="str">
            <v>Sí</v>
          </cell>
          <cell r="D1300" t="str">
            <v>No</v>
          </cell>
          <cell r="E1300" t="str">
            <v>A0001667</v>
          </cell>
        </row>
        <row r="1301">
          <cell r="A1301" t="str">
            <v>A0001905</v>
          </cell>
          <cell r="B1301" t="str">
            <v>Rollo Metamark MDi A 100 Metascape (70mc) Brillo 1,60x50m</v>
          </cell>
          <cell r="C1301" t="str">
            <v>Sí</v>
          </cell>
          <cell r="D1301" t="str">
            <v>No</v>
          </cell>
          <cell r="E1301" t="str">
            <v>A0001667</v>
          </cell>
        </row>
        <row r="1302">
          <cell r="A1302" t="str">
            <v>A0001450</v>
          </cell>
          <cell r="B1302" t="str">
            <v>M2 Metamark M7 194 Acero 1,22 x 50m</v>
          </cell>
          <cell r="C1302" t="str">
            <v>Sí</v>
          </cell>
          <cell r="D1302" t="str">
            <v>Si</v>
          </cell>
          <cell r="E1302" t="str">
            <v>A0000103</v>
          </cell>
        </row>
        <row r="1303">
          <cell r="A1303" t="str">
            <v>A0001484</v>
          </cell>
          <cell r="B1303" t="str">
            <v>M2 Metamark M7 195 Aluminio 0,61 x 50m</v>
          </cell>
          <cell r="C1303" t="str">
            <v>Sí</v>
          </cell>
          <cell r="D1303" t="str">
            <v>Si</v>
          </cell>
          <cell r="E1303" t="str">
            <v>A0000103</v>
          </cell>
        </row>
        <row r="1304">
          <cell r="A1304" t="str">
            <v>A0001451</v>
          </cell>
          <cell r="B1304" t="str">
            <v>M2 Metamark M7 195 Aluminio 1,22 x 50m</v>
          </cell>
          <cell r="C1304" t="str">
            <v>Sí</v>
          </cell>
          <cell r="D1304" t="str">
            <v>Si</v>
          </cell>
          <cell r="E1304" t="str">
            <v>A0000103</v>
          </cell>
        </row>
        <row r="1305">
          <cell r="A1305" t="str">
            <v>A0001485</v>
          </cell>
          <cell r="B1305" t="str">
            <v>M2 Metamark M7 196 Grafito 0,61 x 50m</v>
          </cell>
          <cell r="C1305" t="str">
            <v>Sí</v>
          </cell>
          <cell r="D1305" t="str">
            <v>Si</v>
          </cell>
          <cell r="E1305" t="str">
            <v>A0000103</v>
          </cell>
        </row>
        <row r="1306">
          <cell r="A1306" t="str">
            <v>A0001452</v>
          </cell>
          <cell r="B1306" t="str">
            <v>M2 Metamark M7 196 Grafito 1,22 x 50m</v>
          </cell>
          <cell r="C1306" t="str">
            <v>Sí</v>
          </cell>
          <cell r="D1306" t="str">
            <v>Si</v>
          </cell>
          <cell r="E1306" t="str">
            <v>A0000103</v>
          </cell>
        </row>
        <row r="1307">
          <cell r="A1307" t="str">
            <v>A0001473</v>
          </cell>
          <cell r="B1307" t="str">
            <v>M2 Metamark M7 197 Verde Saltamontes 0,61 x 50m</v>
          </cell>
          <cell r="C1307" t="str">
            <v>Sí</v>
          </cell>
          <cell r="D1307" t="str">
            <v>Si</v>
          </cell>
          <cell r="E1307" t="str">
            <v>A0000103</v>
          </cell>
        </row>
        <row r="1308">
          <cell r="A1308" t="str">
            <v>A0001440</v>
          </cell>
          <cell r="B1308" t="str">
            <v>M2 Metamark M7 197 Verde Saltamontes 1,22 x 50m</v>
          </cell>
          <cell r="C1308" t="str">
            <v>Sí</v>
          </cell>
          <cell r="D1308" t="str">
            <v>Si</v>
          </cell>
          <cell r="E1308" t="str">
            <v>A0000103</v>
          </cell>
        </row>
        <row r="1309">
          <cell r="A1309" t="str">
            <v>A0001474</v>
          </cell>
          <cell r="B1309" t="str">
            <v>M2 Metamark M7 198 Verde Natural 0,61 x 50m</v>
          </cell>
          <cell r="C1309" t="str">
            <v>Sí</v>
          </cell>
          <cell r="D1309" t="str">
            <v>Si</v>
          </cell>
          <cell r="E1309" t="str">
            <v>A0000103</v>
          </cell>
        </row>
        <row r="1310">
          <cell r="A1310" t="str">
            <v>A0001441</v>
          </cell>
          <cell r="B1310" t="str">
            <v>M2 Metamark M7 198 Verde Natural 1,22 x 50m</v>
          </cell>
          <cell r="C1310" t="str">
            <v>Sí</v>
          </cell>
          <cell r="D1310" t="str">
            <v>Si</v>
          </cell>
          <cell r="E1310" t="str">
            <v>A0000103</v>
          </cell>
        </row>
        <row r="1311">
          <cell r="A1311" t="str">
            <v>A0001475</v>
          </cell>
          <cell r="B1311" t="str">
            <v>M2 Metamark M7 199 Verde Manzana 0,61 x 50m</v>
          </cell>
          <cell r="C1311" t="str">
            <v>Sí</v>
          </cell>
          <cell r="D1311" t="str">
            <v>Si</v>
          </cell>
          <cell r="E1311" t="str">
            <v>A0000103</v>
          </cell>
        </row>
        <row r="1312">
          <cell r="A1312" t="str">
            <v>A0001442</v>
          </cell>
          <cell r="B1312" t="str">
            <v>M2 Metamark M7 199 Verde Manzana 1,22 x 50m</v>
          </cell>
          <cell r="C1312" t="str">
            <v>Sí</v>
          </cell>
          <cell r="D1312" t="str">
            <v>Si</v>
          </cell>
          <cell r="E1312" t="str">
            <v>A0000103</v>
          </cell>
        </row>
        <row r="1313">
          <cell r="A1313" t="str">
            <v>A0000535</v>
          </cell>
          <cell r="B1313" t="str">
            <v>M2 Metamark M7 Crystal Window Polimérico 0,61 x 50m</v>
          </cell>
          <cell r="C1313" t="str">
            <v>Sí</v>
          </cell>
          <cell r="D1313" t="str">
            <v>Si</v>
          </cell>
          <cell r="E1313" t="str">
            <v>A0000535</v>
          </cell>
        </row>
        <row r="1314">
          <cell r="A1314" t="str">
            <v>A0000529</v>
          </cell>
          <cell r="B1314" t="str">
            <v>M2 Metamark M7 Crystal Window Polimérico 1,22 x 50m</v>
          </cell>
          <cell r="C1314" t="str">
            <v>Sí</v>
          </cell>
          <cell r="D1314" t="str">
            <v>Si</v>
          </cell>
          <cell r="E1314" t="str">
            <v>A0000535</v>
          </cell>
        </row>
        <row r="1315">
          <cell r="A1315" t="str">
            <v>A0000843</v>
          </cell>
          <cell r="B1315" t="str">
            <v>M2 Metamark M7 Crystal Window Polimérico 1,60mm x 50m</v>
          </cell>
          <cell r="C1315" t="str">
            <v>Sí</v>
          </cell>
          <cell r="D1315" t="str">
            <v>Si</v>
          </cell>
          <cell r="E1315" t="str">
            <v>A0000535</v>
          </cell>
        </row>
        <row r="1316">
          <cell r="A1316" t="str">
            <v>A0000536</v>
          </cell>
          <cell r="B1316" t="str">
            <v>M2 Metamark M7 Dusted Window Polimérico 0,61 x 50m</v>
          </cell>
          <cell r="C1316" t="str">
            <v>Sí</v>
          </cell>
          <cell r="D1316" t="str">
            <v>Si</v>
          </cell>
          <cell r="E1316" t="str">
            <v>A0000536</v>
          </cell>
        </row>
        <row r="1317">
          <cell r="A1317" t="str">
            <v>A0001954</v>
          </cell>
          <cell r="B1317" t="str">
            <v>M2 Metamark M7 Dusted Window Polimérico 1,22 x 50m</v>
          </cell>
          <cell r="C1317" t="str">
            <v>Sí</v>
          </cell>
          <cell r="D1317" t="str">
            <v>Si</v>
          </cell>
          <cell r="E1317" t="str">
            <v>A0000536</v>
          </cell>
        </row>
        <row r="1318">
          <cell r="A1318" t="str">
            <v>A0000847</v>
          </cell>
          <cell r="B1318" t="str">
            <v>M2 Metamark M7 Dusted Window Polimérico 1,60mm x 50m</v>
          </cell>
          <cell r="C1318" t="str">
            <v>Sí</v>
          </cell>
          <cell r="D1318" t="str">
            <v>Si</v>
          </cell>
          <cell r="E1318" t="str">
            <v>A0000536</v>
          </cell>
        </row>
        <row r="1319">
          <cell r="A1319" t="str">
            <v>A0001940</v>
          </cell>
          <cell r="B1319" t="str">
            <v>M2 Metamark M7 Hopal Haze Window Polimérico 0,61 x 50m</v>
          </cell>
          <cell r="C1319" t="str">
            <v>Sí</v>
          </cell>
          <cell r="D1319" t="str">
            <v>Si</v>
          </cell>
          <cell r="E1319" t="str">
            <v>A0001174</v>
          </cell>
        </row>
        <row r="1320">
          <cell r="A1320" t="str">
            <v>A0001174</v>
          </cell>
          <cell r="B1320" t="str">
            <v>M2 Metamark M7 Hopal Haze Window Polimérico 1,22 x 50m</v>
          </cell>
          <cell r="C1320" t="str">
            <v>Sí</v>
          </cell>
          <cell r="D1320" t="str">
            <v>Si</v>
          </cell>
          <cell r="E1320" t="str">
            <v>A0001174</v>
          </cell>
        </row>
        <row r="1321">
          <cell r="A1321" t="str">
            <v>A0001805</v>
          </cell>
          <cell r="B1321" t="str">
            <v>M2 Metamark M7 Opal Haze Window Polimérico 1,60mm x 50m</v>
          </cell>
          <cell r="C1321" t="str">
            <v>Sí</v>
          </cell>
          <cell r="D1321" t="str">
            <v>Si</v>
          </cell>
          <cell r="E1321" t="str">
            <v>A0001174</v>
          </cell>
        </row>
        <row r="1322">
          <cell r="A1322" t="str">
            <v>A0000537</v>
          </cell>
          <cell r="B1322" t="str">
            <v>M2 Metamark M7 Silver Window Polimérico 0,61 x 50m</v>
          </cell>
          <cell r="C1322" t="str">
            <v>Sí</v>
          </cell>
          <cell r="D1322" t="str">
            <v>Si</v>
          </cell>
          <cell r="E1322" t="str">
            <v>A0000537</v>
          </cell>
        </row>
        <row r="1323">
          <cell r="A1323" t="str">
            <v>A0000531</v>
          </cell>
          <cell r="B1323" t="str">
            <v>M2 Metamark M7 Silver Window Polimérico 1,22 x 50m</v>
          </cell>
          <cell r="C1323" t="str">
            <v>Sí</v>
          </cell>
          <cell r="D1323" t="str">
            <v>Si</v>
          </cell>
          <cell r="E1323" t="str">
            <v>A0000537</v>
          </cell>
        </row>
        <row r="1324">
          <cell r="A1324" t="str">
            <v>A0000844</v>
          </cell>
          <cell r="B1324" t="str">
            <v>M2 Metamark M7 Silver Window Polimérico 1,6mm x 50m</v>
          </cell>
          <cell r="C1324" t="str">
            <v>Sí</v>
          </cell>
          <cell r="D1324" t="str">
            <v>Si</v>
          </cell>
          <cell r="E1324" t="str">
            <v>A0000537</v>
          </cell>
        </row>
        <row r="1325">
          <cell r="A1325" t="str">
            <v>A0001898</v>
          </cell>
          <cell r="B1325" t="str">
            <v>M2 Metamark M7A 196 Grafito 0,61 x 50m</v>
          </cell>
          <cell r="C1325" t="str">
            <v>Sí</v>
          </cell>
          <cell r="D1325" t="str">
            <v>Si</v>
          </cell>
          <cell r="E1325" t="str">
            <v>A0000103</v>
          </cell>
        </row>
        <row r="1326">
          <cell r="A1326" t="str">
            <v>A0002189</v>
          </cell>
          <cell r="B1326" t="str">
            <v>M2 Metamark M7H Alto Agarre 100 Blanco Brillo 0,61 x 50m</v>
          </cell>
          <cell r="C1326" t="str">
            <v>Sí</v>
          </cell>
          <cell r="D1326" t="str">
            <v>Si</v>
          </cell>
          <cell r="E1326" t="str">
            <v>A0000103</v>
          </cell>
        </row>
        <row r="1327">
          <cell r="A1327" t="str">
            <v>A0002142</v>
          </cell>
          <cell r="B1327" t="str">
            <v>M2 Metamark M7H Alto Agarre 100 Blanco Brillo 1,22 x 50m</v>
          </cell>
          <cell r="C1327" t="str">
            <v>Sí</v>
          </cell>
          <cell r="D1327" t="str">
            <v>Si</v>
          </cell>
          <cell r="E1327" t="str">
            <v>A0000103</v>
          </cell>
        </row>
        <row r="1328">
          <cell r="A1328" t="str">
            <v>A0002191</v>
          </cell>
          <cell r="B1328" t="str">
            <v>M2 Metamark M7H Alto agarre 101M Blanco Mate 0,61 x 50m</v>
          </cell>
          <cell r="C1328" t="str">
            <v>Sí</v>
          </cell>
          <cell r="D1328" t="str">
            <v>Si</v>
          </cell>
          <cell r="E1328" t="str">
            <v>A0000103</v>
          </cell>
        </row>
        <row r="1329">
          <cell r="A1329" t="str">
            <v>A0001934</v>
          </cell>
          <cell r="B1329" t="str">
            <v>Cartucho Ecopure 440ml EM3 Light Cyan</v>
          </cell>
          <cell r="C1329" t="str">
            <v>Sí</v>
          </cell>
          <cell r="D1329" t="str">
            <v>Si</v>
          </cell>
          <cell r="E1329" t="str">
            <v>A0001252</v>
          </cell>
        </row>
        <row r="1330">
          <cell r="A1330" t="str">
            <v>A0001937</v>
          </cell>
          <cell r="B1330" t="str">
            <v>Adaptador Tintas RT-640/XT-640</v>
          </cell>
          <cell r="C1330" t="str">
            <v>Sí</v>
          </cell>
          <cell r="D1330" t="str">
            <v>No</v>
          </cell>
        </row>
        <row r="1331">
          <cell r="A1331" t="str">
            <v>A0001938</v>
          </cell>
          <cell r="B1331" t="str">
            <v>Unwinding Shaft with Brake-FX</v>
          </cell>
          <cell r="C1331" t="str">
            <v>Sí</v>
          </cell>
          <cell r="D1331" t="str">
            <v>No</v>
          </cell>
        </row>
        <row r="1332">
          <cell r="A1332" t="str">
            <v>A0001939</v>
          </cell>
          <cell r="B1332" t="str">
            <v>FX Take Up Bars and Motor for 64</v>
          </cell>
          <cell r="C1332" t="str">
            <v>Sí</v>
          </cell>
          <cell r="D1332" t="str">
            <v>No</v>
          </cell>
        </row>
        <row r="1333">
          <cell r="A1333" t="str">
            <v>A0002144</v>
          </cell>
          <cell r="B1333" t="str">
            <v>M2 Metamark M7H Alto agarre 101M Blanco Mate 1,22 x 50m</v>
          </cell>
          <cell r="C1333" t="str">
            <v>Sí</v>
          </cell>
          <cell r="D1333" t="str">
            <v>Si</v>
          </cell>
          <cell r="E1333" t="str">
            <v>A0000103</v>
          </cell>
        </row>
        <row r="1334">
          <cell r="A1334" t="str">
            <v>A0001941</v>
          </cell>
          <cell r="B1334" t="str">
            <v>ML Cad-Cut Flock 200 Rojo 500mm</v>
          </cell>
          <cell r="C1334" t="str">
            <v>Sí</v>
          </cell>
          <cell r="D1334" t="str">
            <v>Si</v>
          </cell>
          <cell r="E1334" t="str">
            <v>A0000007</v>
          </cell>
        </row>
        <row r="1335">
          <cell r="A1335" t="str">
            <v>A0001942</v>
          </cell>
          <cell r="B1335" t="str">
            <v>ML Cad-Cut Flock 255 Azul Hielo 500mm</v>
          </cell>
          <cell r="C1335" t="str">
            <v>Sí</v>
          </cell>
          <cell r="D1335" t="str">
            <v>Si</v>
          </cell>
          <cell r="E1335" t="str">
            <v>A0000007</v>
          </cell>
        </row>
        <row r="1336">
          <cell r="A1336" t="str">
            <v>A0001943</v>
          </cell>
          <cell r="B1336" t="str">
            <v>ML Cad-Cut Flock 419 Gris Frio 500mm</v>
          </cell>
          <cell r="C1336" t="str">
            <v>Sí</v>
          </cell>
          <cell r="D1336" t="str">
            <v>Si</v>
          </cell>
          <cell r="E1336" t="str">
            <v>A0000007</v>
          </cell>
        </row>
        <row r="1337">
          <cell r="A1337" t="str">
            <v>A0001944</v>
          </cell>
          <cell r="B1337" t="str">
            <v>Rollo Papel Poster Premium MD-PP210 Blanco Semi-Brillo 210gr 1,37x45</v>
          </cell>
          <cell r="C1337" t="str">
            <v>Sí</v>
          </cell>
          <cell r="D1337" t="str">
            <v>No</v>
          </cell>
        </row>
        <row r="1338">
          <cell r="A1338" t="str">
            <v>A0001945</v>
          </cell>
          <cell r="B1338" t="str">
            <v>Metamark Box 1,37cm</v>
          </cell>
          <cell r="C1338" t="str">
            <v>Sí</v>
          </cell>
          <cell r="D1338" t="str">
            <v>Si</v>
          </cell>
          <cell r="E1338" t="str">
            <v>A0001664</v>
          </cell>
        </row>
        <row r="1339">
          <cell r="A1339" t="str">
            <v>A0001946</v>
          </cell>
          <cell r="B1339" t="str">
            <v>Metamark Box 1,05cm</v>
          </cell>
          <cell r="C1339" t="str">
            <v>Sí</v>
          </cell>
          <cell r="D1339" t="str">
            <v>Si</v>
          </cell>
          <cell r="E1339" t="str">
            <v>A0001664</v>
          </cell>
        </row>
        <row r="1340">
          <cell r="A1340" t="str">
            <v>A0001947</v>
          </cell>
          <cell r="B1340" t="str">
            <v>Metamark Box 1,60cm</v>
          </cell>
          <cell r="C1340" t="str">
            <v>Sí</v>
          </cell>
          <cell r="D1340" t="str">
            <v>Si</v>
          </cell>
          <cell r="E1340" t="str">
            <v>A0001664</v>
          </cell>
        </row>
        <row r="1341">
          <cell r="A1341" t="str">
            <v>A0001948</v>
          </cell>
          <cell r="B1341" t="str">
            <v>Bolsa Metamark</v>
          </cell>
          <cell r="C1341" t="str">
            <v>Sí</v>
          </cell>
          <cell r="D1341" t="str">
            <v>Si</v>
          </cell>
          <cell r="E1341" t="str">
            <v>A0001664</v>
          </cell>
        </row>
        <row r="1342">
          <cell r="A1342" t="str">
            <v>A0001949</v>
          </cell>
          <cell r="B1342" t="str">
            <v>Rollo Transportador 4050RLA Conform 1,22x100m</v>
          </cell>
          <cell r="C1342" t="str">
            <v>Sí</v>
          </cell>
          <cell r="D1342" t="str">
            <v>Si</v>
          </cell>
        </row>
        <row r="1343">
          <cell r="A1343" t="str">
            <v>A0001950</v>
          </cell>
          <cell r="B1343" t="str">
            <v>Proximity Switch N-1-1211</v>
          </cell>
          <cell r="C1343" t="str">
            <v>Sí</v>
          </cell>
          <cell r="D1343" t="str">
            <v>No</v>
          </cell>
        </row>
        <row r="1344">
          <cell r="A1344" t="str">
            <v>A0001951</v>
          </cell>
          <cell r="B1344" t="str">
            <v>Probe N-1-1272-1</v>
          </cell>
          <cell r="C1344" t="str">
            <v>Sí</v>
          </cell>
          <cell r="D1344" t="str">
            <v>No</v>
          </cell>
        </row>
        <row r="1345">
          <cell r="A1345" t="str">
            <v>A0001952</v>
          </cell>
          <cell r="B1345" t="str">
            <v>1000022932 - Roland P-Roller TD16S4(B10) Type2-2</v>
          </cell>
          <cell r="C1345" t="str">
            <v>Sí</v>
          </cell>
          <cell r="D1345" t="str">
            <v>No</v>
          </cell>
        </row>
        <row r="1346">
          <cell r="A1346" t="str">
            <v>A0002190</v>
          </cell>
          <cell r="B1346" t="str">
            <v>M2 Metamark M7H Alto Agarre 110 Negro Brillo 0,61 x 50m</v>
          </cell>
          <cell r="C1346" t="str">
            <v>Sí</v>
          </cell>
          <cell r="D1346" t="str">
            <v>Si</v>
          </cell>
          <cell r="E1346" t="str">
            <v>A0000103</v>
          </cell>
        </row>
        <row r="1347">
          <cell r="A1347" t="str">
            <v>A0002143</v>
          </cell>
          <cell r="B1347" t="str">
            <v>M2 Metamark M7H Alto Agarre 110 Negro Brillo 1,22 x 50m</v>
          </cell>
          <cell r="C1347" t="str">
            <v>Sí</v>
          </cell>
          <cell r="D1347" t="str">
            <v>Si</v>
          </cell>
          <cell r="E1347" t="str">
            <v>A0000103</v>
          </cell>
        </row>
        <row r="1348">
          <cell r="A1348" t="str">
            <v>A0001955</v>
          </cell>
          <cell r="B1348" t="str">
            <v>Kit Conversión TR2 SG CMYK</v>
          </cell>
          <cell r="C1348" t="str">
            <v>Sí</v>
          </cell>
          <cell r="D1348" t="str">
            <v>Si</v>
          </cell>
        </row>
        <row r="1349">
          <cell r="A1349" t="str">
            <v>A0001956</v>
          </cell>
          <cell r="B1349" t="str">
            <v>Kit Conversión TR2 CMMYK Lc Lm Lk</v>
          </cell>
          <cell r="C1349" t="str">
            <v>Sí</v>
          </cell>
          <cell r="D1349" t="str">
            <v>Si</v>
          </cell>
        </row>
        <row r="1350">
          <cell r="A1350" t="str">
            <v>A0001957</v>
          </cell>
          <cell r="B1350" t="str">
            <v>Rollo MD-WA WallArt 01 Artisan 1,37x30m</v>
          </cell>
          <cell r="C1350" t="str">
            <v>Sí</v>
          </cell>
          <cell r="D1350" t="str">
            <v>Si</v>
          </cell>
        </row>
        <row r="1351">
          <cell r="A1351" t="str">
            <v>A0001958</v>
          </cell>
          <cell r="B1351" t="str">
            <v>Rollo Reflectiv MIR 500X Plata Espejo 1,52x10m</v>
          </cell>
          <cell r="C1351" t="str">
            <v>Sí</v>
          </cell>
          <cell r="D1351" t="str">
            <v>No</v>
          </cell>
        </row>
        <row r="1352">
          <cell r="A1352" t="str">
            <v>A0002192</v>
          </cell>
          <cell r="B1352" t="str">
            <v>M2 Metamark M7H Alto Agarre 111M Negro Mate 0,61 x 50m</v>
          </cell>
          <cell r="C1352" t="str">
            <v>Sí</v>
          </cell>
          <cell r="D1352" t="str">
            <v>Si</v>
          </cell>
          <cell r="E1352" t="str">
            <v>A0000103</v>
          </cell>
        </row>
        <row r="1353">
          <cell r="A1353" t="str">
            <v>A0002145</v>
          </cell>
          <cell r="B1353" t="str">
            <v>M2 Metamark M7H Alto Agarre 111M Negro Mate 1,22 x 50m</v>
          </cell>
          <cell r="C1353" t="str">
            <v>Sí</v>
          </cell>
          <cell r="D1353" t="str">
            <v>Si</v>
          </cell>
          <cell r="E1353" t="str">
            <v>A0000103</v>
          </cell>
        </row>
        <row r="1354">
          <cell r="A1354" t="str">
            <v>A0001962</v>
          </cell>
          <cell r="B1354" t="str">
            <v>6000005184 - Assy, Main Board SV LEF2-300</v>
          </cell>
          <cell r="C1354" t="str">
            <v>Sí</v>
          </cell>
          <cell r="D1354" t="str">
            <v>No</v>
          </cell>
        </row>
        <row r="1355">
          <cell r="A1355" t="str">
            <v>A0001963</v>
          </cell>
          <cell r="B1355" t="str">
            <v>Rodillo presión de 45mm con rodamiento con 2 ejes</v>
          </cell>
          <cell r="C1355" t="str">
            <v>Sí</v>
          </cell>
          <cell r="D1355" t="str">
            <v>Si</v>
          </cell>
        </row>
        <row r="1356">
          <cell r="A1356" t="str">
            <v>A0001964</v>
          </cell>
          <cell r="B1356" t="str">
            <v>Rodillo presión de 80mm con rodamiento con 2 ejes</v>
          </cell>
          <cell r="C1356" t="str">
            <v>Sí</v>
          </cell>
          <cell r="D1356" t="str">
            <v>Si</v>
          </cell>
        </row>
        <row r="1357">
          <cell r="A1357" t="str">
            <v>A0001965</v>
          </cell>
          <cell r="B1357" t="str">
            <v>Rollo Cinta refuerzo Lona Adhesivo 40mmx25m</v>
          </cell>
          <cell r="C1357" t="str">
            <v>Sí</v>
          </cell>
          <cell r="D1357" t="str">
            <v>Si</v>
          </cell>
        </row>
        <row r="1358">
          <cell r="A1358" t="str">
            <v>A0001967</v>
          </cell>
          <cell r="B1358" t="str">
            <v>Rollo Metaguard MG 702 Mate 1,37x25m</v>
          </cell>
          <cell r="C1358" t="str">
            <v>Sí</v>
          </cell>
          <cell r="D1358" t="str">
            <v>Si</v>
          </cell>
          <cell r="E1358" t="str">
            <v>A0000253</v>
          </cell>
        </row>
        <row r="1359">
          <cell r="A1359" t="str">
            <v>A0001968</v>
          </cell>
          <cell r="B1359" t="str">
            <v>Rollo Metaguard MG 702 Mate 1,05x25m</v>
          </cell>
          <cell r="C1359" t="str">
            <v>Sí</v>
          </cell>
          <cell r="D1359" t="str">
            <v>Si</v>
          </cell>
          <cell r="E1359" t="str">
            <v>A0000253</v>
          </cell>
        </row>
        <row r="1360">
          <cell r="A1360" t="str">
            <v>A0001970</v>
          </cell>
          <cell r="B1360" t="str">
            <v>Rollo Metaguard MG 705 Brillo 1,05x25m</v>
          </cell>
          <cell r="C1360" t="str">
            <v>Sí</v>
          </cell>
          <cell r="D1360" t="str">
            <v>Si</v>
          </cell>
          <cell r="E1360" t="str">
            <v>A0000253</v>
          </cell>
        </row>
        <row r="1361">
          <cell r="A1361" t="str">
            <v>A0001971</v>
          </cell>
          <cell r="B1361" t="str">
            <v>Rollo Reflectiv MIR 500X Plata Espejo 1,52x5m</v>
          </cell>
          <cell r="C1361" t="str">
            <v>Sí</v>
          </cell>
          <cell r="D1361" t="str">
            <v>No</v>
          </cell>
        </row>
        <row r="1362">
          <cell r="A1362" t="str">
            <v>A0001972</v>
          </cell>
          <cell r="B1362" t="str">
            <v>Rollo MetaWalk MD-MW (Imprimible Suelo Antideslizante) R10 1,37x30m</v>
          </cell>
          <cell r="C1362" t="str">
            <v>Sí</v>
          </cell>
          <cell r="D1362" t="str">
            <v>Si</v>
          </cell>
          <cell r="E1362" t="str">
            <v>A0000988</v>
          </cell>
        </row>
        <row r="1363">
          <cell r="A1363" t="str">
            <v>A0001973</v>
          </cell>
          <cell r="B1363" t="str">
            <v>Rollo MetaWalk MD-MW (Imprimible Suelo Antideslizante) R10 1,52x30m</v>
          </cell>
          <cell r="C1363" t="str">
            <v>Sí</v>
          </cell>
          <cell r="D1363" t="str">
            <v>Si</v>
          </cell>
          <cell r="E1363" t="str">
            <v>A0000988</v>
          </cell>
        </row>
        <row r="1364">
          <cell r="A1364" t="str">
            <v>A0001974</v>
          </cell>
          <cell r="B1364" t="str">
            <v>Rollo MetaWalk MD-MW (Imprimible Suelo Antideslizante) R9 1,52x30m</v>
          </cell>
          <cell r="C1364" t="str">
            <v>Sí</v>
          </cell>
          <cell r="D1364" t="str">
            <v>Si</v>
          </cell>
          <cell r="E1364" t="str">
            <v>A0000988</v>
          </cell>
        </row>
        <row r="1365">
          <cell r="A1365" t="str">
            <v>A0001976</v>
          </cell>
          <cell r="B1365" t="str">
            <v>Foot Pedal Assembly (Kit 1-2305)</v>
          </cell>
          <cell r="C1365" t="str">
            <v>Sí</v>
          </cell>
          <cell r="D1365" t="str">
            <v>No</v>
          </cell>
        </row>
        <row r="1366">
          <cell r="A1366" t="str">
            <v>A0001977</v>
          </cell>
          <cell r="B1366" t="str">
            <v>Gas Spring (1-1874)</v>
          </cell>
          <cell r="C1366" t="str">
            <v>Sí</v>
          </cell>
          <cell r="D1366" t="str">
            <v>No</v>
          </cell>
        </row>
        <row r="1367">
          <cell r="A1367" t="str">
            <v>A0001978</v>
          </cell>
          <cell r="B1367" t="str">
            <v>Assy, Juction Board VS-640I</v>
          </cell>
          <cell r="C1367" t="str">
            <v>Sí</v>
          </cell>
          <cell r="D1367" t="str">
            <v>No</v>
          </cell>
        </row>
        <row r="1368">
          <cell r="A1368" t="str">
            <v>A0001979</v>
          </cell>
          <cell r="B1368" t="str">
            <v>Assy, Power Board VS-640I</v>
          </cell>
          <cell r="C1368" t="str">
            <v>Sí</v>
          </cell>
          <cell r="D1368" t="str">
            <v>No</v>
          </cell>
        </row>
        <row r="1369">
          <cell r="A1369" t="str">
            <v>A0001980</v>
          </cell>
          <cell r="B1369" t="str">
            <v>6701681300 - Assy, Cartridge IC Board</v>
          </cell>
          <cell r="C1369" t="str">
            <v>Sí</v>
          </cell>
          <cell r="D1369" t="str">
            <v>No</v>
          </cell>
        </row>
        <row r="1370">
          <cell r="A1370" t="str">
            <v>A0001981</v>
          </cell>
          <cell r="B1370" t="str">
            <v>Espátula Metamark blanca con Fieltro 10cm</v>
          </cell>
          <cell r="C1370" t="str">
            <v>Sí</v>
          </cell>
          <cell r="D1370" t="str">
            <v>No</v>
          </cell>
        </row>
        <row r="1371">
          <cell r="A1371" t="str">
            <v>A0001982</v>
          </cell>
          <cell r="B1371" t="str">
            <v>Espátula Metamark blanca Teflon 10cm</v>
          </cell>
          <cell r="C1371" t="str">
            <v>Sí</v>
          </cell>
          <cell r="D1371" t="str">
            <v>No</v>
          </cell>
        </row>
        <row r="1372">
          <cell r="A1372" t="str">
            <v>A0001983</v>
          </cell>
          <cell r="B1372" t="str">
            <v>Espátula Metamark blanca SOFT plástico 10cm</v>
          </cell>
          <cell r="C1372" t="str">
            <v>Sí</v>
          </cell>
          <cell r="D1372" t="str">
            <v>No</v>
          </cell>
        </row>
        <row r="1373">
          <cell r="A1373" t="str">
            <v>A0001984</v>
          </cell>
          <cell r="B1373" t="str">
            <v>Espátula Metamark morada HARD plástico 10cm</v>
          </cell>
          <cell r="C1373" t="str">
            <v>Sí</v>
          </cell>
          <cell r="D1373" t="str">
            <v>No</v>
          </cell>
        </row>
        <row r="1374">
          <cell r="A1374" t="str">
            <v>A0001985</v>
          </cell>
          <cell r="B1374" t="str">
            <v>Botella 1 litro de Removedor de Adhesivos Metamark</v>
          </cell>
          <cell r="C1374" t="str">
            <v>Sí</v>
          </cell>
          <cell r="D1374" t="str">
            <v>Si</v>
          </cell>
        </row>
        <row r="1375">
          <cell r="A1375" t="str">
            <v>A0002188</v>
          </cell>
          <cell r="B1375" t="str">
            <v>M2 Metamark M7H Alto Agarre 125 Gris Nimbus 0,61 x 50m</v>
          </cell>
          <cell r="C1375" t="str">
            <v>Sí</v>
          </cell>
          <cell r="D1375" t="str">
            <v>Si</v>
          </cell>
          <cell r="E1375" t="str">
            <v>A0000103</v>
          </cell>
        </row>
        <row r="1376">
          <cell r="A1376" t="str">
            <v>A0002187</v>
          </cell>
          <cell r="B1376" t="str">
            <v>M2 Metamark M7H Alto Agarre 125 Gris Nimbus 1,22 x 50m</v>
          </cell>
          <cell r="C1376" t="str">
            <v>Sí</v>
          </cell>
          <cell r="D1376" t="str">
            <v>Si</v>
          </cell>
          <cell r="E1376" t="str">
            <v>A0000103</v>
          </cell>
        </row>
        <row r="1377">
          <cell r="A1377" t="str">
            <v>A0001989</v>
          </cell>
          <cell r="B1377" t="str">
            <v>Rollo MetaGuard MGC Wrap 002 Mate 1,60x10m</v>
          </cell>
          <cell r="C1377" t="str">
            <v>Sí</v>
          </cell>
          <cell r="D1377" t="str">
            <v>Si</v>
          </cell>
          <cell r="E1377" t="str">
            <v>A0001664</v>
          </cell>
        </row>
        <row r="1378">
          <cell r="A1378" t="str">
            <v>A0001990</v>
          </cell>
          <cell r="B1378" t="str">
            <v>Rollo MetaGuard MGC Wrap 002 Mate 1,60x25m</v>
          </cell>
          <cell r="C1378" t="str">
            <v>Sí</v>
          </cell>
          <cell r="D1378" t="str">
            <v>Si</v>
          </cell>
          <cell r="E1378" t="str">
            <v>A0001664</v>
          </cell>
        </row>
        <row r="1379">
          <cell r="A1379" t="str">
            <v>A0001991</v>
          </cell>
          <cell r="B1379" t="str">
            <v>Rollo MetaGuard MGC Wrap 002 Mate 1,60x50m</v>
          </cell>
          <cell r="C1379" t="str">
            <v>Sí</v>
          </cell>
          <cell r="D1379" t="str">
            <v>Si</v>
          </cell>
          <cell r="E1379" t="str">
            <v>A0001664</v>
          </cell>
        </row>
        <row r="1380">
          <cell r="A1380" t="str">
            <v>A0001992</v>
          </cell>
          <cell r="B1380" t="str">
            <v>Rollo MetaGuard MGC Wrap 005 Brillo 1,60x10m</v>
          </cell>
          <cell r="C1380" t="str">
            <v>Sí</v>
          </cell>
          <cell r="D1380" t="str">
            <v>Si</v>
          </cell>
          <cell r="E1380" t="str">
            <v>A0001664</v>
          </cell>
        </row>
        <row r="1381">
          <cell r="A1381" t="str">
            <v>A0001993</v>
          </cell>
          <cell r="B1381" t="str">
            <v>Rollo MetaGuard MGC Wrap 005 Brillo 1,60x25m</v>
          </cell>
          <cell r="C1381" t="str">
            <v>Sí</v>
          </cell>
          <cell r="D1381" t="str">
            <v>Si</v>
          </cell>
          <cell r="E1381" t="str">
            <v>A0001664</v>
          </cell>
        </row>
        <row r="1382">
          <cell r="A1382" t="str">
            <v>A0001994</v>
          </cell>
          <cell r="B1382" t="str">
            <v>Rollo MetaGuard MGC Wrap 005 Brillo 1,60x50m</v>
          </cell>
          <cell r="C1382" t="str">
            <v>Sí</v>
          </cell>
          <cell r="D1382" t="str">
            <v>Si</v>
          </cell>
          <cell r="E1382" t="str">
            <v>A0001664</v>
          </cell>
        </row>
        <row r="1383">
          <cell r="A1383" t="str">
            <v>A0001995</v>
          </cell>
          <cell r="B1383" t="str">
            <v>6000004130 - Assy, Cap Head MPX-90 5PCS_01</v>
          </cell>
          <cell r="C1383" t="str">
            <v>Sí</v>
          </cell>
          <cell r="D1383" t="str">
            <v>No</v>
          </cell>
        </row>
        <row r="1384">
          <cell r="A1384" t="str">
            <v>A0001996</v>
          </cell>
          <cell r="B1384" t="str">
            <v>Cable Assy, Thermistor VP-540</v>
          </cell>
          <cell r="C1384" t="str">
            <v>Sí</v>
          </cell>
          <cell r="D1384" t="str">
            <v>No</v>
          </cell>
        </row>
        <row r="1385">
          <cell r="A1385" t="str">
            <v>A0001997</v>
          </cell>
          <cell r="B1385" t="str">
            <v>Assy, Ink Tank Board VS-640I</v>
          </cell>
          <cell r="C1385" t="str">
            <v>Sí</v>
          </cell>
          <cell r="D1385" t="str">
            <v>No</v>
          </cell>
        </row>
        <row r="1386">
          <cell r="A1386" t="str">
            <v>A0001998</v>
          </cell>
          <cell r="B1386" t="str">
            <v>Assy, Therm Board VP-540</v>
          </cell>
          <cell r="C1386" t="str">
            <v>Sí</v>
          </cell>
          <cell r="D1386" t="str">
            <v>No</v>
          </cell>
        </row>
        <row r="1387">
          <cell r="A1387" t="str">
            <v>A0002002</v>
          </cell>
          <cell r="B1387" t="str">
            <v>Rollo MD-WA WallArt 02 Arena 1,37x30m</v>
          </cell>
          <cell r="C1387" t="str">
            <v>Sí</v>
          </cell>
          <cell r="D1387" t="str">
            <v>Si</v>
          </cell>
        </row>
        <row r="1388">
          <cell r="A1388" t="str">
            <v>A0002005</v>
          </cell>
          <cell r="B1388" t="str">
            <v>Rollo MD-WA WallArt 02 Arena 1,52x30m</v>
          </cell>
          <cell r="C1388" t="str">
            <v>Sí</v>
          </cell>
          <cell r="D1388" t="str">
            <v>Si</v>
          </cell>
        </row>
        <row r="1389">
          <cell r="A1389" t="str">
            <v>A0002006</v>
          </cell>
          <cell r="B1389" t="str">
            <v>Rollo MD-WA WallArt 01 Artisan 1,52x30m</v>
          </cell>
          <cell r="C1389" t="str">
            <v>Sí</v>
          </cell>
          <cell r="D1389" t="str">
            <v>Si</v>
          </cell>
        </row>
        <row r="1390">
          <cell r="A1390" t="str">
            <v>A0002007</v>
          </cell>
          <cell r="B1390" t="str">
            <v>Rollo MD-WA WallArt 01 Artisan 1,37x15m</v>
          </cell>
          <cell r="C1390" t="str">
            <v>Sí</v>
          </cell>
          <cell r="D1390" t="str">
            <v>Si</v>
          </cell>
        </row>
        <row r="1391">
          <cell r="A1391" t="str">
            <v>A0002008</v>
          </cell>
          <cell r="B1391" t="str">
            <v>Rollo MD-WA WallArt 02 Arena 1,37x15m</v>
          </cell>
          <cell r="C1391" t="str">
            <v>Sí</v>
          </cell>
          <cell r="D1391" t="str">
            <v>Si</v>
          </cell>
        </row>
        <row r="1392">
          <cell r="A1392" t="str">
            <v>A0002010</v>
          </cell>
          <cell r="B1392" t="str">
            <v>Rollo MD-WA WallArt 01 Artisan 1,52x15m</v>
          </cell>
          <cell r="C1392" t="str">
            <v>Sí</v>
          </cell>
          <cell r="D1392" t="str">
            <v>Si</v>
          </cell>
        </row>
        <row r="1393">
          <cell r="A1393" t="str">
            <v>A0002011</v>
          </cell>
          <cell r="B1393" t="str">
            <v>Rollo MD-WA WallArt 02 Arena 1,52x15m</v>
          </cell>
          <cell r="C1393" t="str">
            <v>Sí</v>
          </cell>
          <cell r="D1393" t="str">
            <v>Si</v>
          </cell>
        </row>
        <row r="1394">
          <cell r="A1394" t="str">
            <v>A0002013</v>
          </cell>
          <cell r="B1394" t="str">
            <v>Botella 5 litros de Removedor de Adhesivos Metamark</v>
          </cell>
          <cell r="C1394" t="str">
            <v>Sí</v>
          </cell>
          <cell r="D1394" t="str">
            <v>Si</v>
          </cell>
        </row>
        <row r="1395">
          <cell r="A1395" t="str">
            <v>A0002014</v>
          </cell>
          <cell r="B1395" t="str">
            <v>Botella 1 litro Limpiador de Superficies Metamark</v>
          </cell>
          <cell r="C1395" t="str">
            <v>Sí</v>
          </cell>
          <cell r="D1395" t="str">
            <v>Si</v>
          </cell>
        </row>
        <row r="1396">
          <cell r="A1396" t="str">
            <v>A0002015</v>
          </cell>
          <cell r="B1396" t="str">
            <v>Botella 5 litros Limpiador de Superficies Metamark</v>
          </cell>
          <cell r="C1396" t="str">
            <v>Sí</v>
          </cell>
          <cell r="D1396" t="str">
            <v>Si</v>
          </cell>
        </row>
        <row r="1397">
          <cell r="A1397" t="str">
            <v>A0002016</v>
          </cell>
          <cell r="B1397" t="str">
            <v>Botella 1 litro de Alcohol Isopropílico Metamark</v>
          </cell>
          <cell r="C1397" t="str">
            <v>Sí</v>
          </cell>
          <cell r="D1397" t="str">
            <v>Si</v>
          </cell>
        </row>
        <row r="1398">
          <cell r="A1398" t="str">
            <v>A0002017</v>
          </cell>
          <cell r="B1398" t="str">
            <v>Botella 1 litro Fluído para Fácil Aplicación Metamark</v>
          </cell>
          <cell r="C1398" t="str">
            <v>Sí</v>
          </cell>
          <cell r="D1398" t="str">
            <v>Si</v>
          </cell>
        </row>
        <row r="1399">
          <cell r="A1399" t="str">
            <v>A0002018</v>
          </cell>
          <cell r="B1399" t="str">
            <v>Botella 5 litros Fluído para Fácil Aplicación Metamark</v>
          </cell>
          <cell r="C1399" t="str">
            <v>Sí</v>
          </cell>
          <cell r="D1399" t="str">
            <v>Si</v>
          </cell>
        </row>
        <row r="1400">
          <cell r="A1400" t="str">
            <v>A0002019</v>
          </cell>
          <cell r="B1400" t="str">
            <v>Botella 5 litros SilverBullet Pro Primer Metamark</v>
          </cell>
          <cell r="C1400" t="str">
            <v>Sí</v>
          </cell>
          <cell r="D1400" t="str">
            <v>Si</v>
          </cell>
        </row>
        <row r="1401">
          <cell r="A1401" t="str">
            <v>A0002575</v>
          </cell>
          <cell r="B1401" t="str">
            <v>M2 Metamark MD RF2 Reflectante Blanco 1,24x45m</v>
          </cell>
          <cell r="C1401" t="str">
            <v>Sí</v>
          </cell>
          <cell r="D1401" t="str">
            <v>Si</v>
          </cell>
        </row>
        <row r="1402">
          <cell r="A1402" t="str">
            <v>A0002021</v>
          </cell>
          <cell r="B1402" t="str">
            <v>Cable-Card 26P1 2440L BB HIGH-V</v>
          </cell>
          <cell r="C1402" t="str">
            <v>Sí</v>
          </cell>
          <cell r="D1402" t="str">
            <v>No</v>
          </cell>
        </row>
        <row r="1403">
          <cell r="A1403" t="str">
            <v>A0002022</v>
          </cell>
          <cell r="B1403" t="str">
            <v>Cable-Card 40P1 400L BB HIGH-V</v>
          </cell>
          <cell r="C1403" t="str">
            <v>Sí</v>
          </cell>
          <cell r="D1403" t="str">
            <v>No</v>
          </cell>
        </row>
        <row r="1404">
          <cell r="A1404" t="str">
            <v>A0002023</v>
          </cell>
          <cell r="B1404" t="str">
            <v>Cable-Card 25P1</v>
          </cell>
          <cell r="C1404" t="str">
            <v>Sí</v>
          </cell>
          <cell r="D1404" t="str">
            <v>No</v>
          </cell>
        </row>
        <row r="1405">
          <cell r="A1405" t="str">
            <v>A0002024</v>
          </cell>
          <cell r="B1405" t="str">
            <v>Cable Assy, Power Main SP-300</v>
          </cell>
          <cell r="C1405" t="str">
            <v>Sí</v>
          </cell>
          <cell r="D1405" t="str">
            <v>No</v>
          </cell>
        </row>
        <row r="1406">
          <cell r="A1406" t="str">
            <v>A0002025</v>
          </cell>
          <cell r="B1406" t="str">
            <v>Plancha 360 IQ Gorras</v>
          </cell>
          <cell r="C1406" t="str">
            <v>Sí</v>
          </cell>
          <cell r="D1406" t="str">
            <v>No</v>
          </cell>
        </row>
        <row r="1407">
          <cell r="A1407" t="str">
            <v>A0002027</v>
          </cell>
          <cell r="B1407" t="str">
            <v>M2 Metamark MD-RF7 Reflectante Engineering Grade Amarillo 1,22x50m</v>
          </cell>
          <cell r="C1407" t="str">
            <v>Sí</v>
          </cell>
          <cell r="D1407" t="str">
            <v>Si</v>
          </cell>
        </row>
        <row r="1408">
          <cell r="A1408" t="str">
            <v>A0002813</v>
          </cell>
          <cell r="B1408" t="str">
            <v>M2 Metamark MD-RF7 Reflectante Engineering Grade Blanco 0,61x50m</v>
          </cell>
          <cell r="C1408" t="str">
            <v>Sí</v>
          </cell>
          <cell r="D1408" t="str">
            <v>Si</v>
          </cell>
        </row>
        <row r="1409">
          <cell r="A1409" t="str">
            <v>A0002028</v>
          </cell>
          <cell r="B1409" t="str">
            <v>M2 Metamark MD-RF7 Reflectante Engineering Grade Blanco 1,22x50m</v>
          </cell>
          <cell r="C1409" t="str">
            <v>Sí</v>
          </cell>
          <cell r="D1409" t="str">
            <v>Si</v>
          </cell>
        </row>
        <row r="1410">
          <cell r="A1410" t="str">
            <v>A0002029</v>
          </cell>
          <cell r="B1410" t="str">
            <v>M2 Metamark MD-RF7 Reflectante Engineering Grade Rojo 1,22x50m</v>
          </cell>
          <cell r="C1410" t="str">
            <v>Sí</v>
          </cell>
          <cell r="D1410" t="str">
            <v>Si</v>
          </cell>
        </row>
        <row r="1411">
          <cell r="A1411" t="str">
            <v>A0002030</v>
          </cell>
          <cell r="B1411" t="str">
            <v>Rollo Metamark Aura 144 Conspicuity Tape Blanco 50mm x 50m</v>
          </cell>
          <cell r="C1411" t="str">
            <v>Sí</v>
          </cell>
          <cell r="D1411" t="str">
            <v>Si</v>
          </cell>
        </row>
        <row r="1412">
          <cell r="A1412" t="str">
            <v>A0002031</v>
          </cell>
          <cell r="B1412" t="str">
            <v>Rollo Metamark Aura 144 Conspicuity Tape Amarillo 50mm x 50m</v>
          </cell>
          <cell r="C1412" t="str">
            <v>Sí</v>
          </cell>
          <cell r="D1412" t="str">
            <v>Si</v>
          </cell>
        </row>
        <row r="1413">
          <cell r="A1413" t="str">
            <v>A0002032</v>
          </cell>
          <cell r="B1413" t="str">
            <v>Rollo Metamark Aura 144 Conspicuity Tape Rojo 50mm x 50m</v>
          </cell>
          <cell r="C1413" t="str">
            <v>Sí</v>
          </cell>
          <cell r="D1413" t="str">
            <v>Si</v>
          </cell>
        </row>
        <row r="1414">
          <cell r="A1414" t="str">
            <v>A0002033</v>
          </cell>
          <cell r="B1414" t="str">
            <v>Rollo Metamark Aura 191 Alta Intensidad Blanco 1,22 x 45,7m</v>
          </cell>
          <cell r="C1414" t="str">
            <v>Sí</v>
          </cell>
          <cell r="D1414" t="str">
            <v>Si</v>
          </cell>
        </row>
        <row r="1415">
          <cell r="A1415" t="str">
            <v>A0002034</v>
          </cell>
          <cell r="B1415" t="str">
            <v>Rollo Metamark Aura 191 Alta Intensidad Amarillo 1,22 x 45,7m</v>
          </cell>
          <cell r="C1415" t="str">
            <v>Sí</v>
          </cell>
          <cell r="D1415" t="str">
            <v>Si</v>
          </cell>
        </row>
        <row r="1416">
          <cell r="A1416" t="str">
            <v>A0002035</v>
          </cell>
          <cell r="B1416" t="str">
            <v>Rollo Metamark Aura 191 Alta Intensidad Rojo 1,22 x 45,7m</v>
          </cell>
          <cell r="C1416" t="str">
            <v>Sí</v>
          </cell>
          <cell r="D1416" t="str">
            <v>Si</v>
          </cell>
        </row>
        <row r="1417">
          <cell r="A1417" t="str">
            <v>A0000102</v>
          </cell>
          <cell r="B1417" t="str">
            <v>M2 Metamark Metascape M4A Frosted Window Monomérico 0,61 x 50m</v>
          </cell>
          <cell r="C1417" t="str">
            <v>Sí</v>
          </cell>
          <cell r="D1417" t="str">
            <v>No</v>
          </cell>
          <cell r="E1417" t="str">
            <v>A0000099</v>
          </cell>
        </row>
        <row r="1418">
          <cell r="A1418" t="str">
            <v>A0000101</v>
          </cell>
          <cell r="B1418" t="str">
            <v>M2 Metamark Metascape M4A Frosted Window Monomérico 1,22 x 50m</v>
          </cell>
          <cell r="C1418" t="str">
            <v>Sí</v>
          </cell>
          <cell r="D1418" t="str">
            <v>Si</v>
          </cell>
          <cell r="E1418" t="str">
            <v>A0000099</v>
          </cell>
        </row>
        <row r="1419">
          <cell r="A1419" t="str">
            <v>A0002056</v>
          </cell>
          <cell r="B1419" t="str">
            <v>M2 Metamark Metascape M4A Frosted Window Monomérico 1,60 x 50m</v>
          </cell>
          <cell r="C1419" t="str">
            <v>Sí</v>
          </cell>
          <cell r="D1419" t="str">
            <v>Si</v>
          </cell>
          <cell r="E1419" t="str">
            <v>A0000099</v>
          </cell>
        </row>
        <row r="1420">
          <cell r="A1420" t="str">
            <v>A0001566</v>
          </cell>
          <cell r="B1420" t="str">
            <v>M2 Metamark MetaScape M7A 100 Blanco Brillo 0,61 x 50m</v>
          </cell>
          <cell r="C1420" t="str">
            <v>Sí</v>
          </cell>
          <cell r="D1420" t="str">
            <v>No</v>
          </cell>
          <cell r="E1420" t="str">
            <v>A0000513</v>
          </cell>
        </row>
        <row r="1421">
          <cell r="A1421" t="str">
            <v>A0002040</v>
          </cell>
          <cell r="B1421" t="str">
            <v>Imanes para fijación Metamark</v>
          </cell>
          <cell r="C1421" t="str">
            <v>Sí</v>
          </cell>
          <cell r="D1421" t="str">
            <v>Si</v>
          </cell>
        </row>
        <row r="1422">
          <cell r="A1422" t="str">
            <v>A0002041</v>
          </cell>
          <cell r="B1422" t="str">
            <v>Rollo Doble Cara Metamark Gel transparente Alta Adherencia 12mm x 33m</v>
          </cell>
          <cell r="C1422" t="str">
            <v>Sí</v>
          </cell>
          <cell r="D1422" t="str">
            <v>No</v>
          </cell>
        </row>
        <row r="1423">
          <cell r="A1423" t="str">
            <v>A0002042</v>
          </cell>
          <cell r="B1423" t="str">
            <v>Rollo Doble Cara Metamark Espuma Gris Alta Adherencia 12mm x 33m</v>
          </cell>
          <cell r="C1423" t="str">
            <v>Sí</v>
          </cell>
          <cell r="D1423" t="str">
            <v>No</v>
          </cell>
        </row>
        <row r="1424">
          <cell r="A1424" t="str">
            <v>A0002043</v>
          </cell>
          <cell r="B1424" t="str">
            <v>Rollo Doble Cara Metamark Espuma Blanca 12mm x 50m</v>
          </cell>
          <cell r="C1424" t="str">
            <v>Sí</v>
          </cell>
          <cell r="D1424" t="str">
            <v>No</v>
          </cell>
        </row>
        <row r="1425">
          <cell r="A1425" t="str">
            <v>A0002044</v>
          </cell>
          <cell r="B1425" t="str">
            <v>Rollo Doble Cara Metamark Espuma Blanca 24mm x 50m</v>
          </cell>
          <cell r="C1425" t="str">
            <v>Sí</v>
          </cell>
          <cell r="D1425" t="str">
            <v>No</v>
          </cell>
        </row>
        <row r="1426">
          <cell r="A1426" t="str">
            <v>A0000513</v>
          </cell>
          <cell r="B1426" t="str">
            <v>M2 Metamark MetaScape M7A 100 Blanco Brillo 1,22 x 50m</v>
          </cell>
          <cell r="C1426" t="str">
            <v>Sí</v>
          </cell>
          <cell r="D1426" t="str">
            <v>Si</v>
          </cell>
          <cell r="E1426" t="str">
            <v>A0000513</v>
          </cell>
        </row>
        <row r="1427">
          <cell r="A1427" t="str">
            <v>A0002049</v>
          </cell>
          <cell r="B1427" t="str">
            <v>Rollo Cinta doble cara empalme lona 25mmx25m</v>
          </cell>
          <cell r="C1427" t="str">
            <v>Sí</v>
          </cell>
          <cell r="D1427" t="str">
            <v>No</v>
          </cell>
        </row>
        <row r="1428">
          <cell r="A1428" t="str">
            <v>A0002051</v>
          </cell>
          <cell r="B1428" t="str">
            <v>Hotronix Dual Air Fusion IQ 2x 40x50cm</v>
          </cell>
          <cell r="C1428" t="str">
            <v>Sí</v>
          </cell>
          <cell r="D1428" t="str">
            <v>No</v>
          </cell>
        </row>
        <row r="1429">
          <cell r="A1429" t="str">
            <v>A0002052</v>
          </cell>
          <cell r="B1429" t="str">
            <v>Compresor SIL AIR 100/24 Panther P100</v>
          </cell>
          <cell r="C1429" t="str">
            <v>Sí</v>
          </cell>
          <cell r="D1429" t="str">
            <v>No</v>
          </cell>
        </row>
        <row r="1430">
          <cell r="A1430" t="str">
            <v>A0002053</v>
          </cell>
          <cell r="B1430" t="str">
            <v>Hotronix Air Fusion IQ 40x50cm</v>
          </cell>
          <cell r="C1430" t="str">
            <v>Sí</v>
          </cell>
          <cell r="D1430" t="str">
            <v>No</v>
          </cell>
        </row>
        <row r="1431">
          <cell r="A1431" t="str">
            <v>A0002054</v>
          </cell>
          <cell r="B1431" t="str">
            <v>Compresor SIL AIR 50/24</v>
          </cell>
          <cell r="C1431" t="str">
            <v>Sí</v>
          </cell>
          <cell r="D1431" t="str">
            <v>No</v>
          </cell>
        </row>
        <row r="1432">
          <cell r="A1432" t="str">
            <v>A0001855</v>
          </cell>
          <cell r="B1432" t="str">
            <v>M2 Metamark MetaScape M7A 101M Blanco Mate 0,61 x 50m</v>
          </cell>
          <cell r="C1432" t="str">
            <v>Sí</v>
          </cell>
          <cell r="D1432" t="str">
            <v>Si</v>
          </cell>
          <cell r="E1432" t="str">
            <v>A0000103</v>
          </cell>
        </row>
        <row r="1433">
          <cell r="A1433" t="str">
            <v>A0001856</v>
          </cell>
          <cell r="B1433" t="str">
            <v>M2 Metamark MetaScape M7A 101M Blanco Mate 1,22 x 50m</v>
          </cell>
          <cell r="C1433" t="str">
            <v>Sí</v>
          </cell>
          <cell r="D1433" t="str">
            <v>Si</v>
          </cell>
          <cell r="E1433" t="str">
            <v>A0000103</v>
          </cell>
        </row>
        <row r="1434">
          <cell r="A1434" t="str">
            <v>A0001791</v>
          </cell>
          <cell r="B1434" t="str">
            <v>M2 Metamark MetaScape M7A 110 Negro Brillo 0,61 x 50m</v>
          </cell>
          <cell r="C1434" t="str">
            <v>Sí</v>
          </cell>
          <cell r="D1434" t="str">
            <v>Si</v>
          </cell>
          <cell r="E1434" t="str">
            <v>A0000513</v>
          </cell>
        </row>
        <row r="1435">
          <cell r="A1435" t="str">
            <v>A0002058</v>
          </cell>
          <cell r="B1435" t="str">
            <v>Rollo Sign-Ad Satín Ultraremovible Opaque Bajo Tack 1,37x45,7m</v>
          </cell>
          <cell r="C1435" t="str">
            <v>Sí</v>
          </cell>
          <cell r="D1435" t="str">
            <v>Si</v>
          </cell>
        </row>
        <row r="1436">
          <cell r="A1436" t="str">
            <v>A0002059</v>
          </cell>
          <cell r="B1436" t="str">
            <v>Plancha Térmica Stahl's Clam Basic 38x38</v>
          </cell>
          <cell r="C1436" t="str">
            <v>Sí</v>
          </cell>
          <cell r="D1436" t="str">
            <v>No</v>
          </cell>
        </row>
        <row r="1437">
          <cell r="A1437" t="str">
            <v>A0002060</v>
          </cell>
          <cell r="B1437" t="str">
            <v>Rollo TriSolv Papel Poster Prime 200 1,067x50m</v>
          </cell>
          <cell r="C1437" t="str">
            <v>Sí</v>
          </cell>
          <cell r="D1437" t="str">
            <v>No</v>
          </cell>
        </row>
        <row r="1438">
          <cell r="A1438" t="str">
            <v>A0002061</v>
          </cell>
          <cell r="B1438" t="str">
            <v>Rollo TriSolv Papel Poster Prime 200 1,37x50m</v>
          </cell>
          <cell r="C1438" t="str">
            <v>Sí</v>
          </cell>
          <cell r="D1438" t="str">
            <v>No</v>
          </cell>
        </row>
        <row r="1439">
          <cell r="A1439" t="str">
            <v>A0002062</v>
          </cell>
          <cell r="B1439" t="str">
            <v>Rollo TriSolv Papel Poster Prime 200 1,52x50m</v>
          </cell>
          <cell r="C1439" t="str">
            <v>Sí</v>
          </cell>
          <cell r="D1439" t="str">
            <v>No</v>
          </cell>
        </row>
        <row r="1440">
          <cell r="A1440" t="str">
            <v>A0002063</v>
          </cell>
          <cell r="B1440" t="str">
            <v>1000025142 - Assy, Damper Double CIR 3 CG2075 (VG2)</v>
          </cell>
          <cell r="C1440" t="str">
            <v>Sí</v>
          </cell>
          <cell r="D1440" t="str">
            <v>No</v>
          </cell>
        </row>
        <row r="1441">
          <cell r="A1441" t="str">
            <v>A0002064</v>
          </cell>
          <cell r="B1441" t="str">
            <v>Tubo 76,5 x 80 x 610</v>
          </cell>
          <cell r="C1441" t="str">
            <v>Sí</v>
          </cell>
          <cell r="D1441" t="str">
            <v>No</v>
          </cell>
        </row>
        <row r="1442">
          <cell r="A1442" t="str">
            <v>A0002068</v>
          </cell>
          <cell r="B1442" t="str">
            <v>1000004546 - Assy cap top XC-540</v>
          </cell>
          <cell r="C1442" t="str">
            <v>Sí</v>
          </cell>
          <cell r="D1442" t="str">
            <v>No</v>
          </cell>
        </row>
        <row r="1443">
          <cell r="A1443" t="str">
            <v>A0002069</v>
          </cell>
          <cell r="B1443" t="str">
            <v>6000005252 - Assy, Press Pump SV2 CG2076</v>
          </cell>
          <cell r="C1443" t="str">
            <v>Sí</v>
          </cell>
          <cell r="D1443" t="str">
            <v>No</v>
          </cell>
        </row>
        <row r="1444">
          <cell r="A1444" t="str">
            <v>A0002070</v>
          </cell>
          <cell r="B1444" t="str">
            <v>Rollo Reflectiv AUT S05 23mc 1,52x5m</v>
          </cell>
          <cell r="C1444" t="str">
            <v>Sí</v>
          </cell>
          <cell r="D1444" t="str">
            <v>No</v>
          </cell>
          <cell r="E1444" t="str">
            <v>A0001174</v>
          </cell>
        </row>
        <row r="1445">
          <cell r="A1445" t="str">
            <v>A0002071</v>
          </cell>
          <cell r="B1445" t="str">
            <v>Rollo Polimérico Isee2 (Forcetack) Alto Agarre Mate 1,37x50m</v>
          </cell>
          <cell r="C1445" t="str">
            <v>Sí</v>
          </cell>
          <cell r="D1445" t="str">
            <v>Si</v>
          </cell>
        </row>
        <row r="1446">
          <cell r="A1446" t="str">
            <v>A0000515</v>
          </cell>
          <cell r="B1446" t="str">
            <v>M2 Metamark MetaScape M7A 110 Negro Brillo 1,22 x 50m</v>
          </cell>
          <cell r="C1446" t="str">
            <v>Sí</v>
          </cell>
          <cell r="D1446" t="str">
            <v>Si</v>
          </cell>
          <cell r="E1446" t="str">
            <v>A0000513</v>
          </cell>
        </row>
        <row r="1447">
          <cell r="A1447" t="str">
            <v>A0002073</v>
          </cell>
          <cell r="B1447" t="str">
            <v>Roland P-Roller FD10S3 (B4 - Central)</v>
          </cell>
          <cell r="C1447" t="str">
            <v>Sí</v>
          </cell>
          <cell r="D1447" t="str">
            <v>No</v>
          </cell>
        </row>
        <row r="1448">
          <cell r="A1448" t="str">
            <v>A0002074</v>
          </cell>
          <cell r="B1448" t="str">
            <v>Valve, Choke CG2057</v>
          </cell>
          <cell r="C1448" t="str">
            <v>Sí</v>
          </cell>
          <cell r="D1448" t="str">
            <v>No</v>
          </cell>
        </row>
        <row r="1449">
          <cell r="A1449" t="str">
            <v>A0002075</v>
          </cell>
          <cell r="B1449" t="str">
            <v>6000004658 - Assy, Cap Top SV CG2076</v>
          </cell>
          <cell r="C1449" t="str">
            <v>Sí</v>
          </cell>
          <cell r="D1449" t="str">
            <v>No</v>
          </cell>
        </row>
        <row r="1450">
          <cell r="A1450" t="str">
            <v>A0002076</v>
          </cell>
          <cell r="B1450" t="str">
            <v>Plate, Clamp Media L BN-20</v>
          </cell>
          <cell r="C1450" t="str">
            <v>Sí</v>
          </cell>
          <cell r="D1450" t="str">
            <v>No</v>
          </cell>
        </row>
        <row r="1451">
          <cell r="A1451" t="str">
            <v>A0002078</v>
          </cell>
          <cell r="B1451" t="str">
            <v>Gas Spring 40x50 &amp; 40x40 (1-2243)</v>
          </cell>
          <cell r="C1451" t="str">
            <v>Sí</v>
          </cell>
          <cell r="D1451" t="str">
            <v>No</v>
          </cell>
        </row>
        <row r="1452">
          <cell r="A1452" t="str">
            <v>A0001870</v>
          </cell>
          <cell r="B1452" t="str">
            <v>M2 Metamark MetaScape M7A 111M Negro Mate 0,61 x 50m</v>
          </cell>
          <cell r="C1452" t="str">
            <v>Sí</v>
          </cell>
          <cell r="D1452" t="str">
            <v>Si</v>
          </cell>
          <cell r="E1452" t="str">
            <v>A0000513</v>
          </cell>
        </row>
        <row r="1453">
          <cell r="A1453" t="str">
            <v>A0000516</v>
          </cell>
          <cell r="B1453" t="str">
            <v>M2 Metamark MetaScape M7A 111M Negro Mate 1,22 x 50m</v>
          </cell>
          <cell r="C1453" t="str">
            <v>Sí</v>
          </cell>
          <cell r="D1453" t="str">
            <v>Si</v>
          </cell>
          <cell r="E1453" t="str">
            <v>A0000513</v>
          </cell>
        </row>
        <row r="1454">
          <cell r="A1454" t="str">
            <v>A0001690</v>
          </cell>
          <cell r="B1454" t="str">
            <v>M2 Metamark MetaScape M7A 118 Azul Reflex 0,61 x 50m</v>
          </cell>
          <cell r="C1454" t="str">
            <v>Sí</v>
          </cell>
          <cell r="D1454" t="str">
            <v>Si</v>
          </cell>
          <cell r="E1454" t="str">
            <v>A0000513</v>
          </cell>
        </row>
        <row r="1455">
          <cell r="A1455" t="str">
            <v>A0001490</v>
          </cell>
          <cell r="B1455" t="str">
            <v>M2 Metamark MetaScape M7A 118 Azul Reflex 1,22 x 50m</v>
          </cell>
          <cell r="C1455" t="str">
            <v>Sí</v>
          </cell>
          <cell r="D1455" t="str">
            <v>Si</v>
          </cell>
          <cell r="E1455" t="str">
            <v>A0000513</v>
          </cell>
        </row>
        <row r="1456">
          <cell r="A1456" t="str">
            <v>A0002083</v>
          </cell>
          <cell r="B1456" t="str">
            <v>Sistema de Alineación Láser</v>
          </cell>
          <cell r="C1456" t="str">
            <v>Sí</v>
          </cell>
          <cell r="D1456" t="str">
            <v>No</v>
          </cell>
        </row>
        <row r="1457">
          <cell r="A1457" t="str">
            <v>A0002084</v>
          </cell>
          <cell r="B1457" t="str">
            <v>Power Platen Sleeve/Leg 15 x 51cm</v>
          </cell>
          <cell r="C1457" t="str">
            <v>Sí</v>
          </cell>
          <cell r="D1457" t="str">
            <v>No</v>
          </cell>
        </row>
        <row r="1458">
          <cell r="A1458" t="str">
            <v>A0002085</v>
          </cell>
          <cell r="B1458" t="str">
            <v>Lower Platen 20x25cm</v>
          </cell>
          <cell r="C1458" t="str">
            <v>Sí</v>
          </cell>
          <cell r="D1458" t="str">
            <v>No</v>
          </cell>
        </row>
        <row r="1459">
          <cell r="A1459" t="str">
            <v>A0002086</v>
          </cell>
          <cell r="B1459" t="str">
            <v>Cable-Assy, Pump Motor VS-640I</v>
          </cell>
          <cell r="C1459" t="str">
            <v>Sí</v>
          </cell>
          <cell r="D1459" t="str">
            <v>No</v>
          </cell>
        </row>
        <row r="1460">
          <cell r="A1460" t="str">
            <v>A0002087</v>
          </cell>
          <cell r="B1460" t="str">
            <v>Rollo Vinilo Skynnet GoGo Dot 100 Transparente 1,37x50m</v>
          </cell>
          <cell r="C1460" t="str">
            <v>Sí</v>
          </cell>
          <cell r="D1460" t="str">
            <v>No</v>
          </cell>
          <cell r="E1460" t="str">
            <v>A0001147</v>
          </cell>
        </row>
        <row r="1461">
          <cell r="A1461" t="str">
            <v>A0002088</v>
          </cell>
          <cell r="B1461" t="str">
            <v>Rollo Vinilo GoGo-Dot 100 Blanco Mate 1,37x50m</v>
          </cell>
          <cell r="C1461" t="str">
            <v>Sí</v>
          </cell>
          <cell r="D1461" t="str">
            <v>No</v>
          </cell>
          <cell r="E1461" t="str">
            <v>A0001147</v>
          </cell>
        </row>
        <row r="1462">
          <cell r="A1462" t="str">
            <v>A0002090</v>
          </cell>
          <cell r="B1462" t="str">
            <v>Cortadora KeenCut Evolution E3 Smartfold 1,6m</v>
          </cell>
          <cell r="C1462" t="str">
            <v>Sí</v>
          </cell>
          <cell r="D1462" t="str">
            <v>No</v>
          </cell>
        </row>
        <row r="1463">
          <cell r="A1463" t="str">
            <v>A0001914</v>
          </cell>
          <cell r="B1463" t="str">
            <v>M2 Metamark MetaScape M7A 119 Azul Prusiano 0,61 x 50m</v>
          </cell>
          <cell r="C1463" t="str">
            <v>Sí</v>
          </cell>
          <cell r="D1463" t="str">
            <v>Si</v>
          </cell>
          <cell r="E1463" t="str">
            <v>A0000513</v>
          </cell>
        </row>
        <row r="1464">
          <cell r="A1464" t="str">
            <v>A0002092</v>
          </cell>
          <cell r="B1464" t="str">
            <v>Par de Guantes Uso diario</v>
          </cell>
          <cell r="C1464" t="str">
            <v>Sí</v>
          </cell>
          <cell r="D1464" t="str">
            <v>Si</v>
          </cell>
          <cell r="E1464" t="str">
            <v>A0000874</v>
          </cell>
        </row>
        <row r="1465">
          <cell r="A1465" t="str">
            <v>A0001491</v>
          </cell>
          <cell r="B1465" t="str">
            <v>M2 Metamark MetaScape M7A 119 Azul Prusiano 1,22 x 50m</v>
          </cell>
          <cell r="C1465" t="str">
            <v>Sí</v>
          </cell>
          <cell r="D1465" t="str">
            <v>Si</v>
          </cell>
          <cell r="E1465" t="str">
            <v>A0000513</v>
          </cell>
        </row>
        <row r="1466">
          <cell r="A1466" t="str">
            <v>A0001921</v>
          </cell>
          <cell r="B1466" t="str">
            <v>M2 Metamark MetaScape M7A 121 Gris Ligero 0,61 x 50m</v>
          </cell>
          <cell r="C1466" t="str">
            <v>Sí</v>
          </cell>
          <cell r="D1466" t="str">
            <v>Si</v>
          </cell>
          <cell r="E1466" t="str">
            <v>A0000103</v>
          </cell>
        </row>
        <row r="1467">
          <cell r="A1467" t="str">
            <v>A0001920</v>
          </cell>
          <cell r="B1467" t="str">
            <v>M2 Metamark MetaScape M7A 121 Gris Ligero 1,22 x 50m</v>
          </cell>
          <cell r="C1467" t="str">
            <v>Sí</v>
          </cell>
          <cell r="D1467" t="str">
            <v>Si</v>
          </cell>
          <cell r="E1467" t="str">
            <v>A0000103</v>
          </cell>
        </row>
        <row r="1468">
          <cell r="A1468" t="str">
            <v>A0001919</v>
          </cell>
          <cell r="B1468" t="str">
            <v>M2 Metamark MetaScape M7A 122 Gris Palo 0,61 x 50m</v>
          </cell>
          <cell r="C1468" t="str">
            <v>Sí</v>
          </cell>
          <cell r="D1468" t="str">
            <v>Si</v>
          </cell>
          <cell r="E1468" t="str">
            <v>A0000103</v>
          </cell>
        </row>
        <row r="1469">
          <cell r="A1469" t="str">
            <v>A0001918</v>
          </cell>
          <cell r="B1469" t="str">
            <v>M2 Metamark MetaScape M7A 122 Gris Palo 1,22 x 50m</v>
          </cell>
          <cell r="C1469" t="str">
            <v>Sí</v>
          </cell>
          <cell r="D1469" t="str">
            <v>Si</v>
          </cell>
          <cell r="E1469" t="str">
            <v>A0000103</v>
          </cell>
        </row>
        <row r="1470">
          <cell r="A1470" t="str">
            <v>A0001923</v>
          </cell>
          <cell r="B1470" t="str">
            <v>M2 Metamark MetaScape M7A 124 Gris Oscuro 0,61 x 50m</v>
          </cell>
          <cell r="C1470" t="str">
            <v>Sí</v>
          </cell>
          <cell r="D1470" t="str">
            <v>Si</v>
          </cell>
          <cell r="E1470" t="str">
            <v>A0000103</v>
          </cell>
        </row>
        <row r="1471">
          <cell r="A1471" t="str">
            <v>A0001922</v>
          </cell>
          <cell r="B1471" t="str">
            <v>M2 Metamark MetaScape M7A 124 Gris Oscuro 1,22 x 50m</v>
          </cell>
          <cell r="C1471" t="str">
            <v>Sí</v>
          </cell>
          <cell r="D1471" t="str">
            <v>Si</v>
          </cell>
          <cell r="E1471" t="str">
            <v>A0000103</v>
          </cell>
        </row>
        <row r="1472">
          <cell r="A1472" t="str">
            <v>A0001867</v>
          </cell>
          <cell r="B1472" t="str">
            <v>M2 Metamark MetaScape M7A 125 Gris Nimbo 0,61 x 50m</v>
          </cell>
          <cell r="C1472" t="str">
            <v>Sí</v>
          </cell>
          <cell r="D1472" t="str">
            <v>Si</v>
          </cell>
          <cell r="E1472" t="str">
            <v>A0000513</v>
          </cell>
        </row>
        <row r="1473">
          <cell r="A1473" t="str">
            <v>A0000514</v>
          </cell>
          <cell r="B1473" t="str">
            <v>M2 Metamark MetaScape M7A 125 Gris Nimbo 1,22 x 50m</v>
          </cell>
          <cell r="C1473" t="str">
            <v>Sí</v>
          </cell>
          <cell r="D1473" t="str">
            <v>Si</v>
          </cell>
          <cell r="E1473" t="str">
            <v>A0000513</v>
          </cell>
        </row>
        <row r="1474">
          <cell r="A1474" t="str">
            <v>A0001906</v>
          </cell>
          <cell r="B1474" t="str">
            <v>M2 Metamark MetaScape M7A 131 Amarillo Girasol 0,61 x 50m</v>
          </cell>
          <cell r="C1474" t="str">
            <v>Sí</v>
          </cell>
          <cell r="D1474" t="str">
            <v>Si</v>
          </cell>
          <cell r="E1474" t="str">
            <v>A0000513</v>
          </cell>
        </row>
        <row r="1475">
          <cell r="A1475" t="str">
            <v>A0000518</v>
          </cell>
          <cell r="B1475" t="str">
            <v>M2 Metamark MetaScape M7A 131 Amarillo Girasol 1,22 x 50m</v>
          </cell>
          <cell r="C1475" t="str">
            <v>Sí</v>
          </cell>
          <cell r="D1475" t="str">
            <v>Si</v>
          </cell>
          <cell r="E1475" t="str">
            <v>A0000513</v>
          </cell>
        </row>
        <row r="1476">
          <cell r="A1476" t="str">
            <v>A0001866</v>
          </cell>
          <cell r="B1476" t="str">
            <v>M2 Metamark MetaScape M7A 133 Naranja 0,61 x 50m</v>
          </cell>
          <cell r="C1476" t="str">
            <v>Sí</v>
          </cell>
          <cell r="D1476" t="str">
            <v>Si</v>
          </cell>
          <cell r="E1476" t="str">
            <v>A0000513</v>
          </cell>
        </row>
        <row r="1477">
          <cell r="A1477" t="str">
            <v>A0000519</v>
          </cell>
          <cell r="B1477" t="str">
            <v>M2 Metamark MetaScape M7A 133 Naranja 1,22 x 50m</v>
          </cell>
          <cell r="C1477" t="str">
            <v>Sí</v>
          </cell>
          <cell r="D1477" t="str">
            <v>Si</v>
          </cell>
          <cell r="E1477" t="str">
            <v>A0000513</v>
          </cell>
        </row>
        <row r="1478">
          <cell r="A1478" t="str">
            <v>A0001907</v>
          </cell>
          <cell r="B1478" t="str">
            <v>M2 Metamark MetaScape M7A 135 Albaricoque 0,61 x 50m</v>
          </cell>
          <cell r="C1478" t="str">
            <v>Sí</v>
          </cell>
          <cell r="D1478" t="str">
            <v>No</v>
          </cell>
          <cell r="E1478" t="str">
            <v>A0000513</v>
          </cell>
        </row>
        <row r="1479">
          <cell r="A1479" t="str">
            <v>A0001488</v>
          </cell>
          <cell r="B1479" t="str">
            <v>M2 Metamark MetaScape M7A 135 Albaricoque 1,22 x 50m</v>
          </cell>
          <cell r="C1479" t="str">
            <v>Sí</v>
          </cell>
          <cell r="D1479" t="str">
            <v>No</v>
          </cell>
          <cell r="E1479" t="str">
            <v>A0000513</v>
          </cell>
        </row>
        <row r="1480">
          <cell r="A1480" t="str">
            <v>A0001882</v>
          </cell>
          <cell r="B1480" t="str">
            <v>M2 Metamark MetaScape M7A 136 Amarillo Brillante 0,61x 50m</v>
          </cell>
          <cell r="C1480" t="str">
            <v>Sí</v>
          </cell>
          <cell r="D1480" t="str">
            <v>Si</v>
          </cell>
          <cell r="E1480" t="str">
            <v>A0000513</v>
          </cell>
        </row>
        <row r="1481">
          <cell r="A1481" t="str">
            <v>A0000517</v>
          </cell>
          <cell r="B1481" t="str">
            <v>M2 Metamark MetaScape M7A 136 Amarillo Brillante 1,22 x 50m</v>
          </cell>
          <cell r="C1481" t="str">
            <v>Sí</v>
          </cell>
          <cell r="D1481" t="str">
            <v>Si</v>
          </cell>
          <cell r="E1481" t="str">
            <v>A0000513</v>
          </cell>
        </row>
        <row r="1482">
          <cell r="A1482" t="str">
            <v>A0001689</v>
          </cell>
          <cell r="B1482" t="str">
            <v>M2 Metamark MetaScape M7A 142 Rojo Tomate 0,61 x 50m</v>
          </cell>
          <cell r="C1482" t="str">
            <v>Sí</v>
          </cell>
          <cell r="D1482" t="str">
            <v>Si</v>
          </cell>
          <cell r="E1482" t="str">
            <v>A0000513</v>
          </cell>
        </row>
        <row r="1483">
          <cell r="A1483" t="str">
            <v>A0002111</v>
          </cell>
          <cell r="B1483" t="str">
            <v>Cortadora KeenCut Evolution E3 Smartfold 1,1m</v>
          </cell>
          <cell r="C1483" t="str">
            <v>Sí</v>
          </cell>
          <cell r="D1483" t="str">
            <v>No</v>
          </cell>
        </row>
        <row r="1484">
          <cell r="A1484" t="str">
            <v>A0002112</v>
          </cell>
          <cell r="B1484" t="str">
            <v>Cortadora KeenCut Evolution E3 Smartfold 2,1m</v>
          </cell>
          <cell r="C1484" t="str">
            <v>Sí</v>
          </cell>
          <cell r="D1484" t="str">
            <v>No</v>
          </cell>
        </row>
        <row r="1485">
          <cell r="A1485" t="str">
            <v>A0002113</v>
          </cell>
          <cell r="B1485" t="str">
            <v>Cortadora KeenCut Evolution E3 Smartfold 2,6m</v>
          </cell>
          <cell r="C1485" t="str">
            <v>Sí</v>
          </cell>
          <cell r="D1485" t="str">
            <v>No</v>
          </cell>
        </row>
        <row r="1486">
          <cell r="A1486" t="str">
            <v>A0002114</v>
          </cell>
          <cell r="B1486" t="str">
            <v>Cortadora KeenCut Evolution E3 Smartfold 3,1m</v>
          </cell>
          <cell r="C1486" t="str">
            <v>Sí</v>
          </cell>
          <cell r="D1486" t="str">
            <v>No</v>
          </cell>
        </row>
        <row r="1487">
          <cell r="A1487" t="str">
            <v>A0002115</v>
          </cell>
          <cell r="B1487" t="str">
            <v>Cortadora KeenCut Evolution E3 Smartfold 3,6m</v>
          </cell>
          <cell r="C1487" t="str">
            <v>Sí</v>
          </cell>
          <cell r="D1487" t="str">
            <v>No</v>
          </cell>
        </row>
        <row r="1488">
          <cell r="A1488" t="str">
            <v>A0002118</v>
          </cell>
          <cell r="B1488" t="str">
            <v>Rollo Reflectiv Film transparente 67047 Lila 1,52x2,5m</v>
          </cell>
          <cell r="C1488" t="str">
            <v>Sí</v>
          </cell>
          <cell r="D1488" t="str">
            <v>No</v>
          </cell>
        </row>
        <row r="1489">
          <cell r="A1489" t="str">
            <v>A0002119</v>
          </cell>
          <cell r="B1489" t="str">
            <v>Rollo VinylEfx Fine Brush Silver Exterior 0,61 x 45,7m</v>
          </cell>
          <cell r="C1489" t="str">
            <v>Sí</v>
          </cell>
          <cell r="D1489" t="str">
            <v>Si</v>
          </cell>
        </row>
        <row r="1490">
          <cell r="A1490" t="str">
            <v>A0002120</v>
          </cell>
          <cell r="B1490" t="str">
            <v>1000015411 - Cover, SW R SG-540</v>
          </cell>
          <cell r="C1490" t="str">
            <v>Sí</v>
          </cell>
          <cell r="D1490" t="str">
            <v>No</v>
          </cell>
        </row>
        <row r="1491">
          <cell r="A1491" t="str">
            <v>A0002121</v>
          </cell>
          <cell r="B1491" t="str">
            <v>1000014072 - Cable-Card 29P1 305L BB HIGH-V</v>
          </cell>
          <cell r="C1491" t="str">
            <v>Sí</v>
          </cell>
          <cell r="D1491" t="str">
            <v>No</v>
          </cell>
        </row>
        <row r="1492">
          <cell r="A1492" t="str">
            <v>A0002123</v>
          </cell>
          <cell r="B1492" t="str">
            <v>Rollo Transportador 4075RLA (Papel alto agarre) 1,52x100m</v>
          </cell>
          <cell r="C1492" t="str">
            <v>Sí</v>
          </cell>
          <cell r="D1492" t="str">
            <v>Si</v>
          </cell>
          <cell r="E1492" t="str">
            <v>A0000605</v>
          </cell>
        </row>
        <row r="1493">
          <cell r="A1493" t="str">
            <v>A0002124</v>
          </cell>
          <cell r="B1493" t="str">
            <v>Rollo Reflectiv AUT S05 23mc 1,52x15m</v>
          </cell>
          <cell r="C1493" t="str">
            <v>Sí</v>
          </cell>
          <cell r="D1493" t="str">
            <v>No</v>
          </cell>
          <cell r="E1493" t="str">
            <v>A0001174</v>
          </cell>
        </row>
        <row r="1494">
          <cell r="A1494" t="str">
            <v>A0002125</v>
          </cell>
          <cell r="B1494" t="str">
            <v>Rollo Reflectiv AUT S05 23mc 1,52x30m</v>
          </cell>
          <cell r="C1494" t="str">
            <v>Sí</v>
          </cell>
          <cell r="D1494" t="str">
            <v>No</v>
          </cell>
          <cell r="E1494" t="str">
            <v>A0001174</v>
          </cell>
        </row>
        <row r="1495">
          <cell r="A1495" t="str">
            <v>A0000520</v>
          </cell>
          <cell r="B1495" t="str">
            <v>M2 Metamark MetaScape M7A 142 Rojo Tomate 1,22 x 50m</v>
          </cell>
          <cell r="C1495" t="str">
            <v>Sí</v>
          </cell>
          <cell r="D1495" t="str">
            <v>Si</v>
          </cell>
          <cell r="E1495" t="str">
            <v>A0000513</v>
          </cell>
        </row>
        <row r="1496">
          <cell r="A1496" t="str">
            <v>A0002127</v>
          </cell>
          <cell r="B1496" t="str">
            <v>Rollo Reflectiv Film transparente 67047 Lila 1,52x5m</v>
          </cell>
          <cell r="C1496" t="str">
            <v>Sí</v>
          </cell>
          <cell r="D1496" t="str">
            <v>No</v>
          </cell>
        </row>
        <row r="1497">
          <cell r="A1497" t="str">
            <v>A0002128</v>
          </cell>
          <cell r="B1497" t="str">
            <v>Rollo Reflectiv Film transparente 63545 Turquesa 1,52x5m</v>
          </cell>
          <cell r="C1497" t="str">
            <v>Sí</v>
          </cell>
          <cell r="D1497" t="str">
            <v>No</v>
          </cell>
        </row>
        <row r="1498">
          <cell r="A1498" t="str">
            <v>A0002129</v>
          </cell>
          <cell r="B1498" t="str">
            <v>Plancha Basic Gorras</v>
          </cell>
          <cell r="C1498" t="str">
            <v>Sí</v>
          </cell>
          <cell r="D1498" t="str">
            <v>No</v>
          </cell>
        </row>
        <row r="1499">
          <cell r="A1499" t="str">
            <v>A0002130</v>
          </cell>
          <cell r="B1499" t="str">
            <v>1000015572 - Cable-Assy, F-Cover SW SG-540</v>
          </cell>
          <cell r="C1499" t="str">
            <v>Sí</v>
          </cell>
          <cell r="D1499" t="str">
            <v>No</v>
          </cell>
        </row>
        <row r="1500">
          <cell r="A1500" t="str">
            <v>A0002131</v>
          </cell>
          <cell r="B1500" t="str">
            <v>1000006524 - Spring, Cap Front VS-640</v>
          </cell>
          <cell r="C1500" t="str">
            <v>Sí</v>
          </cell>
          <cell r="D1500" t="str">
            <v>No</v>
          </cell>
        </row>
        <row r="1501">
          <cell r="A1501" t="str">
            <v>A0002136</v>
          </cell>
          <cell r="B1501" t="str">
            <v>PL11X15 - Lower Platen 28x38cm</v>
          </cell>
          <cell r="C1501" t="str">
            <v>Sí</v>
          </cell>
          <cell r="D1501" t="str">
            <v>No</v>
          </cell>
        </row>
        <row r="1502">
          <cell r="A1502" t="str">
            <v>A0002137</v>
          </cell>
          <cell r="B1502" t="str">
            <v>Sheet Linear Scale VP-540</v>
          </cell>
          <cell r="C1502" t="str">
            <v>Sí</v>
          </cell>
          <cell r="D1502" t="str">
            <v>No</v>
          </cell>
        </row>
        <row r="1503">
          <cell r="A1503" t="str">
            <v>A0002138</v>
          </cell>
          <cell r="B1503" t="str">
            <v>Pad, Cutter SG 300</v>
          </cell>
          <cell r="C1503" t="str">
            <v>Sí</v>
          </cell>
          <cell r="D1503" t="str">
            <v>Si</v>
          </cell>
        </row>
        <row r="1504">
          <cell r="A1504" t="str">
            <v>A0002139</v>
          </cell>
          <cell r="B1504" t="str">
            <v>Pad, Cuttercg2041</v>
          </cell>
          <cell r="C1504" t="str">
            <v>Sí</v>
          </cell>
          <cell r="D1504" t="str">
            <v>No</v>
          </cell>
        </row>
        <row r="1505">
          <cell r="A1505" t="str">
            <v>A0001881</v>
          </cell>
          <cell r="B1505" t="str">
            <v>M2 Metamark MetaScape M7A 143 Rojo Cereza 0,61 x 50m</v>
          </cell>
          <cell r="C1505" t="str">
            <v>Sí</v>
          </cell>
          <cell r="D1505" t="str">
            <v>Si</v>
          </cell>
          <cell r="E1505" t="str">
            <v>A0000513</v>
          </cell>
        </row>
        <row r="1506">
          <cell r="A1506" t="str">
            <v>A0000521</v>
          </cell>
          <cell r="B1506" t="str">
            <v>M2 Metamark MetaScape M7A 143 Rojo Cereza 1,22 x 50m</v>
          </cell>
          <cell r="C1506" t="str">
            <v>Sí</v>
          </cell>
          <cell r="D1506" t="str">
            <v>Si</v>
          </cell>
          <cell r="E1506" t="str">
            <v>A0000513</v>
          </cell>
        </row>
        <row r="1507">
          <cell r="A1507" t="str">
            <v>A0001911</v>
          </cell>
          <cell r="B1507" t="str">
            <v>M2 Metamark MetaScape M7A 145 Rojo Borgoña 0,61 x 50m</v>
          </cell>
          <cell r="C1507" t="str">
            <v>Sí</v>
          </cell>
          <cell r="D1507" t="str">
            <v>No</v>
          </cell>
          <cell r="E1507" t="str">
            <v>A0000513</v>
          </cell>
        </row>
        <row r="1508">
          <cell r="A1508" t="str">
            <v>A0001526</v>
          </cell>
          <cell r="B1508" t="str">
            <v>M2 Metamark MetaScape M7A 145 Rojo Borgoña 1,22 x 50m</v>
          </cell>
          <cell r="C1508" t="str">
            <v>Sí</v>
          </cell>
          <cell r="D1508" t="str">
            <v>No</v>
          </cell>
          <cell r="E1508" t="str">
            <v>A0000513</v>
          </cell>
        </row>
        <row r="1509">
          <cell r="A1509" t="str">
            <v>A0001909</v>
          </cell>
          <cell r="B1509" t="str">
            <v>M2 Metamark MetaScape M7A 148 Rojo Profundo 0,61 x 50m</v>
          </cell>
          <cell r="C1509" t="str">
            <v>Sí</v>
          </cell>
          <cell r="D1509" t="str">
            <v>Si</v>
          </cell>
          <cell r="E1509" t="str">
            <v>A0000513</v>
          </cell>
        </row>
        <row r="1510">
          <cell r="A1510" t="str">
            <v>A0000522</v>
          </cell>
          <cell r="B1510" t="str">
            <v>M2 Metamark MetaScape M7A 148 Rojo Profundo 1,22 x 50m</v>
          </cell>
          <cell r="C1510" t="str">
            <v>Sí</v>
          </cell>
          <cell r="D1510" t="str">
            <v>Si</v>
          </cell>
          <cell r="E1510" t="str">
            <v>A0000513</v>
          </cell>
        </row>
        <row r="1511">
          <cell r="A1511" t="str">
            <v>A0002146</v>
          </cell>
          <cell r="B1511" t="str">
            <v>Rollo Laminado MG 82 (80mic) Mate 1,37x50m</v>
          </cell>
          <cell r="C1511" t="str">
            <v>Sí</v>
          </cell>
          <cell r="D1511" t="str">
            <v>Si</v>
          </cell>
          <cell r="E1511" t="str">
            <v>A0000238</v>
          </cell>
        </row>
        <row r="1512">
          <cell r="A1512" t="str">
            <v>A0002147</v>
          </cell>
          <cell r="B1512" t="str">
            <v>Rollo Laminado MG 85 (80mic) Brillo 1,37x50m</v>
          </cell>
          <cell r="C1512" t="str">
            <v>Sí</v>
          </cell>
          <cell r="D1512" t="str">
            <v>Si</v>
          </cell>
          <cell r="E1512" t="str">
            <v>A0000238</v>
          </cell>
        </row>
        <row r="1513">
          <cell r="A1513" t="str">
            <v>A0002148</v>
          </cell>
          <cell r="B1513" t="str">
            <v>Máquina Porta Rollos 61cm</v>
          </cell>
          <cell r="C1513" t="str">
            <v>Sí</v>
          </cell>
          <cell r="D1513" t="str">
            <v>No</v>
          </cell>
        </row>
        <row r="1514">
          <cell r="A1514" t="str">
            <v>A0002149</v>
          </cell>
          <cell r="B1514" t="str">
            <v>Rollo Reflectiv IR 50 1,52x30m</v>
          </cell>
          <cell r="C1514" t="str">
            <v>Sí</v>
          </cell>
          <cell r="D1514" t="str">
            <v>No</v>
          </cell>
        </row>
        <row r="1515">
          <cell r="A1515" t="str">
            <v>A0002150</v>
          </cell>
          <cell r="B1515" t="str">
            <v>Rollo MDC MetaCast Wrap MGlide 005 Brillo 1,60x50m</v>
          </cell>
          <cell r="C1515" t="str">
            <v>Sí</v>
          </cell>
          <cell r="D1515" t="str">
            <v>Si</v>
          </cell>
          <cell r="E1515" t="str">
            <v>A0001660</v>
          </cell>
        </row>
        <row r="1516">
          <cell r="A1516" t="str">
            <v>A0002151</v>
          </cell>
          <cell r="B1516" t="str">
            <v>Rollo MDC MetaCast Wrap MGlide 005 Brillo 1,60x25m</v>
          </cell>
          <cell r="C1516" t="str">
            <v>Sí</v>
          </cell>
          <cell r="D1516" t="str">
            <v>Si</v>
          </cell>
          <cell r="E1516" t="str">
            <v>A0001660</v>
          </cell>
        </row>
        <row r="1517">
          <cell r="A1517" t="str">
            <v>A0002152</v>
          </cell>
          <cell r="B1517" t="str">
            <v>Rollo MDC MetaCast Wrap MGlide 005 Brillo 1,60x10m</v>
          </cell>
          <cell r="C1517" t="str">
            <v>Sí</v>
          </cell>
          <cell r="D1517" t="str">
            <v>Si</v>
          </cell>
          <cell r="E1517" t="str">
            <v>A0001660</v>
          </cell>
        </row>
        <row r="1518">
          <cell r="A1518" t="str">
            <v>A0002153</v>
          </cell>
          <cell r="B1518" t="str">
            <v>Rollo Reflectiv AGI 100 Antigraffiti 1,52m x 2,5m</v>
          </cell>
          <cell r="C1518" t="str">
            <v>Sí</v>
          </cell>
          <cell r="D1518" t="str">
            <v>No</v>
          </cell>
        </row>
        <row r="1519">
          <cell r="A1519" t="str">
            <v>A0002154</v>
          </cell>
          <cell r="B1519" t="str">
            <v>Rollo Reflectiv AGI 100 Antigraffiti 1,52m x 10m</v>
          </cell>
          <cell r="C1519" t="str">
            <v>Sí</v>
          </cell>
          <cell r="D1519" t="str">
            <v>No</v>
          </cell>
        </row>
        <row r="1520">
          <cell r="A1520" t="str">
            <v>A0002155</v>
          </cell>
          <cell r="B1520" t="str">
            <v>Rollo Reflectiv AGI 100 Antigraffiti 1,52m x 30m</v>
          </cell>
          <cell r="C1520" t="str">
            <v>Sí</v>
          </cell>
          <cell r="D1520" t="str">
            <v>No</v>
          </cell>
        </row>
        <row r="1521">
          <cell r="A1521" t="str">
            <v>A0001908</v>
          </cell>
          <cell r="B1521" t="str">
            <v>M2 Metamark MetaScape M7A 149 Rojo Carmesí 0,61 x 50m</v>
          </cell>
          <cell r="C1521" t="str">
            <v>Sí</v>
          </cell>
          <cell r="D1521" t="str">
            <v>No</v>
          </cell>
          <cell r="E1521" t="str">
            <v>A0000513</v>
          </cell>
        </row>
        <row r="1522">
          <cell r="A1522" t="str">
            <v>A0001489</v>
          </cell>
          <cell r="B1522" t="str">
            <v>M2 Metamark MetaScape M7A 149 Rojo Carmesí 1,22 x 50m</v>
          </cell>
          <cell r="C1522" t="str">
            <v>Sí</v>
          </cell>
          <cell r="D1522" t="str">
            <v>No</v>
          </cell>
          <cell r="E1522" t="str">
            <v>A0000513</v>
          </cell>
        </row>
        <row r="1523">
          <cell r="A1523" t="str">
            <v>A0002158</v>
          </cell>
          <cell r="B1523" t="str">
            <v>Rollo Monomérico Isee2 (StrongTack) Alto Agarre Brillo 1,37x50m</v>
          </cell>
          <cell r="C1523" t="str">
            <v>Sí</v>
          </cell>
          <cell r="D1523" t="str">
            <v>Si</v>
          </cell>
        </row>
        <row r="1524">
          <cell r="A1524" t="str">
            <v>A0002159</v>
          </cell>
          <cell r="B1524" t="str">
            <v>Rollo Reflectiv AGI 200 Antirayaduras 1,52m x 2,5m</v>
          </cell>
          <cell r="C1524" t="str">
            <v>Sí</v>
          </cell>
          <cell r="D1524" t="str">
            <v>No</v>
          </cell>
        </row>
        <row r="1525">
          <cell r="A1525" t="str">
            <v>A0002160</v>
          </cell>
          <cell r="B1525" t="str">
            <v>Rollo Reflectiv AGI 200 Antirayaduras 1,52m x 5m</v>
          </cell>
          <cell r="C1525" t="str">
            <v>Sí</v>
          </cell>
          <cell r="D1525" t="str">
            <v>No</v>
          </cell>
        </row>
        <row r="1526">
          <cell r="A1526" t="str">
            <v>A0002161</v>
          </cell>
          <cell r="B1526" t="str">
            <v>Rollo Reflectiv AGI 200 Antirayaduras 1,52m x 10m</v>
          </cell>
          <cell r="C1526" t="str">
            <v>Sí</v>
          </cell>
          <cell r="D1526" t="str">
            <v>No</v>
          </cell>
        </row>
        <row r="1527">
          <cell r="A1527" t="str">
            <v>A0002162</v>
          </cell>
          <cell r="B1527" t="str">
            <v>Rollo Reflectiv AGI 200 Antirayaduras 1,52m x 30m</v>
          </cell>
          <cell r="C1527" t="str">
            <v>Sí</v>
          </cell>
          <cell r="D1527" t="str">
            <v>No</v>
          </cell>
        </row>
        <row r="1528">
          <cell r="A1528" t="str">
            <v>A0002163</v>
          </cell>
          <cell r="B1528" t="str">
            <v>Rollo Reflectiv Sec058 200mc 1,52x2,5m</v>
          </cell>
          <cell r="C1528" t="str">
            <v>Sí</v>
          </cell>
          <cell r="D1528" t="str">
            <v>No</v>
          </cell>
        </row>
        <row r="1529">
          <cell r="A1529" t="str">
            <v>A0002164</v>
          </cell>
          <cell r="B1529" t="str">
            <v>Rollo Reflectiv Sec058 200mc 1,52x5m</v>
          </cell>
          <cell r="C1529" t="str">
            <v>Sí</v>
          </cell>
          <cell r="D1529" t="str">
            <v>No</v>
          </cell>
        </row>
        <row r="1530">
          <cell r="A1530" t="str">
            <v>A0002165</v>
          </cell>
          <cell r="B1530" t="str">
            <v>Rollo Reflectiv Sec058 200mc 1,52x10m</v>
          </cell>
          <cell r="C1530" t="str">
            <v>Sí</v>
          </cell>
          <cell r="D1530" t="str">
            <v>No</v>
          </cell>
        </row>
        <row r="1531">
          <cell r="A1531" t="str">
            <v>A0002166</v>
          </cell>
          <cell r="B1531" t="str">
            <v>Rollo Reflectiv Sec058 200mc 1,52x30m</v>
          </cell>
          <cell r="C1531" t="str">
            <v>Sí</v>
          </cell>
          <cell r="D1531" t="str">
            <v>No</v>
          </cell>
        </row>
        <row r="1532">
          <cell r="A1532" t="str">
            <v>A0002167</v>
          </cell>
          <cell r="B1532" t="str">
            <v>Rollo Reflectiv AUT S05 23mc 1,52x2,5m</v>
          </cell>
          <cell r="C1532" t="str">
            <v>Sí</v>
          </cell>
          <cell r="D1532" t="str">
            <v>No</v>
          </cell>
          <cell r="E1532" t="str">
            <v>A0001174</v>
          </cell>
        </row>
        <row r="1533">
          <cell r="A1533" t="str">
            <v>A0002168</v>
          </cell>
          <cell r="B1533" t="str">
            <v>Rollo Reflectiv AUT P05 46mc 1,52x2,5m</v>
          </cell>
          <cell r="C1533" t="str">
            <v>Sí</v>
          </cell>
          <cell r="D1533" t="str">
            <v>No</v>
          </cell>
          <cell r="E1533" t="str">
            <v>A0001174</v>
          </cell>
        </row>
        <row r="1534">
          <cell r="A1534" t="str">
            <v>A0002170</v>
          </cell>
          <cell r="B1534" t="str">
            <v>Rollo Reflectiv AUT P05 46mc 1,52x10m</v>
          </cell>
          <cell r="C1534" t="str">
            <v>Sí</v>
          </cell>
          <cell r="D1534" t="str">
            <v>No</v>
          </cell>
          <cell r="E1534" t="str">
            <v>A0001174</v>
          </cell>
        </row>
        <row r="1535">
          <cell r="A1535" t="str">
            <v>A0002171</v>
          </cell>
          <cell r="B1535" t="str">
            <v>Rollo Reflectiv AUT P05 46mc 1,52x30m</v>
          </cell>
          <cell r="C1535" t="str">
            <v>Sí</v>
          </cell>
          <cell r="D1535" t="str">
            <v>No</v>
          </cell>
          <cell r="E1535" t="str">
            <v>A0001174</v>
          </cell>
        </row>
        <row r="1536">
          <cell r="A1536" t="str">
            <v>A0001871</v>
          </cell>
          <cell r="B1536" t="str">
            <v>M2 Metamark MetaScape M7A 151 Azul Olímpico 0,61 x 50m</v>
          </cell>
          <cell r="C1536" t="str">
            <v>Sí</v>
          </cell>
          <cell r="D1536" t="str">
            <v>Si</v>
          </cell>
          <cell r="E1536" t="str">
            <v>A0000513</v>
          </cell>
        </row>
        <row r="1537">
          <cell r="A1537" t="str">
            <v>A0002173</v>
          </cell>
          <cell r="B1537" t="str">
            <v>Cortador de material Safety Cutter</v>
          </cell>
          <cell r="C1537" t="str">
            <v>Sí</v>
          </cell>
          <cell r="D1537" t="str">
            <v>No</v>
          </cell>
        </row>
        <row r="1538">
          <cell r="A1538" t="str">
            <v>A0002174</v>
          </cell>
          <cell r="B1538" t="str">
            <v>Rollo MD-TX2 Wall Tex 1,37x30m</v>
          </cell>
          <cell r="C1538" t="str">
            <v>Sí</v>
          </cell>
          <cell r="D1538" t="str">
            <v>Si</v>
          </cell>
        </row>
        <row r="1539">
          <cell r="A1539" t="str">
            <v>A0002175</v>
          </cell>
          <cell r="B1539" t="str">
            <v>Rollo MD-TX2 Wall Tex 1,52x30m</v>
          </cell>
          <cell r="C1539" t="str">
            <v>Sí</v>
          </cell>
          <cell r="D1539" t="str">
            <v>Si</v>
          </cell>
        </row>
        <row r="1540">
          <cell r="A1540" t="str">
            <v>A0002177</v>
          </cell>
          <cell r="B1540" t="str">
            <v>Rollo Vinilo Polimérico Trifecta Texturizado 1,37x30,5m</v>
          </cell>
          <cell r="C1540" t="str">
            <v>Sí</v>
          </cell>
          <cell r="D1540" t="str">
            <v>Si</v>
          </cell>
        </row>
        <row r="1541">
          <cell r="A1541" t="str">
            <v>A0002178</v>
          </cell>
          <cell r="B1541" t="str">
            <v>Rollo Vinilo Electroestático Ultra-Clear 200m 1,37x45,7m</v>
          </cell>
          <cell r="C1541" t="str">
            <v>Sí</v>
          </cell>
          <cell r="D1541" t="str">
            <v>No</v>
          </cell>
        </row>
        <row r="1542">
          <cell r="A1542" t="str">
            <v>A0002179</v>
          </cell>
          <cell r="B1542" t="str">
            <v>Rollo Vinilo Electroestático Blanco Brillo 200m 1,37x45,7m</v>
          </cell>
          <cell r="C1542" t="str">
            <v>Sí</v>
          </cell>
          <cell r="D1542" t="str">
            <v>No</v>
          </cell>
        </row>
        <row r="1543">
          <cell r="A1543" t="str">
            <v>A0002181</v>
          </cell>
          <cell r="B1543" t="str">
            <v>Rollo Adhesivo Doble Cara Polyester Perm/Rem 1,37x45,7</v>
          </cell>
          <cell r="C1543" t="str">
            <v>Sí</v>
          </cell>
          <cell r="D1543" t="str">
            <v>No</v>
          </cell>
        </row>
        <row r="1544">
          <cell r="A1544" t="str">
            <v>A0002182</v>
          </cell>
          <cell r="B1544" t="str">
            <v>Rollo Adhesivo Doble Cara Polyester PermAE/Rem  1,37x45,7</v>
          </cell>
          <cell r="C1544" t="str">
            <v>Sí</v>
          </cell>
          <cell r="D1544" t="str">
            <v>No</v>
          </cell>
        </row>
        <row r="1545">
          <cell r="A1545" t="str">
            <v>A0002183</v>
          </cell>
          <cell r="B1545" t="str">
            <v>Rollo Adhesivo Doble Cara Blanco Opaco Perm/Perm  1,37x45,7</v>
          </cell>
          <cell r="C1545" t="str">
            <v>Sí</v>
          </cell>
          <cell r="D1545" t="str">
            <v>No</v>
          </cell>
        </row>
        <row r="1546">
          <cell r="A1546" t="str">
            <v>A0002184</v>
          </cell>
          <cell r="B1546" t="str">
            <v>Cortador de Liner Guard Knife</v>
          </cell>
          <cell r="C1546" t="str">
            <v>Sí</v>
          </cell>
          <cell r="D1546" t="str">
            <v>No</v>
          </cell>
        </row>
        <row r="1547">
          <cell r="A1547" t="str">
            <v>A0002185</v>
          </cell>
          <cell r="B1547" t="str">
            <v>Cuchillas Safety Cutter</v>
          </cell>
          <cell r="C1547" t="str">
            <v>Sí</v>
          </cell>
          <cell r="D1547" t="str">
            <v>No</v>
          </cell>
        </row>
        <row r="1548">
          <cell r="A1548" t="str">
            <v>A0002186</v>
          </cell>
          <cell r="B1548" t="str">
            <v>Cuchilla Guard Knife</v>
          </cell>
          <cell r="C1548" t="str">
            <v>Sí</v>
          </cell>
          <cell r="D1548" t="str">
            <v>No</v>
          </cell>
        </row>
        <row r="1549">
          <cell r="A1549" t="str">
            <v>A0001648</v>
          </cell>
          <cell r="B1549" t="str">
            <v>M2 Metamark MetaScape M7A 151 Azul Olímpico 1,22 x 50m</v>
          </cell>
          <cell r="C1549" t="str">
            <v>Sí</v>
          </cell>
          <cell r="D1549" t="str">
            <v>Si</v>
          </cell>
          <cell r="E1549" t="str">
            <v>A0000513</v>
          </cell>
        </row>
        <row r="1550">
          <cell r="A1550" t="str">
            <v>A0001854</v>
          </cell>
          <cell r="B1550" t="str">
            <v>M2 Metamark MetaScape M7A 154 Azul Medio 0,61 x 50m</v>
          </cell>
          <cell r="C1550" t="str">
            <v>Sí</v>
          </cell>
          <cell r="D1550" t="str">
            <v>Si</v>
          </cell>
          <cell r="E1550" t="str">
            <v>A0000513</v>
          </cell>
        </row>
        <row r="1551">
          <cell r="A1551" t="str">
            <v>A0000523</v>
          </cell>
          <cell r="B1551" t="str">
            <v>M2 Metamark MetaScape M7A 154 Azul Medio 1,22 x 50m</v>
          </cell>
          <cell r="C1551" t="str">
            <v>Sí</v>
          </cell>
          <cell r="D1551" t="str">
            <v>Si</v>
          </cell>
          <cell r="E1551" t="str">
            <v>A0000513</v>
          </cell>
        </row>
        <row r="1552">
          <cell r="A1552" t="str">
            <v>A0001912</v>
          </cell>
          <cell r="B1552" t="str">
            <v>M2 Metamark MetaScape M7A 155 Azul Ultramarino 0,61 x 50m</v>
          </cell>
          <cell r="C1552" t="str">
            <v>Sí</v>
          </cell>
          <cell r="D1552" t="str">
            <v>Si</v>
          </cell>
          <cell r="E1552" t="str">
            <v>A0000513</v>
          </cell>
        </row>
        <row r="1553">
          <cell r="A1553" t="str">
            <v>A0000524</v>
          </cell>
          <cell r="B1553" t="str">
            <v>M2 Metamark MetaScape M7A 155 Azul Ultramarino 1,22 x 50m</v>
          </cell>
          <cell r="C1553" t="str">
            <v>Sí</v>
          </cell>
          <cell r="D1553" t="str">
            <v>Si</v>
          </cell>
          <cell r="E1553" t="str">
            <v>A0000513</v>
          </cell>
        </row>
        <row r="1554">
          <cell r="A1554" t="str">
            <v>A0001913</v>
          </cell>
          <cell r="B1554" t="str">
            <v>M2 Metamark MetaScape M7A 156 Azul Naval 0,61 x 50m</v>
          </cell>
          <cell r="C1554" t="str">
            <v>Sí</v>
          </cell>
          <cell r="D1554" t="str">
            <v>Si</v>
          </cell>
          <cell r="E1554" t="str">
            <v>A0000513</v>
          </cell>
        </row>
        <row r="1555">
          <cell r="A1555" t="str">
            <v>A0002193</v>
          </cell>
          <cell r="B1555" t="str">
            <v>Regla SafeEdge Metamark 1620mm</v>
          </cell>
          <cell r="C1555" t="str">
            <v>Sí</v>
          </cell>
          <cell r="D1555" t="str">
            <v>No</v>
          </cell>
        </row>
        <row r="1556">
          <cell r="A1556" t="str">
            <v>A0002194</v>
          </cell>
          <cell r="B1556" t="str">
            <v>Regla SafeEdge Metamark 1400mm</v>
          </cell>
          <cell r="C1556" t="str">
            <v>Sí</v>
          </cell>
          <cell r="D1556" t="str">
            <v>No</v>
          </cell>
        </row>
        <row r="1557">
          <cell r="A1557" t="str">
            <v>A0002195</v>
          </cell>
          <cell r="B1557" t="str">
            <v>Regla SafeEdge Metamark 1250mm</v>
          </cell>
          <cell r="C1557" t="str">
            <v>Sí</v>
          </cell>
          <cell r="D1557" t="str">
            <v>No</v>
          </cell>
        </row>
        <row r="1558">
          <cell r="A1558" t="str">
            <v>A0002196</v>
          </cell>
          <cell r="B1558" t="str">
            <v>Regla SafeEdge Metamark 620mm</v>
          </cell>
          <cell r="C1558" t="str">
            <v>Sí</v>
          </cell>
          <cell r="D1558" t="str">
            <v>No</v>
          </cell>
        </row>
        <row r="1559">
          <cell r="A1559" t="str">
            <v>A0002197</v>
          </cell>
          <cell r="B1559" t="str">
            <v>Metro SoftGrip Metamark 3m</v>
          </cell>
          <cell r="C1559" t="str">
            <v>Sí</v>
          </cell>
          <cell r="D1559" t="str">
            <v>No</v>
          </cell>
        </row>
        <row r="1560">
          <cell r="A1560" t="str">
            <v>A0002198</v>
          </cell>
          <cell r="B1560" t="str">
            <v>Metro SoftGrip Metamark 8m</v>
          </cell>
          <cell r="C1560" t="str">
            <v>Sí</v>
          </cell>
          <cell r="D1560" t="str">
            <v>No</v>
          </cell>
        </row>
        <row r="1561">
          <cell r="A1561" t="str">
            <v>A0002199</v>
          </cell>
          <cell r="B1561" t="str">
            <v>Rollo Impresión Polyester Free Pvc Blanco Mate 1,37x50m</v>
          </cell>
          <cell r="C1561" t="str">
            <v>Sí</v>
          </cell>
          <cell r="D1561" t="str">
            <v>No</v>
          </cell>
        </row>
        <row r="1562">
          <cell r="A1562" t="str">
            <v>A0002200</v>
          </cell>
          <cell r="B1562" t="str">
            <v>Rollo Laminación Polyester Free Pvc Transparente Brillo 1,37x50m</v>
          </cell>
          <cell r="C1562" t="str">
            <v>Sí</v>
          </cell>
          <cell r="D1562" t="str">
            <v>No</v>
          </cell>
        </row>
        <row r="1563">
          <cell r="A1563" t="str">
            <v>A0002201</v>
          </cell>
          <cell r="B1563" t="str">
            <v>ML Ferromagnético 0.18mm espesor 1,37x30m</v>
          </cell>
          <cell r="C1563" t="str">
            <v>Sí</v>
          </cell>
          <cell r="D1563" t="str">
            <v>No</v>
          </cell>
        </row>
        <row r="1564">
          <cell r="A1564" t="str">
            <v>A0002202</v>
          </cell>
          <cell r="B1564" t="str">
            <v>Rollo LaminadoExtreme Guard Antigravilla 300 micras 1,37x45m</v>
          </cell>
          <cell r="C1564" t="str">
            <v>Sí</v>
          </cell>
          <cell r="D1564" t="str">
            <v>No</v>
          </cell>
        </row>
        <row r="1565">
          <cell r="A1565" t="str">
            <v>A0002203</v>
          </cell>
          <cell r="B1565" t="str">
            <v>Rollo Reflectiv Film transparente 61185 Azul Azure 1,52x5m</v>
          </cell>
          <cell r="C1565" t="str">
            <v>Sí</v>
          </cell>
          <cell r="D1565" t="str">
            <v>No</v>
          </cell>
        </row>
        <row r="1566">
          <cell r="A1566" t="str">
            <v>A0002204</v>
          </cell>
          <cell r="B1566" t="str">
            <v>ML Magnético 0.5mm espesor Natural 0.61x30m</v>
          </cell>
          <cell r="C1566" t="str">
            <v>Sí</v>
          </cell>
          <cell r="D1566" t="str">
            <v>No</v>
          </cell>
        </row>
        <row r="1567">
          <cell r="A1567" t="str">
            <v>A0002205</v>
          </cell>
          <cell r="B1567" t="str">
            <v>ML Magnético 0.7mm espesor + Adhesivo 0.61x50m</v>
          </cell>
          <cell r="C1567" t="str">
            <v>Sí</v>
          </cell>
          <cell r="D1567" t="str">
            <v>No</v>
          </cell>
        </row>
        <row r="1568">
          <cell r="A1568" t="str">
            <v>A0002206</v>
          </cell>
          <cell r="B1568" t="str">
            <v>ML Magnético 1mm espesor + Adhesivo 0.61x30m</v>
          </cell>
          <cell r="C1568" t="str">
            <v>Sí</v>
          </cell>
          <cell r="D1568" t="str">
            <v>No</v>
          </cell>
        </row>
        <row r="1569">
          <cell r="A1569" t="str">
            <v>A0002207</v>
          </cell>
          <cell r="B1569" t="str">
            <v>Tinta EcoUV 4 Magenta 500cc</v>
          </cell>
          <cell r="C1569" t="str">
            <v>Sí</v>
          </cell>
          <cell r="D1569" t="str">
            <v>Si</v>
          </cell>
          <cell r="E1569" t="str">
            <v>A0000996</v>
          </cell>
        </row>
        <row r="1570">
          <cell r="A1570" t="str">
            <v>A0002208</v>
          </cell>
          <cell r="B1570" t="str">
            <v>Tinta EcoUV 4 Cyan 500cc</v>
          </cell>
          <cell r="C1570" t="str">
            <v>Sí</v>
          </cell>
          <cell r="D1570" t="str">
            <v>Si</v>
          </cell>
          <cell r="E1570" t="str">
            <v>A0000996</v>
          </cell>
        </row>
        <row r="1571">
          <cell r="A1571" t="str">
            <v>A0002209</v>
          </cell>
          <cell r="B1571" t="str">
            <v>Tinta EcoUV 4 Gloss 500cc</v>
          </cell>
          <cell r="C1571" t="str">
            <v>Sí</v>
          </cell>
          <cell r="D1571" t="str">
            <v>Si</v>
          </cell>
          <cell r="E1571" t="str">
            <v>A0000996</v>
          </cell>
        </row>
        <row r="1572">
          <cell r="A1572" t="str">
            <v>A0002210</v>
          </cell>
          <cell r="B1572" t="str">
            <v>Tinta EcoUV 4 Negro 500cc</v>
          </cell>
          <cell r="C1572" t="str">
            <v>Sí</v>
          </cell>
          <cell r="D1572" t="str">
            <v>Si</v>
          </cell>
          <cell r="E1572" t="str">
            <v>A0000996</v>
          </cell>
        </row>
        <row r="1573">
          <cell r="A1573" t="str">
            <v>A0002211</v>
          </cell>
          <cell r="B1573" t="str">
            <v>Tinta EcoUV 4 Amarillo 500cc</v>
          </cell>
          <cell r="C1573" t="str">
            <v>Sí</v>
          </cell>
          <cell r="D1573" t="str">
            <v>Si</v>
          </cell>
          <cell r="E1573" t="str">
            <v>A0000996</v>
          </cell>
        </row>
        <row r="1574">
          <cell r="A1574" t="str">
            <v>A0002212</v>
          </cell>
          <cell r="B1574" t="str">
            <v>Rollo LaminadoExtreme Guard Antigravilla 250 micras 1,37x45m</v>
          </cell>
          <cell r="C1574" t="str">
            <v>Sí</v>
          </cell>
          <cell r="D1574" t="str">
            <v>Si</v>
          </cell>
        </row>
        <row r="1575">
          <cell r="A1575" t="str">
            <v>A0002213</v>
          </cell>
          <cell r="B1575" t="str">
            <v>Rollo Reflectiv AUT P05 46mc 1,52x5m</v>
          </cell>
          <cell r="C1575" t="str">
            <v>Sí</v>
          </cell>
          <cell r="D1575" t="str">
            <v>No</v>
          </cell>
          <cell r="E1575" t="str">
            <v>A0001174</v>
          </cell>
        </row>
        <row r="1576">
          <cell r="A1576" t="str">
            <v>A0000525</v>
          </cell>
          <cell r="B1576" t="str">
            <v>M2 Metamark MetaScape M7A 156 Azul Naval 1,22 x 50m</v>
          </cell>
          <cell r="C1576" t="str">
            <v>Sí</v>
          </cell>
          <cell r="D1576" t="str">
            <v>Si</v>
          </cell>
          <cell r="E1576" t="str">
            <v>A0000513</v>
          </cell>
        </row>
        <row r="1577">
          <cell r="A1577" t="str">
            <v>A0001916</v>
          </cell>
          <cell r="B1577" t="str">
            <v>M2 Metamark MetaScape M7A 162 Verde Esmeralda 0,61 x 50m</v>
          </cell>
          <cell r="C1577" t="str">
            <v>Sí</v>
          </cell>
          <cell r="D1577" t="str">
            <v>Si</v>
          </cell>
          <cell r="E1577" t="str">
            <v>A0000103</v>
          </cell>
        </row>
        <row r="1578">
          <cell r="A1578" t="str">
            <v>A0001915</v>
          </cell>
          <cell r="B1578" t="str">
            <v>M2 Metamark MetaScape M7A 162 Verde Esmeralda 1,22 x 50m</v>
          </cell>
          <cell r="C1578" t="str">
            <v>Sí</v>
          </cell>
          <cell r="D1578" t="str">
            <v>Si</v>
          </cell>
          <cell r="E1578" t="str">
            <v>A0000103</v>
          </cell>
        </row>
        <row r="1579">
          <cell r="A1579" t="str">
            <v>A0002217</v>
          </cell>
          <cell r="B1579" t="str">
            <v>ML Cad-Cut Disco 2004 Amarillo Oro 500mm</v>
          </cell>
          <cell r="C1579" t="str">
            <v>Sí</v>
          </cell>
          <cell r="D1579" t="str">
            <v>No</v>
          </cell>
        </row>
        <row r="1580">
          <cell r="A1580" t="str">
            <v>A0002218</v>
          </cell>
          <cell r="B1580" t="str">
            <v>ML Cad-Cut Disco 2001 Azul 500mm</v>
          </cell>
          <cell r="C1580" t="str">
            <v>Sí</v>
          </cell>
          <cell r="D1580" t="str">
            <v>No</v>
          </cell>
        </row>
        <row r="1581">
          <cell r="A1581" t="str">
            <v>A0002219</v>
          </cell>
          <cell r="B1581" t="str">
            <v>ML Cad-Cut Glow in the Dark 500mm</v>
          </cell>
          <cell r="C1581" t="str">
            <v>Sí</v>
          </cell>
          <cell r="D1581" t="str">
            <v>No</v>
          </cell>
        </row>
        <row r="1582">
          <cell r="A1582" t="str">
            <v>A0001857</v>
          </cell>
          <cell r="B1582" t="str">
            <v>M2 Metamark MetaScape M7A 164 Verde Bosque 0,61 x 50m</v>
          </cell>
          <cell r="C1582" t="str">
            <v>Sí</v>
          </cell>
          <cell r="D1582" t="str">
            <v>Si</v>
          </cell>
          <cell r="E1582" t="str">
            <v>A0000513</v>
          </cell>
        </row>
        <row r="1583">
          <cell r="A1583" t="str">
            <v>A0000526</v>
          </cell>
          <cell r="B1583" t="str">
            <v>M2 Metamark MetaScape M7A 164 Verde Bosque 1,22 x 50m</v>
          </cell>
          <cell r="C1583" t="str">
            <v>Sí</v>
          </cell>
          <cell r="D1583" t="str">
            <v>Si</v>
          </cell>
          <cell r="E1583" t="str">
            <v>A0000513</v>
          </cell>
        </row>
        <row r="1584">
          <cell r="A1584" t="str">
            <v>A0002222</v>
          </cell>
          <cell r="B1584" t="str">
            <v>Rollo Cad-Color Glow in the Dark 500mm</v>
          </cell>
          <cell r="C1584" t="str">
            <v>Sí</v>
          </cell>
          <cell r="D1584" t="str">
            <v>No</v>
          </cell>
        </row>
        <row r="1585">
          <cell r="A1585" t="str">
            <v>A0002223</v>
          </cell>
          <cell r="B1585" t="str">
            <v>6000005883 - Assy, PinchRoll R CG2162_01</v>
          </cell>
          <cell r="C1585" t="str">
            <v>Sí</v>
          </cell>
          <cell r="D1585" t="str">
            <v>No</v>
          </cell>
        </row>
        <row r="1586">
          <cell r="A1586" t="str">
            <v>A0002224</v>
          </cell>
          <cell r="B1586" t="str">
            <v>Rollo Termo Adhesive 30cm x 9,1m</v>
          </cell>
          <cell r="C1586" t="str">
            <v>Sí</v>
          </cell>
          <cell r="D1586" t="str">
            <v>Si</v>
          </cell>
        </row>
        <row r="1587">
          <cell r="A1587" t="str">
            <v>A0002225</v>
          </cell>
          <cell r="B1587" t="str">
            <v>Rollo VinylEfx S6501 Fine Brush Silver Interior 0,61 x 45,7m</v>
          </cell>
          <cell r="C1587" t="str">
            <v>Sí</v>
          </cell>
          <cell r="D1587" t="str">
            <v>Si</v>
          </cell>
        </row>
        <row r="1588">
          <cell r="A1588" t="str">
            <v>A0002226</v>
          </cell>
          <cell r="B1588" t="str">
            <v>Rollo VinylEfx Fine Brush Silver Exterior 1,22 x 45,7m</v>
          </cell>
          <cell r="C1588" t="str">
            <v>Sí</v>
          </cell>
          <cell r="D1588" t="str">
            <v>Si</v>
          </cell>
        </row>
        <row r="1589">
          <cell r="A1589" t="str">
            <v>A0002227</v>
          </cell>
          <cell r="B1589" t="str">
            <v>Rollo VinylEfx Fine Brush Silver Interior 1,22 x 45,7m</v>
          </cell>
          <cell r="C1589" t="str">
            <v>Sí</v>
          </cell>
          <cell r="D1589" t="str">
            <v>Si</v>
          </cell>
        </row>
        <row r="1590">
          <cell r="A1590" t="str">
            <v>A0002228</v>
          </cell>
          <cell r="B1590" t="str">
            <v>Rollo VinylEfx Fine Brush Silver Interior 1,37 x 45,7m</v>
          </cell>
          <cell r="C1590" t="str">
            <v>Sí</v>
          </cell>
          <cell r="D1590" t="str">
            <v>Si</v>
          </cell>
        </row>
        <row r="1591">
          <cell r="A1591" t="str">
            <v>A0002229</v>
          </cell>
          <cell r="B1591" t="str">
            <v>Rollo VinylEfx Smooth Silver Exterior 0,61 x 45,7m</v>
          </cell>
          <cell r="C1591" t="str">
            <v>Sí</v>
          </cell>
          <cell r="D1591" t="str">
            <v>Si</v>
          </cell>
        </row>
        <row r="1592">
          <cell r="A1592" t="str">
            <v>A0002230</v>
          </cell>
          <cell r="B1592" t="str">
            <v>Rollo VinylEfx Smooth Silver Interior 0,61 x 45,7m</v>
          </cell>
          <cell r="C1592" t="str">
            <v>Sí</v>
          </cell>
          <cell r="D1592" t="str">
            <v>Si</v>
          </cell>
        </row>
        <row r="1593">
          <cell r="A1593" t="str">
            <v>A0002231</v>
          </cell>
          <cell r="B1593" t="str">
            <v>Rollo VinylEfx Smooth Silver Interior 1,22 x 45,7m</v>
          </cell>
          <cell r="C1593" t="str">
            <v>Sí</v>
          </cell>
          <cell r="D1593" t="str">
            <v>Si</v>
          </cell>
        </row>
        <row r="1594">
          <cell r="A1594" t="str">
            <v>A0002232</v>
          </cell>
          <cell r="B1594" t="str">
            <v>Rollo VinylEfx Smooth Silver Exterior 1,22 x 45,7m</v>
          </cell>
          <cell r="C1594" t="str">
            <v>Sí</v>
          </cell>
          <cell r="D1594" t="str">
            <v>Si</v>
          </cell>
        </row>
        <row r="1595">
          <cell r="A1595" t="str">
            <v>A0002233</v>
          </cell>
          <cell r="B1595" t="str">
            <v>Rollo VinylEfx Smooth Silver Interior 1,37 x 45,7m</v>
          </cell>
          <cell r="C1595" t="str">
            <v>Sí</v>
          </cell>
          <cell r="D1595" t="str">
            <v>Si</v>
          </cell>
        </row>
        <row r="1596">
          <cell r="A1596" t="str">
            <v>A0002234</v>
          </cell>
          <cell r="B1596" t="str">
            <v>Rollo VinylEfx Smooth Gold Exterior 0,61 x 45,7m</v>
          </cell>
          <cell r="C1596" t="str">
            <v>Sí</v>
          </cell>
          <cell r="D1596" t="str">
            <v>Si</v>
          </cell>
        </row>
        <row r="1597">
          <cell r="A1597" t="str">
            <v>A0002235</v>
          </cell>
          <cell r="B1597" t="str">
            <v>Rollo VinylEfx Smooth Gold Interior 0,61 x 45,7m</v>
          </cell>
          <cell r="C1597" t="str">
            <v>Sí</v>
          </cell>
          <cell r="D1597" t="str">
            <v>Si</v>
          </cell>
        </row>
        <row r="1598">
          <cell r="A1598" t="str">
            <v>A0002236</v>
          </cell>
          <cell r="B1598" t="str">
            <v>Rollo VinylEfx Smooth Gold Exterior 1,22 x 45,7m</v>
          </cell>
          <cell r="C1598" t="str">
            <v>Sí</v>
          </cell>
          <cell r="D1598" t="str">
            <v>Si</v>
          </cell>
        </row>
        <row r="1599">
          <cell r="A1599" t="str">
            <v>A0002237</v>
          </cell>
          <cell r="B1599" t="str">
            <v>Rollo VinylEfx Smooth Gold Interior 1,22 x 45,7m</v>
          </cell>
          <cell r="C1599" t="str">
            <v>Sí</v>
          </cell>
          <cell r="D1599" t="str">
            <v>Si</v>
          </cell>
        </row>
        <row r="1600">
          <cell r="A1600" t="str">
            <v>A0002238</v>
          </cell>
          <cell r="B1600" t="str">
            <v>Rollo VinylEfx Smooth Gold Interior 1,37 x 45,7m</v>
          </cell>
          <cell r="C1600" t="str">
            <v>Sí</v>
          </cell>
          <cell r="D1600" t="str">
            <v>Si</v>
          </cell>
        </row>
        <row r="1601">
          <cell r="A1601" t="str">
            <v>A0002239</v>
          </cell>
          <cell r="B1601" t="str">
            <v>Rollo VinylEfx Smooth Rose Gold Exterior 0,61 x 45,7m</v>
          </cell>
          <cell r="C1601" t="str">
            <v>Sí</v>
          </cell>
          <cell r="D1601" t="str">
            <v>Si</v>
          </cell>
        </row>
        <row r="1602">
          <cell r="A1602" t="str">
            <v>A0002240</v>
          </cell>
          <cell r="B1602" t="str">
            <v>Rollo VinylEfx Smooth Rose Gold Interior 0,61 x 45,7m</v>
          </cell>
          <cell r="C1602" t="str">
            <v>Sí</v>
          </cell>
          <cell r="D1602" t="str">
            <v>Si</v>
          </cell>
        </row>
        <row r="1603">
          <cell r="A1603" t="str">
            <v>A0002241</v>
          </cell>
          <cell r="B1603" t="str">
            <v>Rollo VinylEfx Smooth Rose Gold Exterior 1,22 x 45,7m</v>
          </cell>
          <cell r="C1603" t="str">
            <v>Sí</v>
          </cell>
          <cell r="D1603" t="str">
            <v>Si</v>
          </cell>
        </row>
        <row r="1604">
          <cell r="A1604" t="str">
            <v>A0002242</v>
          </cell>
          <cell r="B1604" t="str">
            <v>Rollo VinylEfx Smooth Rose Gold Interior 1,22 x 45,7m</v>
          </cell>
          <cell r="C1604" t="str">
            <v>Sí</v>
          </cell>
          <cell r="D1604" t="str">
            <v>Si</v>
          </cell>
        </row>
        <row r="1605">
          <cell r="A1605" t="str">
            <v>A0002243</v>
          </cell>
          <cell r="B1605" t="str">
            <v>Rollo VinylEfx Smooth Champagne Interior 0,61 x 45,7m</v>
          </cell>
          <cell r="C1605" t="str">
            <v>Sí</v>
          </cell>
          <cell r="D1605" t="str">
            <v>Si</v>
          </cell>
        </row>
        <row r="1606">
          <cell r="A1606" t="str">
            <v>A0002244</v>
          </cell>
          <cell r="B1606" t="str">
            <v>Rollo VinylEfx Smooth Champagne Exterior 0,61 x 45,7m</v>
          </cell>
          <cell r="C1606" t="str">
            <v>Sí</v>
          </cell>
          <cell r="D1606" t="str">
            <v>Si</v>
          </cell>
        </row>
        <row r="1607">
          <cell r="A1607" t="str">
            <v>A0002245</v>
          </cell>
          <cell r="B1607" t="str">
            <v>Rollo VinylEfx Smooth Champagne Exterior 1,22 x 45,7m</v>
          </cell>
          <cell r="C1607" t="str">
            <v>Sí</v>
          </cell>
          <cell r="D1607" t="str">
            <v>Si</v>
          </cell>
        </row>
        <row r="1608">
          <cell r="A1608" t="str">
            <v>A0002246</v>
          </cell>
          <cell r="B1608" t="str">
            <v>Rollo VinylEfx Smooth Champagne Interior 1,22 x 45,7m</v>
          </cell>
          <cell r="C1608" t="str">
            <v>Sí</v>
          </cell>
          <cell r="D1608" t="str">
            <v>Si</v>
          </cell>
        </row>
        <row r="1609">
          <cell r="A1609" t="str">
            <v>A0002247</v>
          </cell>
          <cell r="B1609" t="str">
            <v>Rollo VinylEfx Smooth Satin Copper Interior 0,61 x 45,7m</v>
          </cell>
          <cell r="C1609" t="str">
            <v>Sí</v>
          </cell>
          <cell r="D1609" t="str">
            <v>Si</v>
          </cell>
        </row>
        <row r="1610">
          <cell r="A1610" t="str">
            <v>A0002248</v>
          </cell>
          <cell r="B1610" t="str">
            <v>Rollo VinylEfx Smooth Satin Copper Exterior 0,61 x 45,7m</v>
          </cell>
          <cell r="C1610" t="str">
            <v>Sí</v>
          </cell>
          <cell r="D1610" t="str">
            <v>Si</v>
          </cell>
        </row>
        <row r="1611">
          <cell r="A1611" t="str">
            <v>A0002249</v>
          </cell>
          <cell r="B1611" t="str">
            <v>Rollo VinylEfx Smooth Satin Copper Exterior 1,22 x 45,7m</v>
          </cell>
          <cell r="C1611" t="str">
            <v>Sí</v>
          </cell>
          <cell r="D1611" t="str">
            <v>Si</v>
          </cell>
        </row>
        <row r="1612">
          <cell r="A1612" t="str">
            <v>A0002250</v>
          </cell>
          <cell r="B1612" t="str">
            <v>Rollo VinylEfx Smooth Satin Copper Interior 1,22 x 45,7m</v>
          </cell>
          <cell r="C1612" t="str">
            <v>Sí</v>
          </cell>
          <cell r="D1612" t="str">
            <v>Si</v>
          </cell>
        </row>
        <row r="1613">
          <cell r="A1613" t="str">
            <v>A0002251</v>
          </cell>
          <cell r="B1613" t="str">
            <v>Rollo VinylEfx Smooth Bronze Interior 0,61 x 45,7m</v>
          </cell>
          <cell r="C1613" t="str">
            <v>Sí</v>
          </cell>
          <cell r="D1613" t="str">
            <v>Si</v>
          </cell>
        </row>
        <row r="1614">
          <cell r="A1614" t="str">
            <v>A0002252</v>
          </cell>
          <cell r="B1614" t="str">
            <v>Rollo VinylEfx Smooth Bronze Exterior 0,61 x 45,7m</v>
          </cell>
          <cell r="C1614" t="str">
            <v>Sí</v>
          </cell>
          <cell r="D1614" t="str">
            <v>Si</v>
          </cell>
        </row>
        <row r="1615">
          <cell r="A1615" t="str">
            <v>A0002253</v>
          </cell>
          <cell r="B1615" t="str">
            <v>Rollo VinylEfx Smooth Bronze Exterior 1,22 x 45,7m</v>
          </cell>
          <cell r="C1615" t="str">
            <v>Sí</v>
          </cell>
          <cell r="D1615" t="str">
            <v>Si</v>
          </cell>
        </row>
        <row r="1616">
          <cell r="A1616" t="str">
            <v>A0002254</v>
          </cell>
          <cell r="B1616" t="str">
            <v>Rollo VinylEfx Smooth Bronze Interior 1,22 x 45,7m</v>
          </cell>
          <cell r="C1616" t="str">
            <v>Sí</v>
          </cell>
          <cell r="D1616" t="str">
            <v>Si</v>
          </cell>
        </row>
        <row r="1617">
          <cell r="A1617" t="str">
            <v>A0002255</v>
          </cell>
          <cell r="B1617" t="str">
            <v>Rollo VinylEfx S7901 Rainbow Brite Overall Silver Interior 0,61 x 45,7m</v>
          </cell>
          <cell r="C1617" t="str">
            <v>Sí</v>
          </cell>
          <cell r="D1617" t="str">
            <v>Si</v>
          </cell>
        </row>
        <row r="1618">
          <cell r="A1618" t="str">
            <v>A0002256</v>
          </cell>
          <cell r="B1618" t="str">
            <v>Rollo VinylEfx E7901 Rainbow Brite Overall Silver Exterior 0,61 x 45,7m</v>
          </cell>
          <cell r="C1618" t="str">
            <v>Sí</v>
          </cell>
          <cell r="D1618" t="str">
            <v>Si</v>
          </cell>
        </row>
        <row r="1619">
          <cell r="A1619" t="str">
            <v>A0002257</v>
          </cell>
          <cell r="B1619" t="str">
            <v>Rollo VinylEfx Fine Brush Rose Gold Interior 0,61 x 45,7m</v>
          </cell>
          <cell r="C1619" t="str">
            <v>Sí</v>
          </cell>
          <cell r="D1619" t="str">
            <v>Si</v>
          </cell>
        </row>
        <row r="1620">
          <cell r="A1620" t="str">
            <v>A0002258</v>
          </cell>
          <cell r="B1620" t="str">
            <v>Rollo VinylEfx Fine Brush Gold Exterior 1,22 x 45,7m</v>
          </cell>
          <cell r="C1620" t="str">
            <v>Sí</v>
          </cell>
          <cell r="D1620" t="str">
            <v>Si</v>
          </cell>
        </row>
        <row r="1621">
          <cell r="A1621" t="str">
            <v>A0002259</v>
          </cell>
          <cell r="B1621" t="str">
            <v>Rollo VinylEfx Fine Brush Gold Exterior 0,61 x 45,7m</v>
          </cell>
          <cell r="C1621" t="str">
            <v>Sí</v>
          </cell>
          <cell r="D1621" t="str">
            <v>Si</v>
          </cell>
        </row>
        <row r="1622">
          <cell r="A1622" t="str">
            <v>A0002260</v>
          </cell>
          <cell r="B1622" t="str">
            <v>Rollo VinylEfx Fine Brush Rose Gold Exterior 1,22 x 45,7m</v>
          </cell>
          <cell r="C1622" t="str">
            <v>Sí</v>
          </cell>
          <cell r="D1622" t="str">
            <v>Si</v>
          </cell>
        </row>
        <row r="1623">
          <cell r="A1623" t="str">
            <v>A0002261</v>
          </cell>
          <cell r="B1623" t="str">
            <v>Rollo VinylEfx Fine Brush Rose Gold Exterior 0,61 x 45,7m</v>
          </cell>
          <cell r="C1623" t="str">
            <v>Sí</v>
          </cell>
          <cell r="D1623" t="str">
            <v>Si</v>
          </cell>
        </row>
        <row r="1624">
          <cell r="A1624" t="str">
            <v>A0002262</v>
          </cell>
          <cell r="B1624" t="str">
            <v>Rollo VinylEfx Fine Brush Rose Gold Interior 1,22 x 45,7m</v>
          </cell>
          <cell r="C1624" t="str">
            <v>Sí</v>
          </cell>
          <cell r="D1624" t="str">
            <v>Si</v>
          </cell>
        </row>
        <row r="1625">
          <cell r="A1625" t="str">
            <v>A0002263</v>
          </cell>
          <cell r="B1625" t="str">
            <v>Rollo VinylEfx Fine Brush Champagne Interior 0,61 x 45,7m</v>
          </cell>
          <cell r="C1625" t="str">
            <v>Sí</v>
          </cell>
          <cell r="D1625" t="str">
            <v>Si</v>
          </cell>
        </row>
        <row r="1626">
          <cell r="A1626" t="str">
            <v>A0002264</v>
          </cell>
          <cell r="B1626" t="str">
            <v>Rollo VinylEfx Fine Brush Champagne Exterior 1,22 x 45,7m</v>
          </cell>
          <cell r="C1626" t="str">
            <v>Sí</v>
          </cell>
          <cell r="D1626" t="str">
            <v>Si</v>
          </cell>
        </row>
        <row r="1627">
          <cell r="A1627" t="str">
            <v>A0002265</v>
          </cell>
          <cell r="B1627" t="str">
            <v>Rollo VinylEfx Fine Brush Champagne Exterior 0,61 x 45,7m</v>
          </cell>
          <cell r="C1627" t="str">
            <v>Sí</v>
          </cell>
          <cell r="D1627" t="str">
            <v>Si</v>
          </cell>
        </row>
        <row r="1628">
          <cell r="A1628" t="str">
            <v>A0002266</v>
          </cell>
          <cell r="B1628" t="str">
            <v>Rollo VinylEfx Fine Brush Champagne Interior 1,22 x 45,7m</v>
          </cell>
          <cell r="C1628" t="str">
            <v>Sí</v>
          </cell>
          <cell r="D1628" t="str">
            <v>Si</v>
          </cell>
        </row>
        <row r="1629">
          <cell r="A1629" t="str">
            <v>A0002267</v>
          </cell>
          <cell r="B1629" t="str">
            <v>Rollo VinylEfx Fine Brush Satin Copper Interior 0,61 x 45,7m</v>
          </cell>
          <cell r="C1629" t="str">
            <v>Sí</v>
          </cell>
          <cell r="D1629" t="str">
            <v>Si</v>
          </cell>
        </row>
        <row r="1630">
          <cell r="A1630" t="str">
            <v>A0002268</v>
          </cell>
          <cell r="B1630" t="str">
            <v>Rollo VinylEfx Fine Brush Satin Copper Exterior 0,61 x 45,7m</v>
          </cell>
          <cell r="C1630" t="str">
            <v>Sí</v>
          </cell>
          <cell r="D1630" t="str">
            <v>Si</v>
          </cell>
        </row>
        <row r="1631">
          <cell r="A1631" t="str">
            <v>A0002269</v>
          </cell>
          <cell r="B1631" t="str">
            <v>Rollo VinylEfx Fine Brush Satin Copper Interior 1,22 x 45,7m</v>
          </cell>
          <cell r="C1631" t="str">
            <v>Sí</v>
          </cell>
          <cell r="D1631" t="str">
            <v>Si</v>
          </cell>
        </row>
        <row r="1632">
          <cell r="A1632" t="str">
            <v>A0002270</v>
          </cell>
          <cell r="B1632" t="str">
            <v>Rollo VinylEfx Fine Brush Satin Copper Exterior 1,22 x 45,7m</v>
          </cell>
          <cell r="C1632" t="str">
            <v>Sí</v>
          </cell>
          <cell r="D1632" t="str">
            <v>Si</v>
          </cell>
        </row>
        <row r="1633">
          <cell r="A1633" t="str">
            <v>A0002271</v>
          </cell>
          <cell r="B1633" t="str">
            <v>Rollo VinylEfx Fine Brush Bronze Interior 0,61 x 45,7m</v>
          </cell>
          <cell r="C1633" t="str">
            <v>Sí</v>
          </cell>
          <cell r="D1633" t="str">
            <v>Si</v>
          </cell>
        </row>
        <row r="1634">
          <cell r="A1634" t="str">
            <v>A0002272</v>
          </cell>
          <cell r="B1634" t="str">
            <v>Rollo VinylEfx Fine Brush Bronze Exterior 0,61 x 45,7m</v>
          </cell>
          <cell r="C1634" t="str">
            <v>Sí</v>
          </cell>
          <cell r="D1634" t="str">
            <v>Si</v>
          </cell>
        </row>
        <row r="1635">
          <cell r="A1635" t="str">
            <v>A0002273</v>
          </cell>
          <cell r="B1635" t="str">
            <v>Rollo VinylEfx Fine Brush Bronze Interior 1,22 x 45,7m</v>
          </cell>
          <cell r="C1635" t="str">
            <v>Sí</v>
          </cell>
          <cell r="D1635" t="str">
            <v>Si</v>
          </cell>
        </row>
        <row r="1636">
          <cell r="A1636" t="str">
            <v>A0002274</v>
          </cell>
          <cell r="B1636" t="str">
            <v>Rollo VinylEfx Fine Brush Bronze Exterior 1,22 x 45,7m</v>
          </cell>
          <cell r="C1636" t="str">
            <v>Sí</v>
          </cell>
          <cell r="D1636" t="str">
            <v>Si</v>
          </cell>
        </row>
        <row r="1637">
          <cell r="A1637" t="str">
            <v>A0002275</v>
          </cell>
          <cell r="B1637" t="str">
            <v>Rollo VinylEfx Metal Flake Gold Interior 0,61 x 45,7m</v>
          </cell>
          <cell r="C1637" t="str">
            <v>Sí</v>
          </cell>
          <cell r="D1637" t="str">
            <v>Si</v>
          </cell>
        </row>
        <row r="1638">
          <cell r="A1638" t="str">
            <v>A0002276</v>
          </cell>
          <cell r="B1638" t="str">
            <v>Rollo VinylEfx Metal Flake Silver Interior 0,61 x 45,7m</v>
          </cell>
          <cell r="C1638" t="str">
            <v>Sí</v>
          </cell>
          <cell r="D1638" t="str">
            <v>Si</v>
          </cell>
        </row>
        <row r="1639">
          <cell r="A1639" t="str">
            <v>A0002277</v>
          </cell>
          <cell r="B1639" t="str">
            <v>Rollo VinylEfx Metal Flake Silver Interior 1,22 x 45,7m</v>
          </cell>
          <cell r="C1639" t="str">
            <v>Sí</v>
          </cell>
          <cell r="D1639" t="str">
            <v>Si</v>
          </cell>
        </row>
        <row r="1640">
          <cell r="A1640" t="str">
            <v>A0002278</v>
          </cell>
          <cell r="B1640" t="str">
            <v>Rollo VinylEfx Metal Flake Red Interior 0,61 x 45,7m</v>
          </cell>
          <cell r="C1640" t="str">
            <v>Sí</v>
          </cell>
          <cell r="D1640" t="str">
            <v>Si</v>
          </cell>
        </row>
        <row r="1641">
          <cell r="A1641" t="str">
            <v>A0002279</v>
          </cell>
          <cell r="B1641" t="str">
            <v>Rollo VinylEfx Metal Flake Royal Blue Interior 0,61 x 45,7m</v>
          </cell>
          <cell r="C1641" t="str">
            <v>Sí</v>
          </cell>
          <cell r="D1641" t="str">
            <v>Si</v>
          </cell>
        </row>
        <row r="1642">
          <cell r="A1642" t="str">
            <v>A0002282</v>
          </cell>
          <cell r="B1642" t="str">
            <v>Rollo VinylEfx Multi Lens Royal Blue Interior 0,61 x 45,7m</v>
          </cell>
          <cell r="C1642" t="str">
            <v>Sí</v>
          </cell>
          <cell r="D1642" t="str">
            <v>Si</v>
          </cell>
        </row>
        <row r="1643">
          <cell r="A1643" t="str">
            <v>A0002283</v>
          </cell>
          <cell r="B1643" t="str">
            <v>Rollo VinylEfx Diamond Plate Silver Interior 0,61 x 45,7m</v>
          </cell>
          <cell r="C1643" t="str">
            <v>Sí</v>
          </cell>
          <cell r="D1643" t="str">
            <v>Si</v>
          </cell>
        </row>
        <row r="1644">
          <cell r="A1644" t="str">
            <v>A0002284</v>
          </cell>
          <cell r="B1644" t="str">
            <v>Rollo VinylEfx Diamond Plate Silver Exterior 0,61 x 45,7m</v>
          </cell>
          <cell r="C1644" t="str">
            <v>Sí</v>
          </cell>
          <cell r="D1644" t="str">
            <v>Si</v>
          </cell>
        </row>
        <row r="1645">
          <cell r="A1645" t="str">
            <v>A0002285</v>
          </cell>
          <cell r="B1645" t="str">
            <v>Rollo VinylEfx Large Engine Turn Gold Exterior 0,61 x 45,7m</v>
          </cell>
          <cell r="C1645" t="str">
            <v>Sí</v>
          </cell>
          <cell r="D1645" t="str">
            <v>Si</v>
          </cell>
        </row>
        <row r="1646">
          <cell r="A1646" t="str">
            <v>A0002286</v>
          </cell>
          <cell r="B1646" t="str">
            <v>Rollo VinylEfx Florentine Leaf Gold Interior 0,61 x 45,7m</v>
          </cell>
          <cell r="C1646" t="str">
            <v>Sí</v>
          </cell>
          <cell r="D1646" t="str">
            <v>Si</v>
          </cell>
        </row>
        <row r="1647">
          <cell r="A1647" t="str">
            <v>A0002287</v>
          </cell>
          <cell r="B1647" t="str">
            <v>Rollo VinylEfx Florentine Leaf Gold Exterior 0,61 x 45,7m</v>
          </cell>
          <cell r="C1647" t="str">
            <v>Sí</v>
          </cell>
          <cell r="D1647" t="str">
            <v>Si</v>
          </cell>
        </row>
        <row r="1648">
          <cell r="A1648" t="str">
            <v>A0002288</v>
          </cell>
          <cell r="B1648" t="str">
            <v>Rollo VinylEfx Hammered Leaf Gold Exterior 0,61 x 45,7m</v>
          </cell>
          <cell r="C1648" t="str">
            <v>Sí</v>
          </cell>
          <cell r="D1648" t="str">
            <v>Si</v>
          </cell>
        </row>
        <row r="1649">
          <cell r="A1649" t="str">
            <v>A0002289</v>
          </cell>
          <cell r="B1649" t="str">
            <v>Rollo VinylEfx Mosaic Silver Interior 0,61 x 45,7m</v>
          </cell>
          <cell r="C1649" t="str">
            <v>Sí</v>
          </cell>
          <cell r="D1649" t="str">
            <v>Si</v>
          </cell>
        </row>
        <row r="1650">
          <cell r="A1650" t="str">
            <v>A0002290</v>
          </cell>
          <cell r="B1650" t="str">
            <v>Rollo VinylEfx GlowEfx Interior 0,61 x 45,7m</v>
          </cell>
          <cell r="C1650" t="str">
            <v>Sí</v>
          </cell>
          <cell r="D1650" t="str">
            <v>Si</v>
          </cell>
        </row>
        <row r="1651">
          <cell r="A1651" t="str">
            <v>A0002291</v>
          </cell>
          <cell r="B1651" t="str">
            <v>Roland Fresadora SRM-20</v>
          </cell>
          <cell r="C1651" t="str">
            <v>Sí</v>
          </cell>
          <cell r="D1651" t="str">
            <v>Si</v>
          </cell>
        </row>
        <row r="1652">
          <cell r="A1652" t="str">
            <v>A0002292</v>
          </cell>
          <cell r="B1652" t="str">
            <v>Cartucho Roland Inku Naranja 500cc</v>
          </cell>
          <cell r="C1652" t="str">
            <v>Sí</v>
          </cell>
          <cell r="D1652" t="str">
            <v>Si</v>
          </cell>
          <cell r="E1652" t="str">
            <v>A0001043</v>
          </cell>
        </row>
        <row r="1653">
          <cell r="A1653" t="str">
            <v>A0002293</v>
          </cell>
          <cell r="B1653" t="str">
            <v>Cartucho Roland Inku Verde 500cc</v>
          </cell>
          <cell r="C1653" t="str">
            <v>Sí</v>
          </cell>
          <cell r="D1653" t="str">
            <v>Si</v>
          </cell>
          <cell r="E1653" t="str">
            <v>A0001043</v>
          </cell>
        </row>
        <row r="1654">
          <cell r="A1654" t="str">
            <v>A0002294</v>
          </cell>
          <cell r="B1654" t="str">
            <v>Cartucho Roland Inku Rojo 500cc</v>
          </cell>
          <cell r="C1654" t="str">
            <v>Sí</v>
          </cell>
          <cell r="D1654" t="str">
            <v>Si</v>
          </cell>
          <cell r="E1654" t="str">
            <v>A0001043</v>
          </cell>
        </row>
        <row r="1655">
          <cell r="A1655" t="str">
            <v>A0002295</v>
          </cell>
          <cell r="B1655" t="str">
            <v>Rollo Reflectiv INT 127 difusión central 1,52 x 30m</v>
          </cell>
          <cell r="C1655" t="str">
            <v>Sí</v>
          </cell>
          <cell r="D1655" t="str">
            <v>No</v>
          </cell>
        </row>
        <row r="1656">
          <cell r="A1656" t="str">
            <v>A0002296</v>
          </cell>
          <cell r="B1656" t="str">
            <v>Rollo Metamark MDP 200 (100mc Imp. y Corte) Brillo 1,37x25m</v>
          </cell>
          <cell r="C1656" t="str">
            <v>Sí</v>
          </cell>
          <cell r="D1656" t="str">
            <v>Si</v>
          </cell>
          <cell r="E1656" t="str">
            <v>A0000209</v>
          </cell>
        </row>
        <row r="1657">
          <cell r="A1657" t="str">
            <v>A0002297</v>
          </cell>
          <cell r="B1657" t="str">
            <v>Rollo Transportador 4000RLA (Baja Adherencia) 0,61x100m</v>
          </cell>
          <cell r="C1657" t="str">
            <v>Sí</v>
          </cell>
          <cell r="D1657" t="str">
            <v>Si</v>
          </cell>
        </row>
        <row r="1658">
          <cell r="A1658" t="str">
            <v>A0002299</v>
          </cell>
          <cell r="B1658" t="str">
            <v>Rollo Metamark MD5B 100 (70mc Adh Gris) Brillo 1,6 x 25m</v>
          </cell>
          <cell r="C1658" t="str">
            <v>Sí</v>
          </cell>
          <cell r="D1658" t="str">
            <v>Si</v>
          </cell>
          <cell r="E1658" t="str">
            <v>A0000994</v>
          </cell>
        </row>
        <row r="1659">
          <cell r="A1659" t="str">
            <v>A0002300</v>
          </cell>
          <cell r="B1659" t="str">
            <v>Rollo Transportador 4075RLA (Papel alto agarre) 1,22x100m</v>
          </cell>
          <cell r="C1659" t="str">
            <v>Sí</v>
          </cell>
          <cell r="D1659" t="str">
            <v>Si</v>
          </cell>
          <cell r="E1659" t="str">
            <v>A0000603</v>
          </cell>
        </row>
        <row r="1660">
          <cell r="A1660" t="str">
            <v>A0002301</v>
          </cell>
          <cell r="B1660" t="str">
            <v>Rollo Metamark MD RF2 Reflectante Blanco 1,24x45m</v>
          </cell>
          <cell r="C1660" t="str">
            <v>Sí</v>
          </cell>
          <cell r="D1660" t="str">
            <v>Si</v>
          </cell>
        </row>
        <row r="1661">
          <cell r="A1661" t="str">
            <v>A0002302</v>
          </cell>
          <cell r="B1661" t="str">
            <v>Rollo Metamark MD 101R (100mc Adh Removible) Mate 1,05x50m</v>
          </cell>
          <cell r="C1661" t="str">
            <v>Sí</v>
          </cell>
          <cell r="D1661" t="str">
            <v>Si</v>
          </cell>
          <cell r="E1661" t="str">
            <v>A0000127</v>
          </cell>
        </row>
        <row r="1662">
          <cell r="A1662" t="str">
            <v>A0002303</v>
          </cell>
          <cell r="B1662" t="str">
            <v>Rollo Metamark MD 101R (100mc Adh Removible) Mate 1,37x50m</v>
          </cell>
          <cell r="C1662" t="str">
            <v>Sí</v>
          </cell>
          <cell r="D1662" t="str">
            <v>Si</v>
          </cell>
          <cell r="E1662" t="str">
            <v>A0000127</v>
          </cell>
        </row>
        <row r="1663">
          <cell r="A1663" t="str">
            <v>A0002304</v>
          </cell>
          <cell r="B1663" t="str">
            <v>Rollo Metamark MD 101R (100mc Adh Removible) Mate 1,6 x 50m</v>
          </cell>
          <cell r="C1663" t="str">
            <v>Sí</v>
          </cell>
          <cell r="D1663" t="str">
            <v>Si</v>
          </cell>
          <cell r="E1663" t="str">
            <v>A0000127</v>
          </cell>
        </row>
        <row r="1664">
          <cell r="A1664" t="str">
            <v>A0002305</v>
          </cell>
          <cell r="B1664" t="str">
            <v>Rollo Excellium Backlit poliéster 210mic Mate 1,07x30m</v>
          </cell>
          <cell r="C1664" t="str">
            <v>Sí</v>
          </cell>
          <cell r="D1664" t="str">
            <v>No</v>
          </cell>
        </row>
        <row r="1665">
          <cell r="A1665" t="str">
            <v>A0001896</v>
          </cell>
          <cell r="B1665" t="str">
            <v>M2 Metamark MetaScape M7A 190 Plata 0,61 x 50m</v>
          </cell>
          <cell r="C1665" t="str">
            <v>Sí</v>
          </cell>
          <cell r="D1665" t="str">
            <v>Si</v>
          </cell>
          <cell r="E1665" t="str">
            <v>A0000513</v>
          </cell>
        </row>
        <row r="1666">
          <cell r="A1666" t="str">
            <v>A0002310</v>
          </cell>
          <cell r="B1666" t="str">
            <v>Máquina plotter corte Bullmer Premiumcut 1600mm</v>
          </cell>
          <cell r="C1666" t="str">
            <v>Sí</v>
          </cell>
          <cell r="D1666" t="str">
            <v>Si</v>
          </cell>
        </row>
        <row r="1667">
          <cell r="A1667" t="str">
            <v>A0000527</v>
          </cell>
          <cell r="B1667" t="str">
            <v>M2 Metamark MetaScape M7A 190 Plata 1,22 x 50m</v>
          </cell>
          <cell r="C1667" t="str">
            <v>Sí</v>
          </cell>
          <cell r="D1667" t="str">
            <v>Si</v>
          </cell>
          <cell r="E1667" t="str">
            <v>A0000513</v>
          </cell>
        </row>
        <row r="1668">
          <cell r="A1668" t="str">
            <v>A0002312</v>
          </cell>
          <cell r="B1668" t="str">
            <v>Rollo Loop Velcro con Adhesivo Acrílico Blanco 25mm x 25m</v>
          </cell>
          <cell r="C1668" t="str">
            <v>Sí</v>
          </cell>
          <cell r="D1668" t="str">
            <v>No</v>
          </cell>
        </row>
        <row r="1669">
          <cell r="A1669" t="str">
            <v>A0002314</v>
          </cell>
          <cell r="B1669" t="str">
            <v>Rollo Gancho Velcro con Adhesivo Acrílico Blanco 50mm x 25m</v>
          </cell>
          <cell r="C1669" t="str">
            <v>Sí</v>
          </cell>
          <cell r="D1669" t="str">
            <v>No</v>
          </cell>
        </row>
        <row r="1670">
          <cell r="A1670" t="str">
            <v>A0002315</v>
          </cell>
          <cell r="B1670" t="str">
            <v>Rollo Gancho Velcro con Adhesivo Acrílico Blanco 25mm x 25m</v>
          </cell>
          <cell r="C1670" t="str">
            <v>Sí</v>
          </cell>
          <cell r="D1670" t="str">
            <v>No</v>
          </cell>
        </row>
        <row r="1671">
          <cell r="A1671" t="str">
            <v>A0002319</v>
          </cell>
          <cell r="B1671" t="str">
            <v>Rollo Gancho Velcro con Adhesivo Hot Melt Blanco 25mm x 25m</v>
          </cell>
          <cell r="C1671" t="str">
            <v>Sí</v>
          </cell>
          <cell r="D1671" t="str">
            <v>No</v>
          </cell>
        </row>
        <row r="1672">
          <cell r="A1672" t="str">
            <v>A0002320</v>
          </cell>
          <cell r="B1672" t="str">
            <v>Rollo Gancho Velcro con Adhesivo Hot Melt Blanco 20mm x 25m</v>
          </cell>
          <cell r="C1672" t="str">
            <v>Sí</v>
          </cell>
          <cell r="D1672" t="str">
            <v>No</v>
          </cell>
        </row>
        <row r="1673">
          <cell r="A1673" t="str">
            <v>A0002321</v>
          </cell>
          <cell r="B1673" t="str">
            <v>Rollo Gancho Velcro con Adhesivo Hot Melt Blanco 50mm x 25m</v>
          </cell>
          <cell r="C1673" t="str">
            <v>Sí</v>
          </cell>
          <cell r="D1673" t="str">
            <v>No</v>
          </cell>
        </row>
        <row r="1674">
          <cell r="A1674" t="str">
            <v>A0002324</v>
          </cell>
          <cell r="B1674" t="str">
            <v>1000012563 - Key, Top White GS-24</v>
          </cell>
          <cell r="C1674" t="str">
            <v>Sí</v>
          </cell>
          <cell r="D1674" t="str">
            <v>No</v>
          </cell>
        </row>
        <row r="1675">
          <cell r="A1675" t="str">
            <v>A0002325</v>
          </cell>
          <cell r="B1675" t="str">
            <v>6000005253 - Assy, Pump Sub SV LEF2-200</v>
          </cell>
          <cell r="C1675" t="str">
            <v>Sí</v>
          </cell>
          <cell r="D1675" t="str">
            <v>No</v>
          </cell>
        </row>
        <row r="1676">
          <cell r="A1676" t="str">
            <v>A0002326</v>
          </cell>
          <cell r="B1676" t="str">
            <v>Rollo Microperforado 1,52x50</v>
          </cell>
          <cell r="C1676" t="str">
            <v>Sí</v>
          </cell>
          <cell r="D1676" t="str">
            <v>Si</v>
          </cell>
        </row>
        <row r="1677">
          <cell r="A1677" t="str">
            <v>A0002327</v>
          </cell>
          <cell r="B1677" t="str">
            <v>Rollo Isee2 50.001 Polimérico Ultracristalino Perm.  1,37 x 50m</v>
          </cell>
          <cell r="C1677" t="str">
            <v>Sí</v>
          </cell>
          <cell r="D1677" t="str">
            <v>No</v>
          </cell>
        </row>
        <row r="1678">
          <cell r="A1678" t="str">
            <v>A0002328</v>
          </cell>
          <cell r="B1678" t="str">
            <v>Rollo Reflectiv Deco INT 126 1,52 x 5m</v>
          </cell>
          <cell r="C1678" t="str">
            <v>Sí</v>
          </cell>
          <cell r="D1678" t="str">
            <v>No</v>
          </cell>
        </row>
        <row r="1679">
          <cell r="A1679" t="str">
            <v>A0002329</v>
          </cell>
          <cell r="B1679" t="str">
            <v>Rollo Isee2 50.001 Polimérico Ultracristalino Perm. 1,52 x 50m</v>
          </cell>
          <cell r="C1679" t="str">
            <v>Sí</v>
          </cell>
          <cell r="D1679" t="str">
            <v>No</v>
          </cell>
        </row>
        <row r="1680">
          <cell r="A1680" t="str">
            <v>A0002330</v>
          </cell>
          <cell r="B1680" t="str">
            <v>Rollo Reflectiv Deco INT 570 1,52 x 5m</v>
          </cell>
          <cell r="C1680" t="str">
            <v>Sí</v>
          </cell>
          <cell r="D1680" t="str">
            <v>No</v>
          </cell>
        </row>
        <row r="1681">
          <cell r="A1681" t="str">
            <v>A0002331</v>
          </cell>
          <cell r="B1681" t="str">
            <v>Rollo Reflectiv Deco INT 570 1,52 x 10m</v>
          </cell>
          <cell r="C1681" t="str">
            <v>Sí</v>
          </cell>
          <cell r="D1681" t="str">
            <v>No</v>
          </cell>
        </row>
        <row r="1682">
          <cell r="A1682" t="str">
            <v>A0002332</v>
          </cell>
          <cell r="B1682" t="str">
            <v>Rollo Reflectiv Deco INT 126 1,52 x 10m</v>
          </cell>
          <cell r="C1682" t="str">
            <v>Sí</v>
          </cell>
          <cell r="D1682" t="str">
            <v>No</v>
          </cell>
        </row>
        <row r="1683">
          <cell r="A1683" t="str">
            <v>A0002333</v>
          </cell>
          <cell r="B1683" t="str">
            <v>Rollo Reflectiv Film transparente 61185 Azul Azure 1,52 x 10m</v>
          </cell>
          <cell r="C1683" t="str">
            <v>Sí</v>
          </cell>
          <cell r="D1683" t="str">
            <v>No</v>
          </cell>
        </row>
        <row r="1684">
          <cell r="A1684" t="str">
            <v>A0002334</v>
          </cell>
          <cell r="B1684" t="str">
            <v>Rollo Reflectiv Dichroic DCH 426 1,38 x 30</v>
          </cell>
          <cell r="C1684" t="str">
            <v>Sí</v>
          </cell>
          <cell r="D1684" t="str">
            <v>No</v>
          </cell>
        </row>
        <row r="1685">
          <cell r="A1685" t="str">
            <v>A0002335</v>
          </cell>
          <cell r="B1685" t="str">
            <v>Tinta EcoUV Blanca 220ml</v>
          </cell>
          <cell r="C1685" t="str">
            <v>Sí</v>
          </cell>
          <cell r="D1685" t="str">
            <v>Si</v>
          </cell>
          <cell r="E1685" t="str">
            <v>A0000996</v>
          </cell>
        </row>
        <row r="1686">
          <cell r="A1686" t="str">
            <v>A0002337</v>
          </cell>
          <cell r="B1686" t="str">
            <v>Rollo Máscara  Ritrama Beige 300mc  0,61x25m</v>
          </cell>
          <cell r="C1686" t="str">
            <v>Sí</v>
          </cell>
          <cell r="D1686" t="str">
            <v>No</v>
          </cell>
          <cell r="E1686" t="str">
            <v>A0000994</v>
          </cell>
        </row>
        <row r="1687">
          <cell r="A1687" t="str">
            <v>A0002338</v>
          </cell>
          <cell r="B1687" t="str">
            <v>Rollo TriSolv PhotoArt Paper 210 Brillo 1,60x50m</v>
          </cell>
          <cell r="C1687" t="str">
            <v>Sí</v>
          </cell>
          <cell r="D1687" t="str">
            <v>No</v>
          </cell>
        </row>
        <row r="1688">
          <cell r="A1688" t="str">
            <v>A0002339</v>
          </cell>
          <cell r="B1688" t="str">
            <v>1000007021 - Assy, Tubing 3x500mm VS-640</v>
          </cell>
          <cell r="C1688" t="str">
            <v>Sí</v>
          </cell>
          <cell r="D1688" t="str">
            <v>No</v>
          </cell>
        </row>
        <row r="1689">
          <cell r="A1689" t="str">
            <v>A0002340</v>
          </cell>
          <cell r="B1689" t="str">
            <v>1000002679 - Adapter, Junction</v>
          </cell>
          <cell r="C1689" t="str">
            <v>Sí</v>
          </cell>
          <cell r="D1689" t="str">
            <v>No</v>
          </cell>
        </row>
        <row r="1690">
          <cell r="A1690" t="str">
            <v>A0002341</v>
          </cell>
          <cell r="B1690" t="str">
            <v>22805572 - Assy, Tubing SP-540</v>
          </cell>
          <cell r="C1690" t="str">
            <v>Sí</v>
          </cell>
          <cell r="D1690" t="str">
            <v>No</v>
          </cell>
        </row>
        <row r="1691">
          <cell r="A1691" t="str">
            <v>A0002342</v>
          </cell>
          <cell r="B1691" t="str">
            <v>6000005297 - Assy, Press Pump Sub SV CG2125</v>
          </cell>
          <cell r="C1691" t="str">
            <v>Sí</v>
          </cell>
          <cell r="D1691" t="str">
            <v>No</v>
          </cell>
        </row>
        <row r="1692">
          <cell r="A1692" t="str">
            <v>A0002343</v>
          </cell>
          <cell r="B1692" t="str">
            <v>ML Cad-Cut Sportsfilm 254 Rosa Vintage 500mm</v>
          </cell>
          <cell r="C1692" t="str">
            <v>Sí</v>
          </cell>
          <cell r="D1692" t="str">
            <v>Si</v>
          </cell>
          <cell r="E1692" t="str">
            <v>A0000606</v>
          </cell>
        </row>
        <row r="1693">
          <cell r="A1693" t="str">
            <v>A0001931</v>
          </cell>
          <cell r="B1693" t="str">
            <v>M2 Metamark MetaScape M7A 191 Oro 0,61 x 50m</v>
          </cell>
          <cell r="C1693" t="str">
            <v>Sí</v>
          </cell>
          <cell r="D1693" t="str">
            <v>Si</v>
          </cell>
          <cell r="E1693" t="str">
            <v>A0000103</v>
          </cell>
        </row>
        <row r="1694">
          <cell r="A1694" t="str">
            <v>A0001930</v>
          </cell>
          <cell r="B1694" t="str">
            <v>M2 Metamark MetaScape M7A 191 Oro 1,22 x 50m</v>
          </cell>
          <cell r="C1694" t="str">
            <v>Sí</v>
          </cell>
          <cell r="D1694" t="str">
            <v>Si</v>
          </cell>
          <cell r="E1694" t="str">
            <v>A0000103</v>
          </cell>
        </row>
        <row r="1695">
          <cell r="A1695" t="str">
            <v>A0001929</v>
          </cell>
          <cell r="B1695" t="str">
            <v>M2 Metamark MetaScape M7A 192 Gris Carbón 0,61 x 50m</v>
          </cell>
          <cell r="C1695" t="str">
            <v>Sí</v>
          </cell>
          <cell r="D1695" t="str">
            <v>Si</v>
          </cell>
          <cell r="E1695" t="str">
            <v>A0000513</v>
          </cell>
        </row>
        <row r="1696">
          <cell r="A1696" t="str">
            <v>A0000528</v>
          </cell>
          <cell r="B1696" t="str">
            <v>M2 Metamark MetaScape M7A 192 Gris Carbón 1,22 x 50m</v>
          </cell>
          <cell r="C1696" t="str">
            <v>Sí</v>
          </cell>
          <cell r="D1696" t="str">
            <v>Si</v>
          </cell>
          <cell r="E1696" t="str">
            <v>A0000513</v>
          </cell>
        </row>
        <row r="1697">
          <cell r="A1697" t="str">
            <v>A0001928</v>
          </cell>
          <cell r="B1697" t="str">
            <v>M2 Metamark MetaScape M7A 193 Gunmetal 0,61 x 50m</v>
          </cell>
          <cell r="C1697" t="str">
            <v>Sí</v>
          </cell>
          <cell r="D1697" t="str">
            <v>Si</v>
          </cell>
          <cell r="E1697" t="str">
            <v>A0000103</v>
          </cell>
        </row>
        <row r="1698">
          <cell r="A1698" t="str">
            <v>A0001927</v>
          </cell>
          <cell r="B1698" t="str">
            <v>M2 Metamark MetaScape M7A 193 Gunmetal 1,22 x 50m</v>
          </cell>
          <cell r="C1698" t="str">
            <v>Sí</v>
          </cell>
          <cell r="D1698" t="str">
            <v>Si</v>
          </cell>
          <cell r="E1698" t="str">
            <v>A0000103</v>
          </cell>
        </row>
        <row r="1699">
          <cell r="A1699" t="str">
            <v>A0001924</v>
          </cell>
          <cell r="B1699" t="str">
            <v>M2 Metamark MetaScape M7A 194 Acero 0,61 x 50m</v>
          </cell>
          <cell r="C1699" t="str">
            <v>Sí</v>
          </cell>
          <cell r="D1699" t="str">
            <v>Si</v>
          </cell>
          <cell r="E1699" t="str">
            <v>A0000513</v>
          </cell>
        </row>
        <row r="1700">
          <cell r="A1700" t="str">
            <v>A0002351</v>
          </cell>
          <cell r="B1700" t="str">
            <v>Cartucho Skynnet Magenta TR1</v>
          </cell>
          <cell r="C1700" t="str">
            <v>Sí</v>
          </cell>
          <cell r="D1700" t="str">
            <v>No</v>
          </cell>
        </row>
        <row r="1701">
          <cell r="A1701" t="str">
            <v>A0002352</v>
          </cell>
          <cell r="B1701" t="str">
            <v>Cartucho Skynnet Amarillo TR1</v>
          </cell>
          <cell r="C1701" t="str">
            <v>Sí</v>
          </cell>
          <cell r="D1701" t="str">
            <v>No</v>
          </cell>
        </row>
        <row r="1702">
          <cell r="A1702" t="str">
            <v>A0002353</v>
          </cell>
          <cell r="B1702" t="str">
            <v>Cartucho Skynnet Negro TR1</v>
          </cell>
          <cell r="C1702" t="str">
            <v>Sí</v>
          </cell>
          <cell r="D1702" t="str">
            <v>No</v>
          </cell>
        </row>
        <row r="1703">
          <cell r="A1703" t="str">
            <v>A0002354</v>
          </cell>
          <cell r="B1703" t="str">
            <v>Cartucho Skynnet Cyan TR1</v>
          </cell>
          <cell r="C1703" t="str">
            <v>Sí</v>
          </cell>
          <cell r="D1703" t="str">
            <v>No</v>
          </cell>
        </row>
        <row r="1704">
          <cell r="A1704" t="str">
            <v>A0002355</v>
          </cell>
          <cell r="B1704" t="str">
            <v>Plotter Impresión Roland VF2-640</v>
          </cell>
          <cell r="C1704" t="str">
            <v>Sí</v>
          </cell>
          <cell r="D1704" t="str">
            <v>Si</v>
          </cell>
        </row>
        <row r="1705">
          <cell r="A1705" t="str">
            <v>A0002356</v>
          </cell>
          <cell r="B1705" t="str">
            <v>Plotter Corte Roland GR2-540</v>
          </cell>
          <cell r="C1705" t="str">
            <v>Sí</v>
          </cell>
          <cell r="D1705" t="str">
            <v>Si</v>
          </cell>
        </row>
        <row r="1706">
          <cell r="A1706" t="str">
            <v>A0002357</v>
          </cell>
          <cell r="B1706" t="str">
            <v>Cartucho Tinta TrueVIS 2 500ml Verde</v>
          </cell>
          <cell r="C1706" t="str">
            <v>Sí</v>
          </cell>
          <cell r="D1706" t="str">
            <v>Si</v>
          </cell>
          <cell r="E1706" t="str">
            <v>A0000996</v>
          </cell>
        </row>
        <row r="1707">
          <cell r="A1707" t="str">
            <v>A0002358</v>
          </cell>
          <cell r="B1707" t="str">
            <v>Rollo Transportador GXP-750 Conformable (Papel Medio agarre) 1,22 Consumo Interno</v>
          </cell>
          <cell r="C1707" t="str">
            <v>Sí</v>
          </cell>
          <cell r="D1707" t="str">
            <v>Si</v>
          </cell>
          <cell r="E1707" t="str">
            <v>A0000602</v>
          </cell>
        </row>
        <row r="1708">
          <cell r="A1708" t="str">
            <v>A0002359</v>
          </cell>
          <cell r="B1708" t="str">
            <v>Rollo Transportador GXP-775 (Papel medio/alto agarre) Consumo Interno</v>
          </cell>
          <cell r="C1708" t="str">
            <v>Sí</v>
          </cell>
          <cell r="D1708" t="str">
            <v>Si</v>
          </cell>
          <cell r="E1708" t="str">
            <v>A0000605</v>
          </cell>
        </row>
        <row r="1709">
          <cell r="A1709" t="str">
            <v>A0002360</v>
          </cell>
          <cell r="B1709" t="str">
            <v>6155-93-025 - Rollo Hook adhesivo blanco 25mmx25m</v>
          </cell>
          <cell r="C1709" t="str">
            <v>Sí</v>
          </cell>
          <cell r="D1709" t="str">
            <v>No</v>
          </cell>
        </row>
        <row r="1710">
          <cell r="A1710" t="str">
            <v>A0002361</v>
          </cell>
          <cell r="B1710" t="str">
            <v>6155-93-050 - Rollo Hook adhesivo blanco 50mmx25m</v>
          </cell>
          <cell r="C1710" t="str">
            <v>Sí</v>
          </cell>
          <cell r="D1710" t="str">
            <v>No</v>
          </cell>
        </row>
        <row r="1711">
          <cell r="A1711" t="str">
            <v>A0002362</v>
          </cell>
          <cell r="B1711" t="str">
            <v>6155-99-025 - Rollo Hook adhesivo negro 25mmx25m</v>
          </cell>
          <cell r="C1711" t="str">
            <v>Sí</v>
          </cell>
          <cell r="D1711" t="str">
            <v>No</v>
          </cell>
        </row>
        <row r="1712">
          <cell r="A1712" t="str">
            <v>A0002363</v>
          </cell>
          <cell r="B1712" t="str">
            <v>6155-99-050 - Rollo Hook adhesivo negro 50mmx25m</v>
          </cell>
          <cell r="C1712" t="str">
            <v>Sí</v>
          </cell>
          <cell r="D1712" t="str">
            <v>No</v>
          </cell>
        </row>
        <row r="1713">
          <cell r="A1713" t="str">
            <v>A0002364</v>
          </cell>
          <cell r="B1713" t="str">
            <v>6165-93-025 - Rollo Loop adhesivo blanco 25mmx25m</v>
          </cell>
          <cell r="C1713" t="str">
            <v>Sí</v>
          </cell>
          <cell r="D1713" t="str">
            <v>No</v>
          </cell>
        </row>
        <row r="1714">
          <cell r="A1714" t="str">
            <v>A0002365</v>
          </cell>
          <cell r="B1714" t="str">
            <v>6165-93-050 - Rollo Loop adhesivo blanco 50mmx25m</v>
          </cell>
          <cell r="C1714" t="str">
            <v>Sí</v>
          </cell>
          <cell r="D1714" t="str">
            <v>No</v>
          </cell>
        </row>
        <row r="1715">
          <cell r="A1715" t="str">
            <v>A0002366</v>
          </cell>
          <cell r="B1715" t="str">
            <v>6165-99-025 - Rollo Loop adhesivo negro 25mmx25m</v>
          </cell>
          <cell r="C1715" t="str">
            <v>Sí</v>
          </cell>
          <cell r="D1715" t="str">
            <v>No</v>
          </cell>
        </row>
        <row r="1716">
          <cell r="A1716" t="str">
            <v>A0002367</v>
          </cell>
          <cell r="B1716" t="str">
            <v>8082-10 50x70 - Alfombra Premium Ecoline 50x70cm</v>
          </cell>
          <cell r="C1716" t="str">
            <v>Sí</v>
          </cell>
          <cell r="D1716" t="str">
            <v>No</v>
          </cell>
        </row>
        <row r="1717">
          <cell r="A1717" t="str">
            <v>A0002368</v>
          </cell>
          <cell r="B1717" t="str">
            <v>6165-99-050 - Rollo Loop adhesivo negro 50mmx25m</v>
          </cell>
          <cell r="C1717" t="str">
            <v>Sí</v>
          </cell>
          <cell r="D1717" t="str">
            <v>No</v>
          </cell>
        </row>
        <row r="1718">
          <cell r="A1718" t="str">
            <v>A0000172</v>
          </cell>
          <cell r="B1718" t="str">
            <v>Rollo Metamark MD5B 100 (70mc Adh Gris) Brillo 1,6 x 50m</v>
          </cell>
          <cell r="C1718" t="str">
            <v>Sí</v>
          </cell>
          <cell r="D1718" t="str">
            <v>Si</v>
          </cell>
          <cell r="E1718" t="str">
            <v>A0000994</v>
          </cell>
        </row>
        <row r="1719">
          <cell r="A1719" t="str">
            <v>A0001729</v>
          </cell>
          <cell r="B1719" t="str">
            <v>M2 Metamark MetaScape M7A 194 Acero 1,22 x 50m</v>
          </cell>
          <cell r="C1719" t="str">
            <v>Sí</v>
          </cell>
          <cell r="D1719" t="str">
            <v>Si</v>
          </cell>
          <cell r="E1719" t="str">
            <v>A0000513</v>
          </cell>
        </row>
        <row r="1720">
          <cell r="A1720" t="str">
            <v>A0002371</v>
          </cell>
          <cell r="B1720" t="str">
            <v>Lower Platen Shoe</v>
          </cell>
          <cell r="C1720" t="str">
            <v>Sí</v>
          </cell>
          <cell r="D1720" t="str">
            <v>No</v>
          </cell>
        </row>
        <row r="1721">
          <cell r="A1721" t="str">
            <v>A0002372</v>
          </cell>
          <cell r="B1721" t="str">
            <v>Lower Platen 18cm Round</v>
          </cell>
          <cell r="C1721" t="str">
            <v>Sí</v>
          </cell>
          <cell r="D1721" t="str">
            <v>No</v>
          </cell>
        </row>
        <row r="1722">
          <cell r="A1722" t="str">
            <v>A0002373</v>
          </cell>
          <cell r="B1722" t="str">
            <v>Lower Platen 10x10cm</v>
          </cell>
          <cell r="C1722" t="str">
            <v>Sí</v>
          </cell>
          <cell r="D1722" t="str">
            <v>No</v>
          </cell>
        </row>
        <row r="1723">
          <cell r="A1723" t="str">
            <v>A0002374</v>
          </cell>
          <cell r="B1723" t="str">
            <v>Lower Platen Cap 9x16cm</v>
          </cell>
          <cell r="C1723" t="str">
            <v>Sí</v>
          </cell>
          <cell r="D1723" t="str">
            <v>No</v>
          </cell>
        </row>
        <row r="1724">
          <cell r="A1724" t="str">
            <v>A0002375</v>
          </cell>
          <cell r="B1724" t="str">
            <v>Print Perfect Pad 13x15cm</v>
          </cell>
          <cell r="C1724" t="str">
            <v>Sí</v>
          </cell>
          <cell r="D1724" t="str">
            <v>No</v>
          </cell>
        </row>
        <row r="1725">
          <cell r="A1725" t="str">
            <v>A0002376</v>
          </cell>
          <cell r="B1725" t="str">
            <v>013678 - Non Stick Coated Pressure Pad 13x46cm</v>
          </cell>
          <cell r="C1725" t="str">
            <v>Sí</v>
          </cell>
          <cell r="D1725" t="str">
            <v>No</v>
          </cell>
        </row>
        <row r="1726">
          <cell r="A1726" t="str">
            <v>A0002377</v>
          </cell>
          <cell r="B1726" t="str">
            <v>013679 - Non Stick Coated Pressure Pad 16x20cm</v>
          </cell>
          <cell r="C1726" t="str">
            <v>Sí</v>
          </cell>
          <cell r="D1726" t="str">
            <v>No</v>
          </cell>
        </row>
        <row r="1727">
          <cell r="A1727" t="str">
            <v>A0002378</v>
          </cell>
          <cell r="B1727" t="str">
            <v>Non Stick Coated Pressure Pad 25x25cm</v>
          </cell>
          <cell r="C1727" t="str">
            <v>Sí</v>
          </cell>
          <cell r="D1727" t="str">
            <v>No</v>
          </cell>
        </row>
        <row r="1728">
          <cell r="A1728" t="str">
            <v>A0002379</v>
          </cell>
          <cell r="B1728" t="str">
            <v>013681 - Non Stick Coated Pressure Pad 51x41cm</v>
          </cell>
          <cell r="C1728" t="str">
            <v>Sí</v>
          </cell>
          <cell r="D1728" t="str">
            <v>No</v>
          </cell>
        </row>
        <row r="1729">
          <cell r="A1729" t="str">
            <v>A0002380</v>
          </cell>
          <cell r="B1729" t="str">
            <v>NonStick Quick Slip Pad Protector Sleeve/Leg 15x51</v>
          </cell>
          <cell r="C1729" t="str">
            <v>Sí</v>
          </cell>
          <cell r="D1729" t="str">
            <v>No</v>
          </cell>
        </row>
        <row r="1730">
          <cell r="A1730" t="str">
            <v>A0002381</v>
          </cell>
          <cell r="B1730" t="str">
            <v>013677 - NonStick Quick Slip Pad Protector 28x38</v>
          </cell>
          <cell r="C1730" t="str">
            <v>Sí</v>
          </cell>
          <cell r="D1730" t="str">
            <v>No</v>
          </cell>
        </row>
        <row r="1731">
          <cell r="A1731" t="str">
            <v>A0002383</v>
          </cell>
          <cell r="B1731" t="str">
            <v>NonStick Quick Slip Pad Protector 20x25</v>
          </cell>
          <cell r="C1731" t="str">
            <v>Sí</v>
          </cell>
          <cell r="D1731" t="str">
            <v>No</v>
          </cell>
        </row>
        <row r="1732">
          <cell r="A1732" t="str">
            <v>A0002384</v>
          </cell>
          <cell r="B1732" t="str">
            <v>N-1-2375 NonStick Quick Slip Pad Protector 15x25</v>
          </cell>
          <cell r="C1732" t="str">
            <v>Sí</v>
          </cell>
          <cell r="D1732" t="str">
            <v>No</v>
          </cell>
        </row>
        <row r="1733">
          <cell r="A1733" t="str">
            <v>A0002385</v>
          </cell>
          <cell r="B1733" t="str">
            <v>Soporte Sobremesa para Sprint Mag/MAXX</v>
          </cell>
          <cell r="C1733" t="str">
            <v>Sí</v>
          </cell>
          <cell r="D1733" t="str">
            <v>No</v>
          </cell>
        </row>
        <row r="1734">
          <cell r="A1734" t="str">
            <v>A0002386</v>
          </cell>
          <cell r="B1734" t="str">
            <v>Soporte Pie para Sprint Mag/MAXX</v>
          </cell>
          <cell r="C1734" t="str">
            <v>Sí</v>
          </cell>
          <cell r="D1734" t="str">
            <v>No</v>
          </cell>
        </row>
        <row r="1735">
          <cell r="A1735" t="str">
            <v>A0002387</v>
          </cell>
          <cell r="B1735" t="str">
            <v>Porta cuchillas XD-CH3-Aluminio</v>
          </cell>
          <cell r="C1735" t="str">
            <v>Sí</v>
          </cell>
          <cell r="D1735" t="str">
            <v>Si</v>
          </cell>
        </row>
        <row r="1736">
          <cell r="A1736" t="str">
            <v>A0002388</v>
          </cell>
          <cell r="B1736" t="str">
            <v>11909167 - Adapter, Screw 3FAI FJ-540</v>
          </cell>
          <cell r="C1736" t="str">
            <v>Sí</v>
          </cell>
          <cell r="D1736" t="str">
            <v>No</v>
          </cell>
        </row>
        <row r="1737">
          <cell r="A1737" t="str">
            <v>A0002389</v>
          </cell>
          <cell r="B1737" t="str">
            <v>Tinta EcoUV Gloss 220ml</v>
          </cell>
          <cell r="C1737" t="str">
            <v>Sí</v>
          </cell>
          <cell r="D1737" t="str">
            <v>Si</v>
          </cell>
          <cell r="E1737" t="str">
            <v>A0000996</v>
          </cell>
        </row>
        <row r="1738">
          <cell r="A1738" t="str">
            <v>A0002392</v>
          </cell>
          <cell r="B1738" t="str">
            <v>Rollo Transportador 4050RLA (Papel medio agarre) 1,52x100m</v>
          </cell>
          <cell r="C1738" t="str">
            <v>Sí</v>
          </cell>
          <cell r="D1738" t="str">
            <v>Si</v>
          </cell>
          <cell r="E1738" t="str">
            <v>A0000605</v>
          </cell>
        </row>
        <row r="1739">
          <cell r="A1739" t="str">
            <v>A0002393</v>
          </cell>
          <cell r="B1739" t="str">
            <v>ML Cad-Cut Effect 915 Sparkle Black 500mm</v>
          </cell>
          <cell r="C1739" t="str">
            <v>Sí</v>
          </cell>
          <cell r="D1739" t="str">
            <v>Si</v>
          </cell>
          <cell r="E1739" t="str">
            <v>A0000738</v>
          </cell>
        </row>
        <row r="1740">
          <cell r="A1740" t="str">
            <v>A0002394</v>
          </cell>
          <cell r="B1740" t="str">
            <v>Rollo Transportador GXP-750 Conformable (Papel Medio agarre) 1,52x100m</v>
          </cell>
          <cell r="C1740" t="str">
            <v>Sí</v>
          </cell>
          <cell r="D1740" t="str">
            <v>Si</v>
          </cell>
          <cell r="E1740" t="str">
            <v>A0000602</v>
          </cell>
        </row>
        <row r="1741">
          <cell r="A1741" t="str">
            <v>A0001926</v>
          </cell>
          <cell r="B1741" t="str">
            <v>M2 Metamark MetaScape M7A 195 Aluminio 0,61 x 50m</v>
          </cell>
          <cell r="C1741" t="str">
            <v>Sí</v>
          </cell>
          <cell r="D1741" t="str">
            <v>Si</v>
          </cell>
          <cell r="E1741" t="str">
            <v>A0000103</v>
          </cell>
        </row>
        <row r="1742">
          <cell r="A1742" t="str">
            <v>A0001925</v>
          </cell>
          <cell r="B1742" t="str">
            <v>M2 Metamark MetaScape M7A 195 Aluminio 1,22 x 50m</v>
          </cell>
          <cell r="C1742" t="str">
            <v>Sí</v>
          </cell>
          <cell r="D1742" t="str">
            <v>Si</v>
          </cell>
          <cell r="E1742" t="str">
            <v>A0000103</v>
          </cell>
        </row>
        <row r="1743">
          <cell r="A1743" t="str">
            <v>A0001897</v>
          </cell>
          <cell r="B1743" t="str">
            <v>M2 Metamark MetaScape M7A 196 Grafito 1,22 x 50m</v>
          </cell>
          <cell r="C1743" t="str">
            <v>Sí</v>
          </cell>
          <cell r="D1743" t="str">
            <v>Si</v>
          </cell>
          <cell r="E1743" t="str">
            <v>A0000103</v>
          </cell>
        </row>
        <row r="1744">
          <cell r="A1744" t="str">
            <v>A0001917</v>
          </cell>
          <cell r="B1744" t="str">
            <v>M2 Metamark MetaScape M7A 198 Verde Natural 0,61 x 50m</v>
          </cell>
          <cell r="C1744" t="str">
            <v>Sí</v>
          </cell>
          <cell r="D1744" t="str">
            <v>Si</v>
          </cell>
          <cell r="E1744" t="str">
            <v>A0000513</v>
          </cell>
        </row>
        <row r="1745">
          <cell r="A1745" t="str">
            <v>A0001492</v>
          </cell>
          <cell r="B1745" t="str">
            <v>M2 Metamark MetaScape M7A 198 Verde Natural 1,22 x 50m</v>
          </cell>
          <cell r="C1745" t="str">
            <v>Sí</v>
          </cell>
          <cell r="D1745" t="str">
            <v>Si</v>
          </cell>
          <cell r="E1745" t="str">
            <v>A0000513</v>
          </cell>
        </row>
        <row r="1746">
          <cell r="A1746" t="str">
            <v>A0000538</v>
          </cell>
          <cell r="B1746" t="str">
            <v>M2 Metamark Metascape M7A Crystal Window Polimérico 0,61 x 50m</v>
          </cell>
          <cell r="C1746" t="str">
            <v>Sí</v>
          </cell>
          <cell r="D1746" t="str">
            <v>No</v>
          </cell>
          <cell r="E1746" t="str">
            <v>A0000538</v>
          </cell>
        </row>
        <row r="1747">
          <cell r="A1747" t="str">
            <v>A0000845</v>
          </cell>
          <cell r="B1747" t="str">
            <v>M2 Metamark Metascape M7A Crystal Window Polimérico 1,22 x 50m</v>
          </cell>
          <cell r="C1747" t="str">
            <v>Sí</v>
          </cell>
          <cell r="D1747" t="str">
            <v>Si</v>
          </cell>
          <cell r="E1747" t="str">
            <v>A0000538</v>
          </cell>
        </row>
        <row r="1748">
          <cell r="A1748" t="str">
            <v>A0000532</v>
          </cell>
          <cell r="B1748" t="str">
            <v>M2 Metamark Metascape M7A Crystal Window Polimérico 1,60mm x 50m</v>
          </cell>
          <cell r="C1748" t="str">
            <v>Sí</v>
          </cell>
          <cell r="D1748" t="str">
            <v>Si</v>
          </cell>
          <cell r="E1748" t="str">
            <v>A0000538</v>
          </cell>
        </row>
        <row r="1749">
          <cell r="A1749" t="str">
            <v>A0000539</v>
          </cell>
          <cell r="B1749" t="str">
            <v>M2 Metamark Metascape M7A Dusted Window Polimérico 0,61 x 50m</v>
          </cell>
          <cell r="C1749" t="str">
            <v>Sí</v>
          </cell>
          <cell r="D1749" t="str">
            <v>No</v>
          </cell>
          <cell r="E1749" t="str">
            <v>A0000539</v>
          </cell>
        </row>
        <row r="1750">
          <cell r="A1750" t="str">
            <v>A0002404</v>
          </cell>
          <cell r="B1750" t="str">
            <v>ML Cad-Cut Sportsfilm 105 Amarillo Pastel 500mm</v>
          </cell>
          <cell r="C1750" t="str">
            <v>Sí</v>
          </cell>
          <cell r="D1750" t="str">
            <v>Si</v>
          </cell>
          <cell r="E1750" t="str">
            <v>A0000606</v>
          </cell>
        </row>
        <row r="1751">
          <cell r="A1751" t="str">
            <v>A0002405</v>
          </cell>
          <cell r="B1751" t="str">
            <v>ML Cad-Cut Sportsfilm 253 Cereza 500mm</v>
          </cell>
          <cell r="C1751" t="str">
            <v>Sí</v>
          </cell>
          <cell r="D1751" t="str">
            <v>Si</v>
          </cell>
          <cell r="E1751" t="str">
            <v>A0000606</v>
          </cell>
        </row>
        <row r="1752">
          <cell r="A1752" t="str">
            <v>A0002406</v>
          </cell>
          <cell r="B1752" t="str">
            <v>ML Cad-Cut Sportsfilm 340 Azul Paloma 500mm</v>
          </cell>
          <cell r="C1752" t="str">
            <v>Sí</v>
          </cell>
          <cell r="D1752" t="str">
            <v>Si</v>
          </cell>
          <cell r="E1752" t="str">
            <v>A0000606</v>
          </cell>
        </row>
        <row r="1753">
          <cell r="A1753" t="str">
            <v>A0002407</v>
          </cell>
          <cell r="B1753" t="str">
            <v>ML Cad-Cut Sportsfilm 419 Menta 500mm</v>
          </cell>
          <cell r="C1753" t="str">
            <v>Sí</v>
          </cell>
          <cell r="D1753" t="str">
            <v>Si</v>
          </cell>
          <cell r="E1753" t="str">
            <v>A0000606</v>
          </cell>
        </row>
        <row r="1754">
          <cell r="A1754" t="str">
            <v>A0002408</v>
          </cell>
          <cell r="B1754" t="str">
            <v>ML Cad-Cut Sportsfilm 740 Gris Medio 500mm</v>
          </cell>
          <cell r="C1754" t="str">
            <v>Sí</v>
          </cell>
          <cell r="D1754" t="str">
            <v>Si</v>
          </cell>
          <cell r="E1754" t="str">
            <v>A0000606</v>
          </cell>
        </row>
        <row r="1755">
          <cell r="A1755" t="str">
            <v>A0000533</v>
          </cell>
          <cell r="B1755" t="str">
            <v>M2 Metamark Metascape M7A Dusted Window Polimérico 1,22 x 50m</v>
          </cell>
          <cell r="C1755" t="str">
            <v>Sí</v>
          </cell>
          <cell r="D1755" t="str">
            <v>Si</v>
          </cell>
          <cell r="E1755" t="str">
            <v>A0000539</v>
          </cell>
        </row>
        <row r="1756">
          <cell r="A1756" t="str">
            <v>A0002410</v>
          </cell>
          <cell r="B1756" t="str">
            <v>Rollo Transportador GXP-750 Conformable (Papel Medio agarre) 1,52 Consumo Interno</v>
          </cell>
          <cell r="C1756" t="str">
            <v>Sí</v>
          </cell>
          <cell r="D1756" t="str">
            <v>Si</v>
          </cell>
          <cell r="E1756" t="str">
            <v>A0000602</v>
          </cell>
        </row>
        <row r="1757">
          <cell r="A1757" t="str">
            <v>A0002412</v>
          </cell>
          <cell r="B1757" t="str">
            <v>Pack 3 Cuchillas para reflectante 25º ZEC-A5025</v>
          </cell>
          <cell r="C1757" t="str">
            <v>Sí</v>
          </cell>
          <cell r="D1757" t="str">
            <v>Si</v>
          </cell>
        </row>
        <row r="1758">
          <cell r="A1758" t="str">
            <v>A0002413</v>
          </cell>
          <cell r="B1758" t="str">
            <v>Plancha Maxx 40x50cm</v>
          </cell>
          <cell r="C1758" t="str">
            <v>Sí</v>
          </cell>
          <cell r="D1758" t="str">
            <v>No</v>
          </cell>
        </row>
        <row r="1759">
          <cell r="A1759" t="str">
            <v>A0002414</v>
          </cell>
          <cell r="B1759" t="str">
            <v>Rollo PP para Roll-Up Trasera Gris 1.52x30m</v>
          </cell>
          <cell r="C1759" t="str">
            <v>Sí</v>
          </cell>
          <cell r="D1759" t="str">
            <v>No</v>
          </cell>
        </row>
        <row r="1760">
          <cell r="A1760" t="str">
            <v>A0000848</v>
          </cell>
          <cell r="B1760" t="str">
            <v>M2 Metamark Metascape M7A Dusted Window Polimérico 1,60mm x 50m</v>
          </cell>
          <cell r="C1760" t="str">
            <v>Sí</v>
          </cell>
          <cell r="D1760" t="str">
            <v>Si</v>
          </cell>
          <cell r="E1760" t="str">
            <v>A0000539</v>
          </cell>
        </row>
        <row r="1761">
          <cell r="A1761" t="str">
            <v>A0002416</v>
          </cell>
          <cell r="B1761" t="str">
            <v>6010-01-12x3-S - Rollo Tira de PVC caja de luz (on spool) 12mmX3mm 200m</v>
          </cell>
          <cell r="C1761" t="str">
            <v>Sí</v>
          </cell>
          <cell r="D1761" t="str">
            <v>No</v>
          </cell>
        </row>
        <row r="1762">
          <cell r="A1762" t="str">
            <v>A0002417</v>
          </cell>
          <cell r="B1762" t="str">
            <v>6018-95-5x14.7 - Rollo Cuña de PVC caja de luz (on spool) 5mmX14,7mm 100m</v>
          </cell>
          <cell r="C1762" t="str">
            <v>Sí</v>
          </cell>
          <cell r="D1762" t="str">
            <v>No</v>
          </cell>
        </row>
        <row r="1763">
          <cell r="A1763" t="str">
            <v>A0001177</v>
          </cell>
          <cell r="B1763" t="str">
            <v>M2 Metamark Metascape M7A Hopal Haze Window Polimérico 1,22 x 50m</v>
          </cell>
          <cell r="C1763" t="str">
            <v>Sí</v>
          </cell>
          <cell r="D1763" t="str">
            <v>Si</v>
          </cell>
          <cell r="E1763" t="str">
            <v>A0001177</v>
          </cell>
        </row>
        <row r="1764">
          <cell r="A1764" t="str">
            <v>A0001176</v>
          </cell>
          <cell r="B1764" t="str">
            <v>M2 Metamark Metascape M7A Hopal Haze Window Polimérico 1,60 x 50m</v>
          </cell>
          <cell r="C1764" t="str">
            <v>Sí</v>
          </cell>
          <cell r="D1764" t="str">
            <v>Si</v>
          </cell>
          <cell r="E1764" t="str">
            <v>A0001177</v>
          </cell>
        </row>
        <row r="1765">
          <cell r="A1765" t="str">
            <v>A0002420</v>
          </cell>
          <cell r="B1765" t="str">
            <v>6300-93-220 - Caja Toalla Limpiadora de Cabezales 150uds 22cm X 22cm</v>
          </cell>
          <cell r="C1765" t="str">
            <v>Sí</v>
          </cell>
          <cell r="D1765" t="str">
            <v>No</v>
          </cell>
        </row>
        <row r="1766">
          <cell r="A1766" t="str">
            <v>A0000540</v>
          </cell>
          <cell r="B1766" t="str">
            <v>M2 Metamark Metascape M7A Silver Window Polimérico 0,61 x 50m</v>
          </cell>
          <cell r="C1766" t="str">
            <v>Sí</v>
          </cell>
          <cell r="D1766" t="str">
            <v>No</v>
          </cell>
          <cell r="E1766" t="str">
            <v>A0000540</v>
          </cell>
        </row>
        <row r="1767">
          <cell r="A1767" t="str">
            <v>A0000534</v>
          </cell>
          <cell r="B1767" t="str">
            <v>M2 Metamark Metascape M7A Silver Window Polimérico 1,22 x 50m</v>
          </cell>
          <cell r="C1767" t="str">
            <v>Sí</v>
          </cell>
          <cell r="D1767" t="str">
            <v>Si</v>
          </cell>
          <cell r="E1767" t="str">
            <v>A0000540</v>
          </cell>
        </row>
        <row r="1768">
          <cell r="A1768" t="str">
            <v>A0002141</v>
          </cell>
          <cell r="B1768" t="str">
            <v>M2 Metamark Metascape M7A Silver Window Polimérico 1,60mm x 50m</v>
          </cell>
          <cell r="C1768" t="str">
            <v>Sí</v>
          </cell>
          <cell r="D1768" t="str">
            <v>Si</v>
          </cell>
          <cell r="E1768" t="str">
            <v>A0000540</v>
          </cell>
        </row>
        <row r="1769">
          <cell r="A1769" t="str">
            <v>A0002081</v>
          </cell>
          <cell r="B1769" t="str">
            <v>M2 Metamark MM-SSS poliéster single sided Oro 0,61 x 50m</v>
          </cell>
          <cell r="C1769" t="str">
            <v>Sí</v>
          </cell>
          <cell r="D1769" t="str">
            <v>No</v>
          </cell>
        </row>
        <row r="1770">
          <cell r="A1770" t="str">
            <v>A0002080</v>
          </cell>
          <cell r="B1770" t="str">
            <v>M2 Metamark MM-SSS poliéster single sided Oro 1,22 x 50m</v>
          </cell>
          <cell r="C1770" t="str">
            <v>Sí</v>
          </cell>
          <cell r="D1770" t="str">
            <v>No</v>
          </cell>
        </row>
        <row r="1771">
          <cell r="A1771" t="str">
            <v>A0002082</v>
          </cell>
          <cell r="B1771" t="str">
            <v>M2 Metamark MM-SSS poliéster single sided Plata 0,61 x 50m</v>
          </cell>
          <cell r="C1771" t="str">
            <v>Sí</v>
          </cell>
          <cell r="D1771" t="str">
            <v>No</v>
          </cell>
        </row>
        <row r="1772">
          <cell r="A1772" t="str">
            <v>A0002079</v>
          </cell>
          <cell r="B1772" t="str">
            <v>M2 Metamark MM-SSS poliéster single sided Plata 1,22 x 50m</v>
          </cell>
          <cell r="C1772" t="str">
            <v>Sí</v>
          </cell>
          <cell r="D1772" t="str">
            <v>No</v>
          </cell>
        </row>
        <row r="1773">
          <cell r="A1773" t="str">
            <v>A0002307</v>
          </cell>
          <cell r="B1773" t="str">
            <v>M2 Metamark MT600 Blanco 0,61 x 50m</v>
          </cell>
          <cell r="C1773" t="str">
            <v>Sí</v>
          </cell>
          <cell r="D1773" t="str">
            <v>Si</v>
          </cell>
          <cell r="E1773" t="str">
            <v>A0000541</v>
          </cell>
        </row>
        <row r="1774">
          <cell r="A1774" t="str">
            <v>A0000541</v>
          </cell>
          <cell r="B1774" t="str">
            <v>M2 Metamark MT600 Blanco 1,22 x 50m</v>
          </cell>
          <cell r="C1774" t="str">
            <v>Sí</v>
          </cell>
          <cell r="D1774" t="str">
            <v>Si</v>
          </cell>
          <cell r="E1774" t="str">
            <v>A0000541</v>
          </cell>
        </row>
        <row r="1775">
          <cell r="A1775" t="str">
            <v>A0001933</v>
          </cell>
          <cell r="B1775" t="str">
            <v>M2 Metamark MT610 Negro 0,61 x 50m</v>
          </cell>
          <cell r="C1775" t="str">
            <v>Sí</v>
          </cell>
          <cell r="D1775" t="str">
            <v>Si</v>
          </cell>
          <cell r="E1775" t="str">
            <v>A0000541</v>
          </cell>
        </row>
        <row r="1776">
          <cell r="A1776" t="str">
            <v>A0000548</v>
          </cell>
          <cell r="B1776" t="str">
            <v>M2 Metamark MT610 Negro 1,22 x 50m</v>
          </cell>
          <cell r="C1776" t="str">
            <v>Sí</v>
          </cell>
          <cell r="D1776" t="str">
            <v>Si</v>
          </cell>
          <cell r="E1776" t="str">
            <v>A0000541</v>
          </cell>
        </row>
        <row r="1777">
          <cell r="A1777" t="str">
            <v>A0001932</v>
          </cell>
          <cell r="B1777" t="str">
            <v>M2 Metamark MT620 Gris Ligero 0,61 x 50m</v>
          </cell>
          <cell r="C1777" t="str">
            <v>Sí</v>
          </cell>
          <cell r="D1777" t="str">
            <v>Si</v>
          </cell>
          <cell r="E1777" t="str">
            <v>A0000541</v>
          </cell>
        </row>
        <row r="1778">
          <cell r="A1778" t="str">
            <v>A0000545</v>
          </cell>
          <cell r="B1778" t="str">
            <v>M2 Metamark MT620 Gris Ligero 1,22 x 50m</v>
          </cell>
          <cell r="C1778" t="str">
            <v>Sí</v>
          </cell>
          <cell r="D1778" t="str">
            <v>Si</v>
          </cell>
          <cell r="E1778" t="str">
            <v>A0000541</v>
          </cell>
        </row>
        <row r="1779">
          <cell r="A1779" t="str">
            <v>A0001717</v>
          </cell>
          <cell r="B1779" t="str">
            <v>M2 Metamark MT621 Gris Oscuro 0,61 x 50m</v>
          </cell>
          <cell r="C1779" t="str">
            <v>Sí</v>
          </cell>
          <cell r="D1779" t="str">
            <v>Si</v>
          </cell>
          <cell r="E1779" t="str">
            <v>A0000541</v>
          </cell>
        </row>
        <row r="1780">
          <cell r="A1780" t="str">
            <v>A0000544</v>
          </cell>
          <cell r="B1780" t="str">
            <v>M2 Metamark MT621 Gris Oscuro 1,22 x 50m</v>
          </cell>
          <cell r="C1780" t="str">
            <v>Sí</v>
          </cell>
          <cell r="D1780" t="str">
            <v>Si</v>
          </cell>
          <cell r="E1780" t="str">
            <v>A0000541</v>
          </cell>
        </row>
        <row r="1781">
          <cell r="A1781" t="str">
            <v>A0001706</v>
          </cell>
          <cell r="B1781" t="str">
            <v>M2 Metamark MT630 Amarillo Limón 0,61 x 50m</v>
          </cell>
          <cell r="C1781" t="str">
            <v>Sí</v>
          </cell>
          <cell r="D1781" t="str">
            <v>Si</v>
          </cell>
          <cell r="E1781" t="str">
            <v>A0000541</v>
          </cell>
        </row>
        <row r="1782">
          <cell r="A1782" t="str">
            <v>A0000549</v>
          </cell>
          <cell r="B1782" t="str">
            <v>M2 Metamark MT630 Amarillo Limón 1,22 x 50m</v>
          </cell>
          <cell r="C1782" t="str">
            <v>Sí</v>
          </cell>
          <cell r="D1782" t="str">
            <v>Si</v>
          </cell>
          <cell r="E1782" t="str">
            <v>A0000541</v>
          </cell>
        </row>
        <row r="1783">
          <cell r="A1783" t="str">
            <v>A0001988</v>
          </cell>
          <cell r="B1783" t="str">
            <v>M2 Metamark MT633 Naranja 0,61 x 50m</v>
          </cell>
          <cell r="C1783" t="str">
            <v>Sí</v>
          </cell>
          <cell r="D1783" t="str">
            <v>Si</v>
          </cell>
          <cell r="E1783" t="str">
            <v>A0000541</v>
          </cell>
        </row>
        <row r="1784">
          <cell r="A1784" t="str">
            <v>A0000556</v>
          </cell>
          <cell r="B1784" t="str">
            <v>M2 Metamark MT633 Naranja 1,22 x 50m</v>
          </cell>
          <cell r="C1784" t="str">
            <v>Sí</v>
          </cell>
          <cell r="D1784" t="str">
            <v>Si</v>
          </cell>
          <cell r="E1784" t="str">
            <v>A0000541</v>
          </cell>
        </row>
        <row r="1785">
          <cell r="A1785" t="str">
            <v>A0002140</v>
          </cell>
          <cell r="B1785" t="str">
            <v>M2 Metamark MT635 Amarillo Botón 0,61 x 50m</v>
          </cell>
          <cell r="C1785" t="str">
            <v>Sí</v>
          </cell>
          <cell r="D1785" t="str">
            <v>Si</v>
          </cell>
          <cell r="E1785" t="str">
            <v>A0000541</v>
          </cell>
        </row>
        <row r="1786">
          <cell r="A1786" t="str">
            <v>A0000550</v>
          </cell>
          <cell r="B1786" t="str">
            <v>M2 Metamark MT635 Amarillo Botón 1,22 x 50m</v>
          </cell>
          <cell r="C1786" t="str">
            <v>Sí</v>
          </cell>
          <cell r="D1786" t="str">
            <v>Si</v>
          </cell>
          <cell r="E1786" t="str">
            <v>A0000541</v>
          </cell>
        </row>
        <row r="1787">
          <cell r="A1787" t="str">
            <v>A0001705</v>
          </cell>
          <cell r="B1787" t="str">
            <v>M2 Metamark MT636 Mandarina 0,61 x 50m</v>
          </cell>
          <cell r="C1787" t="str">
            <v>Sí</v>
          </cell>
          <cell r="D1787" t="str">
            <v>Si</v>
          </cell>
          <cell r="E1787" t="str">
            <v>A0000541</v>
          </cell>
        </row>
        <row r="1788">
          <cell r="A1788" t="str">
            <v>A0000551</v>
          </cell>
          <cell r="B1788" t="str">
            <v>M2 Metamark MT636 Mandarina 1,22 x 50m</v>
          </cell>
          <cell r="C1788" t="str">
            <v>Sí</v>
          </cell>
          <cell r="D1788" t="str">
            <v>Si</v>
          </cell>
          <cell r="E1788" t="str">
            <v>A0000541</v>
          </cell>
        </row>
        <row r="1789">
          <cell r="A1789" t="str">
            <v>A0000558</v>
          </cell>
          <cell r="B1789" t="str">
            <v>M2 Metamark MT640 Rojo Ligero 1,22 x 50m</v>
          </cell>
          <cell r="C1789" t="str">
            <v>Sí</v>
          </cell>
          <cell r="D1789" t="str">
            <v>Si</v>
          </cell>
          <cell r="E1789" t="str">
            <v>A0000541</v>
          </cell>
        </row>
        <row r="1790">
          <cell r="A1790" t="str">
            <v>A0001865</v>
          </cell>
          <cell r="B1790" t="str">
            <v>M2 Metamark MT641 Rojo Tomate 0,61 x 50m</v>
          </cell>
          <cell r="C1790" t="str">
            <v>Sí</v>
          </cell>
          <cell r="D1790" t="str">
            <v>Si</v>
          </cell>
          <cell r="E1790" t="str">
            <v>A0000541</v>
          </cell>
        </row>
        <row r="1791">
          <cell r="A1791" t="str">
            <v>A0000560</v>
          </cell>
          <cell r="B1791" t="str">
            <v>M2 Metamark MT641 Rojo Tomate 1,22 x 50m</v>
          </cell>
          <cell r="C1791" t="str">
            <v>Sí</v>
          </cell>
          <cell r="D1791" t="str">
            <v>Si</v>
          </cell>
          <cell r="E1791" t="str">
            <v>A0000541</v>
          </cell>
        </row>
        <row r="1792">
          <cell r="A1792" t="str">
            <v>A0001844</v>
          </cell>
          <cell r="B1792" t="str">
            <v>M2 Metamark MT642 Rojo Carmesí 0,61 x 50m</v>
          </cell>
          <cell r="C1792" t="str">
            <v>Sí</v>
          </cell>
          <cell r="D1792" t="str">
            <v>Si</v>
          </cell>
          <cell r="E1792" t="str">
            <v>A0000541</v>
          </cell>
        </row>
        <row r="1793">
          <cell r="A1793" t="str">
            <v>A0002451</v>
          </cell>
          <cell r="B1793" t="str">
            <v>8080-10 50x70 - Rollo Krea Alfombra Premium 50x70m</v>
          </cell>
          <cell r="C1793" t="str">
            <v>Sí</v>
          </cell>
          <cell r="D1793" t="str">
            <v>No</v>
          </cell>
        </row>
        <row r="1794">
          <cell r="A1794" t="str">
            <v>A0002452</v>
          </cell>
          <cell r="B1794" t="str">
            <v>8080-10 90x140 - Rollo Krea Alfombra Premium 90x140m</v>
          </cell>
          <cell r="C1794" t="str">
            <v>Sí</v>
          </cell>
          <cell r="D1794" t="str">
            <v>No</v>
          </cell>
        </row>
        <row r="1795">
          <cell r="A1795" t="str">
            <v>A0002453</v>
          </cell>
          <cell r="B1795" t="str">
            <v>8080-10 100x150 - Rollo Krea Alfombra Premium 100x150m</v>
          </cell>
          <cell r="C1795" t="str">
            <v>Sí</v>
          </cell>
          <cell r="D1795" t="str">
            <v>No</v>
          </cell>
        </row>
        <row r="1796">
          <cell r="A1796" t="str">
            <v>A0002454</v>
          </cell>
          <cell r="B1796" t="str">
            <v>8080-10 200x150 - Rollo Krea Alfombra Premium 200x150m</v>
          </cell>
          <cell r="C1796" t="str">
            <v>Sí</v>
          </cell>
          <cell r="D1796" t="str">
            <v>No</v>
          </cell>
        </row>
        <row r="1797">
          <cell r="A1797" t="str">
            <v>A0000546</v>
          </cell>
          <cell r="B1797" t="str">
            <v>M2 Metamark MT642 Rojo Carmesí 1,22 x 50m</v>
          </cell>
          <cell r="C1797" t="str">
            <v>Sí</v>
          </cell>
          <cell r="D1797" t="str">
            <v>Si</v>
          </cell>
          <cell r="E1797" t="str">
            <v>A0000541</v>
          </cell>
        </row>
        <row r="1798">
          <cell r="A1798" t="str">
            <v>A0001850</v>
          </cell>
          <cell r="B1798" t="str">
            <v>M2 Metamark MT643 Rojo Cardenal 0,61 x 50m</v>
          </cell>
          <cell r="C1798" t="str">
            <v>Sí</v>
          </cell>
          <cell r="D1798" t="str">
            <v>Si</v>
          </cell>
          <cell r="E1798" t="str">
            <v>A0000541</v>
          </cell>
        </row>
        <row r="1799">
          <cell r="A1799" t="str">
            <v>A0000562</v>
          </cell>
          <cell r="B1799" t="str">
            <v>M2 Metamark MT643 Rojo Cardenal 1,22 x 50m</v>
          </cell>
          <cell r="C1799" t="str">
            <v>Sí</v>
          </cell>
          <cell r="D1799" t="str">
            <v>Si</v>
          </cell>
          <cell r="E1799" t="str">
            <v>A0000541</v>
          </cell>
        </row>
        <row r="1800">
          <cell r="A1800" t="str">
            <v>A0002458</v>
          </cell>
          <cell r="B1800" t="str">
            <v>6300-93-220 - Paño de limpieza de cabezales 220x220mm (150ud)</v>
          </cell>
          <cell r="C1800" t="str">
            <v>Sí</v>
          </cell>
          <cell r="D1800" t="str">
            <v>No</v>
          </cell>
        </row>
        <row r="1801">
          <cell r="A1801" t="str">
            <v>A0002915</v>
          </cell>
          <cell r="B1801" t="str">
            <v>M2 Metamark MT645 Rojo Vino 0,61 x 50m</v>
          </cell>
          <cell r="C1801" t="str">
            <v>Sí</v>
          </cell>
          <cell r="D1801" t="str">
            <v>Si</v>
          </cell>
          <cell r="E1801" t="str">
            <v>A0000541</v>
          </cell>
        </row>
        <row r="1802">
          <cell r="A1802" t="str">
            <v>A0000564</v>
          </cell>
          <cell r="B1802" t="str">
            <v>M2 Metamark MT645 Rojo Vino 1,22 x 50m</v>
          </cell>
          <cell r="C1802" t="str">
            <v>Sí</v>
          </cell>
          <cell r="D1802" t="str">
            <v>Si</v>
          </cell>
          <cell r="E1802" t="str">
            <v>A0000541</v>
          </cell>
        </row>
        <row r="1803">
          <cell r="A1803" t="str">
            <v>A0002311</v>
          </cell>
          <cell r="B1803" t="str">
            <v>M2 Metamark MT647 Rojo Escarlata 0,61 x 50m</v>
          </cell>
          <cell r="C1803" t="str">
            <v>Sí</v>
          </cell>
          <cell r="D1803" t="str">
            <v>Si</v>
          </cell>
          <cell r="E1803" t="str">
            <v>A0000541</v>
          </cell>
        </row>
        <row r="1804">
          <cell r="A1804" t="str">
            <v>A0002462</v>
          </cell>
          <cell r="B1804" t="str">
            <v>8082-10 100x150 - Rollo Alfombra Premium Ecoline 100x150cm</v>
          </cell>
          <cell r="C1804" t="str">
            <v>Sí</v>
          </cell>
          <cell r="D1804" t="str">
            <v>No</v>
          </cell>
        </row>
        <row r="1805">
          <cell r="A1805" t="str">
            <v>A0002463</v>
          </cell>
          <cell r="B1805" t="str">
            <v>6100-93-050 - Rollo Flag Belt -  Tira de refuerzo banderas Blanco 50mmx100</v>
          </cell>
          <cell r="C1805" t="str">
            <v>Sí</v>
          </cell>
          <cell r="D1805" t="str">
            <v>No</v>
          </cell>
        </row>
        <row r="1806">
          <cell r="A1806" t="str">
            <v>A0002464</v>
          </cell>
          <cell r="B1806" t="str">
            <v>6120-99-128 - Rollo Tira de refuerzo elástico fuerte Negro 128mmx50m</v>
          </cell>
          <cell r="C1806" t="str">
            <v>Sí</v>
          </cell>
          <cell r="D1806" t="str">
            <v>No</v>
          </cell>
        </row>
        <row r="1807">
          <cell r="A1807" t="str">
            <v>A0002465</v>
          </cell>
          <cell r="B1807" t="str">
            <v>6120-99-138 - Rollo Tira de refuerzo elástico fuerte Negro 138mmx50m</v>
          </cell>
          <cell r="C1807" t="str">
            <v>Sí</v>
          </cell>
          <cell r="D1807" t="str">
            <v>No</v>
          </cell>
        </row>
        <row r="1808">
          <cell r="A1808" t="str">
            <v>A0002466</v>
          </cell>
          <cell r="B1808" t="str">
            <v>6120-99-200 - Rollo Tira de refuerzo elástico fuerte Negro 200mmx50m</v>
          </cell>
          <cell r="C1808" t="str">
            <v>Sí</v>
          </cell>
          <cell r="D1808" t="str">
            <v>No</v>
          </cell>
        </row>
        <row r="1809">
          <cell r="A1809" t="str">
            <v>A0002467</v>
          </cell>
          <cell r="B1809" t="str">
            <v>6120-93-138 - Rollo Tira de refuerzo elástico fuerte Blanco 138mmx50m</v>
          </cell>
          <cell r="C1809" t="str">
            <v>Sí</v>
          </cell>
          <cell r="D1809" t="str">
            <v>No</v>
          </cell>
        </row>
        <row r="1810">
          <cell r="A1810" t="str">
            <v>A0002468</v>
          </cell>
          <cell r="B1810" t="str">
            <v>6120-93-128 - Rollo Tira de refuerzo elástico fuerte Blanco 128mmx50m</v>
          </cell>
          <cell r="C1810" t="str">
            <v>Sí</v>
          </cell>
          <cell r="D1810" t="str">
            <v>No</v>
          </cell>
        </row>
        <row r="1811">
          <cell r="A1811" t="str">
            <v>A0002469</v>
          </cell>
          <cell r="B1811" t="str">
            <v>6100-99-050 - Rollo Flag Belt -  Tira de refuerzo banderas Negro 50mmx100</v>
          </cell>
          <cell r="C1811" t="str">
            <v>Sí</v>
          </cell>
          <cell r="D1811" t="str">
            <v>No</v>
          </cell>
        </row>
        <row r="1812">
          <cell r="A1812" t="str">
            <v>A0000561</v>
          </cell>
          <cell r="B1812" t="str">
            <v>M2 Metamark MT647 Rojo Escarlata 1,22 x 50m</v>
          </cell>
          <cell r="C1812" t="str">
            <v>Sí</v>
          </cell>
          <cell r="D1812" t="str">
            <v>Si</v>
          </cell>
          <cell r="E1812" t="str">
            <v>A0000541</v>
          </cell>
        </row>
        <row r="1813">
          <cell r="A1813" t="str">
            <v>A0002794</v>
          </cell>
          <cell r="B1813" t="str">
            <v>M2 Metamark MT649 Burdeos 0,61 x 50m</v>
          </cell>
          <cell r="C1813" t="str">
            <v>Sí</v>
          </cell>
          <cell r="D1813" t="str">
            <v>Si</v>
          </cell>
          <cell r="E1813" t="str">
            <v>A0000541</v>
          </cell>
        </row>
        <row r="1814">
          <cell r="A1814" t="str">
            <v>A0000563</v>
          </cell>
          <cell r="B1814" t="str">
            <v>M2 Metamark MT649 Burdeos 1,22 x 50m</v>
          </cell>
          <cell r="C1814" t="str">
            <v>Sí</v>
          </cell>
          <cell r="D1814" t="str">
            <v>Si</v>
          </cell>
          <cell r="E1814" t="str">
            <v>A0000541</v>
          </cell>
        </row>
        <row r="1815">
          <cell r="A1815" t="str">
            <v>A0001736</v>
          </cell>
          <cell r="B1815" t="str">
            <v>M2 Metamark MT651 Azul Olímpico 0,61 x 50m</v>
          </cell>
          <cell r="C1815" t="str">
            <v>Sí</v>
          </cell>
          <cell r="D1815" t="str">
            <v>Si</v>
          </cell>
          <cell r="E1815" t="str">
            <v>A0000541</v>
          </cell>
        </row>
        <row r="1816">
          <cell r="A1816" t="str">
            <v>A0000567</v>
          </cell>
          <cell r="B1816" t="str">
            <v>M2 Metamark MT651 Azul Olímpico 1,22 x 50m</v>
          </cell>
          <cell r="C1816" t="str">
            <v>Sí</v>
          </cell>
          <cell r="D1816" t="str">
            <v>Si</v>
          </cell>
          <cell r="E1816" t="str">
            <v>A0000541</v>
          </cell>
        </row>
        <row r="1817">
          <cell r="A1817" t="str">
            <v>A0001843</v>
          </cell>
          <cell r="B1817" t="str">
            <v>M2 Metamark MT653 Azul Intenso 0,61 x 50m</v>
          </cell>
          <cell r="C1817" t="str">
            <v>Sí</v>
          </cell>
          <cell r="D1817" t="str">
            <v>Si</v>
          </cell>
          <cell r="E1817" t="str">
            <v>A0000541</v>
          </cell>
        </row>
        <row r="1818">
          <cell r="A1818" t="str">
            <v>A0000553</v>
          </cell>
          <cell r="B1818" t="str">
            <v>M2 Metamark MT653 Azul Intenso 1,22 x 50m</v>
          </cell>
          <cell r="C1818" t="str">
            <v>Sí</v>
          </cell>
          <cell r="D1818" t="str">
            <v>Si</v>
          </cell>
          <cell r="E1818" t="str">
            <v>A0000541</v>
          </cell>
        </row>
        <row r="1819">
          <cell r="A1819" t="str">
            <v>A0001632</v>
          </cell>
          <cell r="B1819" t="str">
            <v>M2 Metamark MT654 Azul Medio 0,61 x 50m</v>
          </cell>
          <cell r="C1819" t="str">
            <v>Sí</v>
          </cell>
          <cell r="D1819" t="str">
            <v>Si</v>
          </cell>
          <cell r="E1819" t="str">
            <v>A0000270</v>
          </cell>
        </row>
        <row r="1820">
          <cell r="A1820" t="str">
            <v>A0000555</v>
          </cell>
          <cell r="B1820" t="str">
            <v>M2 Metamark MT654 Azul Medio 1,22 x 50m</v>
          </cell>
          <cell r="C1820" t="str">
            <v>Sí</v>
          </cell>
          <cell r="D1820" t="str">
            <v>Si</v>
          </cell>
          <cell r="E1820" t="str">
            <v>A0000541</v>
          </cell>
        </row>
        <row r="1821">
          <cell r="A1821" t="str">
            <v>A0001960</v>
          </cell>
          <cell r="B1821" t="str">
            <v>M2 Metamark MT659 Azul Cobalto 0,61 x 50m</v>
          </cell>
          <cell r="C1821" t="str">
            <v>Sí</v>
          </cell>
          <cell r="D1821" t="str">
            <v>Si</v>
          </cell>
          <cell r="E1821" t="str">
            <v>A0000541</v>
          </cell>
        </row>
        <row r="1822">
          <cell r="A1822" t="str">
            <v>A0000557</v>
          </cell>
          <cell r="B1822" t="str">
            <v>M2 Metamark MT659 Azul Cobalto 1,22 x 50m</v>
          </cell>
          <cell r="C1822" t="str">
            <v>Sí</v>
          </cell>
          <cell r="D1822" t="str">
            <v>Si</v>
          </cell>
          <cell r="E1822" t="str">
            <v>A0000541</v>
          </cell>
        </row>
        <row r="1823">
          <cell r="A1823" t="str">
            <v>A0001848</v>
          </cell>
          <cell r="B1823" t="str">
            <v>M2 Metamark MT660 Verde Lima 0,61 x 50m</v>
          </cell>
          <cell r="C1823" t="str">
            <v>Sí</v>
          </cell>
          <cell r="D1823" t="str">
            <v>Si</v>
          </cell>
          <cell r="E1823" t="str">
            <v>A0000541</v>
          </cell>
        </row>
        <row r="1824">
          <cell r="A1824" t="str">
            <v>A0000554</v>
          </cell>
          <cell r="B1824" t="str">
            <v>M2 Metamark MT660 Verde Lima 1,22 x 50m</v>
          </cell>
          <cell r="C1824" t="str">
            <v>Sí</v>
          </cell>
          <cell r="D1824" t="str">
            <v>Si</v>
          </cell>
          <cell r="E1824" t="str">
            <v>A0000541</v>
          </cell>
        </row>
        <row r="1825">
          <cell r="A1825" t="str">
            <v>A0001849</v>
          </cell>
          <cell r="B1825" t="str">
            <v>M2 Metamark MT665 Verde Azulado 0,61 x 50m</v>
          </cell>
          <cell r="C1825" t="str">
            <v>Sí</v>
          </cell>
          <cell r="D1825" t="str">
            <v>Si</v>
          </cell>
          <cell r="E1825" t="str">
            <v>A0000541</v>
          </cell>
        </row>
        <row r="1826">
          <cell r="A1826" t="str">
            <v>A0000569</v>
          </cell>
          <cell r="B1826" t="str">
            <v>M2 Metamark MT665 Verde Azulado 1,22 x 50m</v>
          </cell>
          <cell r="C1826" t="str">
            <v>Sí</v>
          </cell>
          <cell r="D1826" t="str">
            <v>Si</v>
          </cell>
          <cell r="E1826" t="str">
            <v>A0000541</v>
          </cell>
        </row>
        <row r="1827">
          <cell r="A1827" t="str">
            <v>A0002126</v>
          </cell>
          <cell r="B1827" t="str">
            <v>M2 Metamark MT666 Verde Turquesa 0,61 x 50m</v>
          </cell>
          <cell r="C1827" t="str">
            <v>Sí</v>
          </cell>
          <cell r="D1827" t="str">
            <v>Si</v>
          </cell>
          <cell r="E1827" t="str">
            <v>A0000541</v>
          </cell>
        </row>
        <row r="1828">
          <cell r="A1828" t="str">
            <v>A0000570</v>
          </cell>
          <cell r="B1828" t="str">
            <v>M2 Metamark MT666 Verde Turquesa 1,22 x 50m</v>
          </cell>
          <cell r="C1828" t="str">
            <v>Sí</v>
          </cell>
          <cell r="D1828" t="str">
            <v>Si</v>
          </cell>
          <cell r="E1828" t="str">
            <v>A0000541</v>
          </cell>
        </row>
        <row r="1829">
          <cell r="A1829" t="str">
            <v>A0001655</v>
          </cell>
          <cell r="B1829" t="str">
            <v>M2 Metamark MT667 Verde Forestal 0,61 x 50m</v>
          </cell>
          <cell r="C1829" t="str">
            <v>Sí</v>
          </cell>
          <cell r="D1829" t="str">
            <v>Si</v>
          </cell>
          <cell r="E1829" t="str">
            <v>A0000541</v>
          </cell>
        </row>
        <row r="1830">
          <cell r="A1830" t="str">
            <v>A0000571</v>
          </cell>
          <cell r="B1830" t="str">
            <v>M2 Metamark MT667 Verde Forestal 1,22 x 50m</v>
          </cell>
          <cell r="C1830" t="str">
            <v>Sí</v>
          </cell>
          <cell r="D1830" t="str">
            <v>Si</v>
          </cell>
          <cell r="E1830" t="str">
            <v>A0000541</v>
          </cell>
        </row>
        <row r="1831">
          <cell r="A1831" t="str">
            <v>A0001845</v>
          </cell>
          <cell r="B1831" t="str">
            <v>M2 Metamark MT668 Verde Prado 0,61 x 50m</v>
          </cell>
          <cell r="C1831" t="str">
            <v>Sí</v>
          </cell>
          <cell r="D1831" t="str">
            <v>Si</v>
          </cell>
          <cell r="E1831" t="str">
            <v>A0000541</v>
          </cell>
        </row>
        <row r="1832">
          <cell r="A1832" t="str">
            <v>A0000543</v>
          </cell>
          <cell r="B1832" t="str">
            <v>M2 Metamark MT668 Verde Prado 1,22 x 50m</v>
          </cell>
          <cell r="C1832" t="str">
            <v>Sí</v>
          </cell>
          <cell r="D1832" t="str">
            <v>Si</v>
          </cell>
          <cell r="E1832" t="str">
            <v>A0000541</v>
          </cell>
        </row>
        <row r="1833">
          <cell r="A1833" t="str">
            <v>A0002220</v>
          </cell>
          <cell r="B1833" t="str">
            <v>M2 Metamark MT669 Verde Trébol 0,61 x 50m</v>
          </cell>
          <cell r="C1833" t="str">
            <v>Sí</v>
          </cell>
          <cell r="D1833" t="str">
            <v>Si</v>
          </cell>
          <cell r="E1833" t="str">
            <v>A0000541</v>
          </cell>
        </row>
        <row r="1834">
          <cell r="A1834" t="str">
            <v>A0000572</v>
          </cell>
          <cell r="B1834" t="str">
            <v>M2 Metamark MT669 Verde Trébol 1,22 x 50m</v>
          </cell>
          <cell r="C1834" t="str">
            <v>Sí</v>
          </cell>
          <cell r="D1834" t="str">
            <v>Si</v>
          </cell>
          <cell r="E1834" t="str">
            <v>A0000541</v>
          </cell>
        </row>
        <row r="1835">
          <cell r="A1835" t="str">
            <v>A0002930</v>
          </cell>
          <cell r="B1835" t="str">
            <v>M2 Metamark MT670 Marfil 0,61 x 50m</v>
          </cell>
          <cell r="C1835" t="str">
            <v>Sí</v>
          </cell>
          <cell r="D1835" t="str">
            <v>Si</v>
          </cell>
          <cell r="E1835" t="str">
            <v>A0000541</v>
          </cell>
        </row>
        <row r="1836">
          <cell r="A1836" t="str">
            <v>A0000566</v>
          </cell>
          <cell r="B1836" t="str">
            <v>M2 Metamark MT670 Marfil 1,22 x 50m</v>
          </cell>
          <cell r="C1836" t="str">
            <v>Sí</v>
          </cell>
          <cell r="D1836" t="str">
            <v>Si</v>
          </cell>
          <cell r="E1836" t="str">
            <v>A0000541</v>
          </cell>
        </row>
        <row r="1837">
          <cell r="A1837" t="str">
            <v>A0002221</v>
          </cell>
          <cell r="B1837" t="str">
            <v>M2 Metamark MT672 Marrón 0,61 x 50m</v>
          </cell>
          <cell r="C1837" t="str">
            <v>Sí</v>
          </cell>
          <cell r="D1837" t="str">
            <v>Si</v>
          </cell>
          <cell r="E1837" t="str">
            <v>A0000541</v>
          </cell>
        </row>
        <row r="1838">
          <cell r="A1838" t="str">
            <v>A0000568</v>
          </cell>
          <cell r="B1838" t="str">
            <v>M2 Metamark MT672 Marrón 1,22 x 50m</v>
          </cell>
          <cell r="C1838" t="str">
            <v>Sí</v>
          </cell>
          <cell r="D1838" t="str">
            <v>Si</v>
          </cell>
          <cell r="E1838" t="str">
            <v>A0000541</v>
          </cell>
        </row>
        <row r="1839">
          <cell r="A1839" t="str">
            <v>A0001704</v>
          </cell>
          <cell r="B1839" t="str">
            <v>M2 Metamark MT675 Azul Oriental 0,61 x 50m</v>
          </cell>
          <cell r="C1839" t="str">
            <v>Sí</v>
          </cell>
          <cell r="D1839" t="str">
            <v>Si</v>
          </cell>
          <cell r="E1839" t="str">
            <v>A0000541</v>
          </cell>
        </row>
        <row r="1840">
          <cell r="A1840" t="str">
            <v>A0000559</v>
          </cell>
          <cell r="B1840" t="str">
            <v>M2 Metamark MT675 Azul Oriental 1,22 x 50m</v>
          </cell>
          <cell r="C1840" t="str">
            <v>Sí</v>
          </cell>
          <cell r="D1840" t="str">
            <v>Si</v>
          </cell>
          <cell r="E1840" t="str">
            <v>A0000541</v>
          </cell>
        </row>
        <row r="1841">
          <cell r="A1841" t="str">
            <v>A0002055</v>
          </cell>
          <cell r="B1841" t="str">
            <v>M2 Metamark MT676 Azul Proceso, 0,61 x 50m</v>
          </cell>
          <cell r="C1841" t="str">
            <v>Sí</v>
          </cell>
          <cell r="D1841" t="str">
            <v>Si</v>
          </cell>
          <cell r="E1841" t="str">
            <v>A0000541</v>
          </cell>
        </row>
        <row r="1842">
          <cell r="A1842" t="str">
            <v>A0000547</v>
          </cell>
          <cell r="B1842" t="str">
            <v>M2 Metamark MT676 Azul Proceso, 1,22 x 50m</v>
          </cell>
          <cell r="C1842" t="str">
            <v>Sí</v>
          </cell>
          <cell r="D1842" t="str">
            <v>Si</v>
          </cell>
          <cell r="E1842" t="str">
            <v>A0000541</v>
          </cell>
        </row>
        <row r="1843">
          <cell r="A1843" t="str">
            <v>A0002756</v>
          </cell>
          <cell r="B1843" t="str">
            <v>M2 Metamark MT677 Azul Real 0,61 x 50m</v>
          </cell>
          <cell r="C1843" t="str">
            <v>Sí</v>
          </cell>
          <cell r="D1843" t="str">
            <v>Si</v>
          </cell>
          <cell r="E1843" t="str">
            <v>A0000541</v>
          </cell>
        </row>
        <row r="1844">
          <cell r="A1844" t="str">
            <v>A0000565</v>
          </cell>
          <cell r="B1844" t="str">
            <v>M2 Metamark MT677 Azul Real 1,22 x 50m</v>
          </cell>
          <cell r="C1844" t="str">
            <v>Sí</v>
          </cell>
          <cell r="D1844" t="str">
            <v>Si</v>
          </cell>
          <cell r="E1844" t="str">
            <v>A0000541</v>
          </cell>
        </row>
        <row r="1845">
          <cell r="A1845" t="str">
            <v>A0002847</v>
          </cell>
          <cell r="B1845" t="str">
            <v>M2 Metamark MT678 Cathay Verde 0,61 x 50m</v>
          </cell>
          <cell r="C1845" t="str">
            <v>Sí</v>
          </cell>
          <cell r="D1845" t="str">
            <v>Si</v>
          </cell>
          <cell r="E1845" t="str">
            <v>A0000541</v>
          </cell>
        </row>
        <row r="1846">
          <cell r="A1846" t="str">
            <v>A0000573</v>
          </cell>
          <cell r="B1846" t="str">
            <v>M2 Metamark MT678 Cathay Verde 1,22 x 50m</v>
          </cell>
          <cell r="C1846" t="str">
            <v>Sí</v>
          </cell>
          <cell r="D1846" t="str">
            <v>Si</v>
          </cell>
          <cell r="E1846" t="str">
            <v>A0000541</v>
          </cell>
        </row>
        <row r="1847">
          <cell r="A1847" t="str">
            <v>A0002964</v>
          </cell>
          <cell r="B1847" t="str">
            <v>M2 Metamark MT679 Verde Menta 0,61 x 50m</v>
          </cell>
          <cell r="C1847" t="str">
            <v>Sí</v>
          </cell>
          <cell r="D1847" t="str">
            <v>Si</v>
          </cell>
          <cell r="E1847" t="str">
            <v>A0000541</v>
          </cell>
        </row>
        <row r="1848">
          <cell r="A1848" t="str">
            <v>A0000574</v>
          </cell>
          <cell r="B1848" t="str">
            <v>M2 Metamark MT679 Verde Menta 1,22 x 50m</v>
          </cell>
          <cell r="C1848" t="str">
            <v>Sí</v>
          </cell>
          <cell r="D1848" t="str">
            <v>Si</v>
          </cell>
          <cell r="E1848" t="str">
            <v>A0000541</v>
          </cell>
        </row>
        <row r="1849">
          <cell r="A1849" t="str">
            <v>A0002928</v>
          </cell>
          <cell r="B1849" t="str">
            <v>M2 Metamark MT683 Violeta 0,61 x 50m</v>
          </cell>
          <cell r="C1849" t="str">
            <v>Sí</v>
          </cell>
          <cell r="D1849" t="str">
            <v>Si</v>
          </cell>
          <cell r="E1849" t="str">
            <v>A0000541</v>
          </cell>
        </row>
        <row r="1850">
          <cell r="A1850" t="str">
            <v>A0000575</v>
          </cell>
          <cell r="B1850" t="str">
            <v>M2 Metamark MT683 Violeta 1,22 x 50m</v>
          </cell>
          <cell r="C1850" t="str">
            <v>Sí</v>
          </cell>
          <cell r="D1850" t="str">
            <v>Si</v>
          </cell>
          <cell r="E1850" t="str">
            <v>A0000541</v>
          </cell>
        </row>
        <row r="1851">
          <cell r="A1851" t="str">
            <v>A0001737</v>
          </cell>
          <cell r="B1851" t="str">
            <v>M2 Metamark MT684 Rose 0,61 x 50m</v>
          </cell>
          <cell r="C1851" t="str">
            <v>Sí</v>
          </cell>
          <cell r="D1851" t="str">
            <v>Si</v>
          </cell>
          <cell r="E1851" t="str">
            <v>A0000541</v>
          </cell>
        </row>
        <row r="1852">
          <cell r="A1852" t="str">
            <v>A0000542</v>
          </cell>
          <cell r="B1852" t="str">
            <v>M2 Metamark MT684 Rose 1,22 x 50m</v>
          </cell>
          <cell r="C1852" t="str">
            <v>Sí</v>
          </cell>
          <cell r="D1852" t="str">
            <v>Si</v>
          </cell>
          <cell r="E1852" t="str">
            <v>A0000541</v>
          </cell>
        </row>
        <row r="1853">
          <cell r="A1853" t="str">
            <v>A0002573</v>
          </cell>
          <cell r="B1853" t="str">
            <v>M2 Metamark MT685 Frambuesa 0,61 x 50m</v>
          </cell>
          <cell r="C1853" t="str">
            <v>Sí</v>
          </cell>
          <cell r="D1853" t="str">
            <v>Si</v>
          </cell>
          <cell r="E1853" t="str">
            <v>A0000541</v>
          </cell>
        </row>
        <row r="1854">
          <cell r="A1854" t="str">
            <v>A0000552</v>
          </cell>
          <cell r="B1854" t="str">
            <v>M2 Metamark MT685 Frambuesa 1,22 x 50m</v>
          </cell>
          <cell r="C1854" t="str">
            <v>Sí</v>
          </cell>
          <cell r="D1854" t="str">
            <v>Si</v>
          </cell>
          <cell r="E1854" t="str">
            <v>A0000541</v>
          </cell>
        </row>
        <row r="1855">
          <cell r="A1855" t="str">
            <v>A0002037</v>
          </cell>
          <cell r="B1855" t="str">
            <v>M2 Metamark RF3 Reflectante Amarillo 1,22x50m</v>
          </cell>
          <cell r="C1855" t="str">
            <v>Sí</v>
          </cell>
          <cell r="D1855" t="str">
            <v>Si</v>
          </cell>
          <cell r="E1855" t="str">
            <v>A0002036</v>
          </cell>
        </row>
        <row r="1856">
          <cell r="A1856" t="str">
            <v>A0002039</v>
          </cell>
          <cell r="B1856" t="str">
            <v>M2 Metamark RF3 Reflectante Azul 1,22x50m</v>
          </cell>
          <cell r="C1856" t="str">
            <v>Sí</v>
          </cell>
          <cell r="D1856" t="str">
            <v>Si</v>
          </cell>
          <cell r="E1856" t="str">
            <v>A0002036</v>
          </cell>
        </row>
        <row r="1857">
          <cell r="A1857" t="str">
            <v>A0002036</v>
          </cell>
          <cell r="B1857" t="str">
            <v>M2 Metamark RF3 Reflectante Blanco 1,22x50m</v>
          </cell>
          <cell r="C1857" t="str">
            <v>Sí</v>
          </cell>
          <cell r="D1857" t="str">
            <v>Si</v>
          </cell>
          <cell r="E1857" t="str">
            <v>A0002036</v>
          </cell>
        </row>
        <row r="1858">
          <cell r="A1858" t="str">
            <v>A0002072</v>
          </cell>
          <cell r="B1858" t="str">
            <v>M2 Metamark RF3 Reflectante Rojo 0,61x50m</v>
          </cell>
          <cell r="C1858" t="str">
            <v>Sí</v>
          </cell>
          <cell r="D1858" t="str">
            <v>Si</v>
          </cell>
          <cell r="E1858" t="str">
            <v>A0002036</v>
          </cell>
        </row>
        <row r="1859">
          <cell r="A1859" t="str">
            <v>A0002038</v>
          </cell>
          <cell r="B1859" t="str">
            <v>M2 Metamark RF3 Reflectante Rojo 1,22x50m</v>
          </cell>
          <cell r="C1859" t="str">
            <v>Sí</v>
          </cell>
          <cell r="D1859" t="str">
            <v>Si</v>
          </cell>
          <cell r="E1859" t="str">
            <v>A0002036</v>
          </cell>
        </row>
        <row r="1860">
          <cell r="A1860" t="str">
            <v>A0002626</v>
          </cell>
          <cell r="B1860" t="str">
            <v>M2 MetamarkMM-BM Máscara de Pintor Azul  0,61x50m</v>
          </cell>
          <cell r="C1860" t="str">
            <v>Sí</v>
          </cell>
          <cell r="D1860" t="str">
            <v>No</v>
          </cell>
        </row>
        <row r="1861">
          <cell r="A1861" t="str">
            <v>A0002095</v>
          </cell>
          <cell r="B1861" t="str">
            <v>M2 MM-CC Colour Change 00 Blanco Brillo 1,52x50m</v>
          </cell>
          <cell r="C1861" t="str">
            <v>Sí</v>
          </cell>
          <cell r="D1861" t="str">
            <v>Si</v>
          </cell>
          <cell r="E1861" t="str">
            <v>A0002095</v>
          </cell>
        </row>
        <row r="1862">
          <cell r="A1862" t="str">
            <v>A0002094</v>
          </cell>
          <cell r="B1862" t="str">
            <v>M2 MM-CC Colour Change 01M Blanco Mate 1,52x50m</v>
          </cell>
          <cell r="C1862" t="str">
            <v>Sí</v>
          </cell>
          <cell r="D1862" t="str">
            <v>Si</v>
          </cell>
          <cell r="E1862" t="str">
            <v>A0002095</v>
          </cell>
        </row>
        <row r="1863">
          <cell r="A1863" t="str">
            <v>A0002046</v>
          </cell>
          <cell r="B1863" t="str">
            <v>M2 MM-CC Colour Change 10 Negro Brillo 1,52x50m</v>
          </cell>
          <cell r="C1863" t="str">
            <v>Sí</v>
          </cell>
          <cell r="D1863" t="str">
            <v>Si</v>
          </cell>
          <cell r="E1863" t="str">
            <v>A0002095</v>
          </cell>
        </row>
        <row r="1864">
          <cell r="A1864" t="str">
            <v>A0002091</v>
          </cell>
          <cell r="B1864" t="str">
            <v>M2 MM-CC Colour Change 11 Negro Mate 1,52x50m</v>
          </cell>
          <cell r="C1864" t="str">
            <v>Sí</v>
          </cell>
          <cell r="D1864" t="str">
            <v>Si</v>
          </cell>
          <cell r="E1864" t="str">
            <v>A0002095</v>
          </cell>
        </row>
        <row r="1865">
          <cell r="A1865" t="str">
            <v>A0002103</v>
          </cell>
          <cell r="B1865" t="str">
            <v>M2 MM-CC Colour Change 13 Naranja Señal Brillo 1,52x50m</v>
          </cell>
          <cell r="C1865" t="str">
            <v>Sí</v>
          </cell>
          <cell r="D1865" t="str">
            <v>Si</v>
          </cell>
          <cell r="E1865" t="str">
            <v>A0002095</v>
          </cell>
        </row>
        <row r="1866">
          <cell r="A1866" t="str">
            <v>A0002093</v>
          </cell>
          <cell r="B1866" t="str">
            <v>M2 MM-CC Colour Change 21 Gris Detroit Brillo 1,52x50m</v>
          </cell>
          <cell r="C1866" t="str">
            <v>Sí</v>
          </cell>
          <cell r="D1866" t="str">
            <v>Si</v>
          </cell>
          <cell r="E1866" t="str">
            <v>A0002095</v>
          </cell>
        </row>
        <row r="1867">
          <cell r="A1867" t="str">
            <v>A0002096</v>
          </cell>
          <cell r="B1867" t="str">
            <v>M2 MM-CC Colour Change 29 Gris Nardo Brillo 1,52x50m</v>
          </cell>
          <cell r="C1867" t="str">
            <v>Sí</v>
          </cell>
          <cell r="D1867" t="str">
            <v>Si</v>
          </cell>
          <cell r="E1867" t="str">
            <v>A0002095</v>
          </cell>
        </row>
        <row r="1868">
          <cell r="A1868" t="str">
            <v>A0002102</v>
          </cell>
          <cell r="B1868" t="str">
            <v>M2 MM-CC Colour Change 31 Daytona Brillo 1,52x50m</v>
          </cell>
          <cell r="C1868" t="str">
            <v>Sí</v>
          </cell>
          <cell r="D1868" t="str">
            <v>Si</v>
          </cell>
          <cell r="E1868" t="str">
            <v>A0002095</v>
          </cell>
        </row>
        <row r="1869">
          <cell r="A1869" t="str">
            <v>A0002104</v>
          </cell>
          <cell r="B1869" t="str">
            <v>M2 MM-CC Colour Change 42 Rojo Brillo 1,52x50m</v>
          </cell>
          <cell r="C1869" t="str">
            <v>Sí</v>
          </cell>
          <cell r="D1869" t="str">
            <v>Si</v>
          </cell>
          <cell r="E1869" t="str">
            <v>A0002095</v>
          </cell>
        </row>
        <row r="1870">
          <cell r="A1870" t="str">
            <v>A0002105</v>
          </cell>
          <cell r="B1870" t="str">
            <v>M2 MM-CC Colour Change 48 Carmín Brillo 1,52x50m</v>
          </cell>
          <cell r="C1870" t="str">
            <v>Sí</v>
          </cell>
          <cell r="D1870" t="str">
            <v>Si</v>
          </cell>
          <cell r="E1870" t="str">
            <v>A0002095</v>
          </cell>
        </row>
        <row r="1871">
          <cell r="A1871" t="str">
            <v>A0002109</v>
          </cell>
          <cell r="B1871" t="str">
            <v>M2 MM-CC Colour Change 52 Azul Francés Brillo 1,52x50m</v>
          </cell>
          <cell r="C1871" t="str">
            <v>Sí</v>
          </cell>
          <cell r="D1871" t="str">
            <v>Si</v>
          </cell>
          <cell r="E1871" t="str">
            <v>A0002095</v>
          </cell>
        </row>
        <row r="1872">
          <cell r="A1872" t="str">
            <v>A0002110</v>
          </cell>
          <cell r="B1872" t="str">
            <v>M2 MM-CC Colour Change 55 Azul Fénix Brillo 1,52x50m</v>
          </cell>
          <cell r="C1872" t="str">
            <v>Sí</v>
          </cell>
          <cell r="D1872" t="str">
            <v>Si</v>
          </cell>
          <cell r="E1872" t="str">
            <v>A0002095</v>
          </cell>
        </row>
        <row r="1873">
          <cell r="A1873" t="str">
            <v>A0002106</v>
          </cell>
          <cell r="B1873" t="str">
            <v>M2 MM-CC Colour Change 62 Verde Java Brillo 1,52x50m</v>
          </cell>
          <cell r="C1873" t="str">
            <v>Sí</v>
          </cell>
          <cell r="D1873" t="str">
            <v>Si</v>
          </cell>
          <cell r="E1873" t="str">
            <v>A0002095</v>
          </cell>
        </row>
        <row r="1874">
          <cell r="A1874" t="str">
            <v>A0002108</v>
          </cell>
          <cell r="B1874" t="str">
            <v>M2 MM-CC Colour Change 65 Verde Azulado Brillo 1,52x50m</v>
          </cell>
          <cell r="C1874" t="str">
            <v>Sí</v>
          </cell>
          <cell r="D1874" t="str">
            <v>Si</v>
          </cell>
          <cell r="E1874" t="str">
            <v>A0002095</v>
          </cell>
        </row>
        <row r="1875">
          <cell r="A1875" t="str">
            <v>A0002537</v>
          </cell>
          <cell r="B1875" t="str">
            <v>Rollo Conspicuity Rígido Blanco 5cm x 50m</v>
          </cell>
          <cell r="C1875" t="str">
            <v>Sí</v>
          </cell>
          <cell r="D1875" t="str">
            <v>No</v>
          </cell>
        </row>
        <row r="1876">
          <cell r="A1876" t="str">
            <v>A0002538</v>
          </cell>
          <cell r="B1876" t="str">
            <v>Rollo Conspicuity Rígido Amarillo 5cm x 50m</v>
          </cell>
          <cell r="C1876" t="str">
            <v>Sí</v>
          </cell>
          <cell r="D1876" t="str">
            <v>No</v>
          </cell>
        </row>
        <row r="1877">
          <cell r="A1877" t="str">
            <v>A0002539</v>
          </cell>
          <cell r="B1877" t="str">
            <v>Rollo Conspicuity Rígido Rojo 5cm x 50m</v>
          </cell>
          <cell r="C1877" t="str">
            <v>Sí</v>
          </cell>
          <cell r="D1877" t="str">
            <v>No</v>
          </cell>
        </row>
        <row r="1878">
          <cell r="A1878" t="str">
            <v>A0002540</v>
          </cell>
          <cell r="B1878" t="str">
            <v>Rollo Conspicuity Flexible Blanco 5cm x 50m</v>
          </cell>
          <cell r="C1878" t="str">
            <v>Sí</v>
          </cell>
          <cell r="D1878" t="str">
            <v>No</v>
          </cell>
        </row>
        <row r="1879">
          <cell r="A1879" t="str">
            <v>A0002541</v>
          </cell>
          <cell r="B1879" t="str">
            <v>Rollo Conspicuity Flexible Amarillo 5cm x 50m</v>
          </cell>
          <cell r="C1879" t="str">
            <v>Sí</v>
          </cell>
          <cell r="D1879" t="str">
            <v>No</v>
          </cell>
        </row>
        <row r="1880">
          <cell r="A1880" t="str">
            <v>A0002101</v>
          </cell>
          <cell r="B1880" t="str">
            <v>M2 MM-CC Colour Change 67 Verde Neon Brillo 1,52x50m</v>
          </cell>
          <cell r="C1880" t="str">
            <v>Sí</v>
          </cell>
          <cell r="D1880" t="str">
            <v>Si</v>
          </cell>
          <cell r="E1880" t="str">
            <v>A0002095</v>
          </cell>
        </row>
        <row r="1881">
          <cell r="A1881" t="str">
            <v>A0002543</v>
          </cell>
          <cell r="B1881" t="str">
            <v>Rollo Conspicuity Flexible Rojo 5cm x 50m</v>
          </cell>
          <cell r="C1881" t="str">
            <v>Sí</v>
          </cell>
          <cell r="D1881" t="str">
            <v>No</v>
          </cell>
        </row>
        <row r="1882">
          <cell r="A1882" t="str">
            <v>A0002544</v>
          </cell>
          <cell r="B1882" t="str">
            <v>Rollo Reflectante Nivel 1 Conservación BL/RO Derecha 1,22mX 45,7m</v>
          </cell>
          <cell r="C1882" t="str">
            <v>Sí</v>
          </cell>
          <cell r="D1882" t="str">
            <v>No</v>
          </cell>
        </row>
        <row r="1883">
          <cell r="A1883" t="str">
            <v>A0002545</v>
          </cell>
          <cell r="B1883" t="str">
            <v>Rollo Reflectante Nivel 1 Conservación BL/RO Izquierda  1,22mX 45,7m</v>
          </cell>
          <cell r="C1883" t="str">
            <v>Sí</v>
          </cell>
          <cell r="D1883" t="str">
            <v>No</v>
          </cell>
        </row>
        <row r="1884">
          <cell r="A1884" t="str">
            <v>A0002546</v>
          </cell>
          <cell r="B1884" t="str">
            <v>Rollo Reflectante Nivel 2 Conservación BL/RO Derecha 1,22mX 45,7m</v>
          </cell>
          <cell r="C1884" t="str">
            <v>Sí</v>
          </cell>
          <cell r="D1884" t="str">
            <v>No</v>
          </cell>
        </row>
        <row r="1885">
          <cell r="A1885" t="str">
            <v>A0002547</v>
          </cell>
          <cell r="B1885" t="str">
            <v>Rollo Reflectante Nivel 2 Conservación BL/RO Izquierda  1,22mX 45,7m</v>
          </cell>
          <cell r="C1885" t="str">
            <v>Sí</v>
          </cell>
          <cell r="D1885" t="str">
            <v>No</v>
          </cell>
        </row>
        <row r="1886">
          <cell r="A1886" t="str">
            <v>A0002107</v>
          </cell>
          <cell r="B1886" t="str">
            <v>M2 MM-CC Colour Change 69 Verde Carrera Brillo 1,52x50m</v>
          </cell>
          <cell r="C1886" t="str">
            <v>Sí</v>
          </cell>
          <cell r="D1886" t="str">
            <v>Si</v>
          </cell>
          <cell r="E1886" t="str">
            <v>A0002095</v>
          </cell>
        </row>
        <row r="1887">
          <cell r="A1887" t="str">
            <v>A0002549</v>
          </cell>
          <cell r="B1887" t="str">
            <v>Rollo Reflectante Nivel 2 Conservación BL/RO Drch/Izqu 2x0,14mX 45,7m KIT</v>
          </cell>
          <cell r="C1887" t="str">
            <v>Sí</v>
          </cell>
          <cell r="D1887" t="str">
            <v>No</v>
          </cell>
        </row>
        <row r="1888">
          <cell r="A1888" t="str">
            <v>A0002550</v>
          </cell>
          <cell r="B1888" t="str">
            <v>Rollo Reflectante Nivel 2 Conservación BL/RO Drch/Izqu 2x0,14mX 9m KIT</v>
          </cell>
          <cell r="C1888" t="str">
            <v>Sí</v>
          </cell>
          <cell r="D1888" t="str">
            <v>No</v>
          </cell>
        </row>
        <row r="1889">
          <cell r="A1889" t="str">
            <v>A0002551</v>
          </cell>
          <cell r="B1889" t="str">
            <v>Rollo Reflectante Nivel 3 Conservación YE/RO Drch/Izqu 2x0,14mX 47,5m</v>
          </cell>
          <cell r="C1889" t="str">
            <v>Sí</v>
          </cell>
          <cell r="D1889" t="str">
            <v>No</v>
          </cell>
        </row>
        <row r="1890">
          <cell r="A1890" t="str">
            <v>A0002552</v>
          </cell>
          <cell r="B1890" t="str">
            <v>Rollo Reflectante Nivel 3 Conservación YE/RO Derecha 1,22mX 45,7m</v>
          </cell>
          <cell r="C1890" t="str">
            <v>Sí</v>
          </cell>
          <cell r="D1890" t="str">
            <v>No</v>
          </cell>
        </row>
        <row r="1891">
          <cell r="A1891" t="str">
            <v>A0002553</v>
          </cell>
          <cell r="B1891" t="str">
            <v>Rollo Reflectante Nivel 3 Conservación YE/RO Izquierda  1,22mX 45,7m</v>
          </cell>
          <cell r="C1891" t="str">
            <v>Sí</v>
          </cell>
          <cell r="D1891" t="str">
            <v>No</v>
          </cell>
        </row>
        <row r="1892">
          <cell r="A1892" t="str">
            <v>A0002554</v>
          </cell>
          <cell r="B1892" t="str">
            <v>22175122 - Spring, Back Up PNC-960</v>
          </cell>
          <cell r="C1892" t="str">
            <v>Sí</v>
          </cell>
          <cell r="D1892" t="str">
            <v>No</v>
          </cell>
        </row>
        <row r="1893">
          <cell r="A1893" t="str">
            <v>A0002555</v>
          </cell>
          <cell r="B1893" t="str">
            <v>6000005739 - Assy, Clamp Media L SV VG2-640 (TH)</v>
          </cell>
          <cell r="C1893" t="str">
            <v>Sí</v>
          </cell>
          <cell r="D1893" t="str">
            <v>No</v>
          </cell>
        </row>
        <row r="1894">
          <cell r="A1894" t="str">
            <v>A0002556</v>
          </cell>
          <cell r="B1894" t="str">
            <v>Plotter Impresión Roland UV LEF2-300</v>
          </cell>
          <cell r="C1894" t="str">
            <v>Sí</v>
          </cell>
          <cell r="D1894" t="str">
            <v>Si</v>
          </cell>
        </row>
        <row r="1895">
          <cell r="A1895" t="str">
            <v>A0002557</v>
          </cell>
          <cell r="B1895" t="str">
            <v>Plotter Impresión Roland UV LEC2-330S-200</v>
          </cell>
          <cell r="C1895" t="str">
            <v>Sí</v>
          </cell>
          <cell r="D1895" t="str">
            <v>Si</v>
          </cell>
        </row>
        <row r="1896">
          <cell r="A1896" t="str">
            <v>A0002100</v>
          </cell>
          <cell r="B1896" t="str">
            <v>M2 MM-CC Colour Change 90 Plata Brillo 1,52x50m</v>
          </cell>
          <cell r="C1896" t="str">
            <v>Sí</v>
          </cell>
          <cell r="D1896" t="str">
            <v>Si</v>
          </cell>
          <cell r="E1896" t="str">
            <v>A0002095</v>
          </cell>
        </row>
        <row r="1897">
          <cell r="A1897" t="str">
            <v>A0002098</v>
          </cell>
          <cell r="B1897" t="str">
            <v>M2 MM-CC Colour Change 93 Gunmetal Mate 1,52x50m</v>
          </cell>
          <cell r="C1897" t="str">
            <v>Sí</v>
          </cell>
          <cell r="D1897" t="str">
            <v>Si</v>
          </cell>
          <cell r="E1897" t="str">
            <v>A0002095</v>
          </cell>
        </row>
        <row r="1898">
          <cell r="A1898" t="str">
            <v>A0002099</v>
          </cell>
          <cell r="B1898" t="str">
            <v>M2 MM-CC Colour Change 95 Aluminio Brillo 1,52x50m</v>
          </cell>
          <cell r="C1898" t="str">
            <v>Sí</v>
          </cell>
          <cell r="D1898" t="str">
            <v>Si</v>
          </cell>
          <cell r="E1898" t="str">
            <v>A0002095</v>
          </cell>
        </row>
        <row r="1899">
          <cell r="A1899" t="str">
            <v>A0002097</v>
          </cell>
          <cell r="B1899" t="str">
            <v>M2 MM-CC Colour Change 96 Grafito Brillo 1,52x50m</v>
          </cell>
          <cell r="C1899" t="str">
            <v>Sí</v>
          </cell>
          <cell r="D1899" t="str">
            <v>Si</v>
          </cell>
          <cell r="E1899" t="str">
            <v>A0002095</v>
          </cell>
        </row>
        <row r="1900">
          <cell r="A1900" t="str">
            <v>A0002913</v>
          </cell>
          <cell r="B1900" t="str">
            <v>M2 MM-CCG Colour Change MetaGlide 55 Azul Fénix Brillo 1,52x50m</v>
          </cell>
          <cell r="C1900" t="str">
            <v>Sí</v>
          </cell>
          <cell r="D1900" t="str">
            <v>Si</v>
          </cell>
          <cell r="E1900" t="str">
            <v>A0002095</v>
          </cell>
        </row>
        <row r="1901">
          <cell r="A1901" t="str">
            <v>A0002891</v>
          </cell>
          <cell r="B1901" t="str">
            <v>M2 Nekoosa EZ Color EC1024 Gris Medio Mate 0,61 x 45,7m</v>
          </cell>
          <cell r="C1901" t="str">
            <v>Sí</v>
          </cell>
          <cell r="D1901" t="str">
            <v>Si</v>
          </cell>
          <cell r="E1901" t="str">
            <v>A0002670</v>
          </cell>
        </row>
        <row r="1902">
          <cell r="A1902" t="str">
            <v>A0002682</v>
          </cell>
          <cell r="B1902" t="str">
            <v>M2 Nekoosa EZ Color EC1024 Gris Medio Mate 1,22 x 45,7m</v>
          </cell>
          <cell r="C1902" t="str">
            <v>Sí</v>
          </cell>
          <cell r="D1902" t="str">
            <v>Si</v>
          </cell>
          <cell r="E1902" t="str">
            <v>A0002670</v>
          </cell>
        </row>
        <row r="1903">
          <cell r="A1903" t="str">
            <v>A0002885</v>
          </cell>
          <cell r="B1903" t="str">
            <v>M2 Nekoosa EZ Color EC1270 Gris Oscuro Brillo 0,61 x 45,7m</v>
          </cell>
          <cell r="C1903" t="str">
            <v>Sí</v>
          </cell>
          <cell r="D1903" t="str">
            <v>Si</v>
          </cell>
          <cell r="E1903" t="str">
            <v>A0002671</v>
          </cell>
        </row>
        <row r="1904">
          <cell r="A1904" t="str">
            <v>A0002566</v>
          </cell>
          <cell r="B1904" t="str">
            <v>Rollo Reflectiv Film transparente 67047 Lila 1,52x10m</v>
          </cell>
          <cell r="C1904" t="str">
            <v>Sí</v>
          </cell>
          <cell r="D1904" t="str">
            <v>No</v>
          </cell>
        </row>
        <row r="1905">
          <cell r="A1905" t="str">
            <v>A0002567</v>
          </cell>
          <cell r="B1905" t="str">
            <v>Rollo PVC+ PET para Roll-Up Trasera Gris 0,91x50m</v>
          </cell>
          <cell r="C1905" t="str">
            <v>Sí</v>
          </cell>
          <cell r="D1905" t="str">
            <v>No</v>
          </cell>
        </row>
        <row r="1906">
          <cell r="A1906" t="str">
            <v>A0002568</v>
          </cell>
          <cell r="B1906" t="str">
            <v>Rollo PVC+ PET para Roll-Up Trasera Gris 1.07x50m</v>
          </cell>
          <cell r="C1906" t="str">
            <v>Sí</v>
          </cell>
          <cell r="D1906" t="str">
            <v>No</v>
          </cell>
        </row>
        <row r="1907">
          <cell r="A1907" t="str">
            <v>A0002683</v>
          </cell>
          <cell r="B1907" t="str">
            <v>M2 Nekoosa EZ Color EC1270 Gris Oscuro Brillo 1,22 x 45,7m</v>
          </cell>
          <cell r="C1907" t="str">
            <v>Sí</v>
          </cell>
          <cell r="D1907" t="str">
            <v>Si</v>
          </cell>
          <cell r="E1907" t="str">
            <v>A0002671</v>
          </cell>
        </row>
        <row r="1908">
          <cell r="A1908" t="str">
            <v>A0002879</v>
          </cell>
          <cell r="B1908" t="str">
            <v>M2 Nekoosa EZ Color EC1295 Verde Medio Mate 0,61 x 45,7m</v>
          </cell>
          <cell r="C1908" t="str">
            <v>Sí</v>
          </cell>
          <cell r="D1908" t="str">
            <v>Si</v>
          </cell>
          <cell r="E1908" t="str">
            <v>A0002670</v>
          </cell>
        </row>
        <row r="1909">
          <cell r="A1909" t="str">
            <v>A0002676</v>
          </cell>
          <cell r="B1909" t="str">
            <v>M2 Nekoosa EZ Color EC1295 Verde Medio Mate 1,22 x 45,7m</v>
          </cell>
          <cell r="C1909" t="str">
            <v>Sí</v>
          </cell>
          <cell r="D1909" t="str">
            <v>Si</v>
          </cell>
          <cell r="E1909" t="str">
            <v>A0002670</v>
          </cell>
        </row>
        <row r="1910">
          <cell r="A1910" t="str">
            <v>A0002874</v>
          </cell>
          <cell r="B1910" t="str">
            <v>M2 Nekoosa EZ Color EC1955 Blanco Mate 0,61 x 45,7m</v>
          </cell>
          <cell r="C1910" t="str">
            <v>Sí</v>
          </cell>
          <cell r="D1910" t="str">
            <v>Si</v>
          </cell>
          <cell r="E1910" t="str">
            <v>A0002670</v>
          </cell>
        </row>
        <row r="1911">
          <cell r="A1911" t="str">
            <v>A0002672</v>
          </cell>
          <cell r="B1911" t="str">
            <v>M2 Nekoosa EZ Color EC1955 Blanco Mate 1,22 x 45,7m</v>
          </cell>
          <cell r="C1911" t="str">
            <v>Sí</v>
          </cell>
          <cell r="D1911" t="str">
            <v>Si</v>
          </cell>
          <cell r="E1911" t="str">
            <v>A0002670</v>
          </cell>
        </row>
        <row r="1912">
          <cell r="A1912" t="str">
            <v>A0002574</v>
          </cell>
          <cell r="B1912" t="str">
            <v>6018-95-7x12.4 - Rollo Cuña de PVC caja de luz (on spool) 7x12,4mm 100m</v>
          </cell>
          <cell r="C1912" t="str">
            <v>Sí</v>
          </cell>
          <cell r="D1912" t="str">
            <v>No</v>
          </cell>
        </row>
        <row r="1913">
          <cell r="A1913" t="str">
            <v>A0002886</v>
          </cell>
          <cell r="B1913" t="str">
            <v>M2 Nekoosa EZ Color EC1982 Plata Mate 0,61 x 45,7m</v>
          </cell>
          <cell r="C1913" t="str">
            <v>Sí</v>
          </cell>
          <cell r="D1913" t="str">
            <v>Si</v>
          </cell>
          <cell r="E1913" t="str">
            <v>A0002670</v>
          </cell>
        </row>
        <row r="1914">
          <cell r="A1914" t="str">
            <v>A0002576</v>
          </cell>
          <cell r="B1914" t="str">
            <v>POWER UNIT,ZWS150BAF-24/R</v>
          </cell>
          <cell r="C1914" t="str">
            <v>Sí</v>
          </cell>
          <cell r="D1914" t="str">
            <v>No</v>
          </cell>
        </row>
        <row r="1915">
          <cell r="A1915" t="str">
            <v>A0002577</v>
          </cell>
          <cell r="B1915" t="str">
            <v>Motor SH1422-5442</v>
          </cell>
          <cell r="C1915" t="str">
            <v>Sí</v>
          </cell>
          <cell r="D1915" t="str">
            <v>No</v>
          </cell>
        </row>
        <row r="1916">
          <cell r="A1916" t="str">
            <v>A0002578</v>
          </cell>
          <cell r="B1916" t="str">
            <v>Plotter Impresión Roland UV LEC2-640S</v>
          </cell>
          <cell r="C1916" t="str">
            <v>Sí</v>
          </cell>
          <cell r="D1916" t="str">
            <v>Si</v>
          </cell>
        </row>
        <row r="1917">
          <cell r="A1917" t="str">
            <v>A0002579</v>
          </cell>
          <cell r="B1917" t="str">
            <v>MPH-90 Cabezal Impresión MPX-90</v>
          </cell>
          <cell r="C1917" t="str">
            <v>Sí</v>
          </cell>
          <cell r="D1917" t="str">
            <v>No</v>
          </cell>
        </row>
        <row r="1918">
          <cell r="A1918" t="str">
            <v>A0002580</v>
          </cell>
          <cell r="B1918" t="str">
            <v>Impresora Canon Arizona 1360 XT</v>
          </cell>
          <cell r="C1918" t="str">
            <v>Sí</v>
          </cell>
          <cell r="D1918" t="str">
            <v>No</v>
          </cell>
        </row>
        <row r="1919">
          <cell r="A1919" t="str">
            <v>A0002581</v>
          </cell>
          <cell r="B1919" t="str">
            <v>Impresora Canon Colorado 1650</v>
          </cell>
          <cell r="C1919" t="str">
            <v>Sí</v>
          </cell>
          <cell r="D1919" t="str">
            <v>No</v>
          </cell>
        </row>
        <row r="1920">
          <cell r="A1920" t="str">
            <v>A0002582</v>
          </cell>
          <cell r="B1920" t="str">
            <v>Tinta EcoUV Negro 220ml</v>
          </cell>
          <cell r="C1920" t="str">
            <v>Sí</v>
          </cell>
          <cell r="D1920" t="str">
            <v>Si</v>
          </cell>
          <cell r="E1920" t="str">
            <v>A0000996</v>
          </cell>
        </row>
        <row r="1921">
          <cell r="A1921" t="str">
            <v>A0002583</v>
          </cell>
          <cell r="B1921" t="str">
            <v>Rollo MetamarkMM-BM Máscara de Pintor Azul  0,61x50m</v>
          </cell>
          <cell r="C1921" t="str">
            <v>Sí</v>
          </cell>
          <cell r="D1921" t="str">
            <v>Si</v>
          </cell>
          <cell r="E1921" t="str">
            <v>A0000994</v>
          </cell>
        </row>
        <row r="1922">
          <cell r="A1922" t="str">
            <v>A0002684</v>
          </cell>
          <cell r="B1922" t="str">
            <v>M2 Nekoosa EZ Color EC1982 Plata Mate 1,22 x 45,7m</v>
          </cell>
          <cell r="C1922" t="str">
            <v>Sí</v>
          </cell>
          <cell r="D1922" t="str">
            <v>Si</v>
          </cell>
          <cell r="E1922" t="str">
            <v>A0002670</v>
          </cell>
        </row>
        <row r="1923">
          <cell r="A1923" t="str">
            <v>A0002585</v>
          </cell>
          <cell r="B1923" t="str">
            <v>Rollo Vinilo Fotoluminiscente (Clase A) 1mx10m</v>
          </cell>
          <cell r="C1923" t="str">
            <v>Sí</v>
          </cell>
          <cell r="D1923" t="str">
            <v>No</v>
          </cell>
        </row>
        <row r="1924">
          <cell r="A1924" t="str">
            <v>A0002586</v>
          </cell>
          <cell r="B1924" t="str">
            <v>Rollo Vinilo Fotoluminiscente (Clase A) 1mx1m</v>
          </cell>
          <cell r="C1924" t="str">
            <v>Sí</v>
          </cell>
          <cell r="D1924" t="str">
            <v>No</v>
          </cell>
        </row>
        <row r="1925">
          <cell r="A1925" t="str">
            <v>A0002587</v>
          </cell>
          <cell r="B1925" t="str">
            <v>L-BEARING,SSR15XW1GGE/W2GE+2050L- 1000002145</v>
          </cell>
          <cell r="C1925" t="str">
            <v>Sí</v>
          </cell>
          <cell r="D1925" t="str">
            <v>No</v>
          </cell>
        </row>
        <row r="1926">
          <cell r="A1926" t="str">
            <v>A0002888</v>
          </cell>
          <cell r="B1926" t="str">
            <v>M2 Nekoosa EZ Color EC1986 Amarillo Girasol Mate 0,61 x 45,7m</v>
          </cell>
          <cell r="C1926" t="str">
            <v>Sí</v>
          </cell>
          <cell r="D1926" t="str">
            <v>Si</v>
          </cell>
          <cell r="E1926" t="str">
            <v>A0002670</v>
          </cell>
        </row>
        <row r="1927">
          <cell r="A1927" t="str">
            <v>A0002589</v>
          </cell>
          <cell r="B1927" t="str">
            <v>Rollo Vinilo Fotoluminiscente (Clase B) 1mx1m</v>
          </cell>
          <cell r="C1927" t="str">
            <v>Sí</v>
          </cell>
          <cell r="D1927" t="str">
            <v>No</v>
          </cell>
        </row>
        <row r="1928">
          <cell r="A1928" t="str">
            <v>A0002590</v>
          </cell>
          <cell r="B1928" t="str">
            <v>Rollo Vinilo Fotoluminiscente (Clase B) 1mx25m</v>
          </cell>
          <cell r="C1928" t="str">
            <v>Sí</v>
          </cell>
          <cell r="D1928" t="str">
            <v>No</v>
          </cell>
        </row>
        <row r="1929">
          <cell r="A1929" t="str">
            <v>A0002591</v>
          </cell>
          <cell r="B1929" t="str">
            <v>6000005682 - Assy, PinchRoll C VG-640_01</v>
          </cell>
          <cell r="C1929" t="str">
            <v>Sí</v>
          </cell>
          <cell r="D1929" t="str">
            <v>No</v>
          </cell>
        </row>
        <row r="1930">
          <cell r="A1930" t="str">
            <v>A0002871</v>
          </cell>
          <cell r="B1930" t="str">
            <v>M2 Nekoosa EZ Color EC1986 Amarillo Girasol Mate 1,22 x 45,7m</v>
          </cell>
          <cell r="C1930" t="str">
            <v>Sí</v>
          </cell>
          <cell r="D1930" t="str">
            <v>Si</v>
          </cell>
          <cell r="E1930" t="str">
            <v>A0002670</v>
          </cell>
        </row>
        <row r="1931">
          <cell r="A1931" t="str">
            <v>A0002877</v>
          </cell>
          <cell r="B1931" t="str">
            <v>M2 Nekoosa EZ Color EC2235 Verde Medio Brillo 0,61 x 45,7m</v>
          </cell>
          <cell r="C1931" t="str">
            <v>Sí</v>
          </cell>
          <cell r="D1931" t="str">
            <v>Si</v>
          </cell>
          <cell r="E1931" t="str">
            <v>A0002671</v>
          </cell>
        </row>
        <row r="1932">
          <cell r="A1932" t="str">
            <v>A0002594</v>
          </cell>
          <cell r="B1932" t="str">
            <v>1000020315 - Stay, Link Front R2 EJ-640</v>
          </cell>
          <cell r="C1932" t="str">
            <v>Sí</v>
          </cell>
          <cell r="D1932" t="str">
            <v>No</v>
          </cell>
        </row>
        <row r="1933">
          <cell r="A1933" t="str">
            <v>A0002595</v>
          </cell>
          <cell r="B1933" t="str">
            <v>1000020314 - Stay, Link Rear R2 XF-640</v>
          </cell>
          <cell r="C1933" t="str">
            <v>Sí</v>
          </cell>
          <cell r="D1933" t="str">
            <v>No</v>
          </cell>
        </row>
        <row r="1934">
          <cell r="A1934" t="str">
            <v>A0002596</v>
          </cell>
          <cell r="B1934" t="str">
            <v>1000020656 - Bracket, Frame Middle R2 EJ-640</v>
          </cell>
          <cell r="C1934" t="str">
            <v>Sí</v>
          </cell>
          <cell r="D1934" t="str">
            <v>No</v>
          </cell>
        </row>
        <row r="1935">
          <cell r="A1935" t="str">
            <v>A0002597</v>
          </cell>
          <cell r="B1935" t="str">
            <v>1000020207 - Bush, K5F0605-12</v>
          </cell>
          <cell r="C1935" t="str">
            <v>Sí</v>
          </cell>
          <cell r="D1935" t="str">
            <v>No</v>
          </cell>
        </row>
        <row r="1936">
          <cell r="A1936" t="str">
            <v>A0002598</v>
          </cell>
          <cell r="B1936" t="str">
            <v>1000020206 - Washer FFW-0814-20</v>
          </cell>
          <cell r="C1936" t="str">
            <v>Sí</v>
          </cell>
          <cell r="D1936" t="str">
            <v>No</v>
          </cell>
        </row>
        <row r="1937">
          <cell r="A1937" t="str">
            <v>A0002599</v>
          </cell>
          <cell r="B1937" t="str">
            <v>31149703AS - Ring Set, E-Ring ETW-4 100pcs</v>
          </cell>
          <cell r="C1937" t="str">
            <v>Sí</v>
          </cell>
          <cell r="D1937" t="str">
            <v>No</v>
          </cell>
        </row>
        <row r="1938">
          <cell r="A1938" t="str">
            <v>A0002600</v>
          </cell>
          <cell r="B1938" t="str">
            <v>3000000206 - Set , CAP 4*8 NI WSH 4*9*0,8 MEKKU 20pcs</v>
          </cell>
          <cell r="C1938" t="str">
            <v>Sí</v>
          </cell>
          <cell r="D1938" t="str">
            <v>No</v>
          </cell>
        </row>
        <row r="1939">
          <cell r="A1939" t="str">
            <v>A0002601</v>
          </cell>
          <cell r="B1939" t="str">
            <v>1000023012 - Collar, P-Roller CG2023</v>
          </cell>
          <cell r="C1939" t="str">
            <v>Sí</v>
          </cell>
          <cell r="D1939" t="str">
            <v>No</v>
          </cell>
        </row>
        <row r="1940">
          <cell r="A1940" t="str">
            <v>A0002602</v>
          </cell>
          <cell r="B1940" t="str">
            <v>31049137AS - Screw Set, Cap M4*25 3CBC 20 pcs</v>
          </cell>
          <cell r="C1940" t="str">
            <v>Sí</v>
          </cell>
          <cell r="D1940" t="str">
            <v>No</v>
          </cell>
        </row>
        <row r="1941">
          <cell r="A1941" t="str">
            <v>A0002675</v>
          </cell>
          <cell r="B1941" t="str">
            <v>M2 Nekoosa EZ Color EC2235 Verde Medio Brillo 1,22 x 45,7m</v>
          </cell>
          <cell r="C1941" t="str">
            <v>Sí</v>
          </cell>
          <cell r="D1941" t="str">
            <v>Si</v>
          </cell>
          <cell r="E1941" t="str">
            <v>A0002671</v>
          </cell>
        </row>
        <row r="1942">
          <cell r="A1942" t="str">
            <v>A0002604</v>
          </cell>
          <cell r="B1942" t="str">
            <v>Rollo Sublimación Skynnet 60g 1,62x200m</v>
          </cell>
          <cell r="C1942" t="str">
            <v>Sí</v>
          </cell>
          <cell r="D1942" t="str">
            <v>No</v>
          </cell>
        </row>
        <row r="1943">
          <cell r="A1943" t="str">
            <v>A0002605</v>
          </cell>
          <cell r="B1943" t="str">
            <v>SSTT Control Board N-1-2017-MA</v>
          </cell>
          <cell r="C1943" t="str">
            <v>Sí</v>
          </cell>
          <cell r="D1943" t="str">
            <v>No</v>
          </cell>
        </row>
        <row r="1944">
          <cell r="A1944" t="str">
            <v>A0002606</v>
          </cell>
          <cell r="B1944" t="str">
            <v>Terminal Block for STX N-1-1762</v>
          </cell>
          <cell r="C1944" t="str">
            <v>Sí</v>
          </cell>
          <cell r="D1944" t="str">
            <v>No</v>
          </cell>
        </row>
        <row r="1945">
          <cell r="A1945" t="str">
            <v>A0002607</v>
          </cell>
          <cell r="B1945" t="str">
            <v>Plancha Sprint Mag Cap (Gorras) 9x16</v>
          </cell>
          <cell r="C1945" t="str">
            <v>Sí</v>
          </cell>
          <cell r="D1945" t="str">
            <v>No</v>
          </cell>
        </row>
        <row r="1946">
          <cell r="A1946" t="str">
            <v>A0002608</v>
          </cell>
          <cell r="B1946" t="str">
            <v>ML Cad-Cut Fancy 115 Gold 500mm</v>
          </cell>
          <cell r="C1946" t="str">
            <v>Sí</v>
          </cell>
          <cell r="D1946" t="str">
            <v>No</v>
          </cell>
        </row>
        <row r="1947">
          <cell r="A1947" t="str">
            <v>A0002609</v>
          </cell>
          <cell r="B1947" t="str">
            <v>Tinta EcoUV Cyan 220ml</v>
          </cell>
          <cell r="C1947" t="str">
            <v>Sí</v>
          </cell>
          <cell r="D1947" t="str">
            <v>Si</v>
          </cell>
          <cell r="E1947" t="str">
            <v>A0000996</v>
          </cell>
        </row>
        <row r="1948">
          <cell r="A1948" t="str">
            <v>A0002610</v>
          </cell>
          <cell r="B1948" t="str">
            <v>Tinta EcoUV Magenta 220ml</v>
          </cell>
          <cell r="C1948" t="str">
            <v>Sí</v>
          </cell>
          <cell r="D1948" t="str">
            <v>Si</v>
          </cell>
          <cell r="E1948" t="str">
            <v>A0000996</v>
          </cell>
        </row>
        <row r="1949">
          <cell r="A1949" t="str">
            <v>A0002611</v>
          </cell>
          <cell r="B1949" t="str">
            <v>Tinta EcoUV Amarillo 220ml</v>
          </cell>
          <cell r="C1949" t="str">
            <v>Sí</v>
          </cell>
          <cell r="D1949" t="str">
            <v>Si</v>
          </cell>
          <cell r="E1949" t="str">
            <v>A0000996</v>
          </cell>
        </row>
        <row r="1950">
          <cell r="A1950" t="str">
            <v>A0002880</v>
          </cell>
          <cell r="B1950" t="str">
            <v>M2 Nekoosa EZ Color EC2472 Rojo Cardenal Brillo 0,61 x 45,7m</v>
          </cell>
          <cell r="C1950" t="str">
            <v>Sí</v>
          </cell>
          <cell r="D1950" t="str">
            <v>Si</v>
          </cell>
          <cell r="E1950" t="str">
            <v>A0002671</v>
          </cell>
        </row>
        <row r="1951">
          <cell r="A1951" t="str">
            <v>A0002677</v>
          </cell>
          <cell r="B1951" t="str">
            <v>M2 Nekoosa EZ Color EC2472 Rojo Cardenal Brillo 1,22 x 45,7m</v>
          </cell>
          <cell r="C1951" t="str">
            <v>Sí</v>
          </cell>
          <cell r="D1951" t="str">
            <v>Si</v>
          </cell>
          <cell r="E1951" t="str">
            <v>A0002671</v>
          </cell>
        </row>
        <row r="1952">
          <cell r="A1952" t="str">
            <v>A0002614</v>
          </cell>
          <cell r="B1952" t="str">
            <v>Pack 2 Cuchillas para vinilo ZEC-U5022</v>
          </cell>
          <cell r="C1952" t="str">
            <v>Sí</v>
          </cell>
          <cell r="D1952" t="str">
            <v>Si</v>
          </cell>
        </row>
        <row r="1953">
          <cell r="A1953" t="str">
            <v>A0002889</v>
          </cell>
          <cell r="B1953" t="str">
            <v>M2 Nekoosa EZ Color EC3048 Amarillo Brillo 0,61 x 45,7m</v>
          </cell>
          <cell r="C1953" t="str">
            <v>Sí</v>
          </cell>
          <cell r="D1953" t="str">
            <v>Si</v>
          </cell>
          <cell r="E1953" t="str">
            <v>A0002671</v>
          </cell>
        </row>
        <row r="1954">
          <cell r="A1954" t="str">
            <v>A0002872</v>
          </cell>
          <cell r="B1954" t="str">
            <v>M2 Nekoosa EZ Color EC3048 Amarillo Brillo 1,22 x 45,7m</v>
          </cell>
          <cell r="C1954" t="str">
            <v>Sí</v>
          </cell>
          <cell r="D1954" t="str">
            <v>Si</v>
          </cell>
          <cell r="E1954" t="str">
            <v>A0002671</v>
          </cell>
        </row>
        <row r="1955">
          <cell r="A1955" t="str">
            <v>A0002617</v>
          </cell>
          <cell r="B1955" t="str">
            <v>1000012014    FILTER,LED LAMP LEF-20 5 PCS</v>
          </cell>
          <cell r="C1955" t="str">
            <v>Sí</v>
          </cell>
          <cell r="D1955" t="str">
            <v>No</v>
          </cell>
        </row>
        <row r="1956">
          <cell r="A1956" t="str">
            <v>A0002618</v>
          </cell>
          <cell r="B1956" t="str">
            <v>Plotter Impresión y Corte Roland TrueVis VG3-640</v>
          </cell>
          <cell r="C1956" t="str">
            <v>Sí</v>
          </cell>
          <cell r="D1956" t="str">
            <v>Si</v>
          </cell>
        </row>
        <row r="1957">
          <cell r="A1957" t="str">
            <v>A0002875</v>
          </cell>
          <cell r="B1957" t="str">
            <v>M2 Nekoosa EZ Color EC3281 Blanco Brillo 0,61 x 45,7m</v>
          </cell>
          <cell r="C1957" t="str">
            <v>Sí</v>
          </cell>
          <cell r="D1957" t="str">
            <v>Si</v>
          </cell>
          <cell r="E1957" t="str">
            <v>A0002671</v>
          </cell>
        </row>
        <row r="1958">
          <cell r="A1958" t="str">
            <v>A0002620</v>
          </cell>
          <cell r="B1958" t="str">
            <v>Rollo Reflectiv IR 50X 1,52x30m</v>
          </cell>
          <cell r="C1958" t="str">
            <v>Sí</v>
          </cell>
          <cell r="D1958" t="str">
            <v>No</v>
          </cell>
        </row>
        <row r="1959">
          <cell r="A1959" t="str">
            <v>A0002671</v>
          </cell>
          <cell r="B1959" t="str">
            <v>M2 Nekoosa EZ Color EC3281 Blanco Brillo 1,22 x 45,7m</v>
          </cell>
          <cell r="C1959" t="str">
            <v>Sí</v>
          </cell>
          <cell r="D1959" t="str">
            <v>Si</v>
          </cell>
          <cell r="E1959" t="str">
            <v>A0002671</v>
          </cell>
        </row>
        <row r="1960">
          <cell r="A1960" t="str">
            <v>A0002622</v>
          </cell>
          <cell r="B1960" t="str">
            <v>21995106 - Flange, guide 2 PNS-70</v>
          </cell>
          <cell r="C1960" t="str">
            <v>Sí</v>
          </cell>
          <cell r="D1960" t="str">
            <v>No</v>
          </cell>
        </row>
        <row r="1961">
          <cell r="A1961" t="str">
            <v>A0002623</v>
          </cell>
          <cell r="B1961" t="str">
            <v>6000005495-Assy, Main Board VG2-640</v>
          </cell>
          <cell r="C1961" t="str">
            <v>Sí</v>
          </cell>
          <cell r="D1961" t="str">
            <v>No</v>
          </cell>
        </row>
        <row r="1962">
          <cell r="A1962" t="str">
            <v>A0002887</v>
          </cell>
          <cell r="B1962" t="str">
            <v>M2 Nekoosa EZ Color EC3477 Oro Mate 0,61 x 45,7m</v>
          </cell>
          <cell r="C1962" t="str">
            <v>Sí</v>
          </cell>
          <cell r="D1962" t="str">
            <v>Si</v>
          </cell>
          <cell r="E1962" t="str">
            <v>A0002670</v>
          </cell>
        </row>
        <row r="1963">
          <cell r="A1963" t="str">
            <v>A0002848</v>
          </cell>
          <cell r="B1963" t="str">
            <v>M2 Nekoosa EZ Color EC3477 Oro Mate 1,22 x 45,7m</v>
          </cell>
          <cell r="C1963" t="str">
            <v>Sí</v>
          </cell>
          <cell r="D1963" t="str">
            <v>Si</v>
          </cell>
          <cell r="E1963" t="str">
            <v>A0002670</v>
          </cell>
        </row>
        <row r="1964">
          <cell r="A1964" t="str">
            <v>A0002627</v>
          </cell>
          <cell r="B1964" t="str">
            <v>Rollo Cinta Doble Cara 3008 PE Espuma blanca 19mm x 66m</v>
          </cell>
          <cell r="C1964" t="str">
            <v>Sí</v>
          </cell>
          <cell r="D1964" t="str">
            <v>No</v>
          </cell>
        </row>
        <row r="1965">
          <cell r="A1965" t="str">
            <v>A0002628</v>
          </cell>
          <cell r="B1965" t="str">
            <v>Rollo Cinta Doble Cara 3008 PE Espuma blanca 25mm x 66m</v>
          </cell>
          <cell r="C1965" t="str">
            <v>Sí</v>
          </cell>
          <cell r="D1965" t="str">
            <v>No</v>
          </cell>
        </row>
        <row r="1966">
          <cell r="A1966" t="str">
            <v>A0002629</v>
          </cell>
          <cell r="B1966" t="str">
            <v>21945141 - Wire CX-400</v>
          </cell>
          <cell r="C1966" t="str">
            <v>Sí</v>
          </cell>
          <cell r="D1966" t="str">
            <v>No</v>
          </cell>
        </row>
        <row r="1967">
          <cell r="A1967" t="str">
            <v>A0002630</v>
          </cell>
          <cell r="B1967" t="str">
            <v>6015-01-12x3-SK -Rollo Junquillo caja de luz con adhesivo 12mmx3mmx50m</v>
          </cell>
          <cell r="C1967" t="str">
            <v>Sí</v>
          </cell>
          <cell r="D1967" t="str">
            <v>No</v>
          </cell>
        </row>
        <row r="1968">
          <cell r="A1968" t="str">
            <v>A0002873</v>
          </cell>
          <cell r="B1968" t="str">
            <v>M2 Nekoosa EZ Color EC3745 Negro Brillo 0,61 x 45,7m</v>
          </cell>
          <cell r="C1968" t="str">
            <v>Sí</v>
          </cell>
          <cell r="D1968" t="str">
            <v>Si</v>
          </cell>
          <cell r="E1968" t="str">
            <v>A0002671</v>
          </cell>
        </row>
        <row r="1969">
          <cell r="A1969" t="str">
            <v>A0002632</v>
          </cell>
          <cell r="B1969" t="str">
            <v>1000006689 - Roland Sensor Interrupter, EE-SX4009-P1</v>
          </cell>
          <cell r="C1969" t="str">
            <v>Sí</v>
          </cell>
          <cell r="D1969" t="str">
            <v>No</v>
          </cell>
        </row>
        <row r="1970">
          <cell r="A1970" t="str">
            <v>A0002633</v>
          </cell>
          <cell r="B1970" t="str">
            <v>1000009651 - Guide Cable Flex-Cut XR-640</v>
          </cell>
          <cell r="C1970" t="str">
            <v>Sí</v>
          </cell>
          <cell r="D1970" t="str">
            <v>No</v>
          </cell>
        </row>
        <row r="1971">
          <cell r="A1971" t="str">
            <v>A0002634</v>
          </cell>
          <cell r="B1971" t="str">
            <v>SB-54 - Cutting Plotter 54" Media Basket</v>
          </cell>
          <cell r="C1971" t="str">
            <v>Sí</v>
          </cell>
          <cell r="D1971" t="str">
            <v>No</v>
          </cell>
        </row>
        <row r="1972">
          <cell r="A1972" t="str">
            <v>A0002635</v>
          </cell>
          <cell r="B1972" t="str">
            <v>Máquina de bordad Brother 1 Cabeza 12 Agujas</v>
          </cell>
          <cell r="C1972" t="str">
            <v>Sí</v>
          </cell>
          <cell r="D1972" t="str">
            <v>No</v>
          </cell>
        </row>
        <row r="1973">
          <cell r="A1973" t="str">
            <v>A0002636</v>
          </cell>
          <cell r="B1973" t="str">
            <v>Software de picado Decorating Lite A4</v>
          </cell>
          <cell r="C1973" t="str">
            <v>Sí</v>
          </cell>
          <cell r="D1973" t="str">
            <v>No</v>
          </cell>
        </row>
        <row r="1974">
          <cell r="A1974" t="str">
            <v>A0002637</v>
          </cell>
          <cell r="B1974" t="str">
            <v>Bastidor multifuinción con 8 formas</v>
          </cell>
          <cell r="C1974" t="str">
            <v>Sí</v>
          </cell>
          <cell r="D1974" t="str">
            <v>No</v>
          </cell>
        </row>
        <row r="1975">
          <cell r="A1975" t="str">
            <v>A0002638</v>
          </cell>
          <cell r="B1975" t="str">
            <v>Onyx Poster Shop Textile Edition</v>
          </cell>
          <cell r="C1975" t="str">
            <v>Sí</v>
          </cell>
          <cell r="D1975" t="str">
            <v>Si</v>
          </cell>
        </row>
        <row r="1976">
          <cell r="A1976" t="str">
            <v>A0002639</v>
          </cell>
          <cell r="B1976" t="str">
            <v>Rollo Reflectiv IR 50X Exterior 1,52x10m</v>
          </cell>
          <cell r="C1976" t="str">
            <v>Sí</v>
          </cell>
          <cell r="D1976" t="str">
            <v>No</v>
          </cell>
        </row>
        <row r="1977">
          <cell r="A1977" t="str">
            <v>A0002640</v>
          </cell>
          <cell r="B1977" t="str">
            <v>Rollo Reflectiv IR 50X Exterior 1,52x5m</v>
          </cell>
          <cell r="C1977" t="str">
            <v>Sí</v>
          </cell>
          <cell r="D1977" t="str">
            <v>No</v>
          </cell>
        </row>
        <row r="1978">
          <cell r="A1978" t="str">
            <v>A0002641</v>
          </cell>
          <cell r="B1978" t="str">
            <v>Prueba Unidades de Medida</v>
          </cell>
          <cell r="C1978" t="str">
            <v>Sí</v>
          </cell>
          <cell r="D1978" t="str">
            <v>Si</v>
          </cell>
          <cell r="E1978" t="str">
            <v>A0000270</v>
          </cell>
        </row>
        <row r="1979">
          <cell r="A1979" t="str">
            <v>A0002669</v>
          </cell>
          <cell r="B1979" t="str">
            <v>M2 Nekoosa EZ Color EC3745 Negro Brillo 1,22 x 45,7m</v>
          </cell>
          <cell r="C1979" t="str">
            <v>Sí</v>
          </cell>
          <cell r="D1979" t="str">
            <v>Si</v>
          </cell>
          <cell r="E1979" t="str">
            <v>A0002671</v>
          </cell>
        </row>
        <row r="1980">
          <cell r="A1980" t="str">
            <v>A0002643</v>
          </cell>
          <cell r="B1980" t="str">
            <v>6160-93-050 - Rollo Loop Velcro para coser Blanco 50mm x 25m</v>
          </cell>
          <cell r="C1980" t="str">
            <v>Sí</v>
          </cell>
          <cell r="D1980" t="str">
            <v>No</v>
          </cell>
        </row>
        <row r="1981">
          <cell r="A1981" t="str">
            <v>A0002644</v>
          </cell>
          <cell r="B1981" t="str">
            <v>Metamark Box 1,22cm</v>
          </cell>
          <cell r="C1981" t="str">
            <v>Sí</v>
          </cell>
          <cell r="D1981" t="str">
            <v>Si</v>
          </cell>
          <cell r="E1981" t="str">
            <v>A0001664</v>
          </cell>
        </row>
        <row r="1982">
          <cell r="A1982" t="str">
            <v>A0002645</v>
          </cell>
          <cell r="B1982" t="str">
            <v>SB-64 - Cutting Plotter 64" Media Basket</v>
          </cell>
          <cell r="C1982" t="str">
            <v>Sí</v>
          </cell>
          <cell r="D1982" t="str">
            <v>No</v>
          </cell>
        </row>
        <row r="1983">
          <cell r="A1983" t="str">
            <v>A0002646</v>
          </cell>
          <cell r="B1983" t="str">
            <v>Rollo Reflectiv Deco INT 120 1,52 x 30m</v>
          </cell>
          <cell r="C1983" t="str">
            <v>Sí</v>
          </cell>
          <cell r="D1983" t="str">
            <v>No</v>
          </cell>
        </row>
        <row r="1984">
          <cell r="A1984" t="str">
            <v>A0002647</v>
          </cell>
          <cell r="B1984" t="str">
            <v>Rollo Reflectiv Deco INT 120 1,52 x 10m</v>
          </cell>
          <cell r="C1984" t="str">
            <v>Sí</v>
          </cell>
          <cell r="D1984" t="str">
            <v>No</v>
          </cell>
        </row>
        <row r="1985">
          <cell r="A1985" t="str">
            <v>A0002648</v>
          </cell>
          <cell r="B1985" t="str">
            <v>Rollo Reflectiv MIR 500X Plata Espejo 1,52x30m</v>
          </cell>
          <cell r="C1985" t="str">
            <v>Sí</v>
          </cell>
          <cell r="D1985" t="str">
            <v>No</v>
          </cell>
        </row>
        <row r="1986">
          <cell r="A1986" t="str">
            <v>A0002649</v>
          </cell>
          <cell r="B1986" t="str">
            <v>Par Imanes para fijación 66mm</v>
          </cell>
          <cell r="C1986" t="str">
            <v>Sí</v>
          </cell>
          <cell r="D1986" t="str">
            <v>Si</v>
          </cell>
        </row>
        <row r="1987">
          <cell r="A1987" t="str">
            <v>A0002650</v>
          </cell>
          <cell r="B1987" t="str">
            <v>Máquina de bordad Brother 1 Cabeza 12 Agujas</v>
          </cell>
          <cell r="C1987" t="str">
            <v>Sí</v>
          </cell>
          <cell r="D1987" t="str">
            <v>No</v>
          </cell>
        </row>
        <row r="1988">
          <cell r="A1988" t="str">
            <v>A0002651</v>
          </cell>
          <cell r="B1988" t="str">
            <v>N-1-2332-1 Toggle Clamp Short</v>
          </cell>
          <cell r="C1988" t="str">
            <v>Sí</v>
          </cell>
          <cell r="D1988" t="str">
            <v>No</v>
          </cell>
        </row>
        <row r="1989">
          <cell r="A1989" t="str">
            <v>A0002652</v>
          </cell>
          <cell r="B1989" t="str">
            <v>Rollo Reflectiv Film transparente 63545 Turquesa 1,52x10m</v>
          </cell>
          <cell r="C1989" t="str">
            <v>Sí</v>
          </cell>
          <cell r="D1989" t="str">
            <v>No</v>
          </cell>
        </row>
        <row r="1990">
          <cell r="A1990" t="str">
            <v>A0002654</v>
          </cell>
          <cell r="B1990" t="str">
            <v>Rollo Metamark MDi 101M (70mc) Mate 1,37x50m</v>
          </cell>
          <cell r="C1990" t="str">
            <v>Sí</v>
          </cell>
          <cell r="D1990" t="str">
            <v>Si</v>
          </cell>
          <cell r="E1990" t="str">
            <v>A0001667</v>
          </cell>
        </row>
        <row r="1991">
          <cell r="A1991" t="str">
            <v>A0002655</v>
          </cell>
          <cell r="B1991" t="str">
            <v>Rollo Metamark MDi 101M (70mc) Mate 1,60x50m</v>
          </cell>
          <cell r="C1991" t="str">
            <v>Sí</v>
          </cell>
          <cell r="D1991" t="str">
            <v>Si</v>
          </cell>
          <cell r="E1991" t="str">
            <v>A0001667</v>
          </cell>
        </row>
        <row r="1992">
          <cell r="A1992" t="str">
            <v>A0002656</v>
          </cell>
          <cell r="B1992" t="str">
            <v>6000006484 - Assy, Main Board SV CG2213</v>
          </cell>
          <cell r="C1992" t="str">
            <v>Sí</v>
          </cell>
          <cell r="D1992" t="str">
            <v>No</v>
          </cell>
        </row>
        <row r="1993">
          <cell r="A1993" t="str">
            <v>A0002658</v>
          </cell>
          <cell r="B1993" t="str">
            <v>Recogedor TU4-64 VG/SG-640 + Motor</v>
          </cell>
          <cell r="C1993" t="str">
            <v>Sí</v>
          </cell>
          <cell r="D1993" t="str">
            <v>Si</v>
          </cell>
        </row>
        <row r="1994">
          <cell r="A1994" t="str">
            <v>A0002660</v>
          </cell>
          <cell r="B1994" t="str">
            <v>Plotter Impresión y Corte Roland TrueVis VG2-540</v>
          </cell>
          <cell r="C1994" t="str">
            <v>Sí</v>
          </cell>
          <cell r="D1994" t="str">
            <v>Si</v>
          </cell>
        </row>
        <row r="1995">
          <cell r="A1995" t="str">
            <v>A0002661</v>
          </cell>
          <cell r="B1995" t="str">
            <v>6700319030 - Assy, Pulley XC-540</v>
          </cell>
          <cell r="C1995" t="str">
            <v>Sí</v>
          </cell>
          <cell r="D1995" t="str">
            <v>No</v>
          </cell>
        </row>
        <row r="1996">
          <cell r="A1996" t="str">
            <v>A0002662</v>
          </cell>
          <cell r="B1996" t="str">
            <v>Rollo Metamark SS-SBG Brushed Gold 0,61 x 50m</v>
          </cell>
          <cell r="C1996" t="str">
            <v>Sí</v>
          </cell>
          <cell r="D1996" t="str">
            <v>No</v>
          </cell>
        </row>
        <row r="1997">
          <cell r="A1997" t="str">
            <v>A0002685</v>
          </cell>
          <cell r="B1997" t="str">
            <v>Rollo Metamark MD5-H 101M (70mc) Mate Alto Agarre 1,37x50m</v>
          </cell>
          <cell r="C1997" t="str">
            <v>Sí</v>
          </cell>
          <cell r="D1997" t="str">
            <v>Si</v>
          </cell>
          <cell r="E1997" t="str">
            <v>A0000994</v>
          </cell>
        </row>
        <row r="1998">
          <cell r="A1998" t="str">
            <v>A0002664</v>
          </cell>
          <cell r="B1998" t="str">
            <v>Rollo Metamark MDP-R Removible (100mc Imp. y Corte) Mate1,37x50m</v>
          </cell>
          <cell r="C1998" t="str">
            <v>Sí</v>
          </cell>
          <cell r="D1998" t="str">
            <v>Si</v>
          </cell>
          <cell r="E1998" t="str">
            <v>A0000209</v>
          </cell>
        </row>
        <row r="1999">
          <cell r="A1999" t="str">
            <v>A0002665</v>
          </cell>
          <cell r="B1999" t="str">
            <v>Rollo Canvas Eco Solvente Roma (Satin.) 1,067mx25m</v>
          </cell>
          <cell r="C1999" t="str">
            <v>Sí</v>
          </cell>
          <cell r="D1999" t="str">
            <v>No</v>
          </cell>
        </row>
        <row r="2000">
          <cell r="A2000" t="str">
            <v>A0002890</v>
          </cell>
          <cell r="B2000" t="str">
            <v>M2 Nekoosa EZ Color EC4267 Amarillo Girasol Brillo 0,61 x 45,7m</v>
          </cell>
          <cell r="C2000" t="str">
            <v>Sí</v>
          </cell>
          <cell r="D2000" t="str">
            <v>Si</v>
          </cell>
          <cell r="E2000" t="str">
            <v>A0002671</v>
          </cell>
        </row>
        <row r="2001">
          <cell r="A2001" t="str">
            <v>A0002668</v>
          </cell>
          <cell r="B2001" t="str">
            <v>Rollo Transportador GXP-525 (Papel bajo agarre) 1,22x91,4m</v>
          </cell>
          <cell r="C2001" t="str">
            <v>Sí</v>
          </cell>
          <cell r="D2001" t="str">
            <v>Si</v>
          </cell>
          <cell r="E2001" t="str">
            <v>A0000605</v>
          </cell>
        </row>
        <row r="2002">
          <cell r="A2002" t="str">
            <v>A0002870</v>
          </cell>
          <cell r="B2002" t="str">
            <v>M2 Nekoosa EZ Color EC4267 Amarillo Girasol Brillo 1,22 x 45,7m</v>
          </cell>
          <cell r="C2002" t="str">
            <v>Sí</v>
          </cell>
          <cell r="D2002" t="str">
            <v>Si</v>
          </cell>
          <cell r="E2002" t="str">
            <v>A0002671</v>
          </cell>
        </row>
        <row r="2003">
          <cell r="A2003" t="str">
            <v>A0002882</v>
          </cell>
          <cell r="B2003" t="str">
            <v>M2 Nekoosa EZ Color EC5555 Naranja Brillo 0,61 x 45,7m</v>
          </cell>
          <cell r="C2003" t="str">
            <v>Sí</v>
          </cell>
          <cell r="D2003" t="str">
            <v>Si</v>
          </cell>
          <cell r="E2003" t="str">
            <v>A0002671</v>
          </cell>
        </row>
        <row r="2004">
          <cell r="A2004" t="str">
            <v>A0002679</v>
          </cell>
          <cell r="B2004" t="str">
            <v>M2 Nekoosa EZ Color EC5555 Naranja Brillo 1,22 x 45,7m</v>
          </cell>
          <cell r="C2004" t="str">
            <v>Sí</v>
          </cell>
          <cell r="D2004" t="str">
            <v>Si</v>
          </cell>
          <cell r="E2004" t="str">
            <v>A0002671</v>
          </cell>
        </row>
        <row r="2005">
          <cell r="A2005" t="str">
            <v>A0002876</v>
          </cell>
          <cell r="B2005" t="str">
            <v>M2 Nekoosa EZ Color EC7112 Azul Brillo 0,61 x 45,7m</v>
          </cell>
          <cell r="C2005" t="str">
            <v>Sí</v>
          </cell>
          <cell r="D2005" t="str">
            <v>Si</v>
          </cell>
          <cell r="E2005" t="str">
            <v>A0002671</v>
          </cell>
        </row>
        <row r="2006">
          <cell r="A2006" t="str">
            <v>A0002673</v>
          </cell>
          <cell r="B2006" t="str">
            <v>M2 Nekoosa EZ Color EC7112 Azul Brillo 1,22 x 45,7m</v>
          </cell>
          <cell r="C2006" t="str">
            <v>Sí</v>
          </cell>
          <cell r="D2006" t="str">
            <v>Si</v>
          </cell>
          <cell r="E2006" t="str">
            <v>A0002671</v>
          </cell>
        </row>
        <row r="2007">
          <cell r="A2007" t="str">
            <v>A0002878</v>
          </cell>
          <cell r="B2007" t="str">
            <v>M2 Nekoosa EZ Color EC7288 Azul Medio Mate 0,61 x 45,7m</v>
          </cell>
          <cell r="C2007" t="str">
            <v>Sí</v>
          </cell>
          <cell r="D2007" t="str">
            <v>Si</v>
          </cell>
          <cell r="E2007" t="str">
            <v>A0002670</v>
          </cell>
        </row>
        <row r="2008">
          <cell r="A2008" t="str">
            <v>A0002674</v>
          </cell>
          <cell r="B2008" t="str">
            <v>M2 Nekoosa EZ Color EC7288 Azul Medio Mate 1,22 x 45,7m</v>
          </cell>
          <cell r="C2008" t="str">
            <v>Sí</v>
          </cell>
          <cell r="D2008" t="str">
            <v>Si</v>
          </cell>
          <cell r="E2008" t="str">
            <v>A0002670</v>
          </cell>
        </row>
        <row r="2009">
          <cell r="A2009" t="str">
            <v>A0002883</v>
          </cell>
          <cell r="B2009" t="str">
            <v>M2 Nekoosa EZ Color EC7422 Naranja Mate 0,61 x 45,7m</v>
          </cell>
          <cell r="C2009" t="str">
            <v>Sí</v>
          </cell>
          <cell r="D2009" t="str">
            <v>Si</v>
          </cell>
          <cell r="E2009" t="str">
            <v>A0002670</v>
          </cell>
        </row>
        <row r="2010">
          <cell r="A2010" t="str">
            <v>A0002680</v>
          </cell>
          <cell r="B2010" t="str">
            <v>M2 Nekoosa EZ Color EC7422 Naranja Mate 1,22 x 45,7m</v>
          </cell>
          <cell r="C2010" t="str">
            <v>Sí</v>
          </cell>
          <cell r="D2010" t="str">
            <v>Si</v>
          </cell>
          <cell r="E2010" t="str">
            <v>A0002670</v>
          </cell>
        </row>
        <row r="2011">
          <cell r="A2011" t="str">
            <v>A0002719</v>
          </cell>
          <cell r="B2011" t="str">
            <v>M2 Nekoosa EZ Color EC9284 Negro Mate 0,61 x 45,7m</v>
          </cell>
          <cell r="C2011" t="str">
            <v>Sí</v>
          </cell>
          <cell r="D2011" t="str">
            <v>Si</v>
          </cell>
          <cell r="E2011" t="str">
            <v>A0002670</v>
          </cell>
        </row>
        <row r="2012">
          <cell r="A2012" t="str">
            <v>A0002670</v>
          </cell>
          <cell r="B2012" t="str">
            <v>M2 Nekoosa EZ Color EC9284 Negro Mate 1,22 x 45,7m</v>
          </cell>
          <cell r="C2012" t="str">
            <v>Sí</v>
          </cell>
          <cell r="D2012" t="str">
            <v>Si</v>
          </cell>
          <cell r="E2012" t="str">
            <v>A0002670</v>
          </cell>
        </row>
        <row r="2013">
          <cell r="A2013" t="str">
            <v>A0002881</v>
          </cell>
          <cell r="B2013" t="str">
            <v>M2 Nekoosa EZ Color EC9882 Rojo Cardenal Mate 0,61 x 45,7m</v>
          </cell>
          <cell r="C2013" t="str">
            <v>Sí</v>
          </cell>
          <cell r="D2013" t="str">
            <v>Si</v>
          </cell>
          <cell r="E2013" t="str">
            <v>A0002670</v>
          </cell>
        </row>
        <row r="2014">
          <cell r="A2014" t="str">
            <v>A0002678</v>
          </cell>
          <cell r="B2014" t="str">
            <v>M2 Nekoosa EZ Color EC9882 Rojo Cardenal Mate 1,22 x 45,7m</v>
          </cell>
          <cell r="C2014" t="str">
            <v>Sí</v>
          </cell>
          <cell r="D2014" t="str">
            <v>Si</v>
          </cell>
          <cell r="E2014" t="str">
            <v>A0002670</v>
          </cell>
        </row>
        <row r="2015">
          <cell r="A2015" t="str">
            <v>A0002884</v>
          </cell>
          <cell r="B2015" t="str">
            <v>M2 Nekoosa EZ Color EC9944 Gris Medio Brillo 0,61 x 45,7m</v>
          </cell>
          <cell r="C2015" t="str">
            <v>Sí</v>
          </cell>
          <cell r="D2015" t="str">
            <v>Si</v>
          </cell>
          <cell r="E2015" t="str">
            <v>A0002671</v>
          </cell>
        </row>
        <row r="2016">
          <cell r="A2016" t="str">
            <v>A0002681</v>
          </cell>
          <cell r="B2016" t="str">
            <v>M2 Nekoosa EZ Color EC9944 Gris Medio Brillo 1,22 x 45,7m</v>
          </cell>
          <cell r="C2016" t="str">
            <v>Sí</v>
          </cell>
          <cell r="D2016" t="str">
            <v>Si</v>
          </cell>
          <cell r="E2016" t="str">
            <v>A0002671</v>
          </cell>
        </row>
        <row r="2017">
          <cell r="A2017" t="str">
            <v>A0002558</v>
          </cell>
          <cell r="B2017" t="str">
            <v>M2 Reflectante Acrílico Antivandálico ACAL 103 (10 años) Negro 0,92x45,7m</v>
          </cell>
          <cell r="C2017" t="str">
            <v>Sí</v>
          </cell>
          <cell r="D2017" t="str">
            <v>No</v>
          </cell>
        </row>
        <row r="2018">
          <cell r="A2018" t="str">
            <v>A0002729</v>
          </cell>
          <cell r="B2018" t="str">
            <v>Rollo Metamark MD5-H 101M (70mc) Mate Alto Agarre 1,60x50m</v>
          </cell>
          <cell r="C2018" t="str">
            <v>Sí</v>
          </cell>
          <cell r="D2018" t="str">
            <v>Si</v>
          </cell>
          <cell r="E2018" t="str">
            <v>A0000994</v>
          </cell>
        </row>
        <row r="2019">
          <cell r="A2019" t="str">
            <v>A0002686</v>
          </cell>
          <cell r="B2019" t="str">
            <v>Rollo Vinilo Microperforado 1,06x50</v>
          </cell>
          <cell r="C2019" t="str">
            <v>Sí</v>
          </cell>
          <cell r="D2019" t="str">
            <v>Si</v>
          </cell>
        </row>
        <row r="2020">
          <cell r="A2020" t="str">
            <v>A0002687</v>
          </cell>
          <cell r="B2020" t="str">
            <v>Rollo Ri-Dot Transparente Brillo 1,37x50m</v>
          </cell>
          <cell r="C2020" t="str">
            <v>Sí</v>
          </cell>
          <cell r="D2020" t="str">
            <v>No</v>
          </cell>
          <cell r="E2020" t="str">
            <v>A0001147</v>
          </cell>
        </row>
        <row r="2021">
          <cell r="A2021" t="str">
            <v>A0002688</v>
          </cell>
          <cell r="B2021" t="str">
            <v>Espátula Verde Eco 10cm</v>
          </cell>
          <cell r="C2021" t="str">
            <v>Sí</v>
          </cell>
          <cell r="D2021" t="str">
            <v>No</v>
          </cell>
        </row>
        <row r="2022">
          <cell r="A2022" t="str">
            <v>A0002689</v>
          </cell>
          <cell r="B2022" t="str">
            <v>Bote Tinta Triangle DT8 Pro Sublimación Cyan 1L</v>
          </cell>
          <cell r="C2022" t="str">
            <v>Sí</v>
          </cell>
          <cell r="D2022" t="str">
            <v>No</v>
          </cell>
        </row>
        <row r="2023">
          <cell r="A2023" t="str">
            <v>A0002690</v>
          </cell>
          <cell r="B2023" t="str">
            <v>Bote Tinta Triangle DT8 Pro Sublimación Deep Negro 1L</v>
          </cell>
          <cell r="C2023" t="str">
            <v>Sí</v>
          </cell>
          <cell r="D2023" t="str">
            <v>No</v>
          </cell>
        </row>
        <row r="2024">
          <cell r="A2024" t="str">
            <v>A0002520</v>
          </cell>
          <cell r="B2024" t="str">
            <v>M2 Reflectante Clase 1 ELG Flex 48003 Negro (5 años) 1,22x45,7m</v>
          </cell>
          <cell r="C2024" t="str">
            <v>Sí</v>
          </cell>
          <cell r="D2024" t="str">
            <v>No</v>
          </cell>
        </row>
        <row r="2025">
          <cell r="A2025" t="str">
            <v>A0002693</v>
          </cell>
          <cell r="B2025" t="str">
            <v>6215-93-250 - Gancho 37mm Spannfix con goma blanca</v>
          </cell>
          <cell r="C2025" t="str">
            <v>Sí</v>
          </cell>
          <cell r="D2025" t="str">
            <v>No</v>
          </cell>
        </row>
        <row r="2026">
          <cell r="A2026" t="str">
            <v>A0002694</v>
          </cell>
          <cell r="B2026" t="str">
            <v>Rollo Reflectiv MIR 505 Bronce Espejo 1,52x10m</v>
          </cell>
          <cell r="C2026" t="str">
            <v>Sí</v>
          </cell>
          <cell r="D2026" t="str">
            <v>No</v>
          </cell>
        </row>
        <row r="2027">
          <cell r="A2027" t="str">
            <v>A0002695</v>
          </cell>
          <cell r="B2027" t="str">
            <v>Rollo Reflectiv MIR 505 Bronce Espejo 1,52x30m</v>
          </cell>
          <cell r="C2027" t="str">
            <v>Sí</v>
          </cell>
          <cell r="D2027" t="str">
            <v>No</v>
          </cell>
        </row>
        <row r="2028">
          <cell r="A2028" t="str">
            <v>A0002696</v>
          </cell>
          <cell r="B2028" t="str">
            <v>Rollo Metamark MD 80B (80mic) Brillo Adh. Gris 1,37x50m</v>
          </cell>
          <cell r="C2028" t="str">
            <v>Sí</v>
          </cell>
          <cell r="D2028" t="str">
            <v>Si</v>
          </cell>
          <cell r="E2028" t="str">
            <v>A0000238</v>
          </cell>
        </row>
        <row r="2029">
          <cell r="A2029" t="str">
            <v>A0002697</v>
          </cell>
          <cell r="B2029" t="str">
            <v>Rollo Metamark MD 81MB (80mic) Mate Adh. Gris 1,37x50m</v>
          </cell>
          <cell r="C2029" t="str">
            <v>Sí</v>
          </cell>
          <cell r="D2029" t="str">
            <v>Si</v>
          </cell>
          <cell r="E2029" t="str">
            <v>A0000238</v>
          </cell>
        </row>
        <row r="2030">
          <cell r="A2030" t="str">
            <v>A0002698</v>
          </cell>
          <cell r="B2030" t="str">
            <v>6200-93-045 - Gancho para bandera Blanco 24x45mm (Pack 500 uds)</v>
          </cell>
          <cell r="C2030" t="str">
            <v>Sí</v>
          </cell>
          <cell r="D2030" t="str">
            <v>No</v>
          </cell>
        </row>
        <row r="2031">
          <cell r="A2031" t="str">
            <v>A0002699</v>
          </cell>
          <cell r="B2031" t="str">
            <v>6202-93-080 - Gancho para bandera Blanco con cinta de poliéster 24x80mm (Pack 500 uds)</v>
          </cell>
          <cell r="C2031" t="str">
            <v>Sí</v>
          </cell>
          <cell r="D2031" t="str">
            <v>No</v>
          </cell>
        </row>
        <row r="2032">
          <cell r="A2032" t="str">
            <v>A0002700</v>
          </cell>
          <cell r="B2032" t="str">
            <v>Rollo Metamark MD 80B (80mic) Brillo Adh. Gris 1,60x50m</v>
          </cell>
          <cell r="C2032" t="str">
            <v>Sí</v>
          </cell>
          <cell r="D2032" t="str">
            <v>Si</v>
          </cell>
          <cell r="E2032" t="str">
            <v>A0000238</v>
          </cell>
        </row>
        <row r="2033">
          <cell r="A2033" t="str">
            <v>A0002701</v>
          </cell>
          <cell r="B2033" t="str">
            <v>Rollo Metamark MD 81MB (80mic) Mate Adh. Gris 1,60x50m</v>
          </cell>
          <cell r="C2033" t="str">
            <v>Sí</v>
          </cell>
          <cell r="D2033" t="str">
            <v>Si</v>
          </cell>
          <cell r="E2033" t="str">
            <v>A0000238</v>
          </cell>
        </row>
        <row r="2034">
          <cell r="A2034" t="str">
            <v>A0002702</v>
          </cell>
          <cell r="B2034" t="str">
            <v>Rollo Laminado MG 82 (80mic) Mate 1,60x50m</v>
          </cell>
          <cell r="C2034" t="str">
            <v>Sí</v>
          </cell>
          <cell r="D2034" t="str">
            <v>Si</v>
          </cell>
          <cell r="E2034" t="str">
            <v>A0000238</v>
          </cell>
        </row>
        <row r="2035">
          <cell r="A2035" t="str">
            <v>A0002703</v>
          </cell>
          <cell r="B2035" t="str">
            <v>Rollo Laminado MG 85 (80mic) Brillo 1,60x50m</v>
          </cell>
          <cell r="C2035" t="str">
            <v>Sí</v>
          </cell>
          <cell r="D2035" t="str">
            <v>Si</v>
          </cell>
          <cell r="E2035" t="str">
            <v>A0000238</v>
          </cell>
        </row>
        <row r="2036">
          <cell r="A2036" t="str">
            <v>A0002513</v>
          </cell>
          <cell r="B2036" t="str">
            <v>M2 Reflectante Clase 1 ELG Flex 48004 Amarillo (5 años) 1,22x45,7m</v>
          </cell>
          <cell r="C2036" t="str">
            <v>Sí</v>
          </cell>
          <cell r="D2036" t="str">
            <v>No</v>
          </cell>
        </row>
        <row r="2037">
          <cell r="A2037" t="str">
            <v>A0002705</v>
          </cell>
          <cell r="B2037" t="str">
            <v>013690 - Heat Platen Cleaner (1 ud)</v>
          </cell>
          <cell r="C2037" t="str">
            <v>Sí</v>
          </cell>
          <cell r="D2037" t="str">
            <v>No</v>
          </cell>
        </row>
        <row r="2038">
          <cell r="A2038" t="str">
            <v>A0002706</v>
          </cell>
          <cell r="B2038" t="str">
            <v>ML Cad-Cut Sportsfilm 001 Blanco 300mm</v>
          </cell>
          <cell r="C2038" t="str">
            <v>Sí</v>
          </cell>
          <cell r="D2038" t="str">
            <v>No</v>
          </cell>
          <cell r="E2038" t="str">
            <v>A0000606</v>
          </cell>
        </row>
        <row r="2039">
          <cell r="A2039" t="str">
            <v>A0002707</v>
          </cell>
          <cell r="B2039" t="str">
            <v>ML Cad-Cut Sportsfilm 700 Negro 300mm</v>
          </cell>
          <cell r="C2039" t="str">
            <v>Sí</v>
          </cell>
          <cell r="D2039" t="str">
            <v>No</v>
          </cell>
          <cell r="E2039" t="str">
            <v>A0000606</v>
          </cell>
        </row>
        <row r="2040">
          <cell r="A2040" t="str">
            <v>A0002708</v>
          </cell>
          <cell r="B2040" t="str">
            <v>Plotter Corte Roland GR2-640</v>
          </cell>
          <cell r="C2040" t="str">
            <v>Sí</v>
          </cell>
          <cell r="D2040" t="str">
            <v>Si</v>
          </cell>
        </row>
        <row r="2041">
          <cell r="A2041" t="str">
            <v>A0002709</v>
          </cell>
          <cell r="B2041" t="str">
            <v>Rollo Laminado Monomérico RI-2977 Mate 1,05x50m</v>
          </cell>
          <cell r="C2041" t="str">
            <v>Sí</v>
          </cell>
          <cell r="D2041" t="str">
            <v>No</v>
          </cell>
        </row>
        <row r="2042">
          <cell r="A2042" t="str">
            <v>A0002710</v>
          </cell>
          <cell r="B2042" t="str">
            <v>Rollo Laminado Monomérico RI-2977 Mate 1,37x50m</v>
          </cell>
          <cell r="C2042" t="str">
            <v>Sí</v>
          </cell>
          <cell r="D2042" t="str">
            <v>No</v>
          </cell>
        </row>
        <row r="2043">
          <cell r="A2043" t="str">
            <v>A0002711</v>
          </cell>
          <cell r="B2043" t="str">
            <v>Rollo Reflectiv INT130 1,52x30m</v>
          </cell>
          <cell r="C2043" t="str">
            <v>Sí</v>
          </cell>
          <cell r="D2043" t="str">
            <v>No</v>
          </cell>
        </row>
        <row r="2044">
          <cell r="A2044" t="str">
            <v>A0002712</v>
          </cell>
          <cell r="B2044" t="str">
            <v>Rollo Transportador 400 Transparente (media adh.) 1,22x100m</v>
          </cell>
          <cell r="C2044" t="str">
            <v>Sí</v>
          </cell>
          <cell r="D2044" t="str">
            <v>No</v>
          </cell>
        </row>
        <row r="2045">
          <cell r="A2045" t="str">
            <v>A0002713</v>
          </cell>
          <cell r="B2045" t="str">
            <v>Rollo TriSolv PhotoArt Paper 210 Brillo 1,06x50m</v>
          </cell>
          <cell r="C2045" t="str">
            <v>Sí</v>
          </cell>
          <cell r="D2045" t="str">
            <v>No</v>
          </cell>
        </row>
        <row r="2046">
          <cell r="A2046" t="str">
            <v>A0002714</v>
          </cell>
          <cell r="B2046" t="str">
            <v>Rollo TriSolv PhotoArt Paper 210 Brillo 1,37x50m</v>
          </cell>
          <cell r="C2046" t="str">
            <v>Sí</v>
          </cell>
          <cell r="D2046" t="str">
            <v>No</v>
          </cell>
        </row>
        <row r="2047">
          <cell r="A2047" t="str">
            <v>A0002716</v>
          </cell>
          <cell r="B2047" t="str">
            <v>Bote Tinta Triangle DT8 Limpieza 1L</v>
          </cell>
          <cell r="C2047" t="str">
            <v>Sí</v>
          </cell>
          <cell r="D2047" t="str">
            <v>No</v>
          </cell>
        </row>
        <row r="2048">
          <cell r="A2048" t="str">
            <v>A0002717</v>
          </cell>
          <cell r="B2048" t="str">
            <v>Rollo Canvas Eco Solvente Roma (Satin.) 1,37mx25m</v>
          </cell>
          <cell r="C2048" t="str">
            <v>Sí</v>
          </cell>
          <cell r="D2048" t="str">
            <v>No</v>
          </cell>
        </row>
        <row r="2049">
          <cell r="A2049" t="str">
            <v>A0002718</v>
          </cell>
          <cell r="B2049" t="str">
            <v>Plancha Stahls' Hot Berry 23x30cm</v>
          </cell>
          <cell r="C2049" t="str">
            <v>Sí</v>
          </cell>
          <cell r="D2049" t="str">
            <v>No</v>
          </cell>
        </row>
        <row r="2050">
          <cell r="A2050" t="str">
            <v>A0002512</v>
          </cell>
          <cell r="B2050" t="str">
            <v>M2 Reflectante Clase 1 ELG Flex 48005 Rojo (5 años) 1,22x45,7m</v>
          </cell>
          <cell r="C2050" t="str">
            <v>Sí</v>
          </cell>
          <cell r="D2050" t="str">
            <v>No</v>
          </cell>
        </row>
        <row r="2051">
          <cell r="A2051" t="str">
            <v>A0002509</v>
          </cell>
          <cell r="B2051" t="str">
            <v>M2 Reflectante Clase 1 ELG Flex 48006 Azul (5 años) 1,22x45,7m</v>
          </cell>
          <cell r="C2051" t="str">
            <v>Sí</v>
          </cell>
          <cell r="D2051" t="str">
            <v>No</v>
          </cell>
        </row>
        <row r="2052">
          <cell r="A2052" t="str">
            <v>A0002510</v>
          </cell>
          <cell r="B2052" t="str">
            <v>M2 Reflectante Clase 1 ELG Flex 48008 Verde (5 años) 1,22x45,7m</v>
          </cell>
          <cell r="C2052" t="str">
            <v>Sí</v>
          </cell>
          <cell r="D2052" t="str">
            <v>No</v>
          </cell>
        </row>
        <row r="2053">
          <cell r="A2053" t="str">
            <v>A0002516</v>
          </cell>
          <cell r="B2053" t="str">
            <v>M2 Reflectante Clase 1 ELG Flex 48010 Oro (5 años) 1,22x45,7m</v>
          </cell>
          <cell r="C2053" t="str">
            <v>Sí</v>
          </cell>
          <cell r="D2053" t="str">
            <v>No</v>
          </cell>
        </row>
        <row r="2054">
          <cell r="A2054" t="str">
            <v>A0002724</v>
          </cell>
          <cell r="B2054" t="str">
            <v>6000-01-12x3-S - Rollo Junquillo de Silicona (on spool) 12mmX3mm 100m</v>
          </cell>
          <cell r="C2054" t="str">
            <v>Sí</v>
          </cell>
          <cell r="D2054" t="str">
            <v>No</v>
          </cell>
        </row>
        <row r="2055">
          <cell r="A2055" t="str">
            <v>A0002508</v>
          </cell>
          <cell r="B2055" t="str">
            <v>M2 Reflectante Clase 1 ELG Flex 48012 (5 años)  1,22x45,7m</v>
          </cell>
          <cell r="C2055" t="str">
            <v>Sí</v>
          </cell>
          <cell r="D2055" t="str">
            <v>No</v>
          </cell>
        </row>
        <row r="2056">
          <cell r="A2056" t="str">
            <v>A0002726</v>
          </cell>
          <cell r="B2056" t="str">
            <v>Soporte Pie para Fusion</v>
          </cell>
          <cell r="C2056" t="str">
            <v>Sí</v>
          </cell>
          <cell r="D2056" t="str">
            <v>No</v>
          </cell>
        </row>
        <row r="2057">
          <cell r="A2057" t="str">
            <v>A0002727</v>
          </cell>
          <cell r="B2057" t="str">
            <v>1000011770 - FILTER (M), Mist Carriage LEF-20</v>
          </cell>
          <cell r="C2057" t="str">
            <v>Sí</v>
          </cell>
          <cell r="D2057" t="str">
            <v>No</v>
          </cell>
        </row>
        <row r="2058">
          <cell r="A2058" t="str">
            <v>A0002728</v>
          </cell>
          <cell r="B2058" t="str">
            <v>21545160 - Pad, Wiper Tray SJ-540</v>
          </cell>
          <cell r="C2058" t="str">
            <v>Sí</v>
          </cell>
          <cell r="D2058" t="str">
            <v>No</v>
          </cell>
        </row>
        <row r="2059">
          <cell r="A2059" t="str">
            <v>A0000182</v>
          </cell>
          <cell r="B2059" t="str">
            <v>Rollo Metamark MD5HB 100 (70mc) Alto Agarre Brillo 1,37x50m</v>
          </cell>
          <cell r="C2059" t="str">
            <v>Sí</v>
          </cell>
          <cell r="D2059" t="str">
            <v>Si</v>
          </cell>
          <cell r="E2059" t="str">
            <v>A0000994</v>
          </cell>
        </row>
        <row r="2060">
          <cell r="A2060" t="str">
            <v>A0002730</v>
          </cell>
          <cell r="B2060" t="str">
            <v>Rollo Wallpaper Premium Sol 195 1,372x50m</v>
          </cell>
          <cell r="C2060" t="str">
            <v>Sí</v>
          </cell>
          <cell r="D2060" t="str">
            <v>No</v>
          </cell>
        </row>
        <row r="2061">
          <cell r="A2061" t="str">
            <v>A0002731</v>
          </cell>
          <cell r="B2061" t="str">
            <v>Rollo Polimérico Isee2 (StrongTouch Supreme) Alto Agarre Mate 1,37x25m</v>
          </cell>
          <cell r="C2061" t="str">
            <v>Sí</v>
          </cell>
          <cell r="D2061" t="str">
            <v>Si</v>
          </cell>
        </row>
        <row r="2062">
          <cell r="A2062" t="str">
            <v>A0002515</v>
          </cell>
          <cell r="B2062" t="str">
            <v>M2 Reflectante Clase 1 ELG Flex 48018 Verde Claro (5 años) 1,22x45,7m</v>
          </cell>
          <cell r="C2062" t="str">
            <v>Sí</v>
          </cell>
          <cell r="D2062" t="str">
            <v>No</v>
          </cell>
        </row>
        <row r="2063">
          <cell r="A2063" t="str">
            <v>A0002733</v>
          </cell>
          <cell r="B2063" t="str">
            <v>Rollo Wallpaper Premium 180gr 1,35x100m</v>
          </cell>
          <cell r="C2063" t="str">
            <v>Sí</v>
          </cell>
          <cell r="D2063" t="str">
            <v>No</v>
          </cell>
        </row>
        <row r="2064">
          <cell r="A2064" t="str">
            <v>A0002734</v>
          </cell>
          <cell r="B2064" t="str">
            <v>ML Cad-Cut Flock 253 Cereza 500mm</v>
          </cell>
          <cell r="C2064" t="str">
            <v>Sí</v>
          </cell>
          <cell r="D2064" t="str">
            <v>Si</v>
          </cell>
          <cell r="E2064" t="str">
            <v>A0000007</v>
          </cell>
        </row>
        <row r="2065">
          <cell r="A2065" t="str">
            <v>A0002735</v>
          </cell>
          <cell r="B2065" t="str">
            <v>ML Cad-Cut Soft Metallic 5815 Plata 500mm</v>
          </cell>
          <cell r="C2065" t="str">
            <v>Sí</v>
          </cell>
          <cell r="D2065" t="str">
            <v>Si</v>
          </cell>
          <cell r="E2065" t="str">
            <v>A0000644</v>
          </cell>
        </row>
        <row r="2066">
          <cell r="A2066" t="str">
            <v>A0002736</v>
          </cell>
          <cell r="B2066" t="str">
            <v>ML Cad-Cut Soft Metallic 5115 Oro 500mm</v>
          </cell>
          <cell r="C2066" t="str">
            <v>Sí</v>
          </cell>
          <cell r="D2066" t="str">
            <v>Si</v>
          </cell>
          <cell r="E2066" t="str">
            <v>A0000644</v>
          </cell>
        </row>
        <row r="2067">
          <cell r="A2067" t="str">
            <v>A0002737</v>
          </cell>
          <cell r="B2067" t="str">
            <v>Rollo F-RP005237 POLIPRINT UV/SUBLY 100 MIC 0,11x50m</v>
          </cell>
          <cell r="C2067" t="str">
            <v>Sí</v>
          </cell>
          <cell r="D2067" t="str">
            <v>No</v>
          </cell>
        </row>
        <row r="2068">
          <cell r="A2068" t="str">
            <v>A0002738</v>
          </cell>
          <cell r="B2068" t="str">
            <v>CB09UB-5 Cuchillas Graphtec 45º para vinilo - Pack 5 uds</v>
          </cell>
          <cell r="C2068" t="str">
            <v>Sí</v>
          </cell>
          <cell r="D2068" t="str">
            <v>No</v>
          </cell>
        </row>
        <row r="2069">
          <cell r="A2069" t="str">
            <v>A0002739</v>
          </cell>
          <cell r="B2069" t="str">
            <v>Rollo Skynnet MonoDigital Perm High Tack 100mc Mate 1,06x50m</v>
          </cell>
          <cell r="C2069" t="str">
            <v>Sí</v>
          </cell>
          <cell r="D2069" t="str">
            <v>No</v>
          </cell>
        </row>
        <row r="2070">
          <cell r="A2070" t="str">
            <v>A0002740</v>
          </cell>
          <cell r="B2070" t="str">
            <v>Rollo Skynnet MonoDigital Perm High Tack 100mc Mate 1,37x50m</v>
          </cell>
          <cell r="C2070" t="str">
            <v>Sí</v>
          </cell>
          <cell r="D2070" t="str">
            <v>No</v>
          </cell>
        </row>
        <row r="2071">
          <cell r="A2071" t="str">
            <v>A0002514</v>
          </cell>
          <cell r="B2071" t="str">
            <v>M2 Reflectante Clase 1 ELG Flex 48025 Rojo Oscuro (5 años) 1,22x45,7m</v>
          </cell>
          <cell r="C2071" t="str">
            <v>Sí</v>
          </cell>
          <cell r="D2071" t="str">
            <v>No</v>
          </cell>
        </row>
        <row r="2072">
          <cell r="A2072" t="str">
            <v>A0002742</v>
          </cell>
          <cell r="B2072" t="str">
            <v>Rollo Skynnet MonoDigital Perm High Tack 100mc Mate 1,60x50m</v>
          </cell>
          <cell r="C2072" t="str">
            <v>Sí</v>
          </cell>
          <cell r="D2072" t="str">
            <v>No</v>
          </cell>
        </row>
        <row r="2073">
          <cell r="A2073" t="str">
            <v>A0002743</v>
          </cell>
          <cell r="B2073" t="str">
            <v>Rollo Skynnet PolyDigital Perm High Tack 75mc Mate 1,60x50m</v>
          </cell>
          <cell r="C2073" t="str">
            <v>Sí</v>
          </cell>
          <cell r="D2073" t="str">
            <v>Si</v>
          </cell>
        </row>
        <row r="2074">
          <cell r="A2074" t="str">
            <v>A0002744</v>
          </cell>
          <cell r="B2074" t="str">
            <v>Rollo Skynnet PolyDigital Perm High Tack 75mc Mate 1,37x50m</v>
          </cell>
          <cell r="C2074" t="str">
            <v>Sí</v>
          </cell>
          <cell r="D2074" t="str">
            <v>Si</v>
          </cell>
        </row>
        <row r="2075">
          <cell r="A2075" t="str">
            <v>A0002745</v>
          </cell>
          <cell r="B2075" t="str">
            <v>Rollo Skynnet PolyDigital Perm High Tack 75mc Mate 1,06x50m</v>
          </cell>
          <cell r="C2075" t="str">
            <v>Sí</v>
          </cell>
          <cell r="D2075" t="str">
            <v>Si</v>
          </cell>
        </row>
        <row r="2076">
          <cell r="A2076" t="str">
            <v>A0002746</v>
          </cell>
          <cell r="B2076" t="str">
            <v>Rollo Reflectiv AUT C20 Gris Oscuro 23mc 1,52x10m</v>
          </cell>
          <cell r="C2076" t="str">
            <v>Sí</v>
          </cell>
          <cell r="D2076" t="str">
            <v>No</v>
          </cell>
          <cell r="E2076" t="str">
            <v>A0001174</v>
          </cell>
        </row>
        <row r="2077">
          <cell r="A2077" t="str">
            <v>A0002747</v>
          </cell>
          <cell r="B2077" t="str">
            <v>Rollo Reflectiv AUT C20 Gris Oscuro 23mc 1,52x5m</v>
          </cell>
          <cell r="C2077" t="str">
            <v>Sí</v>
          </cell>
          <cell r="D2077" t="str">
            <v>No</v>
          </cell>
          <cell r="E2077" t="str">
            <v>A0001174</v>
          </cell>
        </row>
        <row r="2078">
          <cell r="A2078" t="str">
            <v>A0002517</v>
          </cell>
          <cell r="B2078" t="str">
            <v>M2 Reflectante Clase 1 ELG Flex 48026 Azul Claro (5 años) 1,22x45,7m</v>
          </cell>
          <cell r="C2078" t="str">
            <v>Sí</v>
          </cell>
          <cell r="D2078" t="str">
            <v>No</v>
          </cell>
        </row>
        <row r="2079">
          <cell r="A2079" t="str">
            <v>A0002749</v>
          </cell>
          <cell r="B2079" t="str">
            <v>Rollo Vinilo GoGo-Dot 100 Blanco Mate 1,60x50m</v>
          </cell>
          <cell r="C2079" t="str">
            <v>Sí</v>
          </cell>
          <cell r="D2079" t="str">
            <v>No</v>
          </cell>
          <cell r="E2079" t="str">
            <v>A0001147</v>
          </cell>
        </row>
        <row r="2080">
          <cell r="A2080" t="str">
            <v>A0002750</v>
          </cell>
          <cell r="B2080" t="str">
            <v>Rollo Papel Poster Premium Satin 150gr 1,52 x 50m</v>
          </cell>
          <cell r="C2080" t="str">
            <v>Sí</v>
          </cell>
          <cell r="D2080" t="str">
            <v>No</v>
          </cell>
        </row>
        <row r="2081">
          <cell r="A2081" t="str">
            <v>A0002751</v>
          </cell>
          <cell r="B2081" t="str">
            <v>Rollo Reflectiv INT 510 1,52x30m</v>
          </cell>
          <cell r="C2081" t="str">
            <v>Sí</v>
          </cell>
          <cell r="D2081" t="str">
            <v>Si</v>
          </cell>
          <cell r="E2081" t="str">
            <v>A0000535</v>
          </cell>
        </row>
        <row r="2082">
          <cell r="A2082" t="str">
            <v>A0002752</v>
          </cell>
          <cell r="B2082" t="str">
            <v>Rollo TriSolv PhotoArt Paper 225gr Satín 1,52x30m</v>
          </cell>
          <cell r="C2082" t="str">
            <v>Sí</v>
          </cell>
          <cell r="D2082" t="str">
            <v>No</v>
          </cell>
        </row>
        <row r="2083">
          <cell r="A2083" t="str">
            <v>A0002753</v>
          </cell>
          <cell r="B2083" t="str">
            <v>Rollo Reflectiv MIR 500 Plata Espejo 1,52x30m</v>
          </cell>
          <cell r="C2083" t="str">
            <v>Sí</v>
          </cell>
          <cell r="D2083" t="str">
            <v>No</v>
          </cell>
        </row>
        <row r="2084">
          <cell r="A2084" t="str">
            <v>A0002754</v>
          </cell>
          <cell r="B2084" t="str">
            <v>Plotter ValueJet VJ-2638X Ecosolvente</v>
          </cell>
          <cell r="C2084" t="str">
            <v>Sí</v>
          </cell>
          <cell r="D2084" t="str">
            <v>Si</v>
          </cell>
        </row>
        <row r="2085">
          <cell r="A2085" t="str">
            <v>A0002755</v>
          </cell>
          <cell r="B2085" t="str">
            <v>Plotter Impresión y Corte Roland TrueVis SG3-300</v>
          </cell>
          <cell r="C2085" t="str">
            <v>Sí</v>
          </cell>
          <cell r="D2085" t="str">
            <v>No</v>
          </cell>
        </row>
        <row r="2086">
          <cell r="A2086" t="str">
            <v>A0002523</v>
          </cell>
          <cell r="B2086" t="str">
            <v>M2 Reflectante Clase 1 ELG Flex 48034 Amarillo Limón (5 años) 1,22x45,7m</v>
          </cell>
          <cell r="C2086" t="str">
            <v>Sí</v>
          </cell>
          <cell r="D2086" t="str">
            <v>No</v>
          </cell>
        </row>
        <row r="2087">
          <cell r="A2087" t="str">
            <v>A0002522</v>
          </cell>
          <cell r="B2087" t="str">
            <v>M2 Reflectante Clase 1 ELG Flex 48035 Rojo Brillante (5 años) 1,22x45,7m</v>
          </cell>
          <cell r="C2087" t="str">
            <v>Sí</v>
          </cell>
          <cell r="D2087" t="str">
            <v>No</v>
          </cell>
        </row>
        <row r="2088">
          <cell r="A2088" t="str">
            <v>A0002758</v>
          </cell>
          <cell r="B2088" t="str">
            <v>ML Cad-Cut Premium Plus 730 Gris 300mm</v>
          </cell>
          <cell r="C2088" t="str">
            <v>Sí</v>
          </cell>
          <cell r="D2088" t="str">
            <v>Si</v>
          </cell>
          <cell r="E2088" t="str">
            <v>A0000644</v>
          </cell>
        </row>
        <row r="2089">
          <cell r="A2089" t="str">
            <v>A0002759</v>
          </cell>
          <cell r="B2089" t="str">
            <v>ML Cad-Cut Premium Plus 101 Neon Amarillo 300mm</v>
          </cell>
          <cell r="C2089" t="str">
            <v>Sí</v>
          </cell>
          <cell r="D2089" t="str">
            <v>Si</v>
          </cell>
          <cell r="E2089" t="str">
            <v>A0000644</v>
          </cell>
        </row>
        <row r="2090">
          <cell r="A2090" t="str">
            <v>A0002760</v>
          </cell>
          <cell r="B2090" t="str">
            <v>Rollo Stahls Cinta Thermo 9mm x 66m</v>
          </cell>
          <cell r="C2090" t="str">
            <v>Sí</v>
          </cell>
          <cell r="D2090" t="str">
            <v>No</v>
          </cell>
        </row>
        <row r="2091">
          <cell r="A2091" t="str">
            <v>A0002761</v>
          </cell>
          <cell r="B2091" t="str">
            <v>Dispensador de Cinta Thermo Stahls 9mm</v>
          </cell>
          <cell r="C2091" t="str">
            <v>Sí</v>
          </cell>
          <cell r="D2091" t="str">
            <v>No</v>
          </cell>
        </row>
        <row r="2092">
          <cell r="A2092" t="str">
            <v>A0002762</v>
          </cell>
          <cell r="B2092" t="str">
            <v>Rollo Laminado Skynnet Antideslizante R9 170mc 1,37x50m</v>
          </cell>
          <cell r="C2092" t="str">
            <v>Sí</v>
          </cell>
          <cell r="D2092" t="str">
            <v>Si</v>
          </cell>
        </row>
        <row r="2093">
          <cell r="A2093" t="str">
            <v>A0002763</v>
          </cell>
          <cell r="B2093" t="str">
            <v>ML Cad-Cut Premium Plus 241 Neon Rosa 300mm</v>
          </cell>
          <cell r="C2093" t="str">
            <v>Sí</v>
          </cell>
          <cell r="D2093" t="str">
            <v>Si</v>
          </cell>
          <cell r="E2093" t="str">
            <v>A0000644</v>
          </cell>
        </row>
        <row r="2094">
          <cell r="A2094" t="str">
            <v>A0002764</v>
          </cell>
          <cell r="B2094" t="str">
            <v>Compresor Air Sil1 3cm/100</v>
          </cell>
          <cell r="C2094" t="str">
            <v>Sí</v>
          </cell>
          <cell r="D2094" t="str">
            <v>No</v>
          </cell>
        </row>
        <row r="2095">
          <cell r="A2095" t="str">
            <v>A0002765</v>
          </cell>
          <cell r="B2095" t="str">
            <v>ML Cad-Cut Effect 909 Sparkle Rosa 300mm</v>
          </cell>
          <cell r="C2095" t="str">
            <v>Sí</v>
          </cell>
          <cell r="D2095" t="str">
            <v>Si</v>
          </cell>
          <cell r="E2095" t="str">
            <v>A0000738</v>
          </cell>
        </row>
        <row r="2096">
          <cell r="A2096" t="str">
            <v>A0002766</v>
          </cell>
          <cell r="B2096" t="str">
            <v>ML Cad-Cut Effect 901 Spectrum 300mm</v>
          </cell>
          <cell r="C2096" t="str">
            <v>Sí</v>
          </cell>
          <cell r="D2096" t="str">
            <v>Si</v>
          </cell>
          <cell r="E2096" t="str">
            <v>A0000738</v>
          </cell>
        </row>
        <row r="2097">
          <cell r="A2097" t="str">
            <v>A0002767</v>
          </cell>
          <cell r="B2097" t="str">
            <v>ML Cad-Cut Glitter 921 Plata 300mm</v>
          </cell>
          <cell r="C2097" t="str">
            <v>Sí</v>
          </cell>
          <cell r="D2097" t="str">
            <v>Si</v>
          </cell>
          <cell r="E2097" t="str">
            <v>A0000702</v>
          </cell>
        </row>
        <row r="2098">
          <cell r="A2098" t="str">
            <v>A0002519</v>
          </cell>
          <cell r="B2098" t="str">
            <v>M2 Reflectante Clase 1 ELG Flex 48036 Azul Oscuro (5 años) 1,22x45,7m</v>
          </cell>
          <cell r="C2098" t="str">
            <v>Sí</v>
          </cell>
          <cell r="D2098" t="str">
            <v>No</v>
          </cell>
        </row>
        <row r="2099">
          <cell r="A2099" t="str">
            <v>A0002769</v>
          </cell>
          <cell r="B2099" t="str">
            <v>Tinta EcoUV 5 Magenta 500cc</v>
          </cell>
          <cell r="C2099" t="str">
            <v>Sí</v>
          </cell>
          <cell r="D2099" t="str">
            <v>Si</v>
          </cell>
          <cell r="E2099" t="str">
            <v>A0000996</v>
          </cell>
        </row>
        <row r="2100">
          <cell r="A2100" t="str">
            <v>A0002770</v>
          </cell>
          <cell r="B2100" t="str">
            <v>Tinta EcoUV 5 Cyan 500cc</v>
          </cell>
          <cell r="C2100" t="str">
            <v>Sí</v>
          </cell>
          <cell r="D2100" t="str">
            <v>Si</v>
          </cell>
          <cell r="E2100" t="str">
            <v>A0000996</v>
          </cell>
        </row>
        <row r="2101">
          <cell r="A2101" t="str">
            <v>A0002771</v>
          </cell>
          <cell r="B2101" t="str">
            <v>Tinta EcoUV 5 Amarillo 500cc</v>
          </cell>
          <cell r="C2101" t="str">
            <v>Sí</v>
          </cell>
          <cell r="D2101" t="str">
            <v>Si</v>
          </cell>
          <cell r="E2101" t="str">
            <v>A0000996</v>
          </cell>
        </row>
        <row r="2102">
          <cell r="A2102" t="str">
            <v>A0002772</v>
          </cell>
          <cell r="B2102" t="str">
            <v>Tinta EcoUV 5 Negro 500cc</v>
          </cell>
          <cell r="C2102" t="str">
            <v>Sí</v>
          </cell>
          <cell r="D2102" t="str">
            <v>Si</v>
          </cell>
          <cell r="E2102" t="str">
            <v>A0000996</v>
          </cell>
        </row>
        <row r="2103">
          <cell r="A2103" t="str">
            <v>A0002773</v>
          </cell>
          <cell r="B2103" t="str">
            <v>Plotter Impresión y Corte Roland VersaStudio BN-20D</v>
          </cell>
          <cell r="C2103" t="str">
            <v>Sí</v>
          </cell>
          <cell r="D2103" t="str">
            <v>Si</v>
          </cell>
        </row>
        <row r="2104">
          <cell r="A2104" t="str">
            <v>A0002774</v>
          </cell>
          <cell r="B2104" t="str">
            <v>Mesa de corte Láser LV-290</v>
          </cell>
          <cell r="C2104" t="str">
            <v>Sí</v>
          </cell>
          <cell r="D2104" t="str">
            <v>Si</v>
          </cell>
        </row>
        <row r="2105">
          <cell r="A2105" t="str">
            <v>A0002775</v>
          </cell>
          <cell r="B2105" t="str">
            <v>Rollo Laminado Skynnet Antideslizante R9 170mc 1,37x25m</v>
          </cell>
          <cell r="C2105" t="str">
            <v>Sí</v>
          </cell>
          <cell r="D2105" t="str">
            <v>Si</v>
          </cell>
        </row>
        <row r="2106">
          <cell r="A2106" t="str">
            <v>A0002776</v>
          </cell>
          <cell r="B2106" t="str">
            <v>ML Cad-Cut Sportsfilm 355 Azul Marino 500mm</v>
          </cell>
          <cell r="C2106" t="str">
            <v>Sí</v>
          </cell>
          <cell r="D2106" t="str">
            <v>Si</v>
          </cell>
          <cell r="E2106" t="str">
            <v>A0000606</v>
          </cell>
        </row>
        <row r="2107">
          <cell r="A2107" t="str">
            <v>A0002777</v>
          </cell>
          <cell r="B2107" t="str">
            <v>1000024992 - Assy, Carriage J5-183LX</v>
          </cell>
          <cell r="C2107" t="str">
            <v>Sí</v>
          </cell>
          <cell r="D2107" t="str">
            <v>No</v>
          </cell>
        </row>
        <row r="2108">
          <cell r="A2108" t="str">
            <v>A0002778</v>
          </cell>
          <cell r="B2108" t="str">
            <v>Rollo Metaguard MGi 002 Mate 76cm x 50m</v>
          </cell>
          <cell r="C2108" t="str">
            <v>Sí</v>
          </cell>
          <cell r="D2108" t="str">
            <v>No</v>
          </cell>
          <cell r="E2108" t="str">
            <v>A0000245</v>
          </cell>
        </row>
        <row r="2109">
          <cell r="A2109" t="str">
            <v>A0002521</v>
          </cell>
          <cell r="B2109" t="str">
            <v>M2 Reflectante Clase 1 ELG Flex 48045 Violeta (5 años) 1,22x45,7m</v>
          </cell>
          <cell r="C2109" t="str">
            <v>Sí</v>
          </cell>
          <cell r="D2109" t="str">
            <v>No</v>
          </cell>
        </row>
        <row r="2110">
          <cell r="A2110" t="str">
            <v>A0002518</v>
          </cell>
          <cell r="B2110" t="str">
            <v>M2 Reflectante Clase 1 ELG Flex 48046 Azul Cielo (5 años) 1,22x45,7m</v>
          </cell>
          <cell r="C2110" t="str">
            <v>Sí</v>
          </cell>
          <cell r="D2110" t="str">
            <v>No</v>
          </cell>
        </row>
        <row r="2111">
          <cell r="A2111" t="str">
            <v>A0002781</v>
          </cell>
          <cell r="B2111" t="str">
            <v>Rollo Reflectiv MIR 500 Plata Espejo 1,52x10m</v>
          </cell>
          <cell r="C2111" t="str">
            <v>Sí</v>
          </cell>
          <cell r="D2111" t="str">
            <v>No</v>
          </cell>
        </row>
        <row r="2112">
          <cell r="A2112" t="str">
            <v>A0002782</v>
          </cell>
          <cell r="B2112" t="str">
            <v>ML Magnético 0.6mm espesor PVC Blanco 1mx30m</v>
          </cell>
          <cell r="C2112" t="str">
            <v>Sí</v>
          </cell>
          <cell r="D2112" t="str">
            <v>No</v>
          </cell>
        </row>
        <row r="2113">
          <cell r="A2113" t="str">
            <v>A0002783</v>
          </cell>
          <cell r="B2113" t="str">
            <v>Rollo Reflectiv MIR 501 Oro Espejo 1,52x10m</v>
          </cell>
          <cell r="C2113" t="str">
            <v>Sí</v>
          </cell>
          <cell r="D2113" t="str">
            <v>No</v>
          </cell>
        </row>
        <row r="2114">
          <cell r="A2114" t="str">
            <v>A0002784</v>
          </cell>
          <cell r="B2114" t="str">
            <v>Alfombrilla de Corte 250x150cm</v>
          </cell>
          <cell r="C2114" t="str">
            <v>Sí</v>
          </cell>
          <cell r="D2114" t="str">
            <v>No</v>
          </cell>
        </row>
        <row r="2115">
          <cell r="A2115" t="str">
            <v>A0002785</v>
          </cell>
          <cell r="B2115" t="str">
            <v>Rollo Sublimación Skynnet 45g 1,62x420m</v>
          </cell>
          <cell r="C2115" t="str">
            <v>Sí</v>
          </cell>
          <cell r="D2115" t="str">
            <v>No</v>
          </cell>
        </row>
        <row r="2116">
          <cell r="A2116" t="str">
            <v>A0002786</v>
          </cell>
          <cell r="B2116" t="str">
            <v>Rollo Metamark MDT (80mc Translúcido) Satin 1,37x25m</v>
          </cell>
          <cell r="C2116" t="str">
            <v>Sí</v>
          </cell>
          <cell r="D2116" t="str">
            <v>No</v>
          </cell>
          <cell r="E2116" t="str">
            <v>A0000231</v>
          </cell>
        </row>
        <row r="2117">
          <cell r="A2117" t="str">
            <v>A0002787</v>
          </cell>
          <cell r="B2117" t="str">
            <v>Alfombrilla de Corte 60x120cm</v>
          </cell>
          <cell r="C2117" t="str">
            <v>Sí</v>
          </cell>
          <cell r="D2117" t="str">
            <v>No</v>
          </cell>
        </row>
        <row r="2118">
          <cell r="A2118" t="str">
            <v>A0002788</v>
          </cell>
          <cell r="B2118" t="str">
            <v>Rollo PVC + PP para Roll-Up 200mc Trasera Gris 0,91x50m</v>
          </cell>
          <cell r="C2118" t="str">
            <v>Sí</v>
          </cell>
          <cell r="D2118" t="str">
            <v>No</v>
          </cell>
        </row>
        <row r="2119">
          <cell r="A2119" t="str">
            <v>A0002789</v>
          </cell>
          <cell r="B2119" t="str">
            <v>1000001602 - Sheet Clamp Media</v>
          </cell>
          <cell r="C2119" t="str">
            <v>Sí</v>
          </cell>
          <cell r="D2119" t="str">
            <v>No</v>
          </cell>
        </row>
        <row r="2120">
          <cell r="A2120" t="str">
            <v>A0002790</v>
          </cell>
          <cell r="B2120" t="str">
            <v>21685149 - Gear T2</v>
          </cell>
          <cell r="C2120" t="str">
            <v>Sí</v>
          </cell>
          <cell r="D2120" t="str">
            <v>No</v>
          </cell>
        </row>
        <row r="2121">
          <cell r="A2121" t="str">
            <v>A0002791</v>
          </cell>
          <cell r="B2121" t="str">
            <v>ML Cad-Cut Sportsfilm 200 Rojo 300mm</v>
          </cell>
          <cell r="C2121" t="str">
            <v>Sí</v>
          </cell>
          <cell r="D2121" t="str">
            <v>Si</v>
          </cell>
          <cell r="E2121" t="str">
            <v>A0000606</v>
          </cell>
        </row>
        <row r="2122">
          <cell r="A2122" t="str">
            <v>A0002792</v>
          </cell>
          <cell r="B2122" t="str">
            <v>Rollo Wallpaper Premium 180gr 1,35x50m</v>
          </cell>
          <cell r="C2122" t="str">
            <v>Sí</v>
          </cell>
          <cell r="D2122" t="str">
            <v>No</v>
          </cell>
        </row>
        <row r="2123">
          <cell r="A2123" t="str">
            <v>A0002793</v>
          </cell>
          <cell r="B2123" t="str">
            <v>Rollo Reflectiv AUT C20 Gris Oscuro 23mc 1,52x30m</v>
          </cell>
          <cell r="C2123" t="str">
            <v>Sí</v>
          </cell>
          <cell r="D2123" t="str">
            <v>No</v>
          </cell>
          <cell r="E2123" t="str">
            <v>A0001174</v>
          </cell>
        </row>
        <row r="2124">
          <cell r="A2124" t="str">
            <v>A0002511</v>
          </cell>
          <cell r="B2124" t="str">
            <v>M2 Reflectante Clase 1 ELG Flex 48077 Naranja (5 años) 1,22x45,7m</v>
          </cell>
          <cell r="C2124" t="str">
            <v>Sí</v>
          </cell>
          <cell r="D2124" t="str">
            <v>No</v>
          </cell>
        </row>
        <row r="2125">
          <cell r="A2125" t="str">
            <v>A0002795</v>
          </cell>
          <cell r="B2125" t="str">
            <v>Rollo Knifeless Finish Line 50m</v>
          </cell>
          <cell r="C2125" t="str">
            <v>Sí</v>
          </cell>
          <cell r="D2125" t="str">
            <v>No</v>
          </cell>
        </row>
        <row r="2126">
          <cell r="A2126" t="str">
            <v>A0002503</v>
          </cell>
          <cell r="B2126" t="str">
            <v>M2 Reflectante Clase 1 MPG F4304 Amarillo 1,22x45,7m</v>
          </cell>
          <cell r="C2126" t="str">
            <v>Sí</v>
          </cell>
          <cell r="D2126" t="str">
            <v>No</v>
          </cell>
        </row>
        <row r="2127">
          <cell r="A2127" t="str">
            <v>A0002504</v>
          </cell>
          <cell r="B2127" t="str">
            <v>M2 Reflectante Clase 1 MPG F4305 Rojo 1,22x45,7m</v>
          </cell>
          <cell r="C2127" t="str">
            <v>Sí</v>
          </cell>
          <cell r="D2127" t="str">
            <v>No</v>
          </cell>
        </row>
        <row r="2128">
          <cell r="A2128" t="str">
            <v>A0002798</v>
          </cell>
          <cell r="B2128" t="str">
            <v>Plotter Impresión Epson SureColor SC-S40600</v>
          </cell>
          <cell r="C2128" t="str">
            <v>Sí</v>
          </cell>
          <cell r="D2128" t="str">
            <v>No</v>
          </cell>
        </row>
        <row r="2129">
          <cell r="A2129" t="str">
            <v>A0002799</v>
          </cell>
          <cell r="B2129" t="str">
            <v>Rollo Metamark MDi 101M (70mc) Mate 1,37x25m</v>
          </cell>
          <cell r="C2129" t="str">
            <v>Sí</v>
          </cell>
          <cell r="D2129" t="str">
            <v>Si</v>
          </cell>
          <cell r="E2129" t="str">
            <v>A0001667</v>
          </cell>
        </row>
        <row r="2130">
          <cell r="A2130" t="str">
            <v>A0002800</v>
          </cell>
          <cell r="B2130" t="str">
            <v>Plotter Impresión y Corte Roland MG 300</v>
          </cell>
          <cell r="C2130" t="str">
            <v>Sí</v>
          </cell>
          <cell r="D2130" t="str">
            <v>Si</v>
          </cell>
        </row>
        <row r="2131">
          <cell r="A2131" t="str">
            <v>A0002801</v>
          </cell>
          <cell r="B2131" t="str">
            <v>Plotter Impresión y Corte Roland MG 640</v>
          </cell>
          <cell r="C2131" t="str">
            <v>Sí</v>
          </cell>
          <cell r="D2131" t="str">
            <v>Si</v>
          </cell>
        </row>
        <row r="2132">
          <cell r="A2132" t="str">
            <v>A0002803</v>
          </cell>
          <cell r="B2132" t="str">
            <v>Cartucho Epson SC-S40/60/80 GS3 Amarillo T8904 700ml</v>
          </cell>
          <cell r="C2132" t="str">
            <v>Sí</v>
          </cell>
          <cell r="D2132" t="str">
            <v>No</v>
          </cell>
        </row>
        <row r="2133">
          <cell r="A2133" t="str">
            <v>A0002804</v>
          </cell>
          <cell r="B2133" t="str">
            <v>Cartucho Epson SC-S40/60/80 GS3 Magenta T8903 700ml</v>
          </cell>
          <cell r="C2133" t="str">
            <v>Sí</v>
          </cell>
          <cell r="D2133" t="str">
            <v>No</v>
          </cell>
        </row>
        <row r="2134">
          <cell r="A2134" t="str">
            <v>A0002805</v>
          </cell>
          <cell r="B2134" t="str">
            <v>Cartucho Epson SC-S40/60/80 GS3 Cian T8902 700ml</v>
          </cell>
          <cell r="C2134" t="str">
            <v>Sí</v>
          </cell>
          <cell r="D2134" t="str">
            <v>No</v>
          </cell>
        </row>
        <row r="2135">
          <cell r="A2135" t="str">
            <v>A0002806</v>
          </cell>
          <cell r="B2135" t="str">
            <v>Cartucho Epson SC-S40/60/80 GS3 Negro T8901 700ml</v>
          </cell>
          <cell r="C2135" t="str">
            <v>Sí</v>
          </cell>
          <cell r="D2135" t="str">
            <v>No</v>
          </cell>
        </row>
        <row r="2136">
          <cell r="A2136" t="str">
            <v>A0002807</v>
          </cell>
          <cell r="B2136" t="str">
            <v>Cartucho Epson S70600 Gris T7137 700 ml</v>
          </cell>
          <cell r="C2136" t="str">
            <v>Sí</v>
          </cell>
          <cell r="D2136" t="str">
            <v>No</v>
          </cell>
        </row>
        <row r="2137">
          <cell r="A2137" t="str">
            <v>A0002808</v>
          </cell>
          <cell r="B2137" t="str">
            <v>Cartucho Epson S70600 Negro T7131 700 ml</v>
          </cell>
          <cell r="C2137" t="str">
            <v>Sí</v>
          </cell>
          <cell r="D2137" t="str">
            <v>No</v>
          </cell>
        </row>
        <row r="2138">
          <cell r="A2138" t="str">
            <v>A0002809</v>
          </cell>
          <cell r="B2138" t="str">
            <v>Cartucho Epson S70600 Magenta T7133 700 ml</v>
          </cell>
          <cell r="C2138" t="str">
            <v>Sí</v>
          </cell>
          <cell r="D2138" t="str">
            <v>No</v>
          </cell>
        </row>
        <row r="2139">
          <cell r="A2139" t="str">
            <v>A0002810</v>
          </cell>
          <cell r="B2139" t="str">
            <v>Cartucho Epson S70600 Cian T7132 700 ml</v>
          </cell>
          <cell r="C2139" t="str">
            <v>Sí</v>
          </cell>
          <cell r="D2139" t="str">
            <v>No</v>
          </cell>
        </row>
        <row r="2140">
          <cell r="A2140" t="str">
            <v>A0002811</v>
          </cell>
          <cell r="B2140" t="str">
            <v>Cartucho Epson S70600 Amarillo T7134 700 ml</v>
          </cell>
          <cell r="C2140" t="str">
            <v>Sí</v>
          </cell>
          <cell r="D2140" t="str">
            <v>No</v>
          </cell>
        </row>
        <row r="2141">
          <cell r="A2141" t="str">
            <v>A0002812</v>
          </cell>
          <cell r="B2141" t="str">
            <v>Cartucho Eco Sol Max Metálico 220cc</v>
          </cell>
          <cell r="C2141" t="str">
            <v>Sí</v>
          </cell>
          <cell r="D2141" t="str">
            <v>Si</v>
          </cell>
          <cell r="E2141" t="str">
            <v>A0001033</v>
          </cell>
        </row>
        <row r="2142">
          <cell r="A2142" t="str">
            <v>A0002505</v>
          </cell>
          <cell r="B2142" t="str">
            <v>M2 Reflectante Clase 1 MPG F4306 Azul 1,22x45,7m</v>
          </cell>
          <cell r="C2142" t="str">
            <v>Sí</v>
          </cell>
          <cell r="D2142" t="str">
            <v>No</v>
          </cell>
        </row>
        <row r="2143">
          <cell r="A2143" t="str">
            <v>A0002814</v>
          </cell>
          <cell r="B2143" t="str">
            <v>163847 - Almohadilla protectora de espuma 6mm</v>
          </cell>
          <cell r="C2143" t="str">
            <v>Sí</v>
          </cell>
          <cell r="D2143" t="str">
            <v>No</v>
          </cell>
        </row>
        <row r="2144">
          <cell r="A2144" t="str">
            <v>A0002815</v>
          </cell>
          <cell r="B2144" t="str">
            <v>Tinta EcoUV 5 Blanco 220cc</v>
          </cell>
          <cell r="C2144" t="str">
            <v>Sí</v>
          </cell>
          <cell r="D2144" t="str">
            <v>Si</v>
          </cell>
          <cell r="E2144" t="str">
            <v>A0000996</v>
          </cell>
        </row>
        <row r="2145">
          <cell r="A2145" t="str">
            <v>A0002507</v>
          </cell>
          <cell r="B2145" t="str">
            <v>M2 Reflectante Clase 1 MPG F4308 Verde 1,22x45,7m</v>
          </cell>
          <cell r="C2145" t="str">
            <v>Sí</v>
          </cell>
          <cell r="D2145" t="str">
            <v>No</v>
          </cell>
        </row>
        <row r="2146">
          <cell r="A2146" t="str">
            <v>A0002502</v>
          </cell>
          <cell r="B2146" t="str">
            <v>M2 Reflectante Clase 1 MPG F4312 Blanco 1,22x45,7m</v>
          </cell>
          <cell r="C2146" t="str">
            <v>Sí</v>
          </cell>
          <cell r="D2146" t="str">
            <v>No</v>
          </cell>
        </row>
        <row r="2147">
          <cell r="A2147" t="str">
            <v>A0002506</v>
          </cell>
          <cell r="B2147" t="str">
            <v>M2 Reflectante Clase 1 MPG F4377 Naranja 1,22x45,7m</v>
          </cell>
          <cell r="C2147" t="str">
            <v>Sí</v>
          </cell>
          <cell r="D2147" t="str">
            <v>No</v>
          </cell>
        </row>
        <row r="2148">
          <cell r="A2148" t="str">
            <v>A0002692</v>
          </cell>
          <cell r="B2148" t="str">
            <v>M2 Reflectante Clase 2 ULS Flex BA814SL Izquierda PU Super High Tack Blanco/Rojo 1,22x45,7m</v>
          </cell>
          <cell r="C2148" t="str">
            <v>Sí</v>
          </cell>
          <cell r="D2148" t="str">
            <v>No</v>
          </cell>
        </row>
        <row r="2149">
          <cell r="A2149" t="str">
            <v>A0002527</v>
          </cell>
          <cell r="B2149" t="str">
            <v>M2 Reflectante Clase 2 ULS Flex BA814SR Derecha PU Super High Tack Blanco/Rojo 1,22x45,7m</v>
          </cell>
          <cell r="C2149" t="str">
            <v>Sí</v>
          </cell>
          <cell r="D2149" t="str">
            <v>No</v>
          </cell>
        </row>
        <row r="2150">
          <cell r="A2150" t="str">
            <v>A0002526</v>
          </cell>
          <cell r="B2150" t="str">
            <v>M2 Reflectante Clase 2 ULS Flex CS504 PU Super High Tack Amarillo 1,22x45,7m</v>
          </cell>
          <cell r="C2150" t="str">
            <v>Sí</v>
          </cell>
          <cell r="D2150" t="str">
            <v>No</v>
          </cell>
        </row>
        <row r="2151">
          <cell r="A2151" t="str">
            <v>A0002525</v>
          </cell>
          <cell r="B2151" t="str">
            <v>M2 Reflectante Clase 2 ULS Flex CS512 PU Super High Tack Blanco 1,22x45,7m</v>
          </cell>
          <cell r="C2151" t="str">
            <v>Sí</v>
          </cell>
          <cell r="D2151" t="str">
            <v>No</v>
          </cell>
        </row>
        <row r="2152">
          <cell r="A2152" t="str">
            <v>A0002524</v>
          </cell>
          <cell r="B2152" t="str">
            <v>M2 Reflectante Clase 2 ULS Flex CV 512 PVC Super High Tack Blanco 1,22x45,7m</v>
          </cell>
          <cell r="C2152" t="str">
            <v>Sí</v>
          </cell>
          <cell r="D2152" t="str">
            <v>No</v>
          </cell>
        </row>
        <row r="2153">
          <cell r="A2153" t="str">
            <v>A0002559</v>
          </cell>
          <cell r="B2153" t="str">
            <v>M2 Reflectante Hi-SCal (10 años) 4178-04 POWM Negro Intenso 1,22x50m</v>
          </cell>
          <cell r="C2153" t="str">
            <v>Sí</v>
          </cell>
          <cell r="D2153" t="str">
            <v>No</v>
          </cell>
        </row>
        <row r="2154">
          <cell r="A2154" t="str">
            <v>A0002560</v>
          </cell>
          <cell r="B2154" t="str">
            <v>M2 Reflectante Hi-SCal (10 años) 4178-08 CM2 Blanco Puro 1,22x50m</v>
          </cell>
          <cell r="C2154" t="str">
            <v>Sí</v>
          </cell>
          <cell r="D2154" t="str">
            <v>No</v>
          </cell>
        </row>
        <row r="2155">
          <cell r="A2155" t="str">
            <v>A0002561</v>
          </cell>
          <cell r="B2155" t="str">
            <v>M2 Reflectante Hi-SCal (7 años) 4178-07 CM2 Amarillo Cadmio 1,22x50m</v>
          </cell>
          <cell r="C2155" t="str">
            <v>Sí</v>
          </cell>
          <cell r="D2155" t="str">
            <v>No</v>
          </cell>
        </row>
        <row r="2156">
          <cell r="A2156" t="str">
            <v>A0002562</v>
          </cell>
          <cell r="B2156" t="str">
            <v>M2 Reflectante Hi-SCal (7 años) 4178-12 CM2 Azul Real 1,22x50m</v>
          </cell>
          <cell r="C2156" t="str">
            <v>Sí</v>
          </cell>
          <cell r="D2156" t="str">
            <v>No</v>
          </cell>
        </row>
        <row r="2157">
          <cell r="A2157" t="str">
            <v>A0002563</v>
          </cell>
          <cell r="B2157" t="str">
            <v>M2 Reflectante Hi-SCal (7 años) 4178-19 CM2 Rojo Bermejo 1,22x50m</v>
          </cell>
          <cell r="C2157" t="str">
            <v>Sí</v>
          </cell>
          <cell r="D2157" t="str">
            <v>No</v>
          </cell>
        </row>
        <row r="2158">
          <cell r="A2158" t="str">
            <v>A0002564</v>
          </cell>
          <cell r="B2158" t="str">
            <v>M2 Reflectante Hi-SCal (7 años) 4178-25 CM2 Azul Acero 1,22x50m</v>
          </cell>
          <cell r="C2158" t="str">
            <v>Sí</v>
          </cell>
          <cell r="D2158" t="str">
            <v>No</v>
          </cell>
        </row>
        <row r="2159">
          <cell r="A2159" t="str">
            <v>A0002565</v>
          </cell>
          <cell r="B2159" t="str">
            <v>M2 Reflectante Hi-SCal (7 años) 4178-55 CM2 Gris Ardilla 1,22x50m</v>
          </cell>
          <cell r="C2159" t="str">
            <v>Sí</v>
          </cell>
          <cell r="D2159" t="str">
            <v>No</v>
          </cell>
        </row>
        <row r="2160">
          <cell r="A2160" t="str">
            <v>A0002479</v>
          </cell>
          <cell r="B2160" t="str">
            <v>M2 Reflectante Nivel 1 (7 años) EG8104 Amarillo 1,22x50m</v>
          </cell>
          <cell r="C2160" t="str">
            <v>Sí</v>
          </cell>
          <cell r="D2160" t="str">
            <v>No</v>
          </cell>
        </row>
        <row r="2161">
          <cell r="A2161" t="str">
            <v>A0002480</v>
          </cell>
          <cell r="B2161" t="str">
            <v>M2 Reflectante Nivel 1 (7 años) EG8105 Rojo 1,22x50m</v>
          </cell>
          <cell r="C2161" t="str">
            <v>Sí</v>
          </cell>
          <cell r="D2161" t="str">
            <v>No</v>
          </cell>
        </row>
        <row r="2162">
          <cell r="A2162" t="str">
            <v>A0002481</v>
          </cell>
          <cell r="B2162" t="str">
            <v>M2 Reflectante Nivel 1 (7 años) EG8106 Azul 1,22x50m</v>
          </cell>
          <cell r="C2162" t="str">
            <v>Sí</v>
          </cell>
          <cell r="D2162" t="str">
            <v>No</v>
          </cell>
        </row>
        <row r="2163">
          <cell r="A2163" t="str">
            <v>A0002483</v>
          </cell>
          <cell r="B2163" t="str">
            <v>M2 Reflectante Nivel 1 (7 años) EG8108 Verde 1,22x50m</v>
          </cell>
          <cell r="C2163" t="str">
            <v>Sí</v>
          </cell>
          <cell r="D2163" t="str">
            <v>No</v>
          </cell>
        </row>
        <row r="2164">
          <cell r="A2164" t="str">
            <v>A0002484</v>
          </cell>
          <cell r="B2164" t="str">
            <v>M2 Reflectante Nivel 1 (7 años) EG8109 Marrón 1,22x50m</v>
          </cell>
          <cell r="C2164" t="str">
            <v>Sí</v>
          </cell>
          <cell r="D2164" t="str">
            <v>No</v>
          </cell>
        </row>
        <row r="2165">
          <cell r="A2165" t="str">
            <v>A0002478</v>
          </cell>
          <cell r="B2165" t="str">
            <v>M2 Reflectante Nivel 1 (7 años) EG8112 Blanco 1,22x50m</v>
          </cell>
          <cell r="C2165" t="str">
            <v>Sí</v>
          </cell>
          <cell r="D2165" t="str">
            <v>No</v>
          </cell>
        </row>
        <row r="2166">
          <cell r="A2166" t="str">
            <v>A0002482</v>
          </cell>
          <cell r="B2166" t="str">
            <v>M2 Reflectante Nivel 1 (7 años) EG8177 Naranja 1,22x50m</v>
          </cell>
          <cell r="C2166" t="str">
            <v>Sí</v>
          </cell>
          <cell r="D2166" t="str">
            <v>No</v>
          </cell>
        </row>
        <row r="2167">
          <cell r="A2167" t="str">
            <v>A0002488</v>
          </cell>
          <cell r="B2167" t="str">
            <v>M2 Reflectante Nivel 2 (10 años) ULS 804 Amarillo 1,22x45,7m</v>
          </cell>
          <cell r="C2167" t="str">
            <v>Sí</v>
          </cell>
          <cell r="D2167" t="str">
            <v>No</v>
          </cell>
        </row>
        <row r="2168">
          <cell r="A2168" t="str">
            <v>A0002487</v>
          </cell>
          <cell r="B2168" t="str">
            <v>M2 Reflectante Nivel 2 (10 años) ULS 805 Rojo 1,22x45,7m</v>
          </cell>
          <cell r="C2168" t="str">
            <v>Sí</v>
          </cell>
          <cell r="D2168" t="str">
            <v>No</v>
          </cell>
        </row>
        <row r="2169">
          <cell r="A2169" t="str">
            <v>A0002840</v>
          </cell>
          <cell r="B2169" t="str">
            <v>Rollo Sublimación Skynnet Protección 20g 1,65x910m</v>
          </cell>
          <cell r="C2169" t="str">
            <v>Sí</v>
          </cell>
          <cell r="D2169" t="str">
            <v>No</v>
          </cell>
        </row>
        <row r="2170">
          <cell r="A2170" t="str">
            <v>A0002486</v>
          </cell>
          <cell r="B2170" t="str">
            <v>M2 Reflectante Nivel 2 (10 años) ULS 806 Azul 1,22x45,7m</v>
          </cell>
          <cell r="C2170" t="str">
            <v>Sí</v>
          </cell>
          <cell r="D2170" t="str">
            <v>No</v>
          </cell>
        </row>
        <row r="2171">
          <cell r="A2171" t="str">
            <v>A0002490</v>
          </cell>
          <cell r="B2171" t="str">
            <v>M2 Reflectante Nivel 2 (10 años) ULS 807 Naranja 1,22x45,7m</v>
          </cell>
          <cell r="C2171" t="str">
            <v>Sí</v>
          </cell>
          <cell r="D2171" t="str">
            <v>No</v>
          </cell>
        </row>
        <row r="2172">
          <cell r="A2172" t="str">
            <v>A0002844</v>
          </cell>
          <cell r="B2172" t="str">
            <v>Mesa de Pelado Stahls</v>
          </cell>
          <cell r="C2172" t="str">
            <v>Sí</v>
          </cell>
          <cell r="D2172" t="str">
            <v>No</v>
          </cell>
        </row>
        <row r="2173">
          <cell r="A2173" t="str">
            <v>A0002845</v>
          </cell>
          <cell r="B2173" t="str">
            <v>Rollo Metaguard MGi 002 Mate 1,37x25m</v>
          </cell>
          <cell r="C2173" t="str">
            <v>Sí</v>
          </cell>
          <cell r="D2173" t="str">
            <v>Si</v>
          </cell>
          <cell r="E2173" t="str">
            <v>A0000245</v>
          </cell>
        </row>
        <row r="2174">
          <cell r="A2174" t="str">
            <v>A0002491</v>
          </cell>
          <cell r="B2174" t="str">
            <v>M2 Reflectante Nivel 2 (10 años) ULS 809 Marrón 1,22x45,7m</v>
          </cell>
          <cell r="C2174" t="str">
            <v>Sí</v>
          </cell>
          <cell r="D2174" t="str">
            <v>No</v>
          </cell>
        </row>
        <row r="2175">
          <cell r="A2175" t="str">
            <v>A0002485</v>
          </cell>
          <cell r="B2175" t="str">
            <v>M2 Reflectante Nivel 2 (10 años) ULS 812 Blanco 1,22x45,7m</v>
          </cell>
          <cell r="C2175" t="str">
            <v>Sí</v>
          </cell>
          <cell r="D2175" t="str">
            <v>No</v>
          </cell>
        </row>
        <row r="2176">
          <cell r="A2176" t="str">
            <v>A0002489</v>
          </cell>
          <cell r="B2176" t="str">
            <v>M2 Reflectante Nivel 2 (10 años) ULS 818 Verde 0,92x45,7m</v>
          </cell>
          <cell r="C2176" t="str">
            <v>Sí</v>
          </cell>
          <cell r="D2176" t="str">
            <v>No</v>
          </cell>
        </row>
        <row r="2177">
          <cell r="A2177" t="str">
            <v>A0002494</v>
          </cell>
          <cell r="B2177" t="str">
            <v>M2 Reflectante Nivel 2 (10 años) ULX R604 Microprisma Amarillo 1,22x45,7m</v>
          </cell>
          <cell r="C2177" t="str">
            <v>Sí</v>
          </cell>
          <cell r="D2177" t="str">
            <v>No</v>
          </cell>
        </row>
        <row r="2178">
          <cell r="A2178" t="str">
            <v>A0002850</v>
          </cell>
          <cell r="B2178" t="str">
            <v>1000002656 - Pad Cutter VP-300</v>
          </cell>
          <cell r="C2178" t="str">
            <v>Sí</v>
          </cell>
          <cell r="D2178" t="str">
            <v>No</v>
          </cell>
        </row>
        <row r="2179">
          <cell r="A2179" t="str">
            <v>A0002851</v>
          </cell>
          <cell r="B2179" t="str">
            <v>Rollo Poliéster para Roll-Up Trasera gris 295mic 1,07x50m</v>
          </cell>
          <cell r="C2179" t="str">
            <v>Sí</v>
          </cell>
          <cell r="D2179" t="str">
            <v>No</v>
          </cell>
        </row>
        <row r="2180">
          <cell r="A2180" t="str">
            <v>A0002852</v>
          </cell>
          <cell r="B2180" t="str">
            <v>ML Cad-Cut Sportsfilm 241 Neon Rosa 300mm</v>
          </cell>
          <cell r="C2180" t="str">
            <v>Sí</v>
          </cell>
          <cell r="D2180" t="str">
            <v>Si</v>
          </cell>
          <cell r="E2180" t="str">
            <v>A0000606</v>
          </cell>
        </row>
        <row r="2181">
          <cell r="A2181" t="str">
            <v>A0002853</v>
          </cell>
          <cell r="B2181" t="str">
            <v>ML Cad-Cut Sportsfilm 101 Neon Amarillo 300mm</v>
          </cell>
          <cell r="C2181" t="str">
            <v>Sí</v>
          </cell>
          <cell r="D2181" t="str">
            <v>Si</v>
          </cell>
          <cell r="E2181" t="str">
            <v>A0000606</v>
          </cell>
        </row>
        <row r="2182">
          <cell r="A2182" t="str">
            <v>A0002854</v>
          </cell>
          <cell r="B2182" t="str">
            <v>ML Cad-Cut Sportsfilm 730 Gris 300mm</v>
          </cell>
          <cell r="C2182" t="str">
            <v>Sí</v>
          </cell>
          <cell r="D2182" t="str">
            <v>Si</v>
          </cell>
          <cell r="E2182" t="str">
            <v>A0000606</v>
          </cell>
        </row>
        <row r="2183">
          <cell r="A2183" t="str">
            <v>A0002855</v>
          </cell>
          <cell r="B2183" t="str">
            <v>Cartucho Epson S70600 Light Magenta T7136 700 ml</v>
          </cell>
          <cell r="C2183" t="str">
            <v>Sí</v>
          </cell>
          <cell r="D2183" t="str">
            <v>No</v>
          </cell>
        </row>
        <row r="2184">
          <cell r="A2184" t="str">
            <v>A0002856</v>
          </cell>
          <cell r="B2184" t="str">
            <v>Cartucho Epson S70600 Light Cyan T7135 700 ml</v>
          </cell>
          <cell r="C2184" t="str">
            <v>Sí</v>
          </cell>
          <cell r="D2184" t="str">
            <v>No</v>
          </cell>
        </row>
        <row r="2185">
          <cell r="A2185" t="str">
            <v>A0002857</v>
          </cell>
          <cell r="B2185" t="str">
            <v>Rollo Papel Poster Premium Satin 150gr 1,37 x 50m</v>
          </cell>
          <cell r="C2185" t="str">
            <v>Sí</v>
          </cell>
          <cell r="D2185" t="str">
            <v>No</v>
          </cell>
        </row>
        <row r="2186">
          <cell r="A2186" t="str">
            <v>A0002858</v>
          </cell>
          <cell r="B2186" t="str">
            <v>Rollo Reflectiv Sec 54 1,52x30m</v>
          </cell>
          <cell r="C2186" t="str">
            <v>Sí</v>
          </cell>
          <cell r="D2186" t="str">
            <v>No</v>
          </cell>
        </row>
        <row r="2187">
          <cell r="A2187" t="str">
            <v>A0002859</v>
          </cell>
          <cell r="B2187" t="str">
            <v>Rollo Skynnet PolyDigital Perm High Tack 75mc Mate 1,37x25m</v>
          </cell>
          <cell r="C2187" t="str">
            <v>Sí</v>
          </cell>
          <cell r="D2187" t="str">
            <v>No</v>
          </cell>
        </row>
        <row r="2188">
          <cell r="A2188" t="str">
            <v>A0002860</v>
          </cell>
          <cell r="B2188" t="str">
            <v>22055692 - Plate Short Clamp Media L SP-540V</v>
          </cell>
          <cell r="C2188" t="str">
            <v>Sí</v>
          </cell>
          <cell r="D2188" t="str">
            <v>No</v>
          </cell>
        </row>
        <row r="2189">
          <cell r="A2189" t="str">
            <v>A0002861</v>
          </cell>
          <cell r="B2189" t="str">
            <v>22055694 - Plate Short Clamp Media R SP-540V</v>
          </cell>
          <cell r="C2189" t="str">
            <v>Sí</v>
          </cell>
          <cell r="D2189" t="str">
            <v>No</v>
          </cell>
        </row>
        <row r="2190">
          <cell r="A2190" t="str">
            <v>A0002862</v>
          </cell>
          <cell r="B2190" t="str">
            <v>Plotter Sublimación 24″ Epson SureColor SC-F501 flúor</v>
          </cell>
          <cell r="C2190" t="str">
            <v>Sí</v>
          </cell>
          <cell r="D2190" t="str">
            <v>No</v>
          </cell>
        </row>
        <row r="2191">
          <cell r="A2191" t="str">
            <v>A0002863</v>
          </cell>
          <cell r="B2191" t="str">
            <v>Plotter Sublimación 24″ Epson SureColor SC-F500</v>
          </cell>
          <cell r="C2191" t="str">
            <v>Sí</v>
          </cell>
          <cell r="D2191" t="str">
            <v>No</v>
          </cell>
        </row>
        <row r="2192">
          <cell r="A2192" t="str">
            <v>A0002584</v>
          </cell>
          <cell r="B2192" t="str">
            <v>M2 Reflectante Nivel 2 (10 años) ULX R605 Microprisma Rojo 1,22x45,7m</v>
          </cell>
          <cell r="C2192" t="str">
            <v>Sí</v>
          </cell>
          <cell r="D2192" t="str">
            <v>No</v>
          </cell>
        </row>
        <row r="2193">
          <cell r="A2193" t="str">
            <v>A0002866</v>
          </cell>
          <cell r="B2193" t="str">
            <v>Rollo Skynnet MonoLaminado Perm High Tack 70mc Mate 1,37x50m</v>
          </cell>
          <cell r="C2193" t="str">
            <v>Sí</v>
          </cell>
          <cell r="D2193" t="str">
            <v>No</v>
          </cell>
        </row>
        <row r="2194">
          <cell r="A2194" t="str">
            <v>A0002867</v>
          </cell>
          <cell r="B2194" t="str">
            <v>Tinta EcoUV 5 Gloss 500cc</v>
          </cell>
          <cell r="C2194" t="str">
            <v>Sí</v>
          </cell>
          <cell r="D2194" t="str">
            <v>Si</v>
          </cell>
          <cell r="E2194" t="str">
            <v>A0000996</v>
          </cell>
        </row>
        <row r="2195">
          <cell r="A2195" t="str">
            <v>A0002868</v>
          </cell>
          <cell r="B2195" t="str">
            <v>Display-Board XF IQ Gen2 N-1-2658-F</v>
          </cell>
          <cell r="C2195" t="str">
            <v>Sí</v>
          </cell>
          <cell r="D2195" t="str">
            <v>No</v>
          </cell>
        </row>
        <row r="2196">
          <cell r="A2196" t="str">
            <v>A0002869</v>
          </cell>
          <cell r="B2196" t="str">
            <v>Triac IQ-Board N-1-2464-1</v>
          </cell>
          <cell r="C2196" t="str">
            <v>Sí</v>
          </cell>
          <cell r="D2196" t="str">
            <v>No</v>
          </cell>
        </row>
        <row r="2197">
          <cell r="A2197" t="str">
            <v>A0002493</v>
          </cell>
          <cell r="B2197" t="str">
            <v>M2 Reflectante Nivel 2 (10 años) ULX R606 Microprisma Azul 1,22x45,7m</v>
          </cell>
          <cell r="C2197" t="str">
            <v>Sí</v>
          </cell>
          <cell r="D2197" t="str">
            <v>No</v>
          </cell>
        </row>
        <row r="2198">
          <cell r="A2198" t="str">
            <v>A0002492</v>
          </cell>
          <cell r="B2198" t="str">
            <v>M2 Reflectante Nivel 2 (10 años) ULX R612 Microprisma Blanco 1,22x45,7m</v>
          </cell>
          <cell r="C2198" t="str">
            <v>Sí</v>
          </cell>
          <cell r="D2198" t="str">
            <v>No</v>
          </cell>
        </row>
        <row r="2199">
          <cell r="A2199" t="str">
            <v>A0002495</v>
          </cell>
          <cell r="B2199" t="str">
            <v>M2 Reflectante Nivel 3 (10 años) CRG 92802 Blanco 1,22x45,7m</v>
          </cell>
          <cell r="C2199" t="str">
            <v>Sí</v>
          </cell>
          <cell r="D2199" t="str">
            <v>No</v>
          </cell>
        </row>
        <row r="2200">
          <cell r="A2200" t="str">
            <v>A0002498</v>
          </cell>
          <cell r="B2200" t="str">
            <v>M2 Reflectante Nivel 3 (10 años) CRG 92804 Amarillo 1,22x45,7m</v>
          </cell>
          <cell r="C2200" t="str">
            <v>Sí</v>
          </cell>
          <cell r="D2200" t="str">
            <v>No</v>
          </cell>
        </row>
        <row r="2201">
          <cell r="A2201" t="str">
            <v>A0002497</v>
          </cell>
          <cell r="B2201" t="str">
            <v>M2 Reflectante Nivel 3 (10 años) CRG 92805 Rojo 1,22x45,7m</v>
          </cell>
          <cell r="C2201" t="str">
            <v>Sí</v>
          </cell>
          <cell r="D2201" t="str">
            <v>No</v>
          </cell>
        </row>
        <row r="2202">
          <cell r="A2202" t="str">
            <v>A0002496</v>
          </cell>
          <cell r="B2202" t="str">
            <v>M2 Reflectante Nivel 3 (10 años) CRG 92806 Azul 1,22x45,7m</v>
          </cell>
          <cell r="C2202" t="str">
            <v>Sí</v>
          </cell>
          <cell r="D2202" t="str">
            <v>No</v>
          </cell>
        </row>
        <row r="2203">
          <cell r="A2203" t="str">
            <v>A0002499</v>
          </cell>
          <cell r="B2203" t="str">
            <v>M2 Reflectante Nivel 3 (10 años) CRG 92808 Verde 0,92x45,7m</v>
          </cell>
          <cell r="C2203" t="str">
            <v>Sí</v>
          </cell>
          <cell r="D2203" t="str">
            <v>No</v>
          </cell>
        </row>
        <row r="2204">
          <cell r="A2204" t="str">
            <v>A0001713</v>
          </cell>
          <cell r="B2204" t="str">
            <v>M2 Reflectiv INT401 1,22x50m</v>
          </cell>
          <cell r="C2204" t="str">
            <v>Sí</v>
          </cell>
          <cell r="D2204" t="str">
            <v>Si</v>
          </cell>
          <cell r="E2204" t="str">
            <v>A0000535</v>
          </cell>
        </row>
        <row r="2205">
          <cell r="A2205" t="str">
            <v>A0001723</v>
          </cell>
          <cell r="B2205" t="str">
            <v>M2 Ritrama Etch Polímerico PTA 1,22x50m</v>
          </cell>
          <cell r="C2205" t="str">
            <v>Sí</v>
          </cell>
          <cell r="D2205" t="str">
            <v>No</v>
          </cell>
        </row>
        <row r="2206">
          <cell r="A2206" t="str">
            <v>A0002723</v>
          </cell>
          <cell r="B2206" t="str">
            <v>M2 Ritrama M301 Negro Mate 0,61 x 50m</v>
          </cell>
          <cell r="C2206" t="str">
            <v>Sí</v>
          </cell>
          <cell r="D2206" t="str">
            <v>Si</v>
          </cell>
          <cell r="E2206" t="str">
            <v>A0000352</v>
          </cell>
        </row>
        <row r="2207">
          <cell r="A2207" t="str">
            <v>A0002720</v>
          </cell>
          <cell r="B2207" t="str">
            <v>M2 Ritrama M301 Negro Mate 1,22 x 50m</v>
          </cell>
          <cell r="C2207" t="str">
            <v>Sí</v>
          </cell>
          <cell r="D2207" t="str">
            <v>Si</v>
          </cell>
          <cell r="E2207" t="str">
            <v>A0000352</v>
          </cell>
        </row>
        <row r="2208">
          <cell r="A2208" t="str">
            <v>A0001875</v>
          </cell>
          <cell r="B2208" t="str">
            <v>M2 Ritrama Ri-Mark P601 Negro 0,61x50m</v>
          </cell>
          <cell r="C2208" t="str">
            <v>Sí</v>
          </cell>
          <cell r="D2208" t="str">
            <v>No</v>
          </cell>
        </row>
        <row r="2209">
          <cell r="A2209" t="str">
            <v>A0001725</v>
          </cell>
          <cell r="B2209" t="str">
            <v>M2 Ritrama Ri-Mark P601 Negro 1,22x50m</v>
          </cell>
          <cell r="C2209" t="str">
            <v>Sí</v>
          </cell>
          <cell r="D2209" t="str">
            <v>No</v>
          </cell>
        </row>
        <row r="2210">
          <cell r="A2210" t="str">
            <v>A0002615</v>
          </cell>
          <cell r="B2210" t="str">
            <v>M2 Ritrama Ri-Mark Platinum 800 Blanco 1,22x50m</v>
          </cell>
          <cell r="C2210" t="str">
            <v>Sí</v>
          </cell>
          <cell r="D2210" t="str">
            <v>No</v>
          </cell>
        </row>
        <row r="2211">
          <cell r="A2211" t="str">
            <v>A0002616</v>
          </cell>
          <cell r="B2211" t="str">
            <v>M2 Ritrama Ri-Mark Platinum 801 Negro 1,22x50m</v>
          </cell>
          <cell r="C2211" t="str">
            <v>Sí</v>
          </cell>
          <cell r="D2211" t="str">
            <v>No</v>
          </cell>
        </row>
        <row r="2212">
          <cell r="A2212" t="str">
            <v>A0002780</v>
          </cell>
          <cell r="B2212" t="str">
            <v>M2 Skynnet GlassDecor PolyEtched Air Free Perm High Tack 0,61x50m</v>
          </cell>
          <cell r="C2212" t="str">
            <v>Sí</v>
          </cell>
          <cell r="D2212" t="str">
            <v>No</v>
          </cell>
        </row>
        <row r="2213">
          <cell r="A2213" t="str">
            <v>A0002748</v>
          </cell>
          <cell r="B2213" t="str">
            <v>M2 Skynnet GlassDecor PolyEtched Air Free Perm High Tack 1,22x50m</v>
          </cell>
          <cell r="C2213" t="str">
            <v>Sí</v>
          </cell>
          <cell r="D2213" t="str">
            <v>No</v>
          </cell>
        </row>
        <row r="2214">
          <cell r="A2214" t="str">
            <v>A0002797</v>
          </cell>
          <cell r="B2214" t="str">
            <v>M2 Skynnet GlassDecor PolyEtched Air Free Perm High Tack 1,50x50m</v>
          </cell>
          <cell r="C2214" t="str">
            <v>Sí</v>
          </cell>
          <cell r="D2214" t="str">
            <v>No</v>
          </cell>
        </row>
        <row r="2215">
          <cell r="A2215" t="str">
            <v>A0002757</v>
          </cell>
          <cell r="B2215" t="str">
            <v>M2 Skynnet GlassDecor PolyEtched Perm High Tack 0,61x50m</v>
          </cell>
          <cell r="C2215" t="str">
            <v>Sí</v>
          </cell>
          <cell r="D2215" t="str">
            <v>No</v>
          </cell>
        </row>
        <row r="2216">
          <cell r="A2216" t="str">
            <v>A0002741</v>
          </cell>
          <cell r="B2216" t="str">
            <v>M2 Skynnet GlassDecor PolyEtched Perm High Tack 1,22x50m</v>
          </cell>
          <cell r="C2216" t="str">
            <v>Sí</v>
          </cell>
          <cell r="D2216" t="str">
            <v>No</v>
          </cell>
        </row>
        <row r="2217">
          <cell r="A2217" t="str">
            <v>A0002796</v>
          </cell>
          <cell r="B2217" t="str">
            <v>M2 Skynnet GlassDecor PolyEtched Perm High Tack 1,50x50m</v>
          </cell>
          <cell r="C2217" t="str">
            <v>Sí</v>
          </cell>
          <cell r="D2217" t="str">
            <v>No</v>
          </cell>
        </row>
        <row r="2218">
          <cell r="A2218" t="str">
            <v>A0002972</v>
          </cell>
          <cell r="B2218" t="str">
            <v>M2 Vinillo Fluorescente Naranja 1,22x50m</v>
          </cell>
          <cell r="C2218" t="str">
            <v>Sí</v>
          </cell>
          <cell r="D2218" t="str">
            <v>No</v>
          </cell>
        </row>
        <row r="2219">
          <cell r="A2219" t="str">
            <v>A0002892</v>
          </cell>
          <cell r="B2219" t="str">
            <v>Plotter Corte Roland GX-500</v>
          </cell>
          <cell r="C2219" t="str">
            <v>Sí</v>
          </cell>
          <cell r="D2219" t="str">
            <v>Si</v>
          </cell>
        </row>
        <row r="2220">
          <cell r="A2220" t="str">
            <v>A0002893</v>
          </cell>
          <cell r="B2220" t="str">
            <v>6100-93-020 - Rollo Flag Belt -  Tira de refuerzo banderas Blanco 20mmx100</v>
          </cell>
          <cell r="C2220" t="str">
            <v>Sí</v>
          </cell>
          <cell r="D2220" t="str">
            <v>No</v>
          </cell>
        </row>
        <row r="2221">
          <cell r="A2221" t="str">
            <v>A0002894</v>
          </cell>
          <cell r="B2221" t="str">
            <v>ML Magnético 0.3mm espesor + PVC Blanco 1,07x30m</v>
          </cell>
          <cell r="C2221" t="str">
            <v>Sí</v>
          </cell>
          <cell r="D2221" t="str">
            <v>No</v>
          </cell>
        </row>
        <row r="2222">
          <cell r="A2222" t="str">
            <v>A0000871</v>
          </cell>
          <cell r="B2222" t="str">
            <v>M2 Vinilo Pizarra Blanco Borrable 1,35x50m</v>
          </cell>
          <cell r="C2222" t="str">
            <v>Sí</v>
          </cell>
          <cell r="D2222" t="str">
            <v>No</v>
          </cell>
        </row>
        <row r="2223">
          <cell r="A2223" t="str">
            <v>A0002896</v>
          </cell>
          <cell r="B2223" t="str">
            <v>Cartucho Tinta RTV2 Cyan 500ml</v>
          </cell>
          <cell r="C2223" t="str">
            <v>Sí</v>
          </cell>
          <cell r="D2223" t="str">
            <v>No</v>
          </cell>
        </row>
        <row r="2224">
          <cell r="A2224" t="str">
            <v>A0002897</v>
          </cell>
          <cell r="B2224" t="str">
            <v>Cartucho Tinta RTV2 Magenta 500ml</v>
          </cell>
          <cell r="C2224" t="str">
            <v>Sí</v>
          </cell>
          <cell r="D2224" t="str">
            <v>No</v>
          </cell>
        </row>
        <row r="2225">
          <cell r="A2225" t="str">
            <v>A0002898</v>
          </cell>
          <cell r="B2225" t="str">
            <v>Cartucho Tinta RTV2 Amarillo 500ml</v>
          </cell>
          <cell r="C2225" t="str">
            <v>Sí</v>
          </cell>
          <cell r="D2225" t="str">
            <v>No</v>
          </cell>
        </row>
        <row r="2226">
          <cell r="A2226" t="str">
            <v>A0002899</v>
          </cell>
          <cell r="B2226" t="str">
            <v>Cartucho Tinta RTV2 Negro 500ml</v>
          </cell>
          <cell r="C2226" t="str">
            <v>Sí</v>
          </cell>
          <cell r="D2226" t="str">
            <v>No</v>
          </cell>
        </row>
        <row r="2227">
          <cell r="A2227" t="str">
            <v>A0002900</v>
          </cell>
          <cell r="B2227" t="str">
            <v>1-2319 - Botón, White, Print Switch</v>
          </cell>
          <cell r="C2227" t="str">
            <v>Sí</v>
          </cell>
          <cell r="D2227" t="str">
            <v>No</v>
          </cell>
        </row>
        <row r="2228">
          <cell r="A2228" t="str">
            <v>A0002901</v>
          </cell>
          <cell r="B2228" t="str">
            <v>Plotter Impresión y Corte Roland TrueVis VG3-540</v>
          </cell>
          <cell r="C2228" t="str">
            <v>Sí</v>
          </cell>
          <cell r="D2228" t="str">
            <v>Si</v>
          </cell>
        </row>
        <row r="2229">
          <cell r="A2229" t="str">
            <v>A0002902</v>
          </cell>
          <cell r="B2229" t="str">
            <v>6000002863 - Assy, Media Clamp L SG-540</v>
          </cell>
          <cell r="C2229" t="str">
            <v>Sí</v>
          </cell>
          <cell r="D2229" t="str">
            <v>No</v>
          </cell>
        </row>
        <row r="2230">
          <cell r="A2230" t="str">
            <v>A0002903</v>
          </cell>
          <cell r="B2230" t="str">
            <v>6000002862 - Assy, Media Clamp R SG-540</v>
          </cell>
          <cell r="C2230" t="str">
            <v>Sí</v>
          </cell>
          <cell r="D2230" t="str">
            <v>No</v>
          </cell>
        </row>
        <row r="2231">
          <cell r="A2231" t="str">
            <v>A0002911</v>
          </cell>
          <cell r="B2231" t="str">
            <v>Rollo Cinta Doble Cara 2406 PP 600mm x 50m</v>
          </cell>
          <cell r="C2231" t="str">
            <v>Sí</v>
          </cell>
          <cell r="D2231" t="str">
            <v>No</v>
          </cell>
        </row>
        <row r="2232">
          <cell r="A2232" t="str">
            <v>A0002912</v>
          </cell>
          <cell r="B2232" t="str">
            <v>Rollo Reflectiv UVB 460 1,52x30m</v>
          </cell>
          <cell r="C2232" t="str">
            <v>Sí</v>
          </cell>
          <cell r="D2232" t="str">
            <v>No</v>
          </cell>
        </row>
        <row r="2233">
          <cell r="A2233" t="str">
            <v>A0001691</v>
          </cell>
          <cell r="B2233" t="str">
            <v>M2 Vinilo Pizarra Blanco Brillo Borrable Alto Agarre (150mc)1,35x50m</v>
          </cell>
          <cell r="C2233" t="str">
            <v>Sí</v>
          </cell>
          <cell r="D2233" t="str">
            <v>Si</v>
          </cell>
        </row>
        <row r="2234">
          <cell r="A2234" t="str">
            <v>A0002914</v>
          </cell>
          <cell r="B2234" t="str">
            <v>Rollo Cinta Doble Cara 2103 soporte celulosa 1000mm x 50m</v>
          </cell>
          <cell r="C2234" t="str">
            <v>Sí</v>
          </cell>
          <cell r="D2234" t="str">
            <v>No</v>
          </cell>
        </row>
        <row r="2235">
          <cell r="A2235" t="str">
            <v>A0001692</v>
          </cell>
          <cell r="B2235" t="str">
            <v>M2 Vinilo Pizarra Blanco Mate Borrable Alto Agarre (150mc) 1,35x50m</v>
          </cell>
          <cell r="C2235" t="str">
            <v>Sí</v>
          </cell>
          <cell r="D2235" t="str">
            <v>Si</v>
          </cell>
        </row>
        <row r="2236">
          <cell r="A2236" t="str">
            <v>A0002916</v>
          </cell>
          <cell r="B2236" t="str">
            <v>6210-93-035 - Anilla forma D blanca 35x28mm (Pack 500 uds)</v>
          </cell>
          <cell r="C2236" t="str">
            <v>Sí</v>
          </cell>
          <cell r="D2236" t="str">
            <v>No</v>
          </cell>
        </row>
        <row r="2237">
          <cell r="A2237" t="str">
            <v>A0002917</v>
          </cell>
          <cell r="B2237" t="str">
            <v>6160-93-020 - Rollo Loop Velcro para coser Blanco 20mm x 25m</v>
          </cell>
          <cell r="C2237" t="str">
            <v>Sí</v>
          </cell>
          <cell r="D2237" t="str">
            <v>No</v>
          </cell>
        </row>
        <row r="2238">
          <cell r="A2238" t="str">
            <v>A0002918</v>
          </cell>
          <cell r="B2238" t="str">
            <v>6150-93-020 - Rollo Hook Velcro para coser Blanco 20mm x 25m</v>
          </cell>
          <cell r="C2238" t="str">
            <v>Sí</v>
          </cell>
          <cell r="D2238" t="str">
            <v>No</v>
          </cell>
        </row>
        <row r="2239">
          <cell r="A2239" t="str">
            <v>A0000206</v>
          </cell>
          <cell r="B2239" t="str">
            <v>Rollo MetaWrap MDXB (50mc Adh Gris) Brillo 1,6x50m</v>
          </cell>
          <cell r="C2239" t="str">
            <v>Sí</v>
          </cell>
          <cell r="D2239" t="str">
            <v>Si</v>
          </cell>
          <cell r="E2239" t="str">
            <v>A0000205</v>
          </cell>
        </row>
        <row r="2240">
          <cell r="A2240" t="str">
            <v>A0002920</v>
          </cell>
          <cell r="B2240" t="str">
            <v>Rollo MetaWrap Laminado MG-X 105 Brillo 1,37x10m</v>
          </cell>
          <cell r="C2240" t="str">
            <v>Sí</v>
          </cell>
          <cell r="D2240" t="str">
            <v>Si</v>
          </cell>
          <cell r="E2240" t="str">
            <v>A0000269</v>
          </cell>
        </row>
        <row r="2241">
          <cell r="A2241" t="str">
            <v>A0002921</v>
          </cell>
          <cell r="B2241" t="str">
            <v>Rollo Cinta Doble Cara 2103 soporte celulosa 19 mm x 50m</v>
          </cell>
          <cell r="C2241" t="str">
            <v>Sí</v>
          </cell>
          <cell r="D2241" t="str">
            <v>No</v>
          </cell>
        </row>
        <row r="2242">
          <cell r="A2242" t="str">
            <v>A0002922</v>
          </cell>
          <cell r="B2242" t="str">
            <v>15099115 - Roland Sensor Interrupter GP2A25NJ</v>
          </cell>
          <cell r="C2242" t="str">
            <v>Sí</v>
          </cell>
          <cell r="D2242" t="str">
            <v>No</v>
          </cell>
        </row>
        <row r="2243">
          <cell r="A2243" t="str">
            <v>A0001697</v>
          </cell>
          <cell r="B2243" t="str">
            <v>M2 Vinilo Pizarra Negra Borrable Alto Agarre (Tiza Líquida) 130mc 1,37x50m</v>
          </cell>
          <cell r="C2243" t="str">
            <v>Sí</v>
          </cell>
          <cell r="D2243" t="str">
            <v>Si</v>
          </cell>
        </row>
        <row r="2244">
          <cell r="A2244" t="str">
            <v>A0002924</v>
          </cell>
          <cell r="B2244" t="str">
            <v>Rollo Microventosa Skynnet Taco Paco PE transparente 180mc 1,37x30m</v>
          </cell>
          <cell r="C2244" t="str">
            <v>Sí</v>
          </cell>
          <cell r="D2244" t="str">
            <v>No</v>
          </cell>
        </row>
        <row r="2245">
          <cell r="A2245" t="str">
            <v>A0000872</v>
          </cell>
          <cell r="B2245" t="str">
            <v>M2 Vinilo Pizarra Transparente Borrable 1,35x50m</v>
          </cell>
          <cell r="C2245" t="str">
            <v>Sí</v>
          </cell>
          <cell r="D2245" t="str">
            <v>Si</v>
          </cell>
        </row>
        <row r="2246">
          <cell r="A2246" t="str">
            <v>A0002926</v>
          </cell>
          <cell r="B2246" t="str">
            <v>Plotter Impresión y Corte Roland TrueVis SG3-540</v>
          </cell>
          <cell r="C2246" t="str">
            <v>Sí</v>
          </cell>
          <cell r="D2246" t="str">
            <v>No</v>
          </cell>
        </row>
        <row r="2247">
          <cell r="A2247" t="str">
            <v>A0002156</v>
          </cell>
          <cell r="B2247" t="str">
            <v>Rollo WindowWRAP Microperforado Homologado 1,37x50</v>
          </cell>
          <cell r="C2247" t="str">
            <v>Sí</v>
          </cell>
          <cell r="D2247" t="str">
            <v>Si</v>
          </cell>
        </row>
        <row r="2248">
          <cell r="A2248" t="str">
            <v>A0001987</v>
          </cell>
          <cell r="B2248" t="str">
            <v>M2 Vinilo poliéster Plata Espejo 0,61x50m</v>
          </cell>
          <cell r="C2248" t="str">
            <v>Sí</v>
          </cell>
          <cell r="D2248" t="str">
            <v>No</v>
          </cell>
        </row>
        <row r="2249">
          <cell r="A2249" t="str">
            <v>A0002929</v>
          </cell>
          <cell r="B2249" t="str">
            <v>Rollo Mactac JT 8300 WM-RT Dot Imprimible Suelo 1,37x25m</v>
          </cell>
          <cell r="C2249" t="str">
            <v>Sí</v>
          </cell>
          <cell r="D2249" t="str">
            <v>No</v>
          </cell>
        </row>
        <row r="2250">
          <cell r="A2250" t="str">
            <v>A0001961</v>
          </cell>
          <cell r="B2250" t="str">
            <v>M2 Vinilo poliéster Plata Espejo 1,22x50m</v>
          </cell>
          <cell r="C2250" t="str">
            <v>Sí</v>
          </cell>
          <cell r="D2250" t="str">
            <v>No</v>
          </cell>
        </row>
        <row r="2251">
          <cell r="A2251" t="str">
            <v>A0002931</v>
          </cell>
          <cell r="B2251" t="str">
            <v>Epson GF SC-S30600 Kit de Mantenimiento</v>
          </cell>
          <cell r="C2251" t="str">
            <v>Sí</v>
          </cell>
          <cell r="D2251" t="str">
            <v>No</v>
          </cell>
        </row>
        <row r="2252">
          <cell r="A2252" t="str">
            <v>A0002932</v>
          </cell>
          <cell r="B2252" t="str">
            <v>Plotter Impresión Epson SureColor SC-F9400H</v>
          </cell>
          <cell r="C2252" t="str">
            <v>Sí</v>
          </cell>
          <cell r="D2252" t="str">
            <v>No</v>
          </cell>
        </row>
        <row r="2253">
          <cell r="A2253" t="str">
            <v>A0002933</v>
          </cell>
          <cell r="B2253" t="str">
            <v>Plotter Impresión Epson SureColor SC-F9400</v>
          </cell>
          <cell r="C2253" t="str">
            <v>Sí</v>
          </cell>
          <cell r="D2253" t="str">
            <v>No</v>
          </cell>
        </row>
        <row r="2254">
          <cell r="A2254" t="str">
            <v>A0002934</v>
          </cell>
          <cell r="B2254" t="str">
            <v>Plotter Impresión Epson SureColor SC-F7200</v>
          </cell>
          <cell r="C2254" t="str">
            <v>Sí</v>
          </cell>
          <cell r="D2254" t="str">
            <v>No</v>
          </cell>
        </row>
        <row r="2255">
          <cell r="A2255" t="str">
            <v>A0002935</v>
          </cell>
          <cell r="B2255" t="str">
            <v>Plotter Impresión Epson SureColor SC-F6400</v>
          </cell>
          <cell r="C2255" t="str">
            <v>Sí</v>
          </cell>
          <cell r="D2255" t="str">
            <v>No</v>
          </cell>
        </row>
        <row r="2256">
          <cell r="A2256" t="str">
            <v>A0002936</v>
          </cell>
          <cell r="B2256" t="str">
            <v>Plotter Impresión Epson SureColor SC-F6400H</v>
          </cell>
          <cell r="C2256" t="str">
            <v>Sí</v>
          </cell>
          <cell r="D2256" t="str">
            <v>No</v>
          </cell>
        </row>
        <row r="2257">
          <cell r="A2257" t="str">
            <v>A0002937</v>
          </cell>
          <cell r="B2257" t="str">
            <v>Plotter Impresión Epson SureColor SC-F9400H</v>
          </cell>
          <cell r="C2257" t="str">
            <v>Sí</v>
          </cell>
          <cell r="D2257" t="str">
            <v>No</v>
          </cell>
        </row>
        <row r="2258">
          <cell r="A2258" t="str">
            <v>A0002938</v>
          </cell>
          <cell r="B2258" t="str">
            <v>Rollo Cinta Doble Cara 2103 soporte celulosa 600mm x 50m</v>
          </cell>
          <cell r="C2258" t="str">
            <v>Sí</v>
          </cell>
          <cell r="D2258" t="str">
            <v>No</v>
          </cell>
        </row>
        <row r="2259">
          <cell r="A2259" t="str">
            <v>A0002939</v>
          </cell>
          <cell r="B2259" t="str">
            <v>Plotter Impresión Epson SureColor SC-R5000</v>
          </cell>
          <cell r="C2259" t="str">
            <v>Sí</v>
          </cell>
          <cell r="D2259" t="str">
            <v>No</v>
          </cell>
        </row>
        <row r="2260">
          <cell r="A2260" t="str">
            <v>A0002940</v>
          </cell>
          <cell r="B2260" t="str">
            <v>Plotter Impresión Epson SureColor SC-R5000L</v>
          </cell>
          <cell r="C2260" t="str">
            <v>Sí</v>
          </cell>
          <cell r="D2260" t="str">
            <v>No</v>
          </cell>
        </row>
        <row r="2261">
          <cell r="A2261" t="str">
            <v>A0002941</v>
          </cell>
          <cell r="B2261" t="str">
            <v>Plotter Impresión Epson SureColor SC-S60600</v>
          </cell>
          <cell r="C2261" t="str">
            <v>Sí</v>
          </cell>
          <cell r="D2261" t="str">
            <v>No</v>
          </cell>
        </row>
        <row r="2262">
          <cell r="A2262" t="str">
            <v>A0002942</v>
          </cell>
          <cell r="B2262" t="str">
            <v>Plotter Impresión Epson SureColor SC-S60600L</v>
          </cell>
          <cell r="C2262" t="str">
            <v>Sí</v>
          </cell>
          <cell r="D2262" t="str">
            <v>No</v>
          </cell>
        </row>
        <row r="2263">
          <cell r="A2263" t="str">
            <v>A0002943</v>
          </cell>
          <cell r="B2263" t="str">
            <v>Plotter Impresión Epson SureColor SC-S80600L</v>
          </cell>
          <cell r="C2263" t="str">
            <v>Sí</v>
          </cell>
          <cell r="D2263" t="str">
            <v>No</v>
          </cell>
        </row>
        <row r="2264">
          <cell r="A2264" t="str">
            <v>A0002944</v>
          </cell>
          <cell r="B2264" t="str">
            <v>Plotter Impresión Epson SureColor SC-S80600</v>
          </cell>
          <cell r="C2264" t="str">
            <v>Sí</v>
          </cell>
          <cell r="D2264" t="str">
            <v>No</v>
          </cell>
        </row>
        <row r="2265">
          <cell r="A2265" t="str">
            <v>A0002945</v>
          </cell>
          <cell r="B2265" t="str">
            <v>Cartucho Epson SC-F500 GSX Magenta T49N300 140ml</v>
          </cell>
          <cell r="C2265" t="str">
            <v>Sí</v>
          </cell>
          <cell r="D2265" t="str">
            <v>No</v>
          </cell>
        </row>
        <row r="2266">
          <cell r="A2266" t="str">
            <v>A0002946</v>
          </cell>
          <cell r="B2266" t="str">
            <v>Cartucho Epson SC-F500 GSX Cyan T49N200 140ml</v>
          </cell>
          <cell r="C2266" t="str">
            <v>Sí</v>
          </cell>
          <cell r="D2266" t="str">
            <v>No</v>
          </cell>
        </row>
        <row r="2267">
          <cell r="A2267" t="str">
            <v>A0002947</v>
          </cell>
          <cell r="B2267" t="str">
            <v>Cartucho Epson SC-F500 GSX Amarillo T49N400 140ml</v>
          </cell>
          <cell r="C2267" t="str">
            <v>Sí</v>
          </cell>
          <cell r="D2267" t="str">
            <v>No</v>
          </cell>
        </row>
        <row r="2268">
          <cell r="A2268" t="str">
            <v>A0002948</v>
          </cell>
          <cell r="B2268" t="str">
            <v>Cartucho Epson SC-F500 GSX Negro T49N100 140ml</v>
          </cell>
          <cell r="C2268" t="str">
            <v>Sí</v>
          </cell>
          <cell r="D2268" t="str">
            <v>No</v>
          </cell>
        </row>
        <row r="2269">
          <cell r="A2269" t="str">
            <v>A0002949</v>
          </cell>
          <cell r="B2269" t="str">
            <v>PLDLS - Lower Double Platen Leg/Sleeve</v>
          </cell>
          <cell r="C2269" t="str">
            <v>Sí</v>
          </cell>
          <cell r="D2269" t="str">
            <v>No</v>
          </cell>
        </row>
        <row r="2270">
          <cell r="A2270" t="str">
            <v>A0002950</v>
          </cell>
          <cell r="B2270" t="str">
            <v>Plotter Impresión/Sublimación Epson EcoTank ET-14100</v>
          </cell>
          <cell r="C2270" t="str">
            <v>Sí</v>
          </cell>
          <cell r="D2270" t="str">
            <v>No</v>
          </cell>
        </row>
        <row r="2271">
          <cell r="A2271" t="str">
            <v>A0002951</v>
          </cell>
          <cell r="B2271" t="str">
            <v>Rollo Metamark M-PPF-C Film Protector Fibra Carbono 1,52x10m</v>
          </cell>
          <cell r="C2271" t="str">
            <v>Sí</v>
          </cell>
          <cell r="D2271" t="str">
            <v>No</v>
          </cell>
        </row>
        <row r="2272">
          <cell r="A2272" t="str">
            <v>A0002952</v>
          </cell>
          <cell r="B2272" t="str">
            <v>Rollo Metamark M-PPF-R Film Protector (5 Años) 1,52x15m</v>
          </cell>
          <cell r="C2272" t="str">
            <v>Sí</v>
          </cell>
          <cell r="D2272" t="str">
            <v>No</v>
          </cell>
        </row>
        <row r="2273">
          <cell r="A2273" t="str">
            <v>A0002953</v>
          </cell>
          <cell r="B2273" t="str">
            <v>Rollo Metamark M-PPF-X Film Protector (10 Años) 1,52x15m</v>
          </cell>
          <cell r="C2273" t="str">
            <v>Sí</v>
          </cell>
          <cell r="D2273" t="str">
            <v>No</v>
          </cell>
        </row>
        <row r="2274">
          <cell r="A2274" t="str">
            <v>A0002954</v>
          </cell>
          <cell r="B2274" t="str">
            <v>Rollo MetaWrap Laminado MG-X 105 Brillo 1,60x10m</v>
          </cell>
          <cell r="C2274" t="str">
            <v>Sí</v>
          </cell>
          <cell r="D2274" t="str">
            <v>Si</v>
          </cell>
          <cell r="E2274" t="str">
            <v>A0000269</v>
          </cell>
        </row>
        <row r="2275">
          <cell r="A2275" t="str">
            <v>A0002955</v>
          </cell>
          <cell r="B2275" t="str">
            <v>Mesa Impresión VersaObject CO-300-F200</v>
          </cell>
          <cell r="C2275" t="str">
            <v>Sí</v>
          </cell>
          <cell r="D2275" t="str">
            <v>Si</v>
          </cell>
        </row>
        <row r="2276">
          <cell r="A2276" t="str">
            <v>A0002956</v>
          </cell>
          <cell r="B2276" t="str">
            <v>Cartucho Epson S70600 Naranja T7138 700 ml</v>
          </cell>
          <cell r="C2276" t="str">
            <v>Sí</v>
          </cell>
          <cell r="D2276" t="str">
            <v>No</v>
          </cell>
        </row>
        <row r="2277">
          <cell r="A2277" t="str">
            <v>A0002957</v>
          </cell>
          <cell r="B2277" t="str">
            <v>Cartucho Epson SC-S306x0 Limpieza T6990</v>
          </cell>
          <cell r="C2277" t="str">
            <v>Sí</v>
          </cell>
          <cell r="D2277" t="str">
            <v>No</v>
          </cell>
        </row>
        <row r="2278">
          <cell r="A2278" t="str">
            <v>A0002958</v>
          </cell>
          <cell r="B2278" t="str">
            <v>Rollo Backlit poliéster 215mic Brillo/Mate 1,60x50m</v>
          </cell>
          <cell r="C2278" t="str">
            <v>Sí</v>
          </cell>
          <cell r="D2278" t="str">
            <v>No</v>
          </cell>
        </row>
        <row r="2279">
          <cell r="A2279" t="str">
            <v>A0001584</v>
          </cell>
          <cell r="B2279" t="str">
            <v>Rollo WindowWRAP Microperforado Homologado 1,52x50</v>
          </cell>
          <cell r="C2279" t="str">
            <v>Sí</v>
          </cell>
          <cell r="D2279" t="str">
            <v>Si</v>
          </cell>
        </row>
        <row r="2280">
          <cell r="A2280" t="str">
            <v>A0002961</v>
          </cell>
          <cell r="B2280" t="str">
            <v>Rollo Laminado Skynnet Antideslizante R9 170mc 1,52x50m</v>
          </cell>
          <cell r="C2280" t="str">
            <v>Sí</v>
          </cell>
          <cell r="D2280" t="str">
            <v>SI</v>
          </cell>
        </row>
        <row r="2281">
          <cell r="A2281" t="str">
            <v>A0002962</v>
          </cell>
          <cell r="B2281" t="str">
            <v>ML Cad-Cut Switch 2450 Magenta 500mm</v>
          </cell>
          <cell r="C2281" t="str">
            <v>Sí</v>
          </cell>
          <cell r="D2281" t="str">
            <v>Si</v>
          </cell>
          <cell r="E2281" t="str">
            <v>A0000606</v>
          </cell>
        </row>
        <row r="2282">
          <cell r="A2282" t="str">
            <v>A0002963</v>
          </cell>
          <cell r="B2282" t="str">
            <v>Plancha Maxx Gorras Stahls</v>
          </cell>
          <cell r="C2282" t="str">
            <v>Sí</v>
          </cell>
          <cell r="D2282" t="str">
            <v>No</v>
          </cell>
        </row>
        <row r="2283">
          <cell r="A2283" t="str">
            <v>A0001836</v>
          </cell>
          <cell r="B2283" t="str">
            <v>M2 WindowWRAP Microperforado Homologado 1,52x50</v>
          </cell>
          <cell r="C2283" t="str">
            <v>Sí</v>
          </cell>
          <cell r="D2283" t="str">
            <v>Si</v>
          </cell>
        </row>
        <row r="2284">
          <cell r="A2284" t="str">
            <v>A0002965</v>
          </cell>
          <cell r="B2284" t="str">
            <v>Rollo Cinta Doble Cara 2103 soporte celulosa 10mm x 50m</v>
          </cell>
          <cell r="C2284" t="str">
            <v>Sí</v>
          </cell>
          <cell r="D2284" t="str">
            <v>No</v>
          </cell>
        </row>
        <row r="2285">
          <cell r="A2285" t="str">
            <v>A0002966</v>
          </cell>
          <cell r="B2285" t="str">
            <v>Rollo Backlit poliéster 215mic Brillo/Mate 1,37x50m</v>
          </cell>
          <cell r="C2285" t="str">
            <v>Sí</v>
          </cell>
          <cell r="D2285" t="str">
            <v>No</v>
          </cell>
        </row>
        <row r="2286">
          <cell r="A2286" t="str">
            <v>A0002967</v>
          </cell>
          <cell r="B2286" t="str">
            <v>Rollo Papel Mupi Skylight 150g 1,37 x 100m</v>
          </cell>
          <cell r="C2286" t="str">
            <v>Sí</v>
          </cell>
          <cell r="D2286" t="str">
            <v>No</v>
          </cell>
        </row>
        <row r="2287">
          <cell r="A2287" t="str">
            <v>A0002968</v>
          </cell>
          <cell r="B2287" t="str">
            <v>Cartucho Epson SC-P7000 T8243 Magenta 350ml</v>
          </cell>
          <cell r="C2287" t="str">
            <v>Sí</v>
          </cell>
          <cell r="D2287" t="str">
            <v>No</v>
          </cell>
        </row>
        <row r="2288">
          <cell r="A2288" t="str">
            <v>A0000180</v>
          </cell>
          <cell r="B2288" t="str">
            <v>Rollo Metamark MD5HB 100 (70mc) Alto Agarre Brillo 1,6 x 50m</v>
          </cell>
          <cell r="C2288" t="str">
            <v>Sí</v>
          </cell>
          <cell r="D2288" t="str">
            <v>Si</v>
          </cell>
          <cell r="E2288" t="str">
            <v>A0000994</v>
          </cell>
        </row>
        <row r="2289">
          <cell r="A2289" t="str">
            <v>A0002970</v>
          </cell>
          <cell r="B2289" t="str">
            <v>Plotter Impresión y Corte Roland XR-640D</v>
          </cell>
          <cell r="C2289" t="str">
            <v>Sí</v>
          </cell>
          <cell r="D2289" t="str">
            <v>Si</v>
          </cell>
        </row>
        <row r="2290">
          <cell r="A2290" t="str">
            <v>A0002971</v>
          </cell>
          <cell r="B2290" t="str">
            <v>Rollo Precinto Embalaje Estándar transparente 120 x 48mm</v>
          </cell>
          <cell r="C2290" t="str">
            <v>Sí</v>
          </cell>
          <cell r="D2290" t="str">
            <v>No</v>
          </cell>
        </row>
        <row r="2291">
          <cell r="A2291" t="str">
            <v>A0002864</v>
          </cell>
          <cell r="B2291" t="str">
            <v>Rollo Transportador Metamark M2060 1,22x100m</v>
          </cell>
          <cell r="C2291" t="str">
            <v>Sí</v>
          </cell>
          <cell r="D2291" t="str">
            <v>No</v>
          </cell>
          <cell r="E2291" t="str">
            <v>A0000595</v>
          </cell>
        </row>
        <row r="2292">
          <cell r="A2292" t="str">
            <v>Ajuste</v>
          </cell>
          <cell r="B2292" t="str">
            <v>Artículo de ajuste</v>
          </cell>
          <cell r="C2292" t="str">
            <v>Sí</v>
          </cell>
          <cell r="D2292" t="str">
            <v>No</v>
          </cell>
        </row>
        <row r="2293">
          <cell r="A2293" t="str">
            <v>M97009</v>
          </cell>
          <cell r="B2293" t="str">
            <v>Rotulacion Fondo 600mm S-13 Reflex N1 - Paso para peatones</v>
          </cell>
          <cell r="C2293" t="str">
            <v>Sí</v>
          </cell>
          <cell r="D2293" t="str">
            <v>No</v>
          </cell>
        </row>
        <row r="2294">
          <cell r="A2294" t="str">
            <v>M97010</v>
          </cell>
          <cell r="B2294" t="str">
            <v>Rotulacion Fondo 700mm R-1 Reflex N1 - Ceda el paso</v>
          </cell>
          <cell r="C2294" t="str">
            <v>Sí</v>
          </cell>
          <cell r="D2294" t="str">
            <v>No</v>
          </cell>
        </row>
        <row r="2295">
          <cell r="A2295" t="str">
            <v>M97011</v>
          </cell>
          <cell r="B2295" t="str">
            <v>Rotulacion Fondo 600mm R-101 Reflex N1 - Dirección Prohibida</v>
          </cell>
          <cell r="C2295" t="str">
            <v>Sí</v>
          </cell>
          <cell r="D2295" t="str">
            <v>No</v>
          </cell>
        </row>
        <row r="2296">
          <cell r="A2296" t="str">
            <v>M97012</v>
          </cell>
          <cell r="B2296" t="str">
            <v>Rotulacion Fondo 600mm R-100 Reflex N1 - Circulación prohibida</v>
          </cell>
          <cell r="C2296" t="str">
            <v>Sí</v>
          </cell>
          <cell r="D2296" t="str">
            <v>No</v>
          </cell>
        </row>
        <row r="2297">
          <cell r="A2297" t="str">
            <v>M97013</v>
          </cell>
          <cell r="B2297" t="str">
            <v>Rotulacion Fondo 600mm R-2 Reflex N1 - Stop</v>
          </cell>
          <cell r="C2297" t="str">
            <v>Sí</v>
          </cell>
          <cell r="D2297" t="str">
            <v>No</v>
          </cell>
        </row>
        <row r="2298">
          <cell r="A2298" t="str">
            <v>M97014</v>
          </cell>
          <cell r="B2298" t="str">
            <v>Rotulacion Fondo 600mm R-400 A Reflex N1 - Sentido Obligatorio</v>
          </cell>
          <cell r="C2298" t="str">
            <v>Sí</v>
          </cell>
          <cell r="D2298" t="str">
            <v>No</v>
          </cell>
        </row>
        <row r="2299">
          <cell r="A2299" t="str">
            <v>M97015</v>
          </cell>
          <cell r="B2299" t="str">
            <v>Rotulacion Fondo 600mm TR-100 Reflex N1 - Circulación Prohibida</v>
          </cell>
          <cell r="C2299" t="str">
            <v>Sí</v>
          </cell>
          <cell r="D2299" t="str">
            <v>No</v>
          </cell>
        </row>
        <row r="2300">
          <cell r="A2300" t="str">
            <v>Prueba1</v>
          </cell>
          <cell r="B2300" t="str">
            <v>Abono Diferencia en precio</v>
          </cell>
          <cell r="C2300" t="str">
            <v>Sí</v>
          </cell>
          <cell r="D2300" t="str">
            <v>No</v>
          </cell>
        </row>
        <row r="2301">
          <cell r="A2301">
            <v>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8D2C00-9756-409F-965C-162467A270AB}" name="Tabla4" displayName="Tabla4" ref="A1:F2301" totalsRowCount="1">
  <autoFilter ref="A1:F2300" xr:uid="{EC737B79-1629-40F8-9CA5-82A303D9F4C5}"/>
  <sortState xmlns:xlrd2="http://schemas.microsoft.com/office/spreadsheetml/2017/richdata2" ref="A2:F2264">
    <sortCondition ref="B1:B2300"/>
  </sortState>
  <tableColumns count="6">
    <tableColumn id="1" xr3:uid="{395AEB26-D75C-4F4D-910E-F30AC240900A}" name="Número de artículo" totalsRowFunction="count"/>
    <tableColumn id="2" xr3:uid="{D42583D4-4EEB-4482-967C-DA405B1D1AB3}" name="Descripción de artículo"/>
    <tableColumn id="3" xr3:uid="{632ADB49-DF2C-40AD-A5D1-9FC59603DF3B}" name="Activo"/>
    <tableColumn id="4" xr3:uid="{D041E08A-FE5F-4F71-813F-DF43BA1B8620}" name="Integrable"/>
    <tableColumn id="5" xr3:uid="{FBCB4599-6C14-4797-9266-C22FAE74BB60}" name="Producto Padre"/>
    <tableColumn id="6" xr3:uid="{EC63D1A1-276F-42CC-B224-19688E9B0140}" name="Precio de Venta" totalsRowDxfId="0" dataCellStyle="Moneda" totalsRowCellStyle="Moned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2CF3DD-AE44-4980-8404-47925E90A7B5}" name="Tabla5" displayName="Tabla5" ref="A1:F748" totalsRowShown="0">
  <autoFilter ref="A1:F748" xr:uid="{E4093117-9DED-4BB6-944D-B2D9FF55AEE6}"/>
  <sortState xmlns:xlrd2="http://schemas.microsoft.com/office/spreadsheetml/2017/richdata2" ref="A2:F6">
    <sortCondition ref="A1:A38159"/>
  </sortState>
  <tableColumns count="6">
    <tableColumn id="1" xr3:uid="{AAD9DC22-C730-4F0A-870F-9A60AD8641AD}" name="Code"/>
    <tableColumn id="8" xr3:uid="{C7EBBA20-1F8B-40DA-870B-814CAABAA765}" name="Atributo" dataDxfId="2">
      <calculatedColumnFormula>VLOOKUP(Tabla5[[#This Row],[Code]],[1]!Tabla6[#Data],2,FALSE)</calculatedColumnFormula>
    </tableColumn>
    <tableColumn id="2" xr3:uid="{FCD93630-B60B-4F35-A273-714A1F43306D}" name="LineId"/>
    <tableColumn id="5" xr3:uid="{A701F843-AE5E-405C-AC57-FA3B736E73A8}" name="Valor"/>
    <tableColumn id="6" xr3:uid="{298E9AEE-B905-4110-B644-A893B01FBC64}" name="Codigo HTML del color"/>
    <tableColumn id="7" xr3:uid="{7DF84B12-51A4-44DC-AF99-310291D8DDC0}" name="Tipo de Atributo" dataDxfId="1">
      <calculatedColumnFormula>VLOOKUP(Tabla5[[#This Row],[Code]],[1]!Tabla6[#Data],3,FALSE)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DCB787-C854-4C19-9813-FE288E3E34DD}" name="Tabla1" displayName="Tabla1" ref="A1:I3912" totalsRowShown="0">
  <autoFilter ref="A1:I3912" xr:uid="{4210A884-E58C-4B5D-BDA0-53506861BD0D}"/>
  <sortState xmlns:xlrd2="http://schemas.microsoft.com/office/spreadsheetml/2017/richdata2" ref="A2:I3866">
    <sortCondition ref="B1:B3912"/>
  </sortState>
  <tableColumns count="9">
    <tableColumn id="1" xr3:uid="{1BEE850E-53B2-4160-9BFC-A9759E37FC6A}" name="Code"/>
    <tableColumn id="10" xr3:uid="{7BCEA172-93C4-44B0-AD0A-2AB2B206DA73}" name="Nombre" dataDxfId="5">
      <calculatedColumnFormula>VLOOKUP(Tabla1[[#This Row],[Code]],[1]!Tabla4[#Data],2,FALSE)</calculatedColumnFormula>
    </tableColumn>
    <tableColumn id="5" xr3:uid="{FF2A927E-5CA8-47F5-A114-6E55CAA9EF77}" name="Cód. Atributo"/>
    <tableColumn id="6" xr3:uid="{5C2E6257-33F1-4B8F-B839-5148ECD43CA7}" name="Nombre Atributo"/>
    <tableColumn id="3" xr3:uid="{497EF85F-18F7-4737-B19C-78951A9F65C6}" name="Tipo" dataDxfId="4">
      <calculatedColumnFormula>VLOOKUP(Tabla1[[#This Row],[Cód. Atributo]],[1]!Tabla5[#Data],6,FALSE)</calculatedColumnFormula>
    </tableColumn>
    <tableColumn id="2" xr3:uid="{80928788-191E-4001-B70A-D8F4B375F175}" name="LineId"/>
    <tableColumn id="7" xr3:uid="{38B23AD5-4988-476B-9FB0-21D6D587CDFD}" name="Cód. Valor"/>
    <tableColumn id="8" xr3:uid="{18F967C7-C342-4DFE-812C-318B769AAA5C}" name="Nombre Valor"/>
    <tableColumn id="4" xr3:uid="{3ABA1245-EFC0-4521-8BDE-FE94AD7CF257}" name="Padre" dataDxfId="3">
      <calculatedColumnFormula>VLOOKUP(Tabla1[[#This Row],[Code]],'[1]Articulos Precio'!$A:$E,5,FALSE)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1188-406C-4FB5-8B68-32BEC56DFA97}">
  <dimension ref="A1:J2301"/>
  <sheetViews>
    <sheetView tabSelected="1" workbookViewId="0">
      <selection activeCell="B21" sqref="B21"/>
    </sheetView>
  </sheetViews>
  <sheetFormatPr baseColWidth="10" defaultRowHeight="15" x14ac:dyDescent="0.25"/>
  <cols>
    <col min="1" max="1" width="20.140625" customWidth="1"/>
    <col min="2" max="2" width="85.7109375" bestFit="1" customWidth="1"/>
    <col min="4" max="4" width="12.28515625" hidden="1" customWidth="1"/>
    <col min="5" max="5" width="16.7109375" customWidth="1"/>
    <col min="6" max="6" width="17.140625" style="2" customWidth="1"/>
  </cols>
  <sheetData>
    <row r="1" spans="1:6" x14ac:dyDescent="0.25">
      <c r="A1" t="s">
        <v>1946</v>
      </c>
      <c r="B1" t="s">
        <v>1947</v>
      </c>
      <c r="C1" t="s">
        <v>1948</v>
      </c>
      <c r="D1" t="s">
        <v>1949</v>
      </c>
      <c r="E1" t="s">
        <v>1950</v>
      </c>
      <c r="F1" s="2" t="s">
        <v>1951</v>
      </c>
    </row>
    <row r="2" spans="1:6" x14ac:dyDescent="0.25">
      <c r="A2" t="s">
        <v>9</v>
      </c>
      <c r="B2" t="s">
        <v>1952</v>
      </c>
      <c r="C2" t="s">
        <v>1953</v>
      </c>
      <c r="D2" t="s">
        <v>1954</v>
      </c>
      <c r="E2" t="s">
        <v>788</v>
      </c>
      <c r="F2" s="2">
        <v>6.92</v>
      </c>
    </row>
    <row r="3" spans="1:6" x14ac:dyDescent="0.25">
      <c r="A3" t="s">
        <v>14</v>
      </c>
      <c r="B3" t="s">
        <v>1955</v>
      </c>
      <c r="C3" t="s">
        <v>1953</v>
      </c>
      <c r="D3" t="s">
        <v>1954</v>
      </c>
      <c r="E3" t="s">
        <v>788</v>
      </c>
      <c r="F3" s="2">
        <v>6.92</v>
      </c>
    </row>
    <row r="4" spans="1:6" x14ac:dyDescent="0.25">
      <c r="A4" t="s">
        <v>16</v>
      </c>
      <c r="B4" t="s">
        <v>1956</v>
      </c>
      <c r="C4" t="s">
        <v>1953</v>
      </c>
      <c r="D4" t="s">
        <v>1954</v>
      </c>
      <c r="E4" t="s">
        <v>788</v>
      </c>
      <c r="F4" s="2">
        <v>6.92</v>
      </c>
    </row>
    <row r="5" spans="1:6" x14ac:dyDescent="0.25">
      <c r="A5" t="s">
        <v>18</v>
      </c>
      <c r="B5" t="s">
        <v>1957</v>
      </c>
      <c r="C5" t="s">
        <v>1953</v>
      </c>
      <c r="D5" t="s">
        <v>1954</v>
      </c>
      <c r="E5" t="s">
        <v>788</v>
      </c>
      <c r="F5" s="2">
        <v>6.92</v>
      </c>
    </row>
    <row r="6" spans="1:6" x14ac:dyDescent="0.25">
      <c r="A6" t="s">
        <v>20</v>
      </c>
      <c r="B6" t="s">
        <v>1958</v>
      </c>
      <c r="C6" t="s">
        <v>1953</v>
      </c>
      <c r="D6" t="s">
        <v>1954</v>
      </c>
      <c r="E6" t="s">
        <v>20</v>
      </c>
      <c r="F6" s="2">
        <v>10.99</v>
      </c>
    </row>
    <row r="7" spans="1:6" x14ac:dyDescent="0.25">
      <c r="A7" t="s">
        <v>23</v>
      </c>
      <c r="B7" t="s">
        <v>1959</v>
      </c>
      <c r="C7" t="s">
        <v>1953</v>
      </c>
      <c r="D7" t="s">
        <v>1954</v>
      </c>
      <c r="E7" t="s">
        <v>20</v>
      </c>
      <c r="F7" s="2">
        <v>10.99</v>
      </c>
    </row>
    <row r="8" spans="1:6" x14ac:dyDescent="0.25">
      <c r="A8" t="s">
        <v>25</v>
      </c>
      <c r="B8" t="s">
        <v>1960</v>
      </c>
      <c r="C8" t="s">
        <v>1953</v>
      </c>
      <c r="D8" t="s">
        <v>1954</v>
      </c>
      <c r="E8" t="s">
        <v>20</v>
      </c>
      <c r="F8" s="2">
        <v>10.99</v>
      </c>
    </row>
    <row r="9" spans="1:6" x14ac:dyDescent="0.25">
      <c r="A9" t="s">
        <v>27</v>
      </c>
      <c r="B9" t="s">
        <v>1961</v>
      </c>
      <c r="C9" t="s">
        <v>1953</v>
      </c>
      <c r="D9" t="s">
        <v>1954</v>
      </c>
      <c r="E9" t="s">
        <v>20</v>
      </c>
      <c r="F9" s="2">
        <v>10.99</v>
      </c>
    </row>
    <row r="10" spans="1:6" x14ac:dyDescent="0.25">
      <c r="A10" t="s">
        <v>29</v>
      </c>
      <c r="B10" t="s">
        <v>1962</v>
      </c>
      <c r="C10" t="s">
        <v>1953</v>
      </c>
      <c r="D10" t="s">
        <v>1954</v>
      </c>
      <c r="E10" t="s">
        <v>20</v>
      </c>
      <c r="F10" s="2">
        <v>10.99</v>
      </c>
    </row>
    <row r="11" spans="1:6" x14ac:dyDescent="0.25">
      <c r="A11" t="s">
        <v>31</v>
      </c>
      <c r="B11" t="s">
        <v>1963</v>
      </c>
      <c r="C11" t="s">
        <v>1953</v>
      </c>
      <c r="D11" t="s">
        <v>1954</v>
      </c>
      <c r="E11" t="s">
        <v>20</v>
      </c>
      <c r="F11" s="2">
        <v>10.99</v>
      </c>
    </row>
    <row r="12" spans="1:6" x14ac:dyDescent="0.25">
      <c r="A12" t="s">
        <v>33</v>
      </c>
      <c r="B12" t="s">
        <v>1964</v>
      </c>
      <c r="C12" t="s">
        <v>1953</v>
      </c>
      <c r="D12" t="s">
        <v>1954</v>
      </c>
      <c r="E12" t="s">
        <v>20</v>
      </c>
      <c r="F12" s="2">
        <v>10.99</v>
      </c>
    </row>
    <row r="13" spans="1:6" x14ac:dyDescent="0.25">
      <c r="A13" t="s">
        <v>35</v>
      </c>
      <c r="B13" t="s">
        <v>1965</v>
      </c>
      <c r="C13" t="s">
        <v>1953</v>
      </c>
      <c r="D13" t="s">
        <v>1954</v>
      </c>
      <c r="E13" t="s">
        <v>20</v>
      </c>
      <c r="F13" s="2">
        <v>10.99</v>
      </c>
    </row>
    <row r="14" spans="1:6" x14ac:dyDescent="0.25">
      <c r="A14" t="s">
        <v>37</v>
      </c>
      <c r="B14" t="s">
        <v>1966</v>
      </c>
      <c r="C14" t="s">
        <v>1953</v>
      </c>
      <c r="D14" t="s">
        <v>1954</v>
      </c>
      <c r="E14" t="s">
        <v>20</v>
      </c>
      <c r="F14" s="2">
        <v>10.99</v>
      </c>
    </row>
    <row r="15" spans="1:6" x14ac:dyDescent="0.25">
      <c r="A15" t="s">
        <v>39</v>
      </c>
      <c r="B15" t="s">
        <v>1967</v>
      </c>
      <c r="C15" t="s">
        <v>1953</v>
      </c>
      <c r="D15" t="s">
        <v>1954</v>
      </c>
      <c r="E15" t="s">
        <v>20</v>
      </c>
      <c r="F15" s="2">
        <v>10.99</v>
      </c>
    </row>
    <row r="16" spans="1:6" x14ac:dyDescent="0.25">
      <c r="A16" t="s">
        <v>41</v>
      </c>
      <c r="B16" t="s">
        <v>1968</v>
      </c>
      <c r="C16" t="s">
        <v>1953</v>
      </c>
      <c r="D16" t="s">
        <v>1954</v>
      </c>
      <c r="E16" t="s">
        <v>20</v>
      </c>
      <c r="F16" s="2">
        <v>10.99</v>
      </c>
    </row>
    <row r="17" spans="1:6" x14ac:dyDescent="0.25">
      <c r="A17" t="s">
        <v>43</v>
      </c>
      <c r="B17" t="s">
        <v>1969</v>
      </c>
      <c r="C17" t="s">
        <v>1953</v>
      </c>
      <c r="D17" t="s">
        <v>1954</v>
      </c>
      <c r="E17" t="s">
        <v>20</v>
      </c>
      <c r="F17" s="2">
        <v>10.99</v>
      </c>
    </row>
    <row r="18" spans="1:6" x14ac:dyDescent="0.25">
      <c r="A18" t="s">
        <v>45</v>
      </c>
      <c r="B18" t="s">
        <v>1970</v>
      </c>
      <c r="C18" t="s">
        <v>1953</v>
      </c>
      <c r="D18" t="s">
        <v>1954</v>
      </c>
      <c r="E18" t="s">
        <v>20</v>
      </c>
      <c r="F18" s="2">
        <v>10.99</v>
      </c>
    </row>
    <row r="19" spans="1:6" x14ac:dyDescent="0.25">
      <c r="A19" t="s">
        <v>47</v>
      </c>
      <c r="B19" t="s">
        <v>1971</v>
      </c>
      <c r="C19" t="s">
        <v>1953</v>
      </c>
      <c r="D19" t="s">
        <v>1954</v>
      </c>
      <c r="E19" t="s">
        <v>20</v>
      </c>
      <c r="F19" s="2">
        <v>10.99</v>
      </c>
    </row>
    <row r="20" spans="1:6" x14ac:dyDescent="0.25">
      <c r="A20" t="s">
        <v>1972</v>
      </c>
      <c r="B20" t="s">
        <v>1973</v>
      </c>
      <c r="C20" t="s">
        <v>1953</v>
      </c>
      <c r="D20" t="s">
        <v>1940</v>
      </c>
      <c r="F20" s="2">
        <v>97.88</v>
      </c>
    </row>
    <row r="21" spans="1:6" x14ac:dyDescent="0.25">
      <c r="A21" t="s">
        <v>49</v>
      </c>
      <c r="B21" t="s">
        <v>1974</v>
      </c>
      <c r="C21" t="s">
        <v>1953</v>
      </c>
      <c r="D21" t="s">
        <v>1954</v>
      </c>
      <c r="E21" t="s">
        <v>54</v>
      </c>
      <c r="F21" s="2">
        <v>126.51</v>
      </c>
    </row>
    <row r="22" spans="1:6" x14ac:dyDescent="0.25">
      <c r="A22" t="s">
        <v>54</v>
      </c>
      <c r="B22" t="s">
        <v>1975</v>
      </c>
      <c r="C22" t="s">
        <v>1953</v>
      </c>
      <c r="D22" t="s">
        <v>1954</v>
      </c>
      <c r="E22" t="s">
        <v>54</v>
      </c>
      <c r="F22" s="2">
        <v>147.74</v>
      </c>
    </row>
    <row r="23" spans="1:6" x14ac:dyDescent="0.25">
      <c r="A23" t="s">
        <v>56</v>
      </c>
      <c r="B23" t="s">
        <v>1976</v>
      </c>
      <c r="C23" t="s">
        <v>1953</v>
      </c>
      <c r="D23" t="s">
        <v>1954</v>
      </c>
      <c r="E23" t="s">
        <v>56</v>
      </c>
      <c r="F23" s="2">
        <v>84.8</v>
      </c>
    </row>
    <row r="24" spans="1:6" x14ac:dyDescent="0.25">
      <c r="A24" t="s">
        <v>59</v>
      </c>
      <c r="B24" t="s">
        <v>1977</v>
      </c>
      <c r="C24" t="s">
        <v>1953</v>
      </c>
      <c r="D24" t="s">
        <v>1954</v>
      </c>
      <c r="E24" t="s">
        <v>56</v>
      </c>
      <c r="F24" s="2">
        <v>109.6</v>
      </c>
    </row>
    <row r="25" spans="1:6" x14ac:dyDescent="0.25">
      <c r="A25" t="s">
        <v>60</v>
      </c>
      <c r="B25" t="s">
        <v>1978</v>
      </c>
      <c r="C25" t="s">
        <v>1953</v>
      </c>
      <c r="D25" t="s">
        <v>1954</v>
      </c>
      <c r="E25" t="s">
        <v>56</v>
      </c>
      <c r="F25" s="2">
        <v>128</v>
      </c>
    </row>
    <row r="26" spans="1:6" x14ac:dyDescent="0.25">
      <c r="A26" t="s">
        <v>1979</v>
      </c>
      <c r="B26" t="s">
        <v>1980</v>
      </c>
      <c r="C26" t="s">
        <v>1953</v>
      </c>
      <c r="D26" t="s">
        <v>1940</v>
      </c>
      <c r="F26" s="2">
        <v>0</v>
      </c>
    </row>
    <row r="27" spans="1:6" x14ac:dyDescent="0.25">
      <c r="A27" t="s">
        <v>1981</v>
      </c>
      <c r="B27" t="s">
        <v>1982</v>
      </c>
      <c r="C27" t="s">
        <v>1953</v>
      </c>
      <c r="D27" t="s">
        <v>1940</v>
      </c>
      <c r="F27" s="2">
        <v>226.4</v>
      </c>
    </row>
    <row r="28" spans="1:6" x14ac:dyDescent="0.25">
      <c r="A28" t="s">
        <v>1983</v>
      </c>
      <c r="B28" t="s">
        <v>1984</v>
      </c>
      <c r="C28" t="s">
        <v>1953</v>
      </c>
      <c r="D28" t="s">
        <v>1940</v>
      </c>
      <c r="F28" s="2">
        <v>452.8</v>
      </c>
    </row>
    <row r="29" spans="1:6" x14ac:dyDescent="0.25">
      <c r="A29" t="s">
        <v>1985</v>
      </c>
      <c r="B29" t="s">
        <v>1986</v>
      </c>
      <c r="C29" t="s">
        <v>1953</v>
      </c>
      <c r="D29" t="s">
        <v>1940</v>
      </c>
      <c r="F29" s="2">
        <v>5.17</v>
      </c>
    </row>
    <row r="30" spans="1:6" x14ac:dyDescent="0.25">
      <c r="A30" t="s">
        <v>1987</v>
      </c>
      <c r="B30" t="s">
        <v>1988</v>
      </c>
      <c r="C30" t="s">
        <v>1953</v>
      </c>
      <c r="D30" t="s">
        <v>1940</v>
      </c>
      <c r="F30" s="2">
        <v>5.17</v>
      </c>
    </row>
    <row r="31" spans="1:6" x14ac:dyDescent="0.25">
      <c r="A31" t="s">
        <v>1989</v>
      </c>
      <c r="B31" t="s">
        <v>1990</v>
      </c>
      <c r="C31" t="s">
        <v>1953</v>
      </c>
      <c r="D31" t="s">
        <v>1940</v>
      </c>
      <c r="F31" s="2">
        <v>5.17</v>
      </c>
    </row>
    <row r="32" spans="1:6" x14ac:dyDescent="0.25">
      <c r="A32" t="s">
        <v>1991</v>
      </c>
      <c r="B32" t="s">
        <v>1992</v>
      </c>
      <c r="C32" t="s">
        <v>1953</v>
      </c>
      <c r="D32" t="s">
        <v>1940</v>
      </c>
      <c r="F32" s="2">
        <v>3.4</v>
      </c>
    </row>
    <row r="33" spans="1:6" x14ac:dyDescent="0.25">
      <c r="A33" t="s">
        <v>1993</v>
      </c>
      <c r="B33" t="s">
        <v>1994</v>
      </c>
      <c r="C33" t="s">
        <v>1953</v>
      </c>
      <c r="D33" t="s">
        <v>1940</v>
      </c>
      <c r="F33" s="2">
        <v>3.4</v>
      </c>
    </row>
    <row r="34" spans="1:6" x14ac:dyDescent="0.25">
      <c r="A34" t="s">
        <v>1995</v>
      </c>
      <c r="B34" t="s">
        <v>1996</v>
      </c>
      <c r="C34" t="s">
        <v>1953</v>
      </c>
      <c r="D34" t="s">
        <v>1940</v>
      </c>
      <c r="F34" s="2">
        <v>3.4</v>
      </c>
    </row>
    <row r="35" spans="1:6" x14ac:dyDescent="0.25">
      <c r="A35" t="s">
        <v>1997</v>
      </c>
      <c r="B35" t="s">
        <v>1998</v>
      </c>
      <c r="C35" t="s">
        <v>1953</v>
      </c>
      <c r="D35" t="s">
        <v>1940</v>
      </c>
      <c r="F35" s="2">
        <v>4.3</v>
      </c>
    </row>
    <row r="36" spans="1:6" x14ac:dyDescent="0.25">
      <c r="A36" t="s">
        <v>1999</v>
      </c>
      <c r="B36" t="s">
        <v>2000</v>
      </c>
      <c r="C36" t="s">
        <v>1953</v>
      </c>
      <c r="D36" t="s">
        <v>1940</v>
      </c>
      <c r="F36" s="2">
        <v>4.3</v>
      </c>
    </row>
    <row r="37" spans="1:6" x14ac:dyDescent="0.25">
      <c r="A37" t="s">
        <v>2001</v>
      </c>
      <c r="B37" t="s">
        <v>2002</v>
      </c>
      <c r="C37" t="s">
        <v>1953</v>
      </c>
      <c r="D37" t="s">
        <v>1940</v>
      </c>
      <c r="F37" s="2">
        <v>4.3</v>
      </c>
    </row>
    <row r="38" spans="1:6" x14ac:dyDescent="0.25">
      <c r="A38" t="s">
        <v>2003</v>
      </c>
      <c r="B38" t="s">
        <v>2004</v>
      </c>
      <c r="C38" t="s">
        <v>1953</v>
      </c>
      <c r="D38" t="s">
        <v>1940</v>
      </c>
      <c r="F38" s="2">
        <v>5.99</v>
      </c>
    </row>
    <row r="39" spans="1:6" x14ac:dyDescent="0.25">
      <c r="A39" t="s">
        <v>2005</v>
      </c>
      <c r="B39" t="s">
        <v>2006</v>
      </c>
      <c r="C39" t="s">
        <v>1953</v>
      </c>
      <c r="D39" t="s">
        <v>1940</v>
      </c>
      <c r="F39" s="2">
        <v>5.33</v>
      </c>
    </row>
    <row r="40" spans="1:6" x14ac:dyDescent="0.25">
      <c r="A40" t="s">
        <v>105</v>
      </c>
      <c r="B40" t="s">
        <v>2007</v>
      </c>
      <c r="C40" t="s">
        <v>1953</v>
      </c>
      <c r="D40" t="s">
        <v>1954</v>
      </c>
      <c r="E40" t="s">
        <v>131</v>
      </c>
      <c r="F40" s="2">
        <v>121.75</v>
      </c>
    </row>
    <row r="41" spans="1:6" x14ac:dyDescent="0.25">
      <c r="A41" t="s">
        <v>116</v>
      </c>
      <c r="B41" t="s">
        <v>2008</v>
      </c>
      <c r="C41" t="s">
        <v>1953</v>
      </c>
      <c r="D41" t="s">
        <v>1954</v>
      </c>
      <c r="E41" t="s">
        <v>131</v>
      </c>
      <c r="F41" s="2">
        <v>104.27</v>
      </c>
    </row>
    <row r="42" spans="1:6" x14ac:dyDescent="0.25">
      <c r="A42" t="s">
        <v>118</v>
      </c>
      <c r="B42" t="s">
        <v>2009</v>
      </c>
      <c r="C42" t="s">
        <v>1953</v>
      </c>
      <c r="D42" t="s">
        <v>1954</v>
      </c>
      <c r="E42" t="s">
        <v>131</v>
      </c>
      <c r="F42" s="2">
        <v>79.94</v>
      </c>
    </row>
    <row r="43" spans="1:6" x14ac:dyDescent="0.25">
      <c r="A43" t="s">
        <v>120</v>
      </c>
      <c r="B43" t="s">
        <v>2010</v>
      </c>
      <c r="C43" t="s">
        <v>1953</v>
      </c>
      <c r="D43" t="s">
        <v>1954</v>
      </c>
      <c r="E43" t="s">
        <v>131</v>
      </c>
      <c r="F43" s="2">
        <v>121.75</v>
      </c>
    </row>
    <row r="44" spans="1:6" x14ac:dyDescent="0.25">
      <c r="A44" t="s">
        <v>122</v>
      </c>
      <c r="B44" t="s">
        <v>2011</v>
      </c>
      <c r="C44" t="s">
        <v>1953</v>
      </c>
      <c r="D44" t="s">
        <v>1954</v>
      </c>
      <c r="E44" t="s">
        <v>131</v>
      </c>
      <c r="F44" s="2">
        <v>104.27</v>
      </c>
    </row>
    <row r="45" spans="1:6" x14ac:dyDescent="0.25">
      <c r="A45" t="s">
        <v>123</v>
      </c>
      <c r="B45" t="s">
        <v>2012</v>
      </c>
      <c r="C45" t="s">
        <v>1953</v>
      </c>
      <c r="D45" t="s">
        <v>1954</v>
      </c>
      <c r="E45" t="s">
        <v>131</v>
      </c>
      <c r="F45" s="2">
        <v>79.94</v>
      </c>
    </row>
    <row r="46" spans="1:6" x14ac:dyDescent="0.25">
      <c r="A46" t="s">
        <v>124</v>
      </c>
      <c r="B46" t="s">
        <v>2013</v>
      </c>
      <c r="C46" t="s">
        <v>1953</v>
      </c>
      <c r="D46" t="s">
        <v>1954</v>
      </c>
      <c r="E46" t="s">
        <v>131</v>
      </c>
      <c r="F46" s="2">
        <v>129</v>
      </c>
    </row>
    <row r="47" spans="1:6" x14ac:dyDescent="0.25">
      <c r="A47" t="s">
        <v>126</v>
      </c>
      <c r="B47" t="s">
        <v>2014</v>
      </c>
      <c r="C47" t="s">
        <v>1953</v>
      </c>
      <c r="D47" t="s">
        <v>1954</v>
      </c>
      <c r="E47" t="s">
        <v>131</v>
      </c>
      <c r="F47" s="2">
        <v>110.48</v>
      </c>
    </row>
    <row r="48" spans="1:6" x14ac:dyDescent="0.25">
      <c r="A48" t="s">
        <v>127</v>
      </c>
      <c r="B48" t="s">
        <v>2015</v>
      </c>
      <c r="C48" t="s">
        <v>1953</v>
      </c>
      <c r="D48" t="s">
        <v>1954</v>
      </c>
      <c r="E48" t="s">
        <v>131</v>
      </c>
      <c r="F48" s="2">
        <v>84.64</v>
      </c>
    </row>
    <row r="49" spans="1:6" x14ac:dyDescent="0.25">
      <c r="A49" t="s">
        <v>128</v>
      </c>
      <c r="B49" t="s">
        <v>2016</v>
      </c>
      <c r="C49" t="s">
        <v>1953</v>
      </c>
      <c r="D49" t="s">
        <v>1954</v>
      </c>
      <c r="E49" t="s">
        <v>131</v>
      </c>
      <c r="F49" s="2">
        <v>128.18</v>
      </c>
    </row>
    <row r="50" spans="1:6" x14ac:dyDescent="0.25">
      <c r="A50" t="s">
        <v>130</v>
      </c>
      <c r="B50" t="s">
        <v>2017</v>
      </c>
      <c r="C50" t="s">
        <v>1953</v>
      </c>
      <c r="D50" t="s">
        <v>1954</v>
      </c>
      <c r="E50" t="s">
        <v>131</v>
      </c>
      <c r="F50" s="2">
        <v>109.76</v>
      </c>
    </row>
    <row r="51" spans="1:6" x14ac:dyDescent="0.25">
      <c r="A51" t="s">
        <v>131</v>
      </c>
      <c r="B51" t="s">
        <v>2018</v>
      </c>
      <c r="C51" t="s">
        <v>1953</v>
      </c>
      <c r="D51" t="s">
        <v>1954</v>
      </c>
      <c r="E51" t="s">
        <v>131</v>
      </c>
      <c r="F51" s="2">
        <v>86.81</v>
      </c>
    </row>
    <row r="52" spans="1:6" x14ac:dyDescent="0.25">
      <c r="A52" t="s">
        <v>132</v>
      </c>
      <c r="B52" t="s">
        <v>2019</v>
      </c>
      <c r="C52" t="s">
        <v>1953</v>
      </c>
      <c r="D52" t="s">
        <v>1954</v>
      </c>
      <c r="E52" t="s">
        <v>132</v>
      </c>
      <c r="F52" s="2">
        <v>169.2</v>
      </c>
    </row>
    <row r="53" spans="1:6" x14ac:dyDescent="0.25">
      <c r="A53" t="s">
        <v>2020</v>
      </c>
      <c r="B53" t="s">
        <v>2021</v>
      </c>
      <c r="C53" t="s">
        <v>1953</v>
      </c>
      <c r="D53" t="s">
        <v>1954</v>
      </c>
      <c r="E53" t="s">
        <v>2022</v>
      </c>
      <c r="F53" s="2">
        <v>139.65</v>
      </c>
    </row>
    <row r="54" spans="1:6" x14ac:dyDescent="0.25">
      <c r="A54" t="s">
        <v>139</v>
      </c>
      <c r="B54" t="s">
        <v>2023</v>
      </c>
      <c r="C54" t="s">
        <v>1953</v>
      </c>
      <c r="D54" t="s">
        <v>1954</v>
      </c>
      <c r="E54" t="s">
        <v>2022</v>
      </c>
      <c r="F54" s="2">
        <v>220.56</v>
      </c>
    </row>
    <row r="55" spans="1:6" x14ac:dyDescent="0.25">
      <c r="A55" t="s">
        <v>2024</v>
      </c>
      <c r="B55" t="s">
        <v>2025</v>
      </c>
      <c r="C55" t="s">
        <v>1953</v>
      </c>
      <c r="D55" t="s">
        <v>1954</v>
      </c>
      <c r="E55" t="s">
        <v>2022</v>
      </c>
      <c r="F55" s="2">
        <v>182.32</v>
      </c>
    </row>
    <row r="56" spans="1:6" x14ac:dyDescent="0.25">
      <c r="A56" t="s">
        <v>138</v>
      </c>
      <c r="B56" t="s">
        <v>2026</v>
      </c>
      <c r="C56" t="s">
        <v>1953</v>
      </c>
      <c r="D56" t="s">
        <v>1954</v>
      </c>
      <c r="E56" t="s">
        <v>2022</v>
      </c>
      <c r="F56" s="2">
        <v>287.76</v>
      </c>
    </row>
    <row r="57" spans="1:6" x14ac:dyDescent="0.25">
      <c r="A57" t="s">
        <v>2027</v>
      </c>
      <c r="B57" t="s">
        <v>2028</v>
      </c>
      <c r="C57" t="s">
        <v>1953</v>
      </c>
      <c r="D57" t="s">
        <v>1954</v>
      </c>
      <c r="E57" t="s">
        <v>2022</v>
      </c>
      <c r="F57" s="2">
        <v>212.8</v>
      </c>
    </row>
    <row r="58" spans="1:6" x14ac:dyDescent="0.25">
      <c r="A58" t="s">
        <v>135</v>
      </c>
      <c r="B58" t="s">
        <v>2029</v>
      </c>
      <c r="C58" t="s">
        <v>1953</v>
      </c>
      <c r="D58" t="s">
        <v>1954</v>
      </c>
      <c r="E58" t="s">
        <v>2022</v>
      </c>
      <c r="F58" s="2">
        <v>336.08</v>
      </c>
    </row>
    <row r="59" spans="1:6" x14ac:dyDescent="0.25">
      <c r="A59" t="s">
        <v>142</v>
      </c>
      <c r="B59" t="s">
        <v>2030</v>
      </c>
      <c r="C59" t="s">
        <v>1953</v>
      </c>
      <c r="D59" t="s">
        <v>1954</v>
      </c>
      <c r="E59" t="s">
        <v>2022</v>
      </c>
      <c r="F59" s="2">
        <v>220.56</v>
      </c>
    </row>
    <row r="60" spans="1:6" x14ac:dyDescent="0.25">
      <c r="A60" t="s">
        <v>141</v>
      </c>
      <c r="B60" t="s">
        <v>2031</v>
      </c>
      <c r="C60" t="s">
        <v>1953</v>
      </c>
      <c r="D60" t="s">
        <v>1954</v>
      </c>
      <c r="E60" t="s">
        <v>2022</v>
      </c>
      <c r="F60" s="2">
        <v>287.76</v>
      </c>
    </row>
    <row r="61" spans="1:6" x14ac:dyDescent="0.25">
      <c r="A61" t="s">
        <v>140</v>
      </c>
      <c r="B61" t="s">
        <v>2032</v>
      </c>
      <c r="C61" t="s">
        <v>1953</v>
      </c>
      <c r="D61" t="s">
        <v>1954</v>
      </c>
      <c r="E61" t="s">
        <v>2022</v>
      </c>
      <c r="F61" s="2">
        <v>336.08</v>
      </c>
    </row>
    <row r="62" spans="1:6" x14ac:dyDescent="0.25">
      <c r="A62" t="s">
        <v>146</v>
      </c>
      <c r="B62" t="s">
        <v>2033</v>
      </c>
      <c r="C62" t="s">
        <v>1953</v>
      </c>
      <c r="D62" t="s">
        <v>1954</v>
      </c>
      <c r="E62" t="s">
        <v>2022</v>
      </c>
      <c r="F62" s="2">
        <v>220.56</v>
      </c>
    </row>
    <row r="63" spans="1:6" x14ac:dyDescent="0.25">
      <c r="A63" t="s">
        <v>145</v>
      </c>
      <c r="B63" t="s">
        <v>2034</v>
      </c>
      <c r="C63" t="s">
        <v>1953</v>
      </c>
      <c r="D63" t="s">
        <v>1954</v>
      </c>
      <c r="E63" t="s">
        <v>2022</v>
      </c>
      <c r="F63" s="2">
        <v>287.76</v>
      </c>
    </row>
    <row r="64" spans="1:6" x14ac:dyDescent="0.25">
      <c r="A64" t="s">
        <v>143</v>
      </c>
      <c r="B64" t="s">
        <v>2035</v>
      </c>
      <c r="C64" t="s">
        <v>1953</v>
      </c>
      <c r="D64" t="s">
        <v>1954</v>
      </c>
      <c r="E64" t="s">
        <v>2022</v>
      </c>
      <c r="F64" s="2">
        <v>336.08</v>
      </c>
    </row>
    <row r="65" spans="1:6" x14ac:dyDescent="0.25">
      <c r="A65" t="s">
        <v>149</v>
      </c>
      <c r="B65" t="s">
        <v>2036</v>
      </c>
      <c r="C65" t="s">
        <v>1953</v>
      </c>
      <c r="D65" t="s">
        <v>1954</v>
      </c>
      <c r="E65" t="s">
        <v>2022</v>
      </c>
      <c r="F65" s="2">
        <v>297.76</v>
      </c>
    </row>
    <row r="66" spans="1:6" x14ac:dyDescent="0.25">
      <c r="A66" t="s">
        <v>147</v>
      </c>
      <c r="B66" t="s">
        <v>2037</v>
      </c>
      <c r="C66" t="s">
        <v>1953</v>
      </c>
      <c r="D66" t="s">
        <v>1954</v>
      </c>
      <c r="E66" t="s">
        <v>2022</v>
      </c>
      <c r="F66" s="2">
        <v>347.75</v>
      </c>
    </row>
    <row r="67" spans="1:6" x14ac:dyDescent="0.25">
      <c r="A67" t="s">
        <v>156</v>
      </c>
      <c r="B67" t="s">
        <v>2038</v>
      </c>
      <c r="C67" t="s">
        <v>1953</v>
      </c>
      <c r="D67" t="s">
        <v>1954</v>
      </c>
      <c r="E67" t="s">
        <v>2022</v>
      </c>
      <c r="F67" s="2">
        <v>232.4</v>
      </c>
    </row>
    <row r="68" spans="1:6" x14ac:dyDescent="0.25">
      <c r="A68" t="s">
        <v>155</v>
      </c>
      <c r="B68" t="s">
        <v>2039</v>
      </c>
      <c r="C68" t="s">
        <v>1953</v>
      </c>
      <c r="D68" t="s">
        <v>1954</v>
      </c>
      <c r="E68" t="s">
        <v>2022</v>
      </c>
      <c r="F68" s="2">
        <v>303.20999999999998</v>
      </c>
    </row>
    <row r="69" spans="1:6" x14ac:dyDescent="0.25">
      <c r="A69" t="s">
        <v>153</v>
      </c>
      <c r="B69" t="s">
        <v>2040</v>
      </c>
      <c r="C69" t="s">
        <v>1953</v>
      </c>
      <c r="D69" t="s">
        <v>1954</v>
      </c>
      <c r="E69" t="s">
        <v>2022</v>
      </c>
      <c r="F69" s="2">
        <v>354.11</v>
      </c>
    </row>
    <row r="70" spans="1:6" x14ac:dyDescent="0.25">
      <c r="A70" t="s">
        <v>2041</v>
      </c>
      <c r="B70" t="s">
        <v>2042</v>
      </c>
      <c r="C70" t="s">
        <v>1953</v>
      </c>
      <c r="D70" t="s">
        <v>1954</v>
      </c>
      <c r="E70" t="s">
        <v>2022</v>
      </c>
      <c r="F70" s="2">
        <v>310.14</v>
      </c>
    </row>
    <row r="71" spans="1:6" x14ac:dyDescent="0.25">
      <c r="A71" t="s">
        <v>2043</v>
      </c>
      <c r="B71" t="s">
        <v>2044</v>
      </c>
      <c r="C71" t="s">
        <v>1953</v>
      </c>
      <c r="D71" t="s">
        <v>1954</v>
      </c>
      <c r="E71" t="s">
        <v>2022</v>
      </c>
      <c r="F71" s="2">
        <v>357.15</v>
      </c>
    </row>
    <row r="72" spans="1:6" x14ac:dyDescent="0.25">
      <c r="A72" t="s">
        <v>160</v>
      </c>
      <c r="B72" t="s">
        <v>2045</v>
      </c>
      <c r="C72" t="s">
        <v>1953</v>
      </c>
      <c r="D72" t="s">
        <v>1954</v>
      </c>
      <c r="E72" t="s">
        <v>2046</v>
      </c>
      <c r="F72" s="2">
        <v>324.87</v>
      </c>
    </row>
    <row r="73" spans="1:6" x14ac:dyDescent="0.25">
      <c r="A73" t="s">
        <v>162</v>
      </c>
      <c r="B73" t="s">
        <v>2047</v>
      </c>
      <c r="C73" t="s">
        <v>1953</v>
      </c>
      <c r="D73" t="s">
        <v>1954</v>
      </c>
      <c r="E73" t="s">
        <v>2046</v>
      </c>
      <c r="F73" s="2">
        <v>324.87</v>
      </c>
    </row>
    <row r="74" spans="1:6" x14ac:dyDescent="0.25">
      <c r="A74" t="s">
        <v>2048</v>
      </c>
      <c r="B74" t="s">
        <v>2049</v>
      </c>
      <c r="C74" t="s">
        <v>1953</v>
      </c>
      <c r="D74" t="s">
        <v>1940</v>
      </c>
      <c r="E74" t="s">
        <v>164</v>
      </c>
      <c r="F74" s="2">
        <v>117.51</v>
      </c>
    </row>
    <row r="75" spans="1:6" x14ac:dyDescent="0.25">
      <c r="A75" t="s">
        <v>164</v>
      </c>
      <c r="B75" t="s">
        <v>2050</v>
      </c>
      <c r="C75" t="s">
        <v>1953</v>
      </c>
      <c r="D75" t="s">
        <v>1954</v>
      </c>
      <c r="E75" t="s">
        <v>164</v>
      </c>
      <c r="F75" s="2">
        <v>546.42999999999995</v>
      </c>
    </row>
    <row r="76" spans="1:6" x14ac:dyDescent="0.25">
      <c r="A76" t="s">
        <v>163</v>
      </c>
      <c r="B76" t="s">
        <v>2051</v>
      </c>
      <c r="C76" t="s">
        <v>1953</v>
      </c>
      <c r="D76" t="s">
        <v>1954</v>
      </c>
      <c r="E76" t="s">
        <v>164</v>
      </c>
      <c r="F76" s="2">
        <v>635.53</v>
      </c>
    </row>
    <row r="77" spans="1:6" x14ac:dyDescent="0.25">
      <c r="A77" t="s">
        <v>2052</v>
      </c>
      <c r="B77" t="s">
        <v>2053</v>
      </c>
      <c r="C77" t="s">
        <v>1953</v>
      </c>
      <c r="D77" t="s">
        <v>1954</v>
      </c>
      <c r="E77" t="s">
        <v>164</v>
      </c>
      <c r="F77" s="2">
        <v>366.95</v>
      </c>
    </row>
    <row r="78" spans="1:6" x14ac:dyDescent="0.25">
      <c r="A78" t="s">
        <v>167</v>
      </c>
      <c r="B78" t="s">
        <v>2054</v>
      </c>
      <c r="C78" t="s">
        <v>1953</v>
      </c>
      <c r="D78" t="s">
        <v>1954</v>
      </c>
      <c r="E78" t="s">
        <v>169</v>
      </c>
      <c r="F78" s="2">
        <v>199.36</v>
      </c>
    </row>
    <row r="79" spans="1:6" x14ac:dyDescent="0.25">
      <c r="A79" t="s">
        <v>169</v>
      </c>
      <c r="B79" t="s">
        <v>2055</v>
      </c>
      <c r="C79" t="s">
        <v>1953</v>
      </c>
      <c r="D79" t="s">
        <v>1954</v>
      </c>
      <c r="E79" t="s">
        <v>169</v>
      </c>
      <c r="F79" s="2">
        <v>179.7</v>
      </c>
    </row>
    <row r="80" spans="1:6" x14ac:dyDescent="0.25">
      <c r="A80" t="s">
        <v>170</v>
      </c>
      <c r="B80" t="s">
        <v>2056</v>
      </c>
      <c r="C80" t="s">
        <v>1953</v>
      </c>
      <c r="D80" t="s">
        <v>1954</v>
      </c>
      <c r="E80" t="s">
        <v>169</v>
      </c>
      <c r="F80" s="2">
        <v>179.7</v>
      </c>
    </row>
    <row r="81" spans="1:6" x14ac:dyDescent="0.25">
      <c r="A81" t="s">
        <v>171</v>
      </c>
      <c r="B81" t="s">
        <v>2057</v>
      </c>
      <c r="C81" t="s">
        <v>1953</v>
      </c>
      <c r="D81" t="s">
        <v>1954</v>
      </c>
      <c r="E81" t="s">
        <v>2058</v>
      </c>
      <c r="F81" s="2">
        <v>293.81</v>
      </c>
    </row>
    <row r="82" spans="1:6" x14ac:dyDescent="0.25">
      <c r="A82" t="s">
        <v>172</v>
      </c>
      <c r="B82" t="s">
        <v>2059</v>
      </c>
      <c r="C82" t="s">
        <v>1953</v>
      </c>
      <c r="D82" t="s">
        <v>1954</v>
      </c>
      <c r="E82" t="s">
        <v>2058</v>
      </c>
      <c r="F82" s="2">
        <v>251.59</v>
      </c>
    </row>
    <row r="83" spans="1:6" x14ac:dyDescent="0.25">
      <c r="A83" t="s">
        <v>173</v>
      </c>
      <c r="B83" t="s">
        <v>2060</v>
      </c>
      <c r="C83" t="s">
        <v>1953</v>
      </c>
      <c r="D83" t="s">
        <v>1954</v>
      </c>
      <c r="E83" t="s">
        <v>2058</v>
      </c>
      <c r="F83" s="2">
        <v>293.81</v>
      </c>
    </row>
    <row r="84" spans="1:6" x14ac:dyDescent="0.25">
      <c r="A84" t="s">
        <v>174</v>
      </c>
      <c r="B84" t="s">
        <v>2061</v>
      </c>
      <c r="C84" t="s">
        <v>1953</v>
      </c>
      <c r="D84" t="s">
        <v>1954</v>
      </c>
      <c r="E84" t="s">
        <v>2058</v>
      </c>
      <c r="F84" s="2">
        <v>251.59</v>
      </c>
    </row>
    <row r="85" spans="1:6" x14ac:dyDescent="0.25">
      <c r="A85" t="s">
        <v>175</v>
      </c>
      <c r="B85" t="s">
        <v>2062</v>
      </c>
      <c r="C85" t="s">
        <v>1953</v>
      </c>
      <c r="D85" t="s">
        <v>1954</v>
      </c>
      <c r="E85" t="s">
        <v>2058</v>
      </c>
      <c r="F85" s="2">
        <v>293.81</v>
      </c>
    </row>
    <row r="86" spans="1:6" x14ac:dyDescent="0.25">
      <c r="A86" t="s">
        <v>177</v>
      </c>
      <c r="B86" t="s">
        <v>2063</v>
      </c>
      <c r="C86" t="s">
        <v>1953</v>
      </c>
      <c r="D86" t="s">
        <v>1954</v>
      </c>
      <c r="E86" t="s">
        <v>2058</v>
      </c>
      <c r="F86" s="2">
        <v>251.59</v>
      </c>
    </row>
    <row r="87" spans="1:6" x14ac:dyDescent="0.25">
      <c r="A87" t="s">
        <v>178</v>
      </c>
      <c r="B87" t="s">
        <v>2064</v>
      </c>
      <c r="C87" t="s">
        <v>1953</v>
      </c>
      <c r="D87" t="s">
        <v>1954</v>
      </c>
      <c r="E87" t="s">
        <v>2058</v>
      </c>
      <c r="F87" s="2">
        <v>293.81</v>
      </c>
    </row>
    <row r="88" spans="1:6" x14ac:dyDescent="0.25">
      <c r="A88" t="s">
        <v>179</v>
      </c>
      <c r="B88" t="s">
        <v>2065</v>
      </c>
      <c r="C88" t="s">
        <v>1953</v>
      </c>
      <c r="D88" t="s">
        <v>1954</v>
      </c>
      <c r="E88" t="s">
        <v>2058</v>
      </c>
      <c r="F88" s="2">
        <v>251.59</v>
      </c>
    </row>
    <row r="89" spans="1:6" x14ac:dyDescent="0.25">
      <c r="A89" t="s">
        <v>180</v>
      </c>
      <c r="B89" t="s">
        <v>2066</v>
      </c>
      <c r="C89" t="s">
        <v>1953</v>
      </c>
      <c r="D89" t="s">
        <v>1954</v>
      </c>
      <c r="E89" t="s">
        <v>182</v>
      </c>
      <c r="F89" s="2">
        <v>433.07</v>
      </c>
    </row>
    <row r="90" spans="1:6" x14ac:dyDescent="0.25">
      <c r="A90" t="s">
        <v>182</v>
      </c>
      <c r="B90" t="s">
        <v>2067</v>
      </c>
      <c r="C90" t="s">
        <v>1953</v>
      </c>
      <c r="D90" t="s">
        <v>1954</v>
      </c>
      <c r="E90" t="s">
        <v>182</v>
      </c>
      <c r="F90" s="2">
        <v>390.34</v>
      </c>
    </row>
    <row r="91" spans="1:6" x14ac:dyDescent="0.25">
      <c r="A91" t="s">
        <v>183</v>
      </c>
      <c r="B91" t="s">
        <v>2068</v>
      </c>
      <c r="C91" t="s">
        <v>1953</v>
      </c>
      <c r="D91" t="s">
        <v>1954</v>
      </c>
      <c r="E91" t="s">
        <v>187</v>
      </c>
      <c r="F91" s="2">
        <v>124.05</v>
      </c>
    </row>
    <row r="92" spans="1:6" x14ac:dyDescent="0.25">
      <c r="A92" t="s">
        <v>186</v>
      </c>
      <c r="B92" t="s">
        <v>2069</v>
      </c>
      <c r="C92" t="s">
        <v>1953</v>
      </c>
      <c r="D92" t="s">
        <v>1954</v>
      </c>
      <c r="E92" t="s">
        <v>187</v>
      </c>
      <c r="F92" s="2">
        <v>106.23</v>
      </c>
    </row>
    <row r="93" spans="1:6" x14ac:dyDescent="0.25">
      <c r="A93" t="s">
        <v>187</v>
      </c>
      <c r="B93" t="s">
        <v>2070</v>
      </c>
      <c r="C93" t="s">
        <v>1953</v>
      </c>
      <c r="D93" t="s">
        <v>1954</v>
      </c>
      <c r="E93" t="s">
        <v>187</v>
      </c>
      <c r="F93" s="2">
        <v>81.42</v>
      </c>
    </row>
    <row r="94" spans="1:6" x14ac:dyDescent="0.25">
      <c r="A94" t="s">
        <v>188</v>
      </c>
      <c r="B94" t="s">
        <v>2071</v>
      </c>
      <c r="C94" t="s">
        <v>1953</v>
      </c>
      <c r="D94" t="s">
        <v>1954</v>
      </c>
      <c r="E94" t="s">
        <v>187</v>
      </c>
      <c r="F94" s="2">
        <v>124.05</v>
      </c>
    </row>
    <row r="95" spans="1:6" x14ac:dyDescent="0.25">
      <c r="A95" t="s">
        <v>191</v>
      </c>
      <c r="B95" t="s">
        <v>2072</v>
      </c>
      <c r="C95" t="s">
        <v>1953</v>
      </c>
      <c r="D95" t="s">
        <v>1954</v>
      </c>
      <c r="E95" t="s">
        <v>187</v>
      </c>
      <c r="F95" s="2">
        <v>106.23</v>
      </c>
    </row>
    <row r="96" spans="1:6" x14ac:dyDescent="0.25">
      <c r="A96" t="s">
        <v>192</v>
      </c>
      <c r="B96" t="s">
        <v>2073</v>
      </c>
      <c r="C96" t="s">
        <v>1953</v>
      </c>
      <c r="D96" t="s">
        <v>1954</v>
      </c>
      <c r="E96" t="s">
        <v>187</v>
      </c>
      <c r="F96" s="2">
        <v>81.42</v>
      </c>
    </row>
    <row r="97" spans="1:6" x14ac:dyDescent="0.25">
      <c r="A97" t="s">
        <v>193</v>
      </c>
      <c r="B97" t="s">
        <v>2074</v>
      </c>
      <c r="C97" t="s">
        <v>1953</v>
      </c>
      <c r="D97" t="s">
        <v>1954</v>
      </c>
      <c r="E97" t="s">
        <v>194</v>
      </c>
      <c r="F97" s="2">
        <v>257.83999999999997</v>
      </c>
    </row>
    <row r="98" spans="1:6" x14ac:dyDescent="0.25">
      <c r="A98" t="s">
        <v>194</v>
      </c>
      <c r="B98" t="s">
        <v>2075</v>
      </c>
      <c r="C98" t="s">
        <v>1953</v>
      </c>
      <c r="D98" t="s">
        <v>1954</v>
      </c>
      <c r="E98" t="s">
        <v>194</v>
      </c>
      <c r="F98" s="2">
        <v>220.77</v>
      </c>
    </row>
    <row r="99" spans="1:6" x14ac:dyDescent="0.25">
      <c r="A99" t="s">
        <v>195</v>
      </c>
      <c r="B99" t="s">
        <v>2076</v>
      </c>
      <c r="C99" t="s">
        <v>1953</v>
      </c>
      <c r="D99" t="s">
        <v>1954</v>
      </c>
      <c r="E99" t="s">
        <v>194</v>
      </c>
      <c r="F99" s="2">
        <v>257.83999999999997</v>
      </c>
    </row>
    <row r="100" spans="1:6" x14ac:dyDescent="0.25">
      <c r="A100" t="s">
        <v>196</v>
      </c>
      <c r="B100" t="s">
        <v>2077</v>
      </c>
      <c r="C100" t="s">
        <v>1953</v>
      </c>
      <c r="D100" t="s">
        <v>1954</v>
      </c>
      <c r="E100" t="s">
        <v>194</v>
      </c>
      <c r="F100" s="2">
        <v>220.77</v>
      </c>
    </row>
    <row r="101" spans="1:6" x14ac:dyDescent="0.25">
      <c r="A101" t="s">
        <v>197</v>
      </c>
      <c r="B101" t="s">
        <v>2078</v>
      </c>
      <c r="C101" t="s">
        <v>1953</v>
      </c>
      <c r="D101" t="s">
        <v>1954</v>
      </c>
      <c r="E101" t="s">
        <v>199</v>
      </c>
      <c r="F101" s="2">
        <v>357.82</v>
      </c>
    </row>
    <row r="102" spans="1:6" x14ac:dyDescent="0.25">
      <c r="A102" t="s">
        <v>198</v>
      </c>
      <c r="B102" t="s">
        <v>2079</v>
      </c>
      <c r="C102" t="s">
        <v>1953</v>
      </c>
      <c r="D102" t="s">
        <v>1954</v>
      </c>
      <c r="E102" t="s">
        <v>199</v>
      </c>
      <c r="F102" s="2">
        <v>306.39999999999998</v>
      </c>
    </row>
    <row r="103" spans="1:6" x14ac:dyDescent="0.25">
      <c r="A103" t="s">
        <v>199</v>
      </c>
      <c r="B103" t="s">
        <v>2080</v>
      </c>
      <c r="C103" t="s">
        <v>1953</v>
      </c>
      <c r="D103" t="s">
        <v>1954</v>
      </c>
      <c r="E103" t="s">
        <v>199</v>
      </c>
      <c r="F103" s="2">
        <v>234.83</v>
      </c>
    </row>
    <row r="104" spans="1:6" x14ac:dyDescent="0.25">
      <c r="A104" t="s">
        <v>200</v>
      </c>
      <c r="B104" t="s">
        <v>2081</v>
      </c>
      <c r="C104" t="s">
        <v>1953</v>
      </c>
      <c r="D104" t="s">
        <v>1954</v>
      </c>
      <c r="E104" t="s">
        <v>199</v>
      </c>
      <c r="F104" s="2">
        <v>357.82</v>
      </c>
    </row>
    <row r="105" spans="1:6" x14ac:dyDescent="0.25">
      <c r="A105" t="s">
        <v>201</v>
      </c>
      <c r="B105" t="s">
        <v>2082</v>
      </c>
      <c r="C105" t="s">
        <v>1953</v>
      </c>
      <c r="D105" t="s">
        <v>1954</v>
      </c>
      <c r="E105" t="s">
        <v>199</v>
      </c>
      <c r="F105" s="2">
        <v>306.39999999999998</v>
      </c>
    </row>
    <row r="106" spans="1:6" x14ac:dyDescent="0.25">
      <c r="A106" t="s">
        <v>202</v>
      </c>
      <c r="B106" t="s">
        <v>2083</v>
      </c>
      <c r="C106" t="s">
        <v>1953</v>
      </c>
      <c r="D106" t="s">
        <v>1954</v>
      </c>
      <c r="E106" t="s">
        <v>199</v>
      </c>
      <c r="F106" s="2">
        <v>234.83</v>
      </c>
    </row>
    <row r="107" spans="1:6" x14ac:dyDescent="0.25">
      <c r="A107" t="s">
        <v>203</v>
      </c>
      <c r="B107" t="s">
        <v>2084</v>
      </c>
      <c r="C107" t="s">
        <v>1953</v>
      </c>
      <c r="D107" t="s">
        <v>1954</v>
      </c>
      <c r="E107" t="s">
        <v>204</v>
      </c>
      <c r="F107" s="2">
        <v>284.98</v>
      </c>
    </row>
    <row r="108" spans="1:6" x14ac:dyDescent="0.25">
      <c r="A108" t="s">
        <v>204</v>
      </c>
      <c r="B108" t="s">
        <v>2085</v>
      </c>
      <c r="C108" t="s">
        <v>1953</v>
      </c>
      <c r="D108" t="s">
        <v>1954</v>
      </c>
      <c r="E108" t="s">
        <v>204</v>
      </c>
      <c r="F108" s="2">
        <v>244.03</v>
      </c>
    </row>
    <row r="109" spans="1:6" x14ac:dyDescent="0.25">
      <c r="A109" t="s">
        <v>205</v>
      </c>
      <c r="B109" t="s">
        <v>2086</v>
      </c>
      <c r="C109" t="s">
        <v>1953</v>
      </c>
      <c r="D109" t="s">
        <v>1954</v>
      </c>
      <c r="E109" t="s">
        <v>204</v>
      </c>
      <c r="F109" s="2">
        <v>244.03</v>
      </c>
    </row>
    <row r="110" spans="1:6" x14ac:dyDescent="0.25">
      <c r="A110" t="s">
        <v>206</v>
      </c>
      <c r="B110" t="s">
        <v>2087</v>
      </c>
      <c r="C110" t="s">
        <v>1953</v>
      </c>
      <c r="D110" t="s">
        <v>1954</v>
      </c>
      <c r="E110" t="s">
        <v>204</v>
      </c>
      <c r="F110" s="2">
        <v>244.03</v>
      </c>
    </row>
    <row r="111" spans="1:6" x14ac:dyDescent="0.25">
      <c r="A111" t="s">
        <v>207</v>
      </c>
      <c r="B111" t="s">
        <v>2088</v>
      </c>
      <c r="C111" t="s">
        <v>1953</v>
      </c>
      <c r="D111" t="s">
        <v>1954</v>
      </c>
      <c r="E111" t="s">
        <v>211</v>
      </c>
      <c r="F111" s="2">
        <v>408.2</v>
      </c>
    </row>
    <row r="112" spans="1:6" x14ac:dyDescent="0.25">
      <c r="A112" t="s">
        <v>211</v>
      </c>
      <c r="B112" t="s">
        <v>2089</v>
      </c>
      <c r="C112" t="s">
        <v>1953</v>
      </c>
      <c r="D112" t="s">
        <v>1954</v>
      </c>
      <c r="E112" t="s">
        <v>211</v>
      </c>
      <c r="F112" s="2">
        <v>367.92</v>
      </c>
    </row>
    <row r="113" spans="1:6" x14ac:dyDescent="0.25">
      <c r="A113" t="s">
        <v>212</v>
      </c>
      <c r="B113" t="s">
        <v>2090</v>
      </c>
      <c r="C113" t="s">
        <v>1953</v>
      </c>
      <c r="D113" t="s">
        <v>1954</v>
      </c>
      <c r="E113" t="s">
        <v>214</v>
      </c>
      <c r="F113" s="2">
        <v>408.2</v>
      </c>
    </row>
    <row r="114" spans="1:6" x14ac:dyDescent="0.25">
      <c r="A114" t="s">
        <v>214</v>
      </c>
      <c r="B114" t="s">
        <v>2091</v>
      </c>
      <c r="C114" t="s">
        <v>1953</v>
      </c>
      <c r="D114" t="s">
        <v>1954</v>
      </c>
      <c r="E114" t="s">
        <v>214</v>
      </c>
      <c r="F114" s="2">
        <v>367.92</v>
      </c>
    </row>
    <row r="115" spans="1:6" x14ac:dyDescent="0.25">
      <c r="A115" t="s">
        <v>215</v>
      </c>
      <c r="B115" t="s">
        <v>2092</v>
      </c>
      <c r="C115" t="s">
        <v>1953</v>
      </c>
      <c r="D115" t="s">
        <v>1954</v>
      </c>
      <c r="E115" t="s">
        <v>217</v>
      </c>
      <c r="F115" s="2">
        <v>408.2</v>
      </c>
    </row>
    <row r="116" spans="1:6" x14ac:dyDescent="0.25">
      <c r="A116" t="s">
        <v>217</v>
      </c>
      <c r="B116" t="s">
        <v>2093</v>
      </c>
      <c r="C116" t="s">
        <v>1953</v>
      </c>
      <c r="D116" t="s">
        <v>1954</v>
      </c>
      <c r="E116" t="s">
        <v>217</v>
      </c>
      <c r="F116" s="2">
        <v>367.92</v>
      </c>
    </row>
    <row r="117" spans="1:6" x14ac:dyDescent="0.25">
      <c r="A117" t="s">
        <v>218</v>
      </c>
      <c r="B117" t="s">
        <v>2094</v>
      </c>
      <c r="C117" t="s">
        <v>1953</v>
      </c>
      <c r="D117" t="s">
        <v>1954</v>
      </c>
      <c r="E117" t="s">
        <v>219</v>
      </c>
      <c r="F117" s="2">
        <v>575.42999999999995</v>
      </c>
    </row>
    <row r="118" spans="1:6" x14ac:dyDescent="0.25">
      <c r="A118" t="s">
        <v>219</v>
      </c>
      <c r="B118" t="s">
        <v>2095</v>
      </c>
      <c r="C118" t="s">
        <v>1953</v>
      </c>
      <c r="D118" t="s">
        <v>1954</v>
      </c>
      <c r="E118" t="s">
        <v>219</v>
      </c>
      <c r="F118" s="2">
        <v>492.66</v>
      </c>
    </row>
    <row r="119" spans="1:6" x14ac:dyDescent="0.25">
      <c r="A119" t="s">
        <v>2096</v>
      </c>
      <c r="B119" t="s">
        <v>2097</v>
      </c>
      <c r="C119" t="s">
        <v>1953</v>
      </c>
      <c r="D119" t="s">
        <v>1940</v>
      </c>
      <c r="F119" s="2">
        <v>5.33</v>
      </c>
    </row>
    <row r="120" spans="1:6" x14ac:dyDescent="0.25">
      <c r="A120" t="s">
        <v>2098</v>
      </c>
      <c r="B120" t="s">
        <v>2099</v>
      </c>
      <c r="C120" t="s">
        <v>1953</v>
      </c>
      <c r="D120" t="s">
        <v>1940</v>
      </c>
      <c r="F120" s="2">
        <v>5.33</v>
      </c>
    </row>
    <row r="121" spans="1:6" x14ac:dyDescent="0.25">
      <c r="A121" t="s">
        <v>2100</v>
      </c>
      <c r="B121" t="s">
        <v>2101</v>
      </c>
      <c r="C121" t="s">
        <v>1953</v>
      </c>
      <c r="D121" t="s">
        <v>1940</v>
      </c>
      <c r="F121" s="2">
        <v>2.46</v>
      </c>
    </row>
    <row r="122" spans="1:6" x14ac:dyDescent="0.25">
      <c r="A122" t="s">
        <v>2102</v>
      </c>
      <c r="B122" t="s">
        <v>2103</v>
      </c>
      <c r="C122" t="s">
        <v>1953</v>
      </c>
      <c r="D122" t="s">
        <v>1940</v>
      </c>
      <c r="F122" s="2">
        <v>2.46</v>
      </c>
    </row>
    <row r="123" spans="1:6" x14ac:dyDescent="0.25">
      <c r="A123" t="s">
        <v>2104</v>
      </c>
      <c r="B123" t="s">
        <v>2105</v>
      </c>
      <c r="C123" t="s">
        <v>1953</v>
      </c>
      <c r="D123" t="s">
        <v>1940</v>
      </c>
      <c r="F123" s="2">
        <v>2.46</v>
      </c>
    </row>
    <row r="124" spans="1:6" x14ac:dyDescent="0.25">
      <c r="A124" t="s">
        <v>2106</v>
      </c>
      <c r="B124" t="s">
        <v>2107</v>
      </c>
      <c r="C124" t="s">
        <v>1953</v>
      </c>
      <c r="D124" t="s">
        <v>1940</v>
      </c>
      <c r="F124" s="2">
        <v>2.46</v>
      </c>
    </row>
    <row r="125" spans="1:6" x14ac:dyDescent="0.25">
      <c r="A125" t="s">
        <v>2108</v>
      </c>
      <c r="B125" t="s">
        <v>2109</v>
      </c>
      <c r="C125" t="s">
        <v>1953</v>
      </c>
      <c r="D125" t="s">
        <v>1940</v>
      </c>
      <c r="F125" s="2">
        <v>2.46</v>
      </c>
    </row>
    <row r="126" spans="1:6" x14ac:dyDescent="0.25">
      <c r="A126" t="s">
        <v>2110</v>
      </c>
      <c r="B126" t="s">
        <v>2111</v>
      </c>
      <c r="C126" t="s">
        <v>1953</v>
      </c>
      <c r="D126" t="s">
        <v>1940</v>
      </c>
      <c r="F126" s="2">
        <v>2.74</v>
      </c>
    </row>
    <row r="127" spans="1:6" x14ac:dyDescent="0.25">
      <c r="A127" t="s">
        <v>2112</v>
      </c>
      <c r="B127" t="s">
        <v>2113</v>
      </c>
      <c r="C127" t="s">
        <v>1953</v>
      </c>
      <c r="D127" t="s">
        <v>1940</v>
      </c>
      <c r="F127" s="2">
        <v>2.74</v>
      </c>
    </row>
    <row r="128" spans="1:6" x14ac:dyDescent="0.25">
      <c r="A128" t="s">
        <v>2114</v>
      </c>
      <c r="B128" t="s">
        <v>2115</v>
      </c>
      <c r="C128" t="s">
        <v>1953</v>
      </c>
      <c r="D128" t="s">
        <v>1940</v>
      </c>
      <c r="F128" s="2">
        <v>2.74</v>
      </c>
    </row>
    <row r="129" spans="1:6" x14ac:dyDescent="0.25">
      <c r="A129" t="s">
        <v>2116</v>
      </c>
      <c r="B129" t="s">
        <v>2117</v>
      </c>
      <c r="C129" t="s">
        <v>1953</v>
      </c>
      <c r="D129" t="s">
        <v>1940</v>
      </c>
      <c r="F129" s="2">
        <v>2.71</v>
      </c>
    </row>
    <row r="130" spans="1:6" x14ac:dyDescent="0.25">
      <c r="A130" t="s">
        <v>2118</v>
      </c>
      <c r="B130" t="s">
        <v>2119</v>
      </c>
      <c r="C130" t="s">
        <v>1953</v>
      </c>
      <c r="D130" t="s">
        <v>1940</v>
      </c>
      <c r="F130" s="2">
        <v>2.71</v>
      </c>
    </row>
    <row r="131" spans="1:6" x14ac:dyDescent="0.25">
      <c r="A131" t="s">
        <v>2120</v>
      </c>
      <c r="B131" t="s">
        <v>2121</v>
      </c>
      <c r="C131" t="s">
        <v>1953</v>
      </c>
      <c r="D131" t="s">
        <v>1940</v>
      </c>
      <c r="F131" s="2">
        <v>2.71</v>
      </c>
    </row>
    <row r="132" spans="1:6" x14ac:dyDescent="0.25">
      <c r="A132" t="s">
        <v>2122</v>
      </c>
      <c r="B132" t="s">
        <v>2123</v>
      </c>
      <c r="C132" t="s">
        <v>1953</v>
      </c>
      <c r="D132" t="s">
        <v>1940</v>
      </c>
      <c r="F132" s="2">
        <v>2.71</v>
      </c>
    </row>
    <row r="133" spans="1:6" x14ac:dyDescent="0.25">
      <c r="A133" t="s">
        <v>2124</v>
      </c>
      <c r="B133" t="s">
        <v>2125</v>
      </c>
      <c r="C133" t="s">
        <v>1953</v>
      </c>
      <c r="D133" t="s">
        <v>1940</v>
      </c>
      <c r="F133" s="2">
        <v>2.31</v>
      </c>
    </row>
    <row r="134" spans="1:6" x14ac:dyDescent="0.25">
      <c r="A134" t="s">
        <v>2126</v>
      </c>
      <c r="B134" t="s">
        <v>2127</v>
      </c>
      <c r="C134" t="s">
        <v>1953</v>
      </c>
      <c r="D134" t="s">
        <v>1940</v>
      </c>
      <c r="F134" s="2">
        <v>4.07</v>
      </c>
    </row>
    <row r="135" spans="1:6" x14ac:dyDescent="0.25">
      <c r="A135" t="s">
        <v>2128</v>
      </c>
      <c r="B135" t="s">
        <v>2129</v>
      </c>
      <c r="C135" t="s">
        <v>1953</v>
      </c>
      <c r="D135" t="s">
        <v>1940</v>
      </c>
      <c r="F135" s="2">
        <v>4.07</v>
      </c>
    </row>
    <row r="136" spans="1:6" x14ac:dyDescent="0.25">
      <c r="A136" t="s">
        <v>2130</v>
      </c>
      <c r="B136" t="s">
        <v>2131</v>
      </c>
      <c r="C136" t="s">
        <v>1953</v>
      </c>
      <c r="D136" t="s">
        <v>1940</v>
      </c>
      <c r="F136" s="2">
        <v>8.23</v>
      </c>
    </row>
    <row r="137" spans="1:6" x14ac:dyDescent="0.25">
      <c r="A137" t="s">
        <v>2132</v>
      </c>
      <c r="B137" t="s">
        <v>2133</v>
      </c>
      <c r="C137" t="s">
        <v>1953</v>
      </c>
      <c r="D137" t="s">
        <v>1940</v>
      </c>
      <c r="F137" s="2">
        <v>8.23</v>
      </c>
    </row>
    <row r="138" spans="1:6" x14ac:dyDescent="0.25">
      <c r="A138" t="s">
        <v>2134</v>
      </c>
      <c r="B138" t="s">
        <v>2135</v>
      </c>
      <c r="C138" t="s">
        <v>1953</v>
      </c>
      <c r="D138" t="s">
        <v>1940</v>
      </c>
      <c r="F138" s="2">
        <v>5</v>
      </c>
    </row>
    <row r="139" spans="1:6" x14ac:dyDescent="0.25">
      <c r="A139" t="s">
        <v>2136</v>
      </c>
      <c r="B139" t="s">
        <v>2137</v>
      </c>
      <c r="C139" t="s">
        <v>1953</v>
      </c>
      <c r="D139" t="s">
        <v>1940</v>
      </c>
      <c r="F139" s="2">
        <v>5.31</v>
      </c>
    </row>
    <row r="140" spans="1:6" x14ac:dyDescent="0.25">
      <c r="A140" t="s">
        <v>2138</v>
      </c>
      <c r="B140" t="s">
        <v>2139</v>
      </c>
      <c r="C140" t="s">
        <v>1953</v>
      </c>
      <c r="D140" t="s">
        <v>1940</v>
      </c>
      <c r="F140" s="2">
        <v>5</v>
      </c>
    </row>
    <row r="141" spans="1:6" x14ac:dyDescent="0.25">
      <c r="A141" t="s">
        <v>2140</v>
      </c>
      <c r="B141" t="s">
        <v>2141</v>
      </c>
      <c r="C141" t="s">
        <v>1953</v>
      </c>
      <c r="D141" t="s">
        <v>1940</v>
      </c>
      <c r="F141" s="2">
        <v>6.47</v>
      </c>
    </row>
    <row r="142" spans="1:6" x14ac:dyDescent="0.25">
      <c r="A142" t="s">
        <v>2142</v>
      </c>
      <c r="B142" t="s">
        <v>2143</v>
      </c>
      <c r="C142" t="s">
        <v>1953</v>
      </c>
      <c r="D142" t="s">
        <v>1940</v>
      </c>
      <c r="F142" s="2">
        <v>5.63</v>
      </c>
    </row>
    <row r="143" spans="1:6" x14ac:dyDescent="0.25">
      <c r="A143" t="s">
        <v>2144</v>
      </c>
      <c r="B143" t="s">
        <v>2145</v>
      </c>
      <c r="C143" t="s">
        <v>1953</v>
      </c>
      <c r="D143" t="s">
        <v>1940</v>
      </c>
      <c r="F143" s="2">
        <v>5.63</v>
      </c>
    </row>
    <row r="144" spans="1:6" x14ac:dyDescent="0.25">
      <c r="A144" t="s">
        <v>2146</v>
      </c>
      <c r="B144" t="s">
        <v>2147</v>
      </c>
      <c r="C144" t="s">
        <v>1953</v>
      </c>
      <c r="D144" t="s">
        <v>1940</v>
      </c>
      <c r="F144" s="2">
        <v>6.47</v>
      </c>
    </row>
    <row r="145" spans="1:6" x14ac:dyDescent="0.25">
      <c r="A145" t="s">
        <v>2148</v>
      </c>
      <c r="B145" t="s">
        <v>2149</v>
      </c>
      <c r="C145" t="s">
        <v>1953</v>
      </c>
      <c r="D145" t="s">
        <v>1940</v>
      </c>
      <c r="F145" s="2">
        <v>6.47</v>
      </c>
    </row>
    <row r="146" spans="1:6" x14ac:dyDescent="0.25">
      <c r="A146" t="s">
        <v>2150</v>
      </c>
      <c r="B146" t="s">
        <v>2151</v>
      </c>
      <c r="C146" t="s">
        <v>1953</v>
      </c>
      <c r="D146" t="s">
        <v>1940</v>
      </c>
      <c r="F146" s="2">
        <v>5.63</v>
      </c>
    </row>
    <row r="147" spans="1:6" x14ac:dyDescent="0.25">
      <c r="A147" t="s">
        <v>2152</v>
      </c>
      <c r="B147" t="s">
        <v>2153</v>
      </c>
      <c r="C147" t="s">
        <v>1953</v>
      </c>
      <c r="D147" t="s">
        <v>1940</v>
      </c>
      <c r="F147" s="2">
        <v>5.94</v>
      </c>
    </row>
    <row r="148" spans="1:6" x14ac:dyDescent="0.25">
      <c r="A148" t="s">
        <v>2154</v>
      </c>
      <c r="B148" t="s">
        <v>2155</v>
      </c>
      <c r="C148" t="s">
        <v>1953</v>
      </c>
      <c r="D148" t="s">
        <v>1940</v>
      </c>
      <c r="F148" s="2">
        <v>6.17</v>
      </c>
    </row>
    <row r="149" spans="1:6" x14ac:dyDescent="0.25">
      <c r="A149" t="s">
        <v>2156</v>
      </c>
      <c r="B149" t="s">
        <v>2157</v>
      </c>
      <c r="C149" t="s">
        <v>1953</v>
      </c>
      <c r="D149" t="s">
        <v>1940</v>
      </c>
      <c r="F149" s="2">
        <v>5.94</v>
      </c>
    </row>
    <row r="150" spans="1:6" x14ac:dyDescent="0.25">
      <c r="A150" t="s">
        <v>2158</v>
      </c>
      <c r="B150" t="s">
        <v>2159</v>
      </c>
      <c r="C150" t="s">
        <v>1953</v>
      </c>
      <c r="D150" t="s">
        <v>1940</v>
      </c>
      <c r="F150" s="2">
        <v>5.94</v>
      </c>
    </row>
    <row r="151" spans="1:6" x14ac:dyDescent="0.25">
      <c r="A151" t="s">
        <v>2160</v>
      </c>
      <c r="B151" t="s">
        <v>2161</v>
      </c>
      <c r="C151" t="s">
        <v>1953</v>
      </c>
      <c r="D151" t="s">
        <v>1940</v>
      </c>
      <c r="F151" s="2">
        <v>4.99</v>
      </c>
    </row>
    <row r="152" spans="1:6" x14ac:dyDescent="0.25">
      <c r="A152" t="s">
        <v>2162</v>
      </c>
      <c r="B152" t="s">
        <v>2163</v>
      </c>
      <c r="C152" t="s">
        <v>1953</v>
      </c>
      <c r="D152" t="s">
        <v>1940</v>
      </c>
      <c r="F152" s="2">
        <v>4.99</v>
      </c>
    </row>
    <row r="153" spans="1:6" x14ac:dyDescent="0.25">
      <c r="A153" t="s">
        <v>2164</v>
      </c>
      <c r="B153" t="s">
        <v>2165</v>
      </c>
      <c r="C153" t="s">
        <v>1953</v>
      </c>
      <c r="D153" t="s">
        <v>1940</v>
      </c>
      <c r="F153" s="2">
        <v>4.99</v>
      </c>
    </row>
    <row r="154" spans="1:6" x14ac:dyDescent="0.25">
      <c r="A154" t="s">
        <v>2166</v>
      </c>
      <c r="B154" t="s">
        <v>2167</v>
      </c>
      <c r="C154" t="s">
        <v>1953</v>
      </c>
      <c r="D154" t="s">
        <v>1940</v>
      </c>
      <c r="F154" s="2">
        <v>1.77</v>
      </c>
    </row>
    <row r="155" spans="1:6" x14ac:dyDescent="0.25">
      <c r="A155" t="s">
        <v>2168</v>
      </c>
      <c r="B155" t="s">
        <v>2169</v>
      </c>
      <c r="C155" t="s">
        <v>1953</v>
      </c>
      <c r="D155" t="s">
        <v>1940</v>
      </c>
      <c r="F155" s="2">
        <v>1.77</v>
      </c>
    </row>
    <row r="156" spans="1:6" x14ac:dyDescent="0.25">
      <c r="A156" t="s">
        <v>2170</v>
      </c>
      <c r="B156" t="s">
        <v>2171</v>
      </c>
      <c r="C156" t="s">
        <v>1953</v>
      </c>
      <c r="D156" t="s">
        <v>1940</v>
      </c>
      <c r="F156" s="2">
        <v>1.37</v>
      </c>
    </row>
    <row r="157" spans="1:6" x14ac:dyDescent="0.25">
      <c r="A157" t="s">
        <v>2172</v>
      </c>
      <c r="B157" t="s">
        <v>2173</v>
      </c>
      <c r="C157" t="s">
        <v>1953</v>
      </c>
      <c r="D157" t="s">
        <v>1940</v>
      </c>
      <c r="F157" s="2">
        <v>1.37</v>
      </c>
    </row>
    <row r="158" spans="1:6" x14ac:dyDescent="0.25">
      <c r="A158" t="s">
        <v>2174</v>
      </c>
      <c r="B158" t="s">
        <v>2175</v>
      </c>
      <c r="C158" t="s">
        <v>1953</v>
      </c>
      <c r="D158" t="s">
        <v>1940</v>
      </c>
      <c r="F158" s="2">
        <v>1.37</v>
      </c>
    </row>
    <row r="159" spans="1:6" x14ac:dyDescent="0.25">
      <c r="A159" t="s">
        <v>2176</v>
      </c>
      <c r="B159" t="s">
        <v>2177</v>
      </c>
      <c r="C159" t="s">
        <v>1953</v>
      </c>
      <c r="D159" t="s">
        <v>1940</v>
      </c>
      <c r="F159" s="2">
        <v>1.37</v>
      </c>
    </row>
    <row r="160" spans="1:6" x14ac:dyDescent="0.25">
      <c r="A160" t="s">
        <v>2178</v>
      </c>
      <c r="B160" t="s">
        <v>2179</v>
      </c>
      <c r="C160" t="s">
        <v>1953</v>
      </c>
      <c r="D160" t="s">
        <v>1940</v>
      </c>
      <c r="F160" s="2">
        <v>1.69</v>
      </c>
    </row>
    <row r="161" spans="1:6" x14ac:dyDescent="0.25">
      <c r="A161" t="s">
        <v>2180</v>
      </c>
      <c r="B161" t="s">
        <v>2181</v>
      </c>
      <c r="C161" t="s">
        <v>1953</v>
      </c>
      <c r="D161" t="s">
        <v>1940</v>
      </c>
      <c r="F161" s="2">
        <v>1.77</v>
      </c>
    </row>
    <row r="162" spans="1:6" x14ac:dyDescent="0.25">
      <c r="A162" t="s">
        <v>2182</v>
      </c>
      <c r="B162" t="s">
        <v>2183</v>
      </c>
      <c r="C162" t="s">
        <v>1953</v>
      </c>
      <c r="D162" t="s">
        <v>1940</v>
      </c>
      <c r="F162" s="2">
        <v>1.87</v>
      </c>
    </row>
    <row r="163" spans="1:6" x14ac:dyDescent="0.25">
      <c r="A163" t="s">
        <v>2184</v>
      </c>
      <c r="B163" t="s">
        <v>2185</v>
      </c>
      <c r="C163" t="s">
        <v>1953</v>
      </c>
      <c r="D163" t="s">
        <v>1940</v>
      </c>
      <c r="F163" s="2">
        <v>2.6</v>
      </c>
    </row>
    <row r="164" spans="1:6" x14ac:dyDescent="0.25">
      <c r="A164" t="s">
        <v>2186</v>
      </c>
      <c r="B164" t="s">
        <v>2187</v>
      </c>
      <c r="C164" t="s">
        <v>1953</v>
      </c>
      <c r="D164" t="s">
        <v>1940</v>
      </c>
      <c r="F164" s="2">
        <v>2.6</v>
      </c>
    </row>
    <row r="165" spans="1:6" x14ac:dyDescent="0.25">
      <c r="A165" t="s">
        <v>2188</v>
      </c>
      <c r="B165" t="s">
        <v>2189</v>
      </c>
      <c r="C165" t="s">
        <v>1953</v>
      </c>
      <c r="D165" t="s">
        <v>1940</v>
      </c>
      <c r="F165" s="2">
        <v>6.33</v>
      </c>
    </row>
    <row r="166" spans="1:6" x14ac:dyDescent="0.25">
      <c r="A166" t="s">
        <v>2190</v>
      </c>
      <c r="B166" t="s">
        <v>2191</v>
      </c>
      <c r="C166" t="s">
        <v>1953</v>
      </c>
      <c r="D166" t="s">
        <v>1940</v>
      </c>
      <c r="F166" s="2">
        <v>6.33</v>
      </c>
    </row>
    <row r="167" spans="1:6" x14ac:dyDescent="0.25">
      <c r="A167" t="s">
        <v>2192</v>
      </c>
      <c r="B167" t="s">
        <v>2193</v>
      </c>
      <c r="C167" t="s">
        <v>1953</v>
      </c>
      <c r="D167" t="s">
        <v>1940</v>
      </c>
      <c r="F167" s="2">
        <v>2.44</v>
      </c>
    </row>
    <row r="168" spans="1:6" x14ac:dyDescent="0.25">
      <c r="A168" t="s">
        <v>2194</v>
      </c>
      <c r="B168" t="s">
        <v>2195</v>
      </c>
      <c r="C168" t="s">
        <v>1953</v>
      </c>
      <c r="D168" t="s">
        <v>1940</v>
      </c>
      <c r="F168" s="2">
        <v>5.67</v>
      </c>
    </row>
    <row r="169" spans="1:6" x14ac:dyDescent="0.25">
      <c r="A169" t="s">
        <v>2196</v>
      </c>
      <c r="B169" t="s">
        <v>2197</v>
      </c>
      <c r="C169" t="s">
        <v>1953</v>
      </c>
      <c r="D169" t="s">
        <v>1940</v>
      </c>
      <c r="F169" s="2">
        <v>7.11</v>
      </c>
    </row>
    <row r="170" spans="1:6" x14ac:dyDescent="0.25">
      <c r="A170" t="s">
        <v>2198</v>
      </c>
      <c r="B170" t="s">
        <v>2199</v>
      </c>
      <c r="C170" t="s">
        <v>1953</v>
      </c>
      <c r="D170" t="s">
        <v>1940</v>
      </c>
      <c r="F170" s="2">
        <v>1.4</v>
      </c>
    </row>
    <row r="171" spans="1:6" x14ac:dyDescent="0.25">
      <c r="A171" t="s">
        <v>2200</v>
      </c>
      <c r="B171" t="s">
        <v>2201</v>
      </c>
      <c r="C171" t="s">
        <v>1953</v>
      </c>
      <c r="D171" t="s">
        <v>1940</v>
      </c>
      <c r="F171" s="2">
        <v>1.79</v>
      </c>
    </row>
    <row r="172" spans="1:6" x14ac:dyDescent="0.25">
      <c r="A172" t="s">
        <v>2202</v>
      </c>
      <c r="B172" t="s">
        <v>2203</v>
      </c>
      <c r="C172" t="s">
        <v>1953</v>
      </c>
      <c r="D172" t="s">
        <v>1940</v>
      </c>
      <c r="F172" s="2">
        <v>3.69</v>
      </c>
    </row>
    <row r="173" spans="1:6" x14ac:dyDescent="0.25">
      <c r="A173" t="s">
        <v>2204</v>
      </c>
      <c r="B173" t="s">
        <v>2205</v>
      </c>
      <c r="C173" t="s">
        <v>1953</v>
      </c>
      <c r="D173" t="s">
        <v>1940</v>
      </c>
      <c r="F173" s="2">
        <v>5.43</v>
      </c>
    </row>
    <row r="174" spans="1:6" x14ac:dyDescent="0.25">
      <c r="A174" t="s">
        <v>2206</v>
      </c>
      <c r="B174" t="s">
        <v>2207</v>
      </c>
      <c r="C174" t="s">
        <v>1953</v>
      </c>
      <c r="D174" t="s">
        <v>1940</v>
      </c>
      <c r="F174" s="2">
        <v>5.43</v>
      </c>
    </row>
    <row r="175" spans="1:6" x14ac:dyDescent="0.25">
      <c r="A175" t="s">
        <v>2208</v>
      </c>
      <c r="B175" t="s">
        <v>2209</v>
      </c>
      <c r="C175" t="s">
        <v>1953</v>
      </c>
      <c r="D175" t="s">
        <v>1940</v>
      </c>
      <c r="F175" s="2">
        <v>4.74</v>
      </c>
    </row>
    <row r="176" spans="1:6" x14ac:dyDescent="0.25">
      <c r="A176" t="s">
        <v>2210</v>
      </c>
      <c r="B176" t="s">
        <v>2211</v>
      </c>
      <c r="C176" t="s">
        <v>1953</v>
      </c>
      <c r="D176" t="s">
        <v>1940</v>
      </c>
      <c r="F176" s="2">
        <v>2.31</v>
      </c>
    </row>
    <row r="177" spans="1:6" x14ac:dyDescent="0.25">
      <c r="A177" t="s">
        <v>2212</v>
      </c>
      <c r="B177" t="s">
        <v>2213</v>
      </c>
      <c r="C177" t="s">
        <v>1953</v>
      </c>
      <c r="D177" t="s">
        <v>1940</v>
      </c>
      <c r="F177" s="2">
        <v>3.84</v>
      </c>
    </row>
    <row r="178" spans="1:6" x14ac:dyDescent="0.25">
      <c r="A178" t="s">
        <v>2214</v>
      </c>
      <c r="B178" t="s">
        <v>2215</v>
      </c>
      <c r="C178" t="s">
        <v>1953</v>
      </c>
      <c r="D178" t="s">
        <v>1940</v>
      </c>
      <c r="F178" s="2">
        <v>10.09</v>
      </c>
    </row>
    <row r="179" spans="1:6" x14ac:dyDescent="0.25">
      <c r="A179" t="s">
        <v>2216</v>
      </c>
      <c r="B179" t="s">
        <v>2217</v>
      </c>
      <c r="C179" t="s">
        <v>1953</v>
      </c>
      <c r="D179" t="s">
        <v>1940</v>
      </c>
      <c r="F179" s="2">
        <v>10.96</v>
      </c>
    </row>
    <row r="180" spans="1:6" x14ac:dyDescent="0.25">
      <c r="A180" t="s">
        <v>2218</v>
      </c>
      <c r="B180" t="s">
        <v>2219</v>
      </c>
      <c r="C180" t="s">
        <v>1953</v>
      </c>
      <c r="D180" t="s">
        <v>1940</v>
      </c>
      <c r="F180" s="2">
        <v>3.4</v>
      </c>
    </row>
    <row r="181" spans="1:6" x14ac:dyDescent="0.25">
      <c r="A181" t="s">
        <v>2220</v>
      </c>
      <c r="B181" t="s">
        <v>2221</v>
      </c>
      <c r="C181" t="s">
        <v>1953</v>
      </c>
      <c r="D181" t="s">
        <v>1940</v>
      </c>
      <c r="F181" s="2">
        <v>14.71</v>
      </c>
    </row>
    <row r="182" spans="1:6" x14ac:dyDescent="0.25">
      <c r="A182" t="s">
        <v>2222</v>
      </c>
      <c r="B182" t="s">
        <v>2223</v>
      </c>
      <c r="C182" t="s">
        <v>1953</v>
      </c>
      <c r="D182" t="s">
        <v>1940</v>
      </c>
      <c r="F182" s="2">
        <v>12.76</v>
      </c>
    </row>
    <row r="183" spans="1:6" x14ac:dyDescent="0.25">
      <c r="A183" t="s">
        <v>2224</v>
      </c>
      <c r="B183" t="s">
        <v>2225</v>
      </c>
      <c r="C183" t="s">
        <v>1953</v>
      </c>
      <c r="D183" t="s">
        <v>1940</v>
      </c>
      <c r="F183" s="2">
        <v>3.23</v>
      </c>
    </row>
    <row r="184" spans="1:6" x14ac:dyDescent="0.25">
      <c r="A184" t="s">
        <v>2226</v>
      </c>
      <c r="B184" t="s">
        <v>2227</v>
      </c>
      <c r="C184" t="s">
        <v>1953</v>
      </c>
      <c r="D184" t="s">
        <v>1940</v>
      </c>
      <c r="F184" s="2">
        <v>3.23</v>
      </c>
    </row>
    <row r="185" spans="1:6" x14ac:dyDescent="0.25">
      <c r="A185" t="s">
        <v>2228</v>
      </c>
      <c r="B185" t="s">
        <v>2229</v>
      </c>
      <c r="C185" t="s">
        <v>1953</v>
      </c>
      <c r="D185" t="s">
        <v>1940</v>
      </c>
      <c r="F185" s="2">
        <v>3.23</v>
      </c>
    </row>
    <row r="186" spans="1:6" x14ac:dyDescent="0.25">
      <c r="A186" t="s">
        <v>2230</v>
      </c>
      <c r="B186" t="s">
        <v>2231</v>
      </c>
      <c r="C186" t="s">
        <v>1953</v>
      </c>
      <c r="D186" t="s">
        <v>1940</v>
      </c>
      <c r="F186" s="2">
        <v>3.94</v>
      </c>
    </row>
    <row r="187" spans="1:6" x14ac:dyDescent="0.25">
      <c r="A187" t="s">
        <v>2232</v>
      </c>
      <c r="B187" t="s">
        <v>2233</v>
      </c>
      <c r="C187" t="s">
        <v>1953</v>
      </c>
      <c r="D187" t="s">
        <v>1940</v>
      </c>
      <c r="F187" s="2">
        <v>4.21</v>
      </c>
    </row>
    <row r="188" spans="1:6" x14ac:dyDescent="0.25">
      <c r="A188" t="s">
        <v>2234</v>
      </c>
      <c r="B188" t="s">
        <v>2235</v>
      </c>
      <c r="C188" t="s">
        <v>1953</v>
      </c>
      <c r="D188" t="s">
        <v>1940</v>
      </c>
      <c r="F188" s="2">
        <v>3.94</v>
      </c>
    </row>
    <row r="189" spans="1:6" x14ac:dyDescent="0.25">
      <c r="A189" t="s">
        <v>2236</v>
      </c>
      <c r="B189" t="s">
        <v>2237</v>
      </c>
      <c r="C189" t="s">
        <v>1953</v>
      </c>
      <c r="D189" t="s">
        <v>1940</v>
      </c>
      <c r="F189" s="2">
        <v>3.94</v>
      </c>
    </row>
    <row r="190" spans="1:6" x14ac:dyDescent="0.25">
      <c r="A190" t="s">
        <v>2238</v>
      </c>
      <c r="B190" t="s">
        <v>2239</v>
      </c>
      <c r="C190" t="s">
        <v>1953</v>
      </c>
      <c r="D190" t="s">
        <v>1940</v>
      </c>
      <c r="F190" s="2">
        <v>3.94</v>
      </c>
    </row>
    <row r="191" spans="1:6" x14ac:dyDescent="0.25">
      <c r="A191" t="s">
        <v>2240</v>
      </c>
      <c r="B191" t="s">
        <v>2241</v>
      </c>
      <c r="C191" t="s">
        <v>1953</v>
      </c>
      <c r="D191" t="s">
        <v>1940</v>
      </c>
      <c r="F191" s="2">
        <v>3.94</v>
      </c>
    </row>
    <row r="192" spans="1:6" x14ac:dyDescent="0.25">
      <c r="A192" t="s">
        <v>2242</v>
      </c>
      <c r="B192" t="s">
        <v>2243</v>
      </c>
      <c r="C192" t="s">
        <v>1953</v>
      </c>
      <c r="D192" t="s">
        <v>1940</v>
      </c>
      <c r="F192" s="2">
        <v>3.94</v>
      </c>
    </row>
    <row r="193" spans="1:6" x14ac:dyDescent="0.25">
      <c r="A193" t="s">
        <v>2244</v>
      </c>
      <c r="B193" t="s">
        <v>2245</v>
      </c>
      <c r="C193" t="s">
        <v>1953</v>
      </c>
      <c r="D193" t="s">
        <v>1940</v>
      </c>
      <c r="F193" s="2">
        <v>346.32</v>
      </c>
    </row>
    <row r="194" spans="1:6" x14ac:dyDescent="0.25">
      <c r="A194" t="s">
        <v>61</v>
      </c>
      <c r="B194" t="s">
        <v>2246</v>
      </c>
      <c r="C194" t="s">
        <v>1953</v>
      </c>
      <c r="D194" t="s">
        <v>1954</v>
      </c>
      <c r="E194" t="s">
        <v>61</v>
      </c>
      <c r="F194" s="2">
        <v>66.17</v>
      </c>
    </row>
    <row r="195" spans="1:6" x14ac:dyDescent="0.25">
      <c r="A195" t="s">
        <v>68</v>
      </c>
      <c r="B195" t="s">
        <v>2247</v>
      </c>
      <c r="C195" t="s">
        <v>1953</v>
      </c>
      <c r="D195" t="s">
        <v>1954</v>
      </c>
      <c r="E195" t="s">
        <v>61</v>
      </c>
      <c r="F195" s="2">
        <v>66.17</v>
      </c>
    </row>
    <row r="196" spans="1:6" x14ac:dyDescent="0.25">
      <c r="A196" t="s">
        <v>70</v>
      </c>
      <c r="B196" t="s">
        <v>2248</v>
      </c>
      <c r="C196" t="s">
        <v>1953</v>
      </c>
      <c r="D196" t="s">
        <v>1954</v>
      </c>
      <c r="E196" t="s">
        <v>61</v>
      </c>
      <c r="F196" s="2">
        <v>66.17</v>
      </c>
    </row>
    <row r="197" spans="1:6" x14ac:dyDescent="0.25">
      <c r="A197" t="s">
        <v>72</v>
      </c>
      <c r="B197" t="s">
        <v>2249</v>
      </c>
      <c r="C197" t="s">
        <v>1953</v>
      </c>
      <c r="D197" t="s">
        <v>1954</v>
      </c>
      <c r="E197" t="s">
        <v>61</v>
      </c>
      <c r="F197" s="2">
        <v>66.17</v>
      </c>
    </row>
    <row r="198" spans="1:6" x14ac:dyDescent="0.25">
      <c r="A198" t="s">
        <v>74</v>
      </c>
      <c r="B198" t="s">
        <v>2250</v>
      </c>
      <c r="C198" t="s">
        <v>1953</v>
      </c>
      <c r="D198" t="s">
        <v>1954</v>
      </c>
      <c r="E198" t="s">
        <v>61</v>
      </c>
      <c r="F198" s="2">
        <v>66.17</v>
      </c>
    </row>
    <row r="199" spans="1:6" x14ac:dyDescent="0.25">
      <c r="A199" t="s">
        <v>76</v>
      </c>
      <c r="B199" t="s">
        <v>2251</v>
      </c>
      <c r="C199" t="s">
        <v>1953</v>
      </c>
      <c r="D199" t="s">
        <v>1954</v>
      </c>
      <c r="E199" t="s">
        <v>61</v>
      </c>
      <c r="F199" s="2">
        <v>66.17</v>
      </c>
    </row>
    <row r="200" spans="1:6" x14ac:dyDescent="0.25">
      <c r="A200" t="s">
        <v>78</v>
      </c>
      <c r="B200" t="s">
        <v>2252</v>
      </c>
      <c r="C200" t="s">
        <v>1953</v>
      </c>
      <c r="D200" t="s">
        <v>1954</v>
      </c>
      <c r="E200" t="s">
        <v>78</v>
      </c>
      <c r="F200" s="2">
        <v>78.739999999999995</v>
      </c>
    </row>
    <row r="201" spans="1:6" x14ac:dyDescent="0.25">
      <c r="A201" t="s">
        <v>80</v>
      </c>
      <c r="B201" t="s">
        <v>2253</v>
      </c>
      <c r="C201" t="s">
        <v>1953</v>
      </c>
      <c r="D201" t="s">
        <v>1954</v>
      </c>
      <c r="E201" t="s">
        <v>78</v>
      </c>
      <c r="F201" s="2">
        <v>78.739999999999995</v>
      </c>
    </row>
    <row r="202" spans="1:6" x14ac:dyDescent="0.25">
      <c r="A202" t="s">
        <v>81</v>
      </c>
      <c r="B202" t="s">
        <v>2254</v>
      </c>
      <c r="C202" t="s">
        <v>1953</v>
      </c>
      <c r="D202" t="s">
        <v>1954</v>
      </c>
      <c r="E202" t="s">
        <v>78</v>
      </c>
      <c r="F202" s="2">
        <v>78.739999999999995</v>
      </c>
    </row>
    <row r="203" spans="1:6" x14ac:dyDescent="0.25">
      <c r="A203" t="s">
        <v>82</v>
      </c>
      <c r="B203" t="s">
        <v>2255</v>
      </c>
      <c r="C203" t="s">
        <v>1953</v>
      </c>
      <c r="D203" t="s">
        <v>1954</v>
      </c>
      <c r="E203" t="s">
        <v>78</v>
      </c>
      <c r="F203" s="2">
        <v>78.739999999999995</v>
      </c>
    </row>
    <row r="204" spans="1:6" x14ac:dyDescent="0.25">
      <c r="A204" t="s">
        <v>83</v>
      </c>
      <c r="B204" t="s">
        <v>2256</v>
      </c>
      <c r="C204" t="s">
        <v>1953</v>
      </c>
      <c r="D204" t="s">
        <v>1954</v>
      </c>
      <c r="E204" t="s">
        <v>78</v>
      </c>
      <c r="F204" s="2">
        <v>78.739999999999995</v>
      </c>
    </row>
    <row r="205" spans="1:6" x14ac:dyDescent="0.25">
      <c r="A205" t="s">
        <v>84</v>
      </c>
      <c r="B205" t="s">
        <v>2257</v>
      </c>
      <c r="C205" t="s">
        <v>1953</v>
      </c>
      <c r="D205" t="s">
        <v>1954</v>
      </c>
      <c r="E205" t="s">
        <v>78</v>
      </c>
      <c r="F205" s="2">
        <v>78.739999999999995</v>
      </c>
    </row>
    <row r="206" spans="1:6" x14ac:dyDescent="0.25">
      <c r="A206" t="s">
        <v>2258</v>
      </c>
      <c r="B206" t="s">
        <v>2259</v>
      </c>
      <c r="C206" t="s">
        <v>1953</v>
      </c>
      <c r="D206" t="s">
        <v>1940</v>
      </c>
      <c r="F206" s="2">
        <v>73.180000000000007</v>
      </c>
    </row>
    <row r="207" spans="1:6" x14ac:dyDescent="0.25">
      <c r="A207" t="s">
        <v>2260</v>
      </c>
      <c r="B207" t="s">
        <v>2261</v>
      </c>
      <c r="C207" t="s">
        <v>1953</v>
      </c>
      <c r="D207" t="s">
        <v>1940</v>
      </c>
      <c r="F207" s="2">
        <v>73.180000000000007</v>
      </c>
    </row>
    <row r="208" spans="1:6" x14ac:dyDescent="0.25">
      <c r="A208" t="s">
        <v>2262</v>
      </c>
      <c r="B208" t="s">
        <v>2263</v>
      </c>
      <c r="C208" t="s">
        <v>1953</v>
      </c>
      <c r="D208" t="s">
        <v>1940</v>
      </c>
      <c r="F208" s="2">
        <v>73.180000000000007</v>
      </c>
    </row>
    <row r="209" spans="1:6" x14ac:dyDescent="0.25">
      <c r="A209" t="s">
        <v>2264</v>
      </c>
      <c r="B209" t="s">
        <v>2265</v>
      </c>
      <c r="C209" t="s">
        <v>1953</v>
      </c>
      <c r="D209" t="s">
        <v>1940</v>
      </c>
      <c r="F209" s="2">
        <v>73.180000000000007</v>
      </c>
    </row>
    <row r="210" spans="1:6" x14ac:dyDescent="0.25">
      <c r="A210" t="s">
        <v>2266</v>
      </c>
      <c r="B210" t="s">
        <v>2267</v>
      </c>
      <c r="C210" t="s">
        <v>1953</v>
      </c>
      <c r="D210" t="s">
        <v>1940</v>
      </c>
      <c r="F210" s="2">
        <v>73.180000000000007</v>
      </c>
    </row>
    <row r="211" spans="1:6" x14ac:dyDescent="0.25">
      <c r="A211" t="s">
        <v>2268</v>
      </c>
      <c r="B211" t="s">
        <v>2269</v>
      </c>
      <c r="C211" t="s">
        <v>1953</v>
      </c>
      <c r="D211" t="s">
        <v>1940</v>
      </c>
      <c r="F211" s="2">
        <v>73.180000000000007</v>
      </c>
    </row>
    <row r="212" spans="1:6" x14ac:dyDescent="0.25">
      <c r="A212" t="s">
        <v>2270</v>
      </c>
      <c r="B212" t="s">
        <v>2271</v>
      </c>
      <c r="C212" t="s">
        <v>1953</v>
      </c>
      <c r="D212" t="s">
        <v>1940</v>
      </c>
      <c r="F212" s="2">
        <v>73.180000000000007</v>
      </c>
    </row>
    <row r="213" spans="1:6" x14ac:dyDescent="0.25">
      <c r="A213" t="s">
        <v>2272</v>
      </c>
      <c r="B213" t="s">
        <v>2273</v>
      </c>
      <c r="C213" t="s">
        <v>1953</v>
      </c>
      <c r="D213" t="s">
        <v>1954</v>
      </c>
      <c r="F213" s="2">
        <v>3.13</v>
      </c>
    </row>
    <row r="214" spans="1:6" x14ac:dyDescent="0.25">
      <c r="A214" t="s">
        <v>2274</v>
      </c>
      <c r="B214" t="s">
        <v>2275</v>
      </c>
      <c r="C214" t="s">
        <v>1953</v>
      </c>
      <c r="D214" t="s">
        <v>1954</v>
      </c>
      <c r="F214" s="2">
        <v>3.13</v>
      </c>
    </row>
    <row r="215" spans="1:6" x14ac:dyDescent="0.25">
      <c r="A215" t="s">
        <v>2276</v>
      </c>
      <c r="B215" t="s">
        <v>2277</v>
      </c>
      <c r="C215" t="s">
        <v>1953</v>
      </c>
      <c r="D215" t="s">
        <v>1954</v>
      </c>
      <c r="F215" s="2">
        <v>3.13</v>
      </c>
    </row>
    <row r="216" spans="1:6" x14ac:dyDescent="0.25">
      <c r="A216" t="s">
        <v>2278</v>
      </c>
      <c r="B216" t="s">
        <v>2279</v>
      </c>
      <c r="C216" t="s">
        <v>1953</v>
      </c>
      <c r="D216" t="s">
        <v>1954</v>
      </c>
      <c r="F216" s="2">
        <v>4.96</v>
      </c>
    </row>
    <row r="217" spans="1:6" x14ac:dyDescent="0.25">
      <c r="A217" t="s">
        <v>2280</v>
      </c>
      <c r="B217" t="s">
        <v>2281</v>
      </c>
      <c r="C217" t="s">
        <v>1953</v>
      </c>
      <c r="D217" t="s">
        <v>1954</v>
      </c>
      <c r="F217" s="2">
        <v>4.96</v>
      </c>
    </row>
    <row r="218" spans="1:6" x14ac:dyDescent="0.25">
      <c r="A218" t="s">
        <v>2282</v>
      </c>
      <c r="B218" t="s">
        <v>2283</v>
      </c>
      <c r="C218" t="s">
        <v>1953</v>
      </c>
      <c r="D218" t="s">
        <v>1940</v>
      </c>
      <c r="F218" s="2">
        <v>22.8</v>
      </c>
    </row>
    <row r="219" spans="1:6" x14ac:dyDescent="0.25">
      <c r="A219" t="s">
        <v>2284</v>
      </c>
      <c r="B219" t="s">
        <v>2285</v>
      </c>
      <c r="C219" t="s">
        <v>1953</v>
      </c>
      <c r="D219" t="s">
        <v>1940</v>
      </c>
      <c r="F219" s="2">
        <v>48.78</v>
      </c>
    </row>
    <row r="220" spans="1:6" x14ac:dyDescent="0.25">
      <c r="A220" t="s">
        <v>2286</v>
      </c>
      <c r="B220" t="s">
        <v>2287</v>
      </c>
      <c r="C220" t="s">
        <v>1953</v>
      </c>
      <c r="D220" t="s">
        <v>1940</v>
      </c>
      <c r="F220" s="2">
        <v>48.78</v>
      </c>
    </row>
    <row r="221" spans="1:6" x14ac:dyDescent="0.25">
      <c r="A221" t="s">
        <v>2288</v>
      </c>
      <c r="B221" t="s">
        <v>2289</v>
      </c>
      <c r="C221" t="s">
        <v>1953</v>
      </c>
      <c r="D221" t="s">
        <v>1940</v>
      </c>
      <c r="F221" s="2">
        <v>16.12</v>
      </c>
    </row>
    <row r="222" spans="1:6" x14ac:dyDescent="0.25">
      <c r="A222" t="s">
        <v>2290</v>
      </c>
      <c r="B222" t="s">
        <v>2291</v>
      </c>
      <c r="C222" t="s">
        <v>1953</v>
      </c>
      <c r="D222" t="s">
        <v>1940</v>
      </c>
      <c r="E222" t="s">
        <v>493</v>
      </c>
      <c r="F222" s="2">
        <v>18.87</v>
      </c>
    </row>
    <row r="223" spans="1:6" x14ac:dyDescent="0.25">
      <c r="A223" t="s">
        <v>2292</v>
      </c>
      <c r="B223" t="s">
        <v>2293</v>
      </c>
      <c r="C223" t="s">
        <v>1953</v>
      </c>
      <c r="D223" t="s">
        <v>1940</v>
      </c>
      <c r="F223" s="2">
        <v>6.76</v>
      </c>
    </row>
    <row r="224" spans="1:6" x14ac:dyDescent="0.25">
      <c r="A224" t="s">
        <v>85</v>
      </c>
      <c r="B224" t="s">
        <v>2294</v>
      </c>
      <c r="C224" t="s">
        <v>1953</v>
      </c>
      <c r="D224" t="s">
        <v>1954</v>
      </c>
      <c r="E224" t="s">
        <v>85</v>
      </c>
      <c r="F224" s="2">
        <v>15.67</v>
      </c>
    </row>
    <row r="225" spans="1:6" x14ac:dyDescent="0.25">
      <c r="A225" t="s">
        <v>98</v>
      </c>
      <c r="B225" t="s">
        <v>2295</v>
      </c>
      <c r="C225" t="s">
        <v>1953</v>
      </c>
      <c r="D225" t="s">
        <v>1954</v>
      </c>
      <c r="E225" t="s">
        <v>85</v>
      </c>
      <c r="F225" s="2">
        <v>15.67</v>
      </c>
    </row>
    <row r="226" spans="1:6" x14ac:dyDescent="0.25">
      <c r="A226" t="s">
        <v>100</v>
      </c>
      <c r="B226" t="s">
        <v>2296</v>
      </c>
      <c r="C226" t="s">
        <v>1953</v>
      </c>
      <c r="D226" t="s">
        <v>1954</v>
      </c>
      <c r="E226" t="s">
        <v>85</v>
      </c>
      <c r="F226" s="2">
        <v>15.67</v>
      </c>
    </row>
    <row r="227" spans="1:6" x14ac:dyDescent="0.25">
      <c r="A227" t="s">
        <v>103</v>
      </c>
      <c r="B227" t="s">
        <v>2297</v>
      </c>
      <c r="C227" t="s">
        <v>1953</v>
      </c>
      <c r="D227" t="s">
        <v>1954</v>
      </c>
      <c r="E227" t="s">
        <v>85</v>
      </c>
      <c r="F227" s="2">
        <v>16.36</v>
      </c>
    </row>
    <row r="228" spans="1:6" x14ac:dyDescent="0.25">
      <c r="A228" t="s">
        <v>220</v>
      </c>
      <c r="B228" t="s">
        <v>2298</v>
      </c>
      <c r="C228" t="s">
        <v>1953</v>
      </c>
      <c r="D228" t="s">
        <v>1954</v>
      </c>
      <c r="E228" t="s">
        <v>85</v>
      </c>
      <c r="F228" s="2">
        <v>16.36</v>
      </c>
    </row>
    <row r="229" spans="1:6" x14ac:dyDescent="0.25">
      <c r="A229" t="s">
        <v>222</v>
      </c>
      <c r="B229" t="s">
        <v>2299</v>
      </c>
      <c r="C229" t="s">
        <v>1953</v>
      </c>
      <c r="D229" t="s">
        <v>1954</v>
      </c>
      <c r="E229" t="s">
        <v>85</v>
      </c>
      <c r="F229" s="2">
        <v>16.36</v>
      </c>
    </row>
    <row r="230" spans="1:6" x14ac:dyDescent="0.25">
      <c r="A230" t="s">
        <v>224</v>
      </c>
      <c r="B230" t="s">
        <v>2300</v>
      </c>
      <c r="C230" t="s">
        <v>1953</v>
      </c>
      <c r="D230" t="s">
        <v>1954</v>
      </c>
      <c r="E230" t="s">
        <v>85</v>
      </c>
      <c r="F230" s="2">
        <v>16.36</v>
      </c>
    </row>
    <row r="231" spans="1:6" x14ac:dyDescent="0.25">
      <c r="A231" t="s">
        <v>226</v>
      </c>
      <c r="B231" t="s">
        <v>2301</v>
      </c>
      <c r="C231" t="s">
        <v>1953</v>
      </c>
      <c r="D231" t="s">
        <v>1954</v>
      </c>
      <c r="E231" t="s">
        <v>85</v>
      </c>
      <c r="F231" s="2">
        <v>19.79</v>
      </c>
    </row>
    <row r="232" spans="1:6" x14ac:dyDescent="0.25">
      <c r="A232" t="s">
        <v>228</v>
      </c>
      <c r="B232" t="s">
        <v>2302</v>
      </c>
      <c r="C232" t="s">
        <v>1953</v>
      </c>
      <c r="D232" t="s">
        <v>1954</v>
      </c>
      <c r="E232" t="s">
        <v>85</v>
      </c>
      <c r="F232" s="2">
        <v>19.79</v>
      </c>
    </row>
    <row r="233" spans="1:6" x14ac:dyDescent="0.25">
      <c r="A233" t="s">
        <v>230</v>
      </c>
      <c r="B233" t="s">
        <v>2303</v>
      </c>
      <c r="C233" t="s">
        <v>1953</v>
      </c>
      <c r="D233" t="s">
        <v>1954</v>
      </c>
      <c r="E233" t="s">
        <v>85</v>
      </c>
      <c r="F233" s="2">
        <v>16.36</v>
      </c>
    </row>
    <row r="234" spans="1:6" x14ac:dyDescent="0.25">
      <c r="A234" t="s">
        <v>232</v>
      </c>
      <c r="B234" t="s">
        <v>2304</v>
      </c>
      <c r="C234" t="s">
        <v>1953</v>
      </c>
      <c r="D234" t="s">
        <v>1954</v>
      </c>
      <c r="E234" t="s">
        <v>85</v>
      </c>
      <c r="F234" s="2">
        <v>16.36</v>
      </c>
    </row>
    <row r="235" spans="1:6" x14ac:dyDescent="0.25">
      <c r="A235" t="s">
        <v>234</v>
      </c>
      <c r="B235" t="s">
        <v>2305</v>
      </c>
      <c r="C235" t="s">
        <v>1953</v>
      </c>
      <c r="D235" t="s">
        <v>1954</v>
      </c>
      <c r="E235" t="s">
        <v>85</v>
      </c>
      <c r="F235" s="2">
        <v>19.79</v>
      </c>
    </row>
    <row r="236" spans="1:6" x14ac:dyDescent="0.25">
      <c r="A236" t="s">
        <v>236</v>
      </c>
      <c r="B236" t="s">
        <v>2306</v>
      </c>
      <c r="C236" t="s">
        <v>1953</v>
      </c>
      <c r="D236" t="s">
        <v>1954</v>
      </c>
      <c r="E236" t="s">
        <v>85</v>
      </c>
      <c r="F236" s="2">
        <v>16.36</v>
      </c>
    </row>
    <row r="237" spans="1:6" x14ac:dyDescent="0.25">
      <c r="A237" t="s">
        <v>238</v>
      </c>
      <c r="B237" t="s">
        <v>2307</v>
      </c>
      <c r="C237" t="s">
        <v>1953</v>
      </c>
      <c r="D237" t="s">
        <v>1954</v>
      </c>
      <c r="E237" t="s">
        <v>85</v>
      </c>
      <c r="F237" s="2">
        <v>19.79</v>
      </c>
    </row>
    <row r="238" spans="1:6" x14ac:dyDescent="0.25">
      <c r="A238" t="s">
        <v>240</v>
      </c>
      <c r="B238" t="s">
        <v>2308</v>
      </c>
      <c r="C238" t="s">
        <v>1953</v>
      </c>
      <c r="D238" t="s">
        <v>1954</v>
      </c>
      <c r="E238" t="s">
        <v>85</v>
      </c>
      <c r="F238" s="2">
        <v>19.79</v>
      </c>
    </row>
    <row r="239" spans="1:6" x14ac:dyDescent="0.25">
      <c r="A239" t="s">
        <v>242</v>
      </c>
      <c r="B239" t="s">
        <v>2309</v>
      </c>
      <c r="C239" t="s">
        <v>1953</v>
      </c>
      <c r="D239" t="s">
        <v>1954</v>
      </c>
      <c r="E239" t="s">
        <v>85</v>
      </c>
      <c r="F239" s="2">
        <v>19.79</v>
      </c>
    </row>
    <row r="240" spans="1:6" x14ac:dyDescent="0.25">
      <c r="A240" t="s">
        <v>244</v>
      </c>
      <c r="B240" t="s">
        <v>2310</v>
      </c>
      <c r="C240" t="s">
        <v>1953</v>
      </c>
      <c r="D240" t="s">
        <v>1954</v>
      </c>
      <c r="E240" t="s">
        <v>85</v>
      </c>
      <c r="F240" s="2">
        <v>19.79</v>
      </c>
    </row>
    <row r="241" spans="1:6" x14ac:dyDescent="0.25">
      <c r="A241" t="s">
        <v>246</v>
      </c>
      <c r="B241" t="s">
        <v>2311</v>
      </c>
      <c r="C241" t="s">
        <v>1953</v>
      </c>
      <c r="D241" t="s">
        <v>1954</v>
      </c>
      <c r="E241" t="s">
        <v>85</v>
      </c>
      <c r="F241" s="2">
        <v>19.79</v>
      </c>
    </row>
    <row r="242" spans="1:6" x14ac:dyDescent="0.25">
      <c r="A242" t="s">
        <v>248</v>
      </c>
      <c r="B242" t="s">
        <v>2312</v>
      </c>
      <c r="C242" t="s">
        <v>1953</v>
      </c>
      <c r="D242" t="s">
        <v>1954</v>
      </c>
      <c r="E242" t="s">
        <v>85</v>
      </c>
      <c r="F242" s="2">
        <v>19.79</v>
      </c>
    </row>
    <row r="243" spans="1:6" x14ac:dyDescent="0.25">
      <c r="A243" t="s">
        <v>250</v>
      </c>
      <c r="B243" t="s">
        <v>2313</v>
      </c>
      <c r="C243" t="s">
        <v>1953</v>
      </c>
      <c r="D243" t="s">
        <v>1954</v>
      </c>
      <c r="E243" t="s">
        <v>85</v>
      </c>
      <c r="F243" s="2">
        <v>19.79</v>
      </c>
    </row>
    <row r="244" spans="1:6" x14ac:dyDescent="0.25">
      <c r="A244" t="s">
        <v>252</v>
      </c>
      <c r="B244" t="s">
        <v>2314</v>
      </c>
      <c r="C244" t="s">
        <v>1953</v>
      </c>
      <c r="D244" t="s">
        <v>1954</v>
      </c>
      <c r="E244" t="s">
        <v>85</v>
      </c>
      <c r="F244" s="2">
        <v>19.79</v>
      </c>
    </row>
    <row r="245" spans="1:6" x14ac:dyDescent="0.25">
      <c r="A245" t="s">
        <v>254</v>
      </c>
      <c r="B245" t="s">
        <v>2315</v>
      </c>
      <c r="C245" t="s">
        <v>1953</v>
      </c>
      <c r="D245" t="s">
        <v>1954</v>
      </c>
      <c r="E245" t="s">
        <v>85</v>
      </c>
      <c r="F245" s="2">
        <v>19.79</v>
      </c>
    </row>
    <row r="246" spans="1:6" x14ac:dyDescent="0.25">
      <c r="A246" t="s">
        <v>256</v>
      </c>
      <c r="B246" t="s">
        <v>2316</v>
      </c>
      <c r="C246" t="s">
        <v>1953</v>
      </c>
      <c r="D246" t="s">
        <v>1954</v>
      </c>
      <c r="E246" t="s">
        <v>85</v>
      </c>
      <c r="F246" s="2">
        <v>19.79</v>
      </c>
    </row>
    <row r="247" spans="1:6" x14ac:dyDescent="0.25">
      <c r="A247" t="s">
        <v>258</v>
      </c>
      <c r="B247" t="s">
        <v>2317</v>
      </c>
      <c r="C247" t="s">
        <v>1953</v>
      </c>
      <c r="D247" t="s">
        <v>1954</v>
      </c>
      <c r="E247" t="s">
        <v>85</v>
      </c>
      <c r="F247" s="2">
        <v>19.79</v>
      </c>
    </row>
    <row r="248" spans="1:6" x14ac:dyDescent="0.25">
      <c r="A248" t="s">
        <v>260</v>
      </c>
      <c r="B248" t="s">
        <v>2318</v>
      </c>
      <c r="C248" t="s">
        <v>1953</v>
      </c>
      <c r="D248" t="s">
        <v>1954</v>
      </c>
      <c r="E248" t="s">
        <v>85</v>
      </c>
      <c r="F248" s="2">
        <v>19.79</v>
      </c>
    </row>
    <row r="249" spans="1:6" x14ac:dyDescent="0.25">
      <c r="A249" t="s">
        <v>2319</v>
      </c>
      <c r="B249" t="s">
        <v>2320</v>
      </c>
      <c r="C249" t="s">
        <v>1953</v>
      </c>
      <c r="D249" t="s">
        <v>1954</v>
      </c>
      <c r="E249" t="s">
        <v>2319</v>
      </c>
      <c r="F249" s="2">
        <v>18.91</v>
      </c>
    </row>
    <row r="250" spans="1:6" x14ac:dyDescent="0.25">
      <c r="A250" t="s">
        <v>2321</v>
      </c>
      <c r="B250" t="s">
        <v>2322</v>
      </c>
      <c r="C250" t="s">
        <v>1953</v>
      </c>
      <c r="D250" t="s">
        <v>1954</v>
      </c>
      <c r="E250" t="s">
        <v>2319</v>
      </c>
      <c r="F250" s="2">
        <v>17.63</v>
      </c>
    </row>
    <row r="251" spans="1:6" x14ac:dyDescent="0.25">
      <c r="A251" t="s">
        <v>262</v>
      </c>
      <c r="B251" t="s">
        <v>2323</v>
      </c>
      <c r="C251" t="s">
        <v>1953</v>
      </c>
      <c r="D251" t="s">
        <v>1954</v>
      </c>
      <c r="E251" t="s">
        <v>267</v>
      </c>
      <c r="F251" s="2">
        <v>2.2599999999999998</v>
      </c>
    </row>
    <row r="252" spans="1:6" x14ac:dyDescent="0.25">
      <c r="A252" t="s">
        <v>267</v>
      </c>
      <c r="B252" t="s">
        <v>2324</v>
      </c>
      <c r="C252" t="s">
        <v>1953</v>
      </c>
      <c r="D252" t="s">
        <v>1954</v>
      </c>
      <c r="E252" t="s">
        <v>267</v>
      </c>
      <c r="F252" s="2">
        <v>2.2599999999999998</v>
      </c>
    </row>
    <row r="253" spans="1:6" x14ac:dyDescent="0.25">
      <c r="A253" t="s">
        <v>269</v>
      </c>
      <c r="B253" t="s">
        <v>2325</v>
      </c>
      <c r="C253" t="s">
        <v>1953</v>
      </c>
      <c r="D253" t="s">
        <v>1954</v>
      </c>
      <c r="E253" t="s">
        <v>267</v>
      </c>
      <c r="F253" s="2">
        <v>2.2599999999999998</v>
      </c>
    </row>
    <row r="254" spans="1:6" x14ac:dyDescent="0.25">
      <c r="A254" t="s">
        <v>271</v>
      </c>
      <c r="B254" t="s">
        <v>2326</v>
      </c>
      <c r="C254" t="s">
        <v>1953</v>
      </c>
      <c r="D254" t="s">
        <v>1954</v>
      </c>
      <c r="E254" t="s">
        <v>267</v>
      </c>
      <c r="F254" s="2">
        <v>2.2599999999999998</v>
      </c>
    </row>
    <row r="255" spans="1:6" x14ac:dyDescent="0.25">
      <c r="A255" t="s">
        <v>272</v>
      </c>
      <c r="B255" t="s">
        <v>2327</v>
      </c>
      <c r="C255" t="s">
        <v>1953</v>
      </c>
      <c r="D255" t="s">
        <v>1954</v>
      </c>
      <c r="E255" t="s">
        <v>267</v>
      </c>
      <c r="F255" s="2">
        <v>2.63</v>
      </c>
    </row>
    <row r="256" spans="1:6" x14ac:dyDescent="0.25">
      <c r="A256" t="s">
        <v>274</v>
      </c>
      <c r="B256" t="s">
        <v>2328</v>
      </c>
      <c r="C256" t="s">
        <v>1953</v>
      </c>
      <c r="D256" t="s">
        <v>1954</v>
      </c>
      <c r="E256" t="s">
        <v>267</v>
      </c>
      <c r="F256" s="2">
        <v>2.63</v>
      </c>
    </row>
    <row r="257" spans="1:10" x14ac:dyDescent="0.25">
      <c r="A257" t="s">
        <v>275</v>
      </c>
      <c r="B257" t="s">
        <v>2329</v>
      </c>
      <c r="C257" t="s">
        <v>1953</v>
      </c>
      <c r="D257" t="s">
        <v>1954</v>
      </c>
      <c r="E257" t="s">
        <v>267</v>
      </c>
      <c r="F257" s="2">
        <v>2.63</v>
      </c>
    </row>
    <row r="258" spans="1:10" x14ac:dyDescent="0.25">
      <c r="A258" t="s">
        <v>277</v>
      </c>
      <c r="B258" t="s">
        <v>2330</v>
      </c>
      <c r="C258" t="s">
        <v>1953</v>
      </c>
      <c r="D258" t="s">
        <v>1954</v>
      </c>
      <c r="E258" t="s">
        <v>267</v>
      </c>
      <c r="F258" s="2">
        <v>2.63</v>
      </c>
    </row>
    <row r="259" spans="1:10" x14ac:dyDescent="0.25">
      <c r="A259" t="s">
        <v>278</v>
      </c>
      <c r="B259" t="s">
        <v>2331</v>
      </c>
      <c r="C259" t="s">
        <v>1953</v>
      </c>
      <c r="D259" t="s">
        <v>1954</v>
      </c>
      <c r="E259" t="s">
        <v>267</v>
      </c>
      <c r="F259" s="2">
        <v>2.63</v>
      </c>
    </row>
    <row r="260" spans="1:10" x14ac:dyDescent="0.25">
      <c r="A260" t="s">
        <v>280</v>
      </c>
      <c r="B260" t="s">
        <v>2332</v>
      </c>
      <c r="C260" t="s">
        <v>1953</v>
      </c>
      <c r="D260" t="s">
        <v>1954</v>
      </c>
      <c r="E260" t="s">
        <v>267</v>
      </c>
      <c r="F260" s="2">
        <v>2.63</v>
      </c>
    </row>
    <row r="261" spans="1:10" x14ac:dyDescent="0.25">
      <c r="A261" t="s">
        <v>2333</v>
      </c>
      <c r="B261" t="s">
        <v>2334</v>
      </c>
      <c r="C261" t="s">
        <v>1953</v>
      </c>
      <c r="D261" t="s">
        <v>1954</v>
      </c>
      <c r="E261" t="s">
        <v>267</v>
      </c>
      <c r="F261" s="2">
        <v>2.63</v>
      </c>
    </row>
    <row r="262" spans="1:10" x14ac:dyDescent="0.25">
      <c r="A262" t="s">
        <v>2335</v>
      </c>
      <c r="B262" t="s">
        <v>2336</v>
      </c>
      <c r="C262" t="s">
        <v>1953</v>
      </c>
      <c r="D262" t="s">
        <v>1954</v>
      </c>
      <c r="E262" t="s">
        <v>267</v>
      </c>
      <c r="F262" s="2">
        <v>2.63</v>
      </c>
    </row>
    <row r="263" spans="1:10" x14ac:dyDescent="0.25">
      <c r="A263" t="s">
        <v>281</v>
      </c>
      <c r="B263" t="s">
        <v>2337</v>
      </c>
      <c r="C263" t="s">
        <v>1953</v>
      </c>
      <c r="D263" t="s">
        <v>1954</v>
      </c>
      <c r="E263" t="s">
        <v>267</v>
      </c>
      <c r="F263" s="2">
        <v>2.63</v>
      </c>
    </row>
    <row r="264" spans="1:10" x14ac:dyDescent="0.25">
      <c r="A264" t="s">
        <v>283</v>
      </c>
      <c r="B264" t="s">
        <v>2338</v>
      </c>
      <c r="C264" t="s">
        <v>1953</v>
      </c>
      <c r="D264" t="s">
        <v>1954</v>
      </c>
      <c r="E264" t="s">
        <v>267</v>
      </c>
      <c r="F264" s="2">
        <v>2.63</v>
      </c>
    </row>
    <row r="265" spans="1:10" x14ac:dyDescent="0.25">
      <c r="A265" t="s">
        <v>284</v>
      </c>
      <c r="B265" t="s">
        <v>2339</v>
      </c>
      <c r="C265" t="s">
        <v>1953</v>
      </c>
      <c r="D265" t="s">
        <v>1954</v>
      </c>
      <c r="E265" t="s">
        <v>267</v>
      </c>
      <c r="F265" s="2">
        <v>2.63</v>
      </c>
      <c r="J265" t="s">
        <v>2340</v>
      </c>
    </row>
    <row r="266" spans="1:10" x14ac:dyDescent="0.25">
      <c r="A266" t="s">
        <v>286</v>
      </c>
      <c r="B266" t="s">
        <v>2341</v>
      </c>
      <c r="C266" t="s">
        <v>1953</v>
      </c>
      <c r="D266" t="s">
        <v>1954</v>
      </c>
      <c r="E266" t="s">
        <v>267</v>
      </c>
      <c r="F266" s="2">
        <v>2.63</v>
      </c>
    </row>
    <row r="267" spans="1:10" x14ac:dyDescent="0.25">
      <c r="A267" t="s">
        <v>287</v>
      </c>
      <c r="B267" t="s">
        <v>2342</v>
      </c>
      <c r="C267" t="s">
        <v>1953</v>
      </c>
      <c r="D267" t="s">
        <v>1954</v>
      </c>
      <c r="E267" t="s">
        <v>267</v>
      </c>
      <c r="F267" s="2">
        <v>2.63</v>
      </c>
    </row>
    <row r="268" spans="1:10" x14ac:dyDescent="0.25">
      <c r="A268" t="s">
        <v>289</v>
      </c>
      <c r="B268" t="s">
        <v>2343</v>
      </c>
      <c r="C268" t="s">
        <v>1953</v>
      </c>
      <c r="D268" t="s">
        <v>1954</v>
      </c>
      <c r="E268" t="s">
        <v>267</v>
      </c>
      <c r="F268" s="2">
        <v>2.63</v>
      </c>
    </row>
    <row r="269" spans="1:10" x14ac:dyDescent="0.25">
      <c r="A269" t="s">
        <v>290</v>
      </c>
      <c r="B269" t="s">
        <v>2344</v>
      </c>
      <c r="C269" t="s">
        <v>1953</v>
      </c>
      <c r="D269" t="s">
        <v>1954</v>
      </c>
      <c r="E269" t="s">
        <v>267</v>
      </c>
      <c r="F269" s="2">
        <v>2.63</v>
      </c>
    </row>
    <row r="270" spans="1:10" x14ac:dyDescent="0.25">
      <c r="A270" t="s">
        <v>292</v>
      </c>
      <c r="B270" t="s">
        <v>2345</v>
      </c>
      <c r="C270" t="s">
        <v>1953</v>
      </c>
      <c r="D270" t="s">
        <v>1954</v>
      </c>
      <c r="E270" t="s">
        <v>267</v>
      </c>
      <c r="F270" s="2">
        <v>2.63</v>
      </c>
    </row>
    <row r="271" spans="1:10" x14ac:dyDescent="0.25">
      <c r="A271" t="s">
        <v>293</v>
      </c>
      <c r="B271" t="s">
        <v>2346</v>
      </c>
      <c r="C271" t="s">
        <v>1953</v>
      </c>
      <c r="D271" t="s">
        <v>1954</v>
      </c>
      <c r="E271" t="s">
        <v>267</v>
      </c>
      <c r="F271" s="2">
        <v>2.63</v>
      </c>
    </row>
    <row r="272" spans="1:10" x14ac:dyDescent="0.25">
      <c r="A272" t="s">
        <v>295</v>
      </c>
      <c r="B272" t="s">
        <v>2347</v>
      </c>
      <c r="C272" t="s">
        <v>1953</v>
      </c>
      <c r="D272" t="s">
        <v>1954</v>
      </c>
      <c r="E272" t="s">
        <v>267</v>
      </c>
      <c r="F272" s="2">
        <v>2.63</v>
      </c>
    </row>
    <row r="273" spans="1:6" x14ac:dyDescent="0.25">
      <c r="A273" t="s">
        <v>296</v>
      </c>
      <c r="B273" t="s">
        <v>2348</v>
      </c>
      <c r="C273" t="s">
        <v>1953</v>
      </c>
      <c r="D273" t="s">
        <v>1954</v>
      </c>
      <c r="E273" t="s">
        <v>267</v>
      </c>
      <c r="F273" s="2">
        <v>2.63</v>
      </c>
    </row>
    <row r="274" spans="1:6" x14ac:dyDescent="0.25">
      <c r="A274" t="s">
        <v>298</v>
      </c>
      <c r="B274" t="s">
        <v>2349</v>
      </c>
      <c r="C274" t="s">
        <v>1953</v>
      </c>
      <c r="D274" t="s">
        <v>1954</v>
      </c>
      <c r="E274" t="s">
        <v>267</v>
      </c>
      <c r="F274" s="2">
        <v>2.63</v>
      </c>
    </row>
    <row r="275" spans="1:6" x14ac:dyDescent="0.25">
      <c r="A275" t="s">
        <v>299</v>
      </c>
      <c r="B275" t="s">
        <v>2350</v>
      </c>
      <c r="C275" t="s">
        <v>1953</v>
      </c>
      <c r="D275" t="s">
        <v>1954</v>
      </c>
      <c r="E275" t="s">
        <v>267</v>
      </c>
      <c r="F275" s="2">
        <v>2.63</v>
      </c>
    </row>
    <row r="276" spans="1:6" x14ac:dyDescent="0.25">
      <c r="A276" t="s">
        <v>301</v>
      </c>
      <c r="B276" t="s">
        <v>2351</v>
      </c>
      <c r="C276" t="s">
        <v>1953</v>
      </c>
      <c r="D276" t="s">
        <v>1954</v>
      </c>
      <c r="E276" t="s">
        <v>267</v>
      </c>
      <c r="F276" s="2">
        <v>2.63</v>
      </c>
    </row>
    <row r="277" spans="1:6" x14ac:dyDescent="0.25">
      <c r="A277" t="s">
        <v>302</v>
      </c>
      <c r="B277" t="s">
        <v>2352</v>
      </c>
      <c r="C277" t="s">
        <v>1953</v>
      </c>
      <c r="D277" t="s">
        <v>1954</v>
      </c>
      <c r="E277" t="s">
        <v>267</v>
      </c>
      <c r="F277" s="2">
        <v>2.63</v>
      </c>
    </row>
    <row r="278" spans="1:6" x14ac:dyDescent="0.25">
      <c r="A278" t="s">
        <v>304</v>
      </c>
      <c r="B278" t="s">
        <v>2353</v>
      </c>
      <c r="C278" t="s">
        <v>1953</v>
      </c>
      <c r="D278" t="s">
        <v>1954</v>
      </c>
      <c r="E278" t="s">
        <v>267</v>
      </c>
      <c r="F278" s="2">
        <v>2.63</v>
      </c>
    </row>
    <row r="279" spans="1:6" x14ac:dyDescent="0.25">
      <c r="A279" t="s">
        <v>305</v>
      </c>
      <c r="B279" t="s">
        <v>2354</v>
      </c>
      <c r="C279" t="s">
        <v>1953</v>
      </c>
      <c r="D279" t="s">
        <v>1954</v>
      </c>
      <c r="E279" t="s">
        <v>267</v>
      </c>
      <c r="F279" s="2">
        <v>2.63</v>
      </c>
    </row>
    <row r="280" spans="1:6" x14ac:dyDescent="0.25">
      <c r="A280" t="s">
        <v>307</v>
      </c>
      <c r="B280" t="s">
        <v>2355</v>
      </c>
      <c r="C280" t="s">
        <v>1953</v>
      </c>
      <c r="D280" t="s">
        <v>1954</v>
      </c>
      <c r="E280" t="s">
        <v>267</v>
      </c>
      <c r="F280" s="2">
        <v>2.63</v>
      </c>
    </row>
    <row r="281" spans="1:6" x14ac:dyDescent="0.25">
      <c r="A281" t="s">
        <v>308</v>
      </c>
      <c r="B281" t="s">
        <v>2356</v>
      </c>
      <c r="C281" t="s">
        <v>1953</v>
      </c>
      <c r="D281" t="s">
        <v>1954</v>
      </c>
      <c r="E281" t="s">
        <v>267</v>
      </c>
      <c r="F281" s="2">
        <v>2.63</v>
      </c>
    </row>
    <row r="282" spans="1:6" x14ac:dyDescent="0.25">
      <c r="A282" t="s">
        <v>311</v>
      </c>
      <c r="B282" t="s">
        <v>2357</v>
      </c>
      <c r="C282" t="s">
        <v>1953</v>
      </c>
      <c r="D282" t="s">
        <v>1954</v>
      </c>
      <c r="E282" t="s">
        <v>267</v>
      </c>
      <c r="F282" s="2">
        <v>2.63</v>
      </c>
    </row>
    <row r="283" spans="1:6" x14ac:dyDescent="0.25">
      <c r="A283" t="s">
        <v>313</v>
      </c>
      <c r="B283" t="s">
        <v>2358</v>
      </c>
      <c r="C283" t="s">
        <v>1953</v>
      </c>
      <c r="D283" t="s">
        <v>1954</v>
      </c>
      <c r="E283" t="s">
        <v>267</v>
      </c>
      <c r="F283" s="2">
        <v>2.63</v>
      </c>
    </row>
    <row r="284" spans="1:6" x14ac:dyDescent="0.25">
      <c r="A284" t="s">
        <v>315</v>
      </c>
      <c r="B284" t="s">
        <v>2359</v>
      </c>
      <c r="C284" t="s">
        <v>1953</v>
      </c>
      <c r="D284" t="s">
        <v>1954</v>
      </c>
      <c r="E284" t="s">
        <v>267</v>
      </c>
      <c r="F284" s="2">
        <v>2.63</v>
      </c>
    </row>
    <row r="285" spans="1:6" x14ac:dyDescent="0.25">
      <c r="A285" t="s">
        <v>316</v>
      </c>
      <c r="B285" t="s">
        <v>2360</v>
      </c>
      <c r="C285" t="s">
        <v>1953</v>
      </c>
      <c r="D285" t="s">
        <v>1954</v>
      </c>
      <c r="E285" t="s">
        <v>267</v>
      </c>
      <c r="F285" s="2">
        <v>2.63</v>
      </c>
    </row>
    <row r="286" spans="1:6" x14ac:dyDescent="0.25">
      <c r="A286" t="s">
        <v>318</v>
      </c>
      <c r="B286" t="s">
        <v>2361</v>
      </c>
      <c r="C286" t="s">
        <v>1953</v>
      </c>
      <c r="D286" t="s">
        <v>1954</v>
      </c>
      <c r="E286" t="s">
        <v>267</v>
      </c>
      <c r="F286" s="2">
        <v>2.63</v>
      </c>
    </row>
    <row r="287" spans="1:6" x14ac:dyDescent="0.25">
      <c r="A287" t="s">
        <v>319</v>
      </c>
      <c r="B287" t="s">
        <v>2362</v>
      </c>
      <c r="C287" t="s">
        <v>1953</v>
      </c>
      <c r="D287" t="s">
        <v>1954</v>
      </c>
      <c r="E287" t="s">
        <v>267</v>
      </c>
      <c r="F287" s="2">
        <v>2.63</v>
      </c>
    </row>
    <row r="288" spans="1:6" x14ac:dyDescent="0.25">
      <c r="A288" t="s">
        <v>321</v>
      </c>
      <c r="B288" t="s">
        <v>2363</v>
      </c>
      <c r="C288" t="s">
        <v>1953</v>
      </c>
      <c r="D288" t="s">
        <v>1954</v>
      </c>
      <c r="E288" t="s">
        <v>267</v>
      </c>
      <c r="F288" s="2">
        <v>2.63</v>
      </c>
    </row>
    <row r="289" spans="1:6" x14ac:dyDescent="0.25">
      <c r="A289" t="s">
        <v>322</v>
      </c>
      <c r="B289" t="s">
        <v>2364</v>
      </c>
      <c r="C289" t="s">
        <v>1953</v>
      </c>
      <c r="D289" t="s">
        <v>1954</v>
      </c>
      <c r="E289" t="s">
        <v>267</v>
      </c>
      <c r="F289" s="2">
        <v>2.63</v>
      </c>
    </row>
    <row r="290" spans="1:6" x14ac:dyDescent="0.25">
      <c r="A290" t="s">
        <v>324</v>
      </c>
      <c r="B290" t="s">
        <v>2365</v>
      </c>
      <c r="C290" t="s">
        <v>1953</v>
      </c>
      <c r="D290" t="s">
        <v>1954</v>
      </c>
      <c r="E290" t="s">
        <v>267</v>
      </c>
      <c r="F290" s="2">
        <v>2.63</v>
      </c>
    </row>
    <row r="291" spans="1:6" x14ac:dyDescent="0.25">
      <c r="A291" t="s">
        <v>325</v>
      </c>
      <c r="B291" t="s">
        <v>2366</v>
      </c>
      <c r="C291" t="s">
        <v>1953</v>
      </c>
      <c r="D291" t="s">
        <v>1954</v>
      </c>
      <c r="E291" t="s">
        <v>267</v>
      </c>
      <c r="F291" s="2">
        <v>2.63</v>
      </c>
    </row>
    <row r="292" spans="1:6" x14ac:dyDescent="0.25">
      <c r="A292" t="s">
        <v>327</v>
      </c>
      <c r="B292" t="s">
        <v>2367</v>
      </c>
      <c r="C292" t="s">
        <v>1953</v>
      </c>
      <c r="D292" t="s">
        <v>1954</v>
      </c>
      <c r="E292" t="s">
        <v>267</v>
      </c>
      <c r="F292" s="2">
        <v>2.63</v>
      </c>
    </row>
    <row r="293" spans="1:6" x14ac:dyDescent="0.25">
      <c r="A293" t="s">
        <v>328</v>
      </c>
      <c r="B293" t="s">
        <v>2368</v>
      </c>
      <c r="C293" t="s">
        <v>1953</v>
      </c>
      <c r="D293" t="s">
        <v>1954</v>
      </c>
      <c r="E293" t="s">
        <v>267</v>
      </c>
      <c r="F293" s="2">
        <v>2.63</v>
      </c>
    </row>
    <row r="294" spans="1:6" x14ac:dyDescent="0.25">
      <c r="A294" t="s">
        <v>330</v>
      </c>
      <c r="B294" t="s">
        <v>2369</v>
      </c>
      <c r="C294" t="s">
        <v>1953</v>
      </c>
      <c r="D294" t="s">
        <v>1954</v>
      </c>
      <c r="E294" t="s">
        <v>267</v>
      </c>
      <c r="F294" s="2">
        <v>2.63</v>
      </c>
    </row>
    <row r="295" spans="1:6" x14ac:dyDescent="0.25">
      <c r="A295" t="s">
        <v>331</v>
      </c>
      <c r="B295" t="s">
        <v>2370</v>
      </c>
      <c r="C295" t="s">
        <v>1953</v>
      </c>
      <c r="D295" t="s">
        <v>1954</v>
      </c>
      <c r="E295" t="s">
        <v>267</v>
      </c>
      <c r="F295" s="2">
        <v>2.63</v>
      </c>
    </row>
    <row r="296" spans="1:6" x14ac:dyDescent="0.25">
      <c r="A296" t="s">
        <v>333</v>
      </c>
      <c r="B296" t="s">
        <v>2371</v>
      </c>
      <c r="C296" t="s">
        <v>1953</v>
      </c>
      <c r="D296" t="s">
        <v>1954</v>
      </c>
      <c r="E296" t="s">
        <v>267</v>
      </c>
      <c r="F296" s="2">
        <v>2.63</v>
      </c>
    </row>
    <row r="297" spans="1:6" x14ac:dyDescent="0.25">
      <c r="A297" t="s">
        <v>334</v>
      </c>
      <c r="B297" t="s">
        <v>2372</v>
      </c>
      <c r="C297" t="s">
        <v>1953</v>
      </c>
      <c r="D297" t="s">
        <v>1954</v>
      </c>
      <c r="E297" t="s">
        <v>267</v>
      </c>
      <c r="F297" s="2">
        <v>2.63</v>
      </c>
    </row>
    <row r="298" spans="1:6" x14ac:dyDescent="0.25">
      <c r="A298" t="s">
        <v>336</v>
      </c>
      <c r="B298" t="s">
        <v>2373</v>
      </c>
      <c r="C298" t="s">
        <v>1953</v>
      </c>
      <c r="D298" t="s">
        <v>1954</v>
      </c>
      <c r="E298" t="s">
        <v>267</v>
      </c>
      <c r="F298" s="2">
        <v>2.63</v>
      </c>
    </row>
    <row r="299" spans="1:6" x14ac:dyDescent="0.25">
      <c r="A299" t="s">
        <v>337</v>
      </c>
      <c r="B299" t="s">
        <v>2374</v>
      </c>
      <c r="C299" t="s">
        <v>1953</v>
      </c>
      <c r="D299" t="s">
        <v>1954</v>
      </c>
      <c r="E299" t="s">
        <v>267</v>
      </c>
      <c r="F299" s="2">
        <v>2.63</v>
      </c>
    </row>
    <row r="300" spans="1:6" x14ac:dyDescent="0.25">
      <c r="A300" t="s">
        <v>339</v>
      </c>
      <c r="B300" t="s">
        <v>2375</v>
      </c>
      <c r="C300" t="s">
        <v>1953</v>
      </c>
      <c r="D300" t="s">
        <v>1954</v>
      </c>
      <c r="E300" t="s">
        <v>267</v>
      </c>
      <c r="F300" s="2">
        <v>2.63</v>
      </c>
    </row>
    <row r="301" spans="1:6" x14ac:dyDescent="0.25">
      <c r="A301" t="s">
        <v>340</v>
      </c>
      <c r="B301" t="s">
        <v>2376</v>
      </c>
      <c r="C301" t="s">
        <v>1953</v>
      </c>
      <c r="D301" t="s">
        <v>1954</v>
      </c>
      <c r="E301" t="s">
        <v>267</v>
      </c>
      <c r="F301" s="2">
        <v>2.63</v>
      </c>
    </row>
    <row r="302" spans="1:6" x14ac:dyDescent="0.25">
      <c r="A302" t="s">
        <v>342</v>
      </c>
      <c r="B302" t="s">
        <v>2377</v>
      </c>
      <c r="C302" t="s">
        <v>1953</v>
      </c>
      <c r="D302" t="s">
        <v>1954</v>
      </c>
      <c r="E302" t="s">
        <v>267</v>
      </c>
      <c r="F302" s="2">
        <v>2.63</v>
      </c>
    </row>
    <row r="303" spans="1:6" x14ac:dyDescent="0.25">
      <c r="A303" t="s">
        <v>343</v>
      </c>
      <c r="B303" t="s">
        <v>2378</v>
      </c>
      <c r="C303" t="s">
        <v>1953</v>
      </c>
      <c r="D303" t="s">
        <v>1954</v>
      </c>
      <c r="E303" t="s">
        <v>267</v>
      </c>
      <c r="F303" s="2">
        <v>2.63</v>
      </c>
    </row>
    <row r="304" spans="1:6" x14ac:dyDescent="0.25">
      <c r="A304" t="s">
        <v>345</v>
      </c>
      <c r="B304" t="s">
        <v>2379</v>
      </c>
      <c r="C304" t="s">
        <v>1953</v>
      </c>
      <c r="D304" t="s">
        <v>1954</v>
      </c>
      <c r="E304" t="s">
        <v>267</v>
      </c>
      <c r="F304" s="2">
        <v>2.63</v>
      </c>
    </row>
    <row r="305" spans="1:6" x14ac:dyDescent="0.25">
      <c r="A305" t="s">
        <v>346</v>
      </c>
      <c r="B305" t="s">
        <v>2380</v>
      </c>
      <c r="C305" t="s">
        <v>1953</v>
      </c>
      <c r="D305" t="s">
        <v>1954</v>
      </c>
      <c r="E305" t="s">
        <v>267</v>
      </c>
      <c r="F305" s="2">
        <v>2.63</v>
      </c>
    </row>
    <row r="306" spans="1:6" x14ac:dyDescent="0.25">
      <c r="A306" t="s">
        <v>348</v>
      </c>
      <c r="B306" t="s">
        <v>2381</v>
      </c>
      <c r="C306" t="s">
        <v>1953</v>
      </c>
      <c r="D306" t="s">
        <v>1954</v>
      </c>
      <c r="E306" t="s">
        <v>267</v>
      </c>
      <c r="F306" s="2">
        <v>2.63</v>
      </c>
    </row>
    <row r="307" spans="1:6" x14ac:dyDescent="0.25">
      <c r="A307" t="s">
        <v>349</v>
      </c>
      <c r="B307" t="s">
        <v>2382</v>
      </c>
      <c r="C307" t="s">
        <v>1953</v>
      </c>
      <c r="D307" t="s">
        <v>1954</v>
      </c>
      <c r="E307" t="s">
        <v>267</v>
      </c>
      <c r="F307" s="2">
        <v>2.63</v>
      </c>
    </row>
    <row r="308" spans="1:6" x14ac:dyDescent="0.25">
      <c r="A308" t="s">
        <v>351</v>
      </c>
      <c r="B308" t="s">
        <v>2383</v>
      </c>
      <c r="C308" t="s">
        <v>1953</v>
      </c>
      <c r="D308" t="s">
        <v>1954</v>
      </c>
      <c r="E308" t="s">
        <v>267</v>
      </c>
      <c r="F308" s="2">
        <v>2.63</v>
      </c>
    </row>
    <row r="309" spans="1:6" x14ac:dyDescent="0.25">
      <c r="A309" t="s">
        <v>352</v>
      </c>
      <c r="B309" t="s">
        <v>2384</v>
      </c>
      <c r="C309" t="s">
        <v>1953</v>
      </c>
      <c r="D309" t="s">
        <v>1954</v>
      </c>
      <c r="E309" t="s">
        <v>267</v>
      </c>
      <c r="F309" s="2">
        <v>2.63</v>
      </c>
    </row>
    <row r="310" spans="1:6" x14ac:dyDescent="0.25">
      <c r="A310" t="s">
        <v>354</v>
      </c>
      <c r="B310" t="s">
        <v>2385</v>
      </c>
      <c r="C310" t="s">
        <v>1953</v>
      </c>
      <c r="D310" t="s">
        <v>1954</v>
      </c>
      <c r="E310" t="s">
        <v>267</v>
      </c>
      <c r="F310" s="2">
        <v>2.63</v>
      </c>
    </row>
    <row r="311" spans="1:6" x14ac:dyDescent="0.25">
      <c r="A311" t="s">
        <v>355</v>
      </c>
      <c r="B311" t="s">
        <v>2386</v>
      </c>
      <c r="C311" t="s">
        <v>1953</v>
      </c>
      <c r="D311" t="s">
        <v>1954</v>
      </c>
      <c r="E311" t="s">
        <v>267</v>
      </c>
      <c r="F311" s="2">
        <v>2.63</v>
      </c>
    </row>
    <row r="312" spans="1:6" x14ac:dyDescent="0.25">
      <c r="A312" t="s">
        <v>357</v>
      </c>
      <c r="B312" t="s">
        <v>2387</v>
      </c>
      <c r="C312" t="s">
        <v>1953</v>
      </c>
      <c r="D312" t="s">
        <v>1954</v>
      </c>
      <c r="E312" t="s">
        <v>267</v>
      </c>
      <c r="F312" s="2">
        <v>2.63</v>
      </c>
    </row>
    <row r="313" spans="1:6" x14ac:dyDescent="0.25">
      <c r="A313" t="s">
        <v>358</v>
      </c>
      <c r="B313" t="s">
        <v>2388</v>
      </c>
      <c r="C313" t="s">
        <v>1953</v>
      </c>
      <c r="D313" t="s">
        <v>1954</v>
      </c>
      <c r="E313" t="s">
        <v>267</v>
      </c>
      <c r="F313" s="2">
        <v>2.63</v>
      </c>
    </row>
    <row r="314" spans="1:6" x14ac:dyDescent="0.25">
      <c r="A314" t="s">
        <v>360</v>
      </c>
      <c r="B314" t="s">
        <v>2389</v>
      </c>
      <c r="C314" t="s">
        <v>1953</v>
      </c>
      <c r="D314" t="s">
        <v>1954</v>
      </c>
      <c r="E314" t="s">
        <v>267</v>
      </c>
      <c r="F314" s="2">
        <v>2.63</v>
      </c>
    </row>
    <row r="315" spans="1:6" x14ac:dyDescent="0.25">
      <c r="A315" t="s">
        <v>361</v>
      </c>
      <c r="B315" t="s">
        <v>2390</v>
      </c>
      <c r="C315" t="s">
        <v>1953</v>
      </c>
      <c r="D315" t="s">
        <v>1954</v>
      </c>
      <c r="E315" t="s">
        <v>267</v>
      </c>
      <c r="F315" s="2">
        <v>2.63</v>
      </c>
    </row>
    <row r="316" spans="1:6" x14ac:dyDescent="0.25">
      <c r="A316" t="s">
        <v>363</v>
      </c>
      <c r="B316" t="s">
        <v>2391</v>
      </c>
      <c r="C316" t="s">
        <v>1953</v>
      </c>
      <c r="D316" t="s">
        <v>1954</v>
      </c>
      <c r="E316" t="s">
        <v>267</v>
      </c>
      <c r="F316" s="2">
        <v>2.63</v>
      </c>
    </row>
    <row r="317" spans="1:6" x14ac:dyDescent="0.25">
      <c r="A317" t="s">
        <v>364</v>
      </c>
      <c r="B317" t="s">
        <v>2392</v>
      </c>
      <c r="C317" t="s">
        <v>1953</v>
      </c>
      <c r="D317" t="s">
        <v>1954</v>
      </c>
      <c r="E317" t="s">
        <v>267</v>
      </c>
      <c r="F317" s="2">
        <v>2.63</v>
      </c>
    </row>
    <row r="318" spans="1:6" x14ac:dyDescent="0.25">
      <c r="A318" t="s">
        <v>366</v>
      </c>
      <c r="B318" t="s">
        <v>2393</v>
      </c>
      <c r="C318" t="s">
        <v>1953</v>
      </c>
      <c r="D318" t="s">
        <v>1954</v>
      </c>
      <c r="E318" t="s">
        <v>267</v>
      </c>
      <c r="F318" s="2">
        <v>2.63</v>
      </c>
    </row>
    <row r="319" spans="1:6" x14ac:dyDescent="0.25">
      <c r="A319" t="s">
        <v>367</v>
      </c>
      <c r="B319" t="s">
        <v>2394</v>
      </c>
      <c r="C319" t="s">
        <v>1953</v>
      </c>
      <c r="D319" t="s">
        <v>1954</v>
      </c>
      <c r="E319" t="s">
        <v>267</v>
      </c>
      <c r="F319" s="2">
        <v>2.63</v>
      </c>
    </row>
    <row r="320" spans="1:6" x14ac:dyDescent="0.25">
      <c r="A320" t="s">
        <v>369</v>
      </c>
      <c r="B320" t="s">
        <v>2395</v>
      </c>
      <c r="C320" t="s">
        <v>1953</v>
      </c>
      <c r="D320" t="s">
        <v>1954</v>
      </c>
      <c r="E320" t="s">
        <v>267</v>
      </c>
      <c r="F320" s="2">
        <v>2.63</v>
      </c>
    </row>
    <row r="321" spans="1:6" x14ac:dyDescent="0.25">
      <c r="A321" t="s">
        <v>370</v>
      </c>
      <c r="B321" t="s">
        <v>2396</v>
      </c>
      <c r="C321" t="s">
        <v>1953</v>
      </c>
      <c r="D321" t="s">
        <v>1954</v>
      </c>
      <c r="E321" t="s">
        <v>267</v>
      </c>
      <c r="F321" s="2">
        <v>2.63</v>
      </c>
    </row>
    <row r="322" spans="1:6" x14ac:dyDescent="0.25">
      <c r="A322" t="s">
        <v>372</v>
      </c>
      <c r="B322" t="s">
        <v>2397</v>
      </c>
      <c r="C322" t="s">
        <v>1953</v>
      </c>
      <c r="D322" t="s">
        <v>1954</v>
      </c>
      <c r="E322" t="s">
        <v>267</v>
      </c>
      <c r="F322" s="2">
        <v>2.63</v>
      </c>
    </row>
    <row r="323" spans="1:6" x14ac:dyDescent="0.25">
      <c r="A323" t="s">
        <v>373</v>
      </c>
      <c r="B323" t="s">
        <v>2398</v>
      </c>
      <c r="C323" t="s">
        <v>1953</v>
      </c>
      <c r="D323" t="s">
        <v>1954</v>
      </c>
      <c r="E323" t="s">
        <v>267</v>
      </c>
      <c r="F323" s="2">
        <v>2.63</v>
      </c>
    </row>
    <row r="324" spans="1:6" x14ac:dyDescent="0.25">
      <c r="A324" t="s">
        <v>375</v>
      </c>
      <c r="B324" t="s">
        <v>2399</v>
      </c>
      <c r="C324" t="s">
        <v>1953</v>
      </c>
      <c r="D324" t="s">
        <v>1954</v>
      </c>
      <c r="E324" t="s">
        <v>267</v>
      </c>
      <c r="F324" s="2">
        <v>2.63</v>
      </c>
    </row>
    <row r="325" spans="1:6" x14ac:dyDescent="0.25">
      <c r="A325" t="s">
        <v>376</v>
      </c>
      <c r="B325" t="s">
        <v>2400</v>
      </c>
      <c r="C325" t="s">
        <v>1953</v>
      </c>
      <c r="D325" t="s">
        <v>1954</v>
      </c>
      <c r="E325" t="s">
        <v>267</v>
      </c>
      <c r="F325" s="2">
        <v>2.63</v>
      </c>
    </row>
    <row r="326" spans="1:6" x14ac:dyDescent="0.25">
      <c r="A326" t="s">
        <v>378</v>
      </c>
      <c r="B326" t="s">
        <v>2401</v>
      </c>
      <c r="C326" t="s">
        <v>1953</v>
      </c>
      <c r="D326" t="s">
        <v>1954</v>
      </c>
      <c r="E326" t="s">
        <v>267</v>
      </c>
      <c r="F326" s="2">
        <v>2.63</v>
      </c>
    </row>
    <row r="327" spans="1:6" x14ac:dyDescent="0.25">
      <c r="A327" t="s">
        <v>379</v>
      </c>
      <c r="B327" t="s">
        <v>2402</v>
      </c>
      <c r="C327" t="s">
        <v>1953</v>
      </c>
      <c r="D327" t="s">
        <v>1954</v>
      </c>
      <c r="E327" t="s">
        <v>267</v>
      </c>
      <c r="F327" s="2">
        <v>2.92</v>
      </c>
    </row>
    <row r="328" spans="1:6" x14ac:dyDescent="0.25">
      <c r="A328" t="s">
        <v>381</v>
      </c>
      <c r="B328" t="s">
        <v>2403</v>
      </c>
      <c r="C328" t="s">
        <v>1953</v>
      </c>
      <c r="D328" t="s">
        <v>1954</v>
      </c>
      <c r="E328" t="s">
        <v>267</v>
      </c>
      <c r="F328" s="2">
        <v>2.92</v>
      </c>
    </row>
    <row r="329" spans="1:6" x14ac:dyDescent="0.25">
      <c r="A329" t="s">
        <v>382</v>
      </c>
      <c r="B329" t="s">
        <v>2404</v>
      </c>
      <c r="C329" t="s">
        <v>1953</v>
      </c>
      <c r="D329" t="s">
        <v>1954</v>
      </c>
      <c r="E329" t="s">
        <v>267</v>
      </c>
      <c r="F329" s="2">
        <v>2.92</v>
      </c>
    </row>
    <row r="330" spans="1:6" x14ac:dyDescent="0.25">
      <c r="A330" t="s">
        <v>384</v>
      </c>
      <c r="B330" t="s">
        <v>2405</v>
      </c>
      <c r="C330" t="s">
        <v>1953</v>
      </c>
      <c r="D330" t="s">
        <v>1954</v>
      </c>
      <c r="E330" t="s">
        <v>267</v>
      </c>
      <c r="F330" s="2">
        <v>2.92</v>
      </c>
    </row>
    <row r="331" spans="1:6" x14ac:dyDescent="0.25">
      <c r="A331" t="s">
        <v>385</v>
      </c>
      <c r="B331" t="s">
        <v>2406</v>
      </c>
      <c r="C331" t="s">
        <v>1953</v>
      </c>
      <c r="D331" t="s">
        <v>1954</v>
      </c>
      <c r="E331" t="s">
        <v>267</v>
      </c>
      <c r="F331" s="2">
        <v>2.36</v>
      </c>
    </row>
    <row r="332" spans="1:6" x14ac:dyDescent="0.25">
      <c r="A332" t="s">
        <v>387</v>
      </c>
      <c r="B332" t="s">
        <v>2407</v>
      </c>
      <c r="C332" t="s">
        <v>1953</v>
      </c>
      <c r="D332" t="s">
        <v>1954</v>
      </c>
      <c r="E332" t="s">
        <v>267</v>
      </c>
      <c r="F332" s="2">
        <v>2.63</v>
      </c>
    </row>
    <row r="333" spans="1:6" x14ac:dyDescent="0.25">
      <c r="A333" t="s">
        <v>388</v>
      </c>
      <c r="B333" t="s">
        <v>2408</v>
      </c>
      <c r="C333" t="s">
        <v>1953</v>
      </c>
      <c r="D333" t="s">
        <v>1940</v>
      </c>
      <c r="E333" t="s">
        <v>390</v>
      </c>
      <c r="F333" s="2">
        <v>4.29</v>
      </c>
    </row>
    <row r="334" spans="1:6" x14ac:dyDescent="0.25">
      <c r="A334" t="s">
        <v>390</v>
      </c>
      <c r="B334" t="s">
        <v>2409</v>
      </c>
      <c r="C334" t="s">
        <v>1953</v>
      </c>
      <c r="D334" t="s">
        <v>1954</v>
      </c>
      <c r="E334" t="s">
        <v>390</v>
      </c>
      <c r="F334" s="2">
        <v>4.29</v>
      </c>
    </row>
    <row r="335" spans="1:6" x14ac:dyDescent="0.25">
      <c r="A335" t="s">
        <v>391</v>
      </c>
      <c r="B335" t="s">
        <v>2410</v>
      </c>
      <c r="C335" t="s">
        <v>1953</v>
      </c>
      <c r="D335" t="s">
        <v>1954</v>
      </c>
      <c r="E335" t="s">
        <v>390</v>
      </c>
      <c r="F335" s="2">
        <v>4.29</v>
      </c>
    </row>
    <row r="336" spans="1:6" x14ac:dyDescent="0.25">
      <c r="A336" t="s">
        <v>392</v>
      </c>
      <c r="B336" t="s">
        <v>2411</v>
      </c>
      <c r="C336" t="s">
        <v>1953</v>
      </c>
      <c r="D336" t="s">
        <v>1954</v>
      </c>
      <c r="E336" t="s">
        <v>395</v>
      </c>
      <c r="F336" s="2">
        <v>2.2599999999999998</v>
      </c>
    </row>
    <row r="337" spans="1:6" x14ac:dyDescent="0.25">
      <c r="A337" t="s">
        <v>395</v>
      </c>
      <c r="B337" t="s">
        <v>2412</v>
      </c>
      <c r="C337" t="s">
        <v>1953</v>
      </c>
      <c r="D337" t="s">
        <v>1954</v>
      </c>
      <c r="E337" t="s">
        <v>395</v>
      </c>
      <c r="F337" s="2">
        <v>2.2599999999999998</v>
      </c>
    </row>
    <row r="338" spans="1:6" x14ac:dyDescent="0.25">
      <c r="A338" t="s">
        <v>2413</v>
      </c>
      <c r="B338" t="s">
        <v>2414</v>
      </c>
      <c r="C338" t="s">
        <v>1953</v>
      </c>
      <c r="D338" t="s">
        <v>1940</v>
      </c>
      <c r="F338" s="2">
        <v>1.52</v>
      </c>
    </row>
    <row r="339" spans="1:6" x14ac:dyDescent="0.25">
      <c r="A339" t="s">
        <v>396</v>
      </c>
      <c r="B339" t="s">
        <v>2415</v>
      </c>
      <c r="C339" t="s">
        <v>1953</v>
      </c>
      <c r="D339" t="s">
        <v>1954</v>
      </c>
      <c r="E339" t="s">
        <v>395</v>
      </c>
      <c r="F339" s="2">
        <v>2.2599999999999998</v>
      </c>
    </row>
    <row r="340" spans="1:6" x14ac:dyDescent="0.25">
      <c r="A340" t="s">
        <v>398</v>
      </c>
      <c r="B340" t="s">
        <v>2416</v>
      </c>
      <c r="C340" t="s">
        <v>1953</v>
      </c>
      <c r="D340" t="s">
        <v>1954</v>
      </c>
      <c r="E340" t="s">
        <v>395</v>
      </c>
      <c r="F340" s="2">
        <v>2.2599999999999998</v>
      </c>
    </row>
    <row r="341" spans="1:6" x14ac:dyDescent="0.25">
      <c r="A341" t="s">
        <v>2417</v>
      </c>
      <c r="B341" t="s">
        <v>2418</v>
      </c>
      <c r="C341" t="s">
        <v>1953</v>
      </c>
      <c r="D341" t="s">
        <v>1940</v>
      </c>
      <c r="F341" s="2">
        <v>1.52</v>
      </c>
    </row>
    <row r="342" spans="1:6" x14ac:dyDescent="0.25">
      <c r="A342" t="s">
        <v>399</v>
      </c>
      <c r="B342" t="s">
        <v>2419</v>
      </c>
      <c r="C342" t="s">
        <v>1953</v>
      </c>
      <c r="D342" t="s">
        <v>1954</v>
      </c>
      <c r="E342" t="s">
        <v>395</v>
      </c>
      <c r="F342" s="2">
        <v>2.63</v>
      </c>
    </row>
    <row r="343" spans="1:6" x14ac:dyDescent="0.25">
      <c r="A343" t="s">
        <v>401</v>
      </c>
      <c r="B343" t="s">
        <v>2420</v>
      </c>
      <c r="C343" t="s">
        <v>1953</v>
      </c>
      <c r="D343" t="s">
        <v>1954</v>
      </c>
      <c r="E343" t="s">
        <v>395</v>
      </c>
      <c r="F343" s="2">
        <v>2.63</v>
      </c>
    </row>
    <row r="344" spans="1:6" x14ac:dyDescent="0.25">
      <c r="A344" t="s">
        <v>402</v>
      </c>
      <c r="B344" t="s">
        <v>2421</v>
      </c>
      <c r="C344" t="s">
        <v>1953</v>
      </c>
      <c r="D344" t="s">
        <v>1954</v>
      </c>
      <c r="E344" t="s">
        <v>395</v>
      </c>
      <c r="F344" s="2">
        <v>2.63</v>
      </c>
    </row>
    <row r="345" spans="1:6" x14ac:dyDescent="0.25">
      <c r="A345" t="s">
        <v>404</v>
      </c>
      <c r="B345" t="s">
        <v>2422</v>
      </c>
      <c r="C345" t="s">
        <v>1953</v>
      </c>
      <c r="D345" t="s">
        <v>1954</v>
      </c>
      <c r="E345" t="s">
        <v>395</v>
      </c>
      <c r="F345" s="2">
        <v>2.63</v>
      </c>
    </row>
    <row r="346" spans="1:6" x14ac:dyDescent="0.25">
      <c r="A346" t="s">
        <v>2423</v>
      </c>
      <c r="B346" t="s">
        <v>2424</v>
      </c>
      <c r="C346" t="s">
        <v>1953</v>
      </c>
      <c r="D346" t="s">
        <v>1940</v>
      </c>
      <c r="F346" s="2">
        <v>1.81</v>
      </c>
    </row>
    <row r="347" spans="1:6" x14ac:dyDescent="0.25">
      <c r="A347" t="s">
        <v>405</v>
      </c>
      <c r="B347" t="s">
        <v>2425</v>
      </c>
      <c r="C347" t="s">
        <v>1953</v>
      </c>
      <c r="D347" t="s">
        <v>1954</v>
      </c>
      <c r="E347" t="s">
        <v>395</v>
      </c>
      <c r="F347" s="2">
        <v>2.63</v>
      </c>
    </row>
    <row r="348" spans="1:6" x14ac:dyDescent="0.25">
      <c r="A348" t="s">
        <v>407</v>
      </c>
      <c r="B348" t="s">
        <v>2426</v>
      </c>
      <c r="C348" t="s">
        <v>1953</v>
      </c>
      <c r="D348" t="s">
        <v>1954</v>
      </c>
      <c r="E348" t="s">
        <v>395</v>
      </c>
      <c r="F348" s="2">
        <v>2.63</v>
      </c>
    </row>
    <row r="349" spans="1:6" x14ac:dyDescent="0.25">
      <c r="A349" t="s">
        <v>408</v>
      </c>
      <c r="B349" t="s">
        <v>2427</v>
      </c>
      <c r="C349" t="s">
        <v>1953</v>
      </c>
      <c r="D349" t="s">
        <v>1954</v>
      </c>
      <c r="E349" t="s">
        <v>395</v>
      </c>
      <c r="F349" s="2">
        <v>2.63</v>
      </c>
    </row>
    <row r="350" spans="1:6" x14ac:dyDescent="0.25">
      <c r="A350" t="s">
        <v>410</v>
      </c>
      <c r="B350" t="s">
        <v>2428</v>
      </c>
      <c r="C350" t="s">
        <v>1953</v>
      </c>
      <c r="D350" t="s">
        <v>1954</v>
      </c>
      <c r="E350" t="s">
        <v>395</v>
      </c>
      <c r="F350" s="2">
        <v>2.63</v>
      </c>
    </row>
    <row r="351" spans="1:6" x14ac:dyDescent="0.25">
      <c r="A351" t="s">
        <v>411</v>
      </c>
      <c r="B351" t="s">
        <v>2429</v>
      </c>
      <c r="C351" t="s">
        <v>1953</v>
      </c>
      <c r="D351" t="s">
        <v>1954</v>
      </c>
      <c r="E351" t="s">
        <v>395</v>
      </c>
      <c r="F351" s="2">
        <v>2.63</v>
      </c>
    </row>
    <row r="352" spans="1:6" x14ac:dyDescent="0.25">
      <c r="A352" t="s">
        <v>413</v>
      </c>
      <c r="B352" t="s">
        <v>2430</v>
      </c>
      <c r="C352" t="s">
        <v>1953</v>
      </c>
      <c r="D352" t="s">
        <v>1954</v>
      </c>
      <c r="E352" t="s">
        <v>395</v>
      </c>
      <c r="F352" s="2">
        <v>2.63</v>
      </c>
    </row>
    <row r="353" spans="1:6" x14ac:dyDescent="0.25">
      <c r="A353" t="s">
        <v>414</v>
      </c>
      <c r="B353" t="s">
        <v>2431</v>
      </c>
      <c r="C353" t="s">
        <v>1953</v>
      </c>
      <c r="D353" t="s">
        <v>1954</v>
      </c>
      <c r="E353" t="s">
        <v>395</v>
      </c>
      <c r="F353" s="2">
        <v>2.63</v>
      </c>
    </row>
    <row r="354" spans="1:6" x14ac:dyDescent="0.25">
      <c r="A354" t="s">
        <v>416</v>
      </c>
      <c r="B354" t="s">
        <v>2432</v>
      </c>
      <c r="C354" t="s">
        <v>1953</v>
      </c>
      <c r="D354" t="s">
        <v>1954</v>
      </c>
      <c r="E354" t="s">
        <v>395</v>
      </c>
      <c r="F354" s="2">
        <v>2.63</v>
      </c>
    </row>
    <row r="355" spans="1:6" x14ac:dyDescent="0.25">
      <c r="A355" t="s">
        <v>417</v>
      </c>
      <c r="B355" t="s">
        <v>2433</v>
      </c>
      <c r="C355" t="s">
        <v>1953</v>
      </c>
      <c r="D355" t="s">
        <v>1954</v>
      </c>
      <c r="E355" t="s">
        <v>395</v>
      </c>
      <c r="F355" s="2">
        <v>2.63</v>
      </c>
    </row>
    <row r="356" spans="1:6" x14ac:dyDescent="0.25">
      <c r="A356" t="s">
        <v>419</v>
      </c>
      <c r="B356" t="s">
        <v>2434</v>
      </c>
      <c r="C356" t="s">
        <v>1953</v>
      </c>
      <c r="D356" t="s">
        <v>1954</v>
      </c>
      <c r="E356" t="s">
        <v>395</v>
      </c>
      <c r="F356" s="2">
        <v>2.63</v>
      </c>
    </row>
    <row r="357" spans="1:6" x14ac:dyDescent="0.25">
      <c r="A357" t="s">
        <v>420</v>
      </c>
      <c r="B357" t="s">
        <v>2435</v>
      </c>
      <c r="C357" t="s">
        <v>1953</v>
      </c>
      <c r="D357" t="s">
        <v>1954</v>
      </c>
      <c r="E357" t="s">
        <v>395</v>
      </c>
      <c r="F357" s="2">
        <v>2.63</v>
      </c>
    </row>
    <row r="358" spans="1:6" x14ac:dyDescent="0.25">
      <c r="A358" t="s">
        <v>422</v>
      </c>
      <c r="B358" t="s">
        <v>2436</v>
      </c>
      <c r="C358" t="s">
        <v>1953</v>
      </c>
      <c r="D358" t="s">
        <v>1954</v>
      </c>
      <c r="E358" t="s">
        <v>395</v>
      </c>
      <c r="F358" s="2">
        <v>2.63</v>
      </c>
    </row>
    <row r="359" spans="1:6" x14ac:dyDescent="0.25">
      <c r="A359" t="s">
        <v>423</v>
      </c>
      <c r="B359" t="s">
        <v>2437</v>
      </c>
      <c r="C359" t="s">
        <v>1953</v>
      </c>
      <c r="D359" t="s">
        <v>1954</v>
      </c>
      <c r="E359" t="s">
        <v>395</v>
      </c>
      <c r="F359" s="2">
        <v>2.63</v>
      </c>
    </row>
    <row r="360" spans="1:6" x14ac:dyDescent="0.25">
      <c r="A360" t="s">
        <v>425</v>
      </c>
      <c r="B360" t="s">
        <v>2438</v>
      </c>
      <c r="C360" t="s">
        <v>1953</v>
      </c>
      <c r="D360" t="s">
        <v>1954</v>
      </c>
      <c r="E360" t="s">
        <v>395</v>
      </c>
      <c r="F360" s="2">
        <v>2.63</v>
      </c>
    </row>
    <row r="361" spans="1:6" x14ac:dyDescent="0.25">
      <c r="A361" t="s">
        <v>426</v>
      </c>
      <c r="B361" t="s">
        <v>2439</v>
      </c>
      <c r="C361" t="s">
        <v>1953</v>
      </c>
      <c r="D361" t="s">
        <v>1954</v>
      </c>
      <c r="E361" t="s">
        <v>395</v>
      </c>
      <c r="F361" s="2">
        <v>2.63</v>
      </c>
    </row>
    <row r="362" spans="1:6" x14ac:dyDescent="0.25">
      <c r="A362" t="s">
        <v>428</v>
      </c>
      <c r="B362" t="s">
        <v>2440</v>
      </c>
      <c r="C362" t="s">
        <v>1953</v>
      </c>
      <c r="D362" t="s">
        <v>1954</v>
      </c>
      <c r="E362" t="s">
        <v>395</v>
      </c>
      <c r="F362" s="2">
        <v>2.63</v>
      </c>
    </row>
    <row r="363" spans="1:6" x14ac:dyDescent="0.25">
      <c r="A363" t="s">
        <v>429</v>
      </c>
      <c r="B363" t="s">
        <v>2441</v>
      </c>
      <c r="C363" t="s">
        <v>1953</v>
      </c>
      <c r="D363" t="s">
        <v>1954</v>
      </c>
      <c r="E363" t="s">
        <v>395</v>
      </c>
      <c r="F363" s="2">
        <v>2.63</v>
      </c>
    </row>
    <row r="364" spans="1:6" x14ac:dyDescent="0.25">
      <c r="A364" t="s">
        <v>431</v>
      </c>
      <c r="B364" t="s">
        <v>2442</v>
      </c>
      <c r="C364" t="s">
        <v>1953</v>
      </c>
      <c r="D364" t="s">
        <v>1954</v>
      </c>
      <c r="E364" t="s">
        <v>395</v>
      </c>
      <c r="F364" s="2">
        <v>2.63</v>
      </c>
    </row>
    <row r="365" spans="1:6" x14ac:dyDescent="0.25">
      <c r="A365" t="s">
        <v>432</v>
      </c>
      <c r="B365" t="s">
        <v>2443</v>
      </c>
      <c r="C365" t="s">
        <v>1953</v>
      </c>
      <c r="D365" t="s">
        <v>1954</v>
      </c>
      <c r="E365" t="s">
        <v>395</v>
      </c>
      <c r="F365" s="2">
        <v>2.63</v>
      </c>
    </row>
    <row r="366" spans="1:6" x14ac:dyDescent="0.25">
      <c r="A366" t="s">
        <v>434</v>
      </c>
      <c r="B366" t="s">
        <v>2444</v>
      </c>
      <c r="C366" t="s">
        <v>1953</v>
      </c>
      <c r="D366" t="s">
        <v>1954</v>
      </c>
      <c r="E366" t="s">
        <v>395</v>
      </c>
      <c r="F366" s="2">
        <v>2.63</v>
      </c>
    </row>
    <row r="367" spans="1:6" x14ac:dyDescent="0.25">
      <c r="A367" t="s">
        <v>435</v>
      </c>
      <c r="B367" t="s">
        <v>2445</v>
      </c>
      <c r="C367" t="s">
        <v>1953</v>
      </c>
      <c r="D367" t="s">
        <v>1954</v>
      </c>
      <c r="E367" t="s">
        <v>395</v>
      </c>
      <c r="F367" s="2">
        <v>2.63</v>
      </c>
    </row>
    <row r="368" spans="1:6" x14ac:dyDescent="0.25">
      <c r="A368" t="s">
        <v>437</v>
      </c>
      <c r="B368" t="s">
        <v>2446</v>
      </c>
      <c r="C368" t="s">
        <v>1953</v>
      </c>
      <c r="D368" t="s">
        <v>1954</v>
      </c>
      <c r="E368" t="s">
        <v>395</v>
      </c>
      <c r="F368" s="2">
        <v>2.63</v>
      </c>
    </row>
    <row r="369" spans="1:6" x14ac:dyDescent="0.25">
      <c r="A369" t="s">
        <v>438</v>
      </c>
      <c r="B369" t="s">
        <v>2447</v>
      </c>
      <c r="C369" t="s">
        <v>1953</v>
      </c>
      <c r="D369" t="s">
        <v>1954</v>
      </c>
      <c r="E369" t="s">
        <v>395</v>
      </c>
      <c r="F369" s="2">
        <v>2.63</v>
      </c>
    </row>
    <row r="370" spans="1:6" x14ac:dyDescent="0.25">
      <c r="A370" t="s">
        <v>440</v>
      </c>
      <c r="B370" t="s">
        <v>2448</v>
      </c>
      <c r="C370" t="s">
        <v>1953</v>
      </c>
      <c r="D370" t="s">
        <v>1954</v>
      </c>
      <c r="E370" t="s">
        <v>395</v>
      </c>
      <c r="F370" s="2">
        <v>2.63</v>
      </c>
    </row>
    <row r="371" spans="1:6" x14ac:dyDescent="0.25">
      <c r="A371" t="s">
        <v>441</v>
      </c>
      <c r="B371" t="s">
        <v>2449</v>
      </c>
      <c r="C371" t="s">
        <v>1953</v>
      </c>
      <c r="D371" t="s">
        <v>1954</v>
      </c>
      <c r="E371" t="s">
        <v>395</v>
      </c>
      <c r="F371" s="2">
        <v>2.63</v>
      </c>
    </row>
    <row r="372" spans="1:6" x14ac:dyDescent="0.25">
      <c r="A372" t="s">
        <v>443</v>
      </c>
      <c r="B372" t="s">
        <v>2450</v>
      </c>
      <c r="C372" t="s">
        <v>1953</v>
      </c>
      <c r="D372" t="s">
        <v>1954</v>
      </c>
      <c r="E372" t="s">
        <v>395</v>
      </c>
      <c r="F372" s="2">
        <v>2.63</v>
      </c>
    </row>
    <row r="373" spans="1:6" x14ac:dyDescent="0.25">
      <c r="A373" t="s">
        <v>444</v>
      </c>
      <c r="B373" t="s">
        <v>2451</v>
      </c>
      <c r="C373" t="s">
        <v>1953</v>
      </c>
      <c r="D373" t="s">
        <v>1954</v>
      </c>
      <c r="E373" t="s">
        <v>395</v>
      </c>
      <c r="F373" s="2">
        <v>2.63</v>
      </c>
    </row>
    <row r="374" spans="1:6" x14ac:dyDescent="0.25">
      <c r="A374" t="s">
        <v>446</v>
      </c>
      <c r="B374" t="s">
        <v>2452</v>
      </c>
      <c r="C374" t="s">
        <v>1953</v>
      </c>
      <c r="D374" t="s">
        <v>1954</v>
      </c>
      <c r="E374" t="s">
        <v>395</v>
      </c>
      <c r="F374" s="2">
        <v>2.63</v>
      </c>
    </row>
    <row r="375" spans="1:6" x14ac:dyDescent="0.25">
      <c r="A375" t="s">
        <v>447</v>
      </c>
      <c r="B375" t="s">
        <v>2453</v>
      </c>
      <c r="C375" t="s">
        <v>1953</v>
      </c>
      <c r="D375" t="s">
        <v>1954</v>
      </c>
      <c r="E375" t="s">
        <v>395</v>
      </c>
      <c r="F375" s="2">
        <v>2.63</v>
      </c>
    </row>
    <row r="376" spans="1:6" x14ac:dyDescent="0.25">
      <c r="A376" t="s">
        <v>449</v>
      </c>
      <c r="B376" t="s">
        <v>2454</v>
      </c>
      <c r="C376" t="s">
        <v>1953</v>
      </c>
      <c r="D376" t="s">
        <v>1954</v>
      </c>
      <c r="E376" t="s">
        <v>395</v>
      </c>
      <c r="F376" s="2">
        <v>2.63</v>
      </c>
    </row>
    <row r="377" spans="1:6" x14ac:dyDescent="0.25">
      <c r="A377" t="s">
        <v>450</v>
      </c>
      <c r="B377" t="s">
        <v>2455</v>
      </c>
      <c r="C377" t="s">
        <v>1953</v>
      </c>
      <c r="D377" t="s">
        <v>1954</v>
      </c>
      <c r="E377" t="s">
        <v>395</v>
      </c>
      <c r="F377" s="2">
        <v>2.63</v>
      </c>
    </row>
    <row r="378" spans="1:6" x14ac:dyDescent="0.25">
      <c r="A378" t="s">
        <v>452</v>
      </c>
      <c r="B378" t="s">
        <v>2456</v>
      </c>
      <c r="C378" t="s">
        <v>1953</v>
      </c>
      <c r="D378" t="s">
        <v>1954</v>
      </c>
      <c r="E378" t="s">
        <v>395</v>
      </c>
      <c r="F378" s="2">
        <v>2.63</v>
      </c>
    </row>
    <row r="379" spans="1:6" x14ac:dyDescent="0.25">
      <c r="A379" t="s">
        <v>453</v>
      </c>
      <c r="B379" t="s">
        <v>2457</v>
      </c>
      <c r="C379" t="s">
        <v>1953</v>
      </c>
      <c r="D379" t="s">
        <v>1954</v>
      </c>
      <c r="E379" t="s">
        <v>395</v>
      </c>
      <c r="F379" s="2">
        <v>2.63</v>
      </c>
    </row>
    <row r="380" spans="1:6" x14ac:dyDescent="0.25">
      <c r="A380" t="s">
        <v>455</v>
      </c>
      <c r="B380" t="s">
        <v>2458</v>
      </c>
      <c r="C380" t="s">
        <v>1953</v>
      </c>
      <c r="D380" t="s">
        <v>1954</v>
      </c>
      <c r="E380" t="s">
        <v>395</v>
      </c>
      <c r="F380" s="2">
        <v>2.63</v>
      </c>
    </row>
    <row r="381" spans="1:6" x14ac:dyDescent="0.25">
      <c r="A381" t="s">
        <v>456</v>
      </c>
      <c r="B381" t="s">
        <v>2459</v>
      </c>
      <c r="C381" t="s">
        <v>1953</v>
      </c>
      <c r="D381" t="s">
        <v>1954</v>
      </c>
      <c r="E381" t="s">
        <v>395</v>
      </c>
      <c r="F381" s="2">
        <v>2.63</v>
      </c>
    </row>
    <row r="382" spans="1:6" x14ac:dyDescent="0.25">
      <c r="A382" t="s">
        <v>458</v>
      </c>
      <c r="B382" t="s">
        <v>2460</v>
      </c>
      <c r="C382" t="s">
        <v>1953</v>
      </c>
      <c r="D382" t="s">
        <v>1954</v>
      </c>
      <c r="E382" t="s">
        <v>395</v>
      </c>
      <c r="F382" s="2">
        <v>2.63</v>
      </c>
    </row>
    <row r="383" spans="1:6" x14ac:dyDescent="0.25">
      <c r="A383" t="s">
        <v>459</v>
      </c>
      <c r="B383" t="s">
        <v>2461</v>
      </c>
      <c r="C383" t="s">
        <v>1953</v>
      </c>
      <c r="D383" t="s">
        <v>1954</v>
      </c>
      <c r="E383" t="s">
        <v>395</v>
      </c>
      <c r="F383" s="2">
        <v>2.63</v>
      </c>
    </row>
    <row r="384" spans="1:6" x14ac:dyDescent="0.25">
      <c r="A384" t="s">
        <v>461</v>
      </c>
      <c r="B384" t="s">
        <v>2462</v>
      </c>
      <c r="C384" t="s">
        <v>1953</v>
      </c>
      <c r="D384" t="s">
        <v>1954</v>
      </c>
      <c r="E384" t="s">
        <v>395</v>
      </c>
      <c r="F384" s="2">
        <v>2.63</v>
      </c>
    </row>
    <row r="385" spans="1:6" x14ac:dyDescent="0.25">
      <c r="A385" t="s">
        <v>462</v>
      </c>
      <c r="B385" t="s">
        <v>2463</v>
      </c>
      <c r="C385" t="s">
        <v>1953</v>
      </c>
      <c r="D385" t="s">
        <v>1954</v>
      </c>
      <c r="E385" t="s">
        <v>395</v>
      </c>
      <c r="F385" s="2">
        <v>2.63</v>
      </c>
    </row>
    <row r="386" spans="1:6" x14ac:dyDescent="0.25">
      <c r="A386" t="s">
        <v>464</v>
      </c>
      <c r="B386" t="s">
        <v>2464</v>
      </c>
      <c r="C386" t="s">
        <v>1953</v>
      </c>
      <c r="D386" t="s">
        <v>1954</v>
      </c>
      <c r="E386" t="s">
        <v>395</v>
      </c>
      <c r="F386" s="2">
        <v>2.63</v>
      </c>
    </row>
    <row r="387" spans="1:6" x14ac:dyDescent="0.25">
      <c r="A387" t="s">
        <v>465</v>
      </c>
      <c r="B387" t="s">
        <v>2465</v>
      </c>
      <c r="C387" t="s">
        <v>1953</v>
      </c>
      <c r="D387" t="s">
        <v>1954</v>
      </c>
      <c r="E387" t="s">
        <v>395</v>
      </c>
      <c r="F387" s="2">
        <v>2.63</v>
      </c>
    </row>
    <row r="388" spans="1:6" x14ac:dyDescent="0.25">
      <c r="A388" t="s">
        <v>467</v>
      </c>
      <c r="B388" t="s">
        <v>2466</v>
      </c>
      <c r="C388" t="s">
        <v>1953</v>
      </c>
      <c r="D388" t="s">
        <v>1954</v>
      </c>
      <c r="E388" t="s">
        <v>395</v>
      </c>
      <c r="F388" s="2">
        <v>2.63</v>
      </c>
    </row>
    <row r="389" spans="1:6" x14ac:dyDescent="0.25">
      <c r="A389" t="s">
        <v>2467</v>
      </c>
      <c r="B389" t="s">
        <v>2468</v>
      </c>
      <c r="C389" t="s">
        <v>1953</v>
      </c>
      <c r="D389" t="s">
        <v>1954</v>
      </c>
      <c r="E389" t="s">
        <v>395</v>
      </c>
      <c r="F389" s="2">
        <v>2.63</v>
      </c>
    </row>
    <row r="390" spans="1:6" x14ac:dyDescent="0.25">
      <c r="A390" t="s">
        <v>468</v>
      </c>
      <c r="B390" t="s">
        <v>2469</v>
      </c>
      <c r="C390" t="s">
        <v>1953</v>
      </c>
      <c r="D390" t="s">
        <v>1954</v>
      </c>
      <c r="E390" t="s">
        <v>395</v>
      </c>
      <c r="F390" s="2">
        <v>2.63</v>
      </c>
    </row>
    <row r="391" spans="1:6" x14ac:dyDescent="0.25">
      <c r="A391" t="s">
        <v>2470</v>
      </c>
      <c r="B391" t="s">
        <v>2471</v>
      </c>
      <c r="C391" t="s">
        <v>1953</v>
      </c>
      <c r="D391" t="s">
        <v>1940</v>
      </c>
      <c r="F391" s="2">
        <v>1.81</v>
      </c>
    </row>
    <row r="392" spans="1:6" x14ac:dyDescent="0.25">
      <c r="A392" t="s">
        <v>470</v>
      </c>
      <c r="B392" t="s">
        <v>2472</v>
      </c>
      <c r="C392" t="s">
        <v>1953</v>
      </c>
      <c r="D392" t="s">
        <v>1954</v>
      </c>
      <c r="E392" t="s">
        <v>395</v>
      </c>
      <c r="F392" s="2">
        <v>2.63</v>
      </c>
    </row>
    <row r="393" spans="1:6" x14ac:dyDescent="0.25">
      <c r="A393" t="s">
        <v>472</v>
      </c>
      <c r="B393" t="s">
        <v>2473</v>
      </c>
      <c r="C393" t="s">
        <v>1953</v>
      </c>
      <c r="D393" t="s">
        <v>1954</v>
      </c>
      <c r="E393" t="s">
        <v>395</v>
      </c>
      <c r="F393" s="2">
        <v>2.63</v>
      </c>
    </row>
    <row r="394" spans="1:6" x14ac:dyDescent="0.25">
      <c r="A394" t="s">
        <v>473</v>
      </c>
      <c r="B394" t="s">
        <v>2474</v>
      </c>
      <c r="C394" t="s">
        <v>1953</v>
      </c>
      <c r="D394" t="s">
        <v>1954</v>
      </c>
      <c r="E394" t="s">
        <v>395</v>
      </c>
      <c r="F394" s="2">
        <v>2.63</v>
      </c>
    </row>
    <row r="395" spans="1:6" x14ac:dyDescent="0.25">
      <c r="A395" t="s">
        <v>475</v>
      </c>
      <c r="B395" t="s">
        <v>2475</v>
      </c>
      <c r="C395" t="s">
        <v>1953</v>
      </c>
      <c r="D395" t="s">
        <v>1954</v>
      </c>
      <c r="E395" t="s">
        <v>395</v>
      </c>
      <c r="F395" s="2">
        <v>2.63</v>
      </c>
    </row>
    <row r="396" spans="1:6" x14ac:dyDescent="0.25">
      <c r="A396" t="s">
        <v>2476</v>
      </c>
      <c r="B396" t="s">
        <v>2477</v>
      </c>
      <c r="C396" t="s">
        <v>1953</v>
      </c>
      <c r="D396" t="s">
        <v>1954</v>
      </c>
      <c r="E396" t="s">
        <v>395</v>
      </c>
      <c r="F396" s="2">
        <v>1.86</v>
      </c>
    </row>
    <row r="397" spans="1:6" x14ac:dyDescent="0.25">
      <c r="A397" t="s">
        <v>476</v>
      </c>
      <c r="B397" t="s">
        <v>2478</v>
      </c>
      <c r="C397" t="s">
        <v>1953</v>
      </c>
      <c r="D397" t="s">
        <v>1954</v>
      </c>
      <c r="E397" t="s">
        <v>395</v>
      </c>
      <c r="F397" s="2">
        <v>2.63</v>
      </c>
    </row>
    <row r="398" spans="1:6" x14ac:dyDescent="0.25">
      <c r="A398" t="s">
        <v>478</v>
      </c>
      <c r="B398" t="s">
        <v>2479</v>
      </c>
      <c r="C398" t="s">
        <v>1953</v>
      </c>
      <c r="D398" t="s">
        <v>1954</v>
      </c>
      <c r="E398" t="s">
        <v>395</v>
      </c>
      <c r="F398" s="2">
        <v>2.63</v>
      </c>
    </row>
    <row r="399" spans="1:6" x14ac:dyDescent="0.25">
      <c r="A399" t="s">
        <v>479</v>
      </c>
      <c r="B399" t="s">
        <v>2480</v>
      </c>
      <c r="C399" t="s">
        <v>1953</v>
      </c>
      <c r="D399" t="s">
        <v>1954</v>
      </c>
      <c r="E399" t="s">
        <v>395</v>
      </c>
      <c r="F399" s="2">
        <v>2.92</v>
      </c>
    </row>
    <row r="400" spans="1:6" x14ac:dyDescent="0.25">
      <c r="A400" t="s">
        <v>481</v>
      </c>
      <c r="B400" t="s">
        <v>2481</v>
      </c>
      <c r="C400" t="s">
        <v>1953</v>
      </c>
      <c r="D400" t="s">
        <v>1954</v>
      </c>
      <c r="E400" t="s">
        <v>395</v>
      </c>
      <c r="F400" s="2">
        <v>2.92</v>
      </c>
    </row>
    <row r="401" spans="1:6" x14ac:dyDescent="0.25">
      <c r="A401" t="s">
        <v>482</v>
      </c>
      <c r="B401" t="s">
        <v>2482</v>
      </c>
      <c r="C401" t="s">
        <v>1953</v>
      </c>
      <c r="D401" t="s">
        <v>1954</v>
      </c>
      <c r="E401" t="s">
        <v>395</v>
      </c>
      <c r="F401" s="2">
        <v>2.92</v>
      </c>
    </row>
    <row r="402" spans="1:6" x14ac:dyDescent="0.25">
      <c r="A402" t="s">
        <v>484</v>
      </c>
      <c r="B402" t="s">
        <v>2483</v>
      </c>
      <c r="C402" t="s">
        <v>1953</v>
      </c>
      <c r="D402" t="s">
        <v>1954</v>
      </c>
      <c r="E402" t="s">
        <v>395</v>
      </c>
      <c r="F402" s="2">
        <v>2.92</v>
      </c>
    </row>
    <row r="403" spans="1:6" x14ac:dyDescent="0.25">
      <c r="A403" t="s">
        <v>2484</v>
      </c>
      <c r="B403" t="s">
        <v>2485</v>
      </c>
      <c r="C403" t="s">
        <v>1953</v>
      </c>
      <c r="D403" t="s">
        <v>1954</v>
      </c>
      <c r="E403" t="s">
        <v>487</v>
      </c>
      <c r="F403" s="2">
        <v>16.329999999999998</v>
      </c>
    </row>
    <row r="404" spans="1:6" x14ac:dyDescent="0.25">
      <c r="A404" t="s">
        <v>487</v>
      </c>
      <c r="B404" t="s">
        <v>2486</v>
      </c>
      <c r="C404" t="s">
        <v>1953</v>
      </c>
      <c r="D404" t="s">
        <v>1954</v>
      </c>
      <c r="E404" t="s">
        <v>487</v>
      </c>
      <c r="F404" s="2">
        <v>16.329999999999998</v>
      </c>
    </row>
    <row r="405" spans="1:6" x14ac:dyDescent="0.25">
      <c r="A405" t="s">
        <v>490</v>
      </c>
      <c r="B405" t="s">
        <v>2487</v>
      </c>
      <c r="C405" t="s">
        <v>1953</v>
      </c>
      <c r="D405" t="s">
        <v>1954</v>
      </c>
      <c r="E405" t="s">
        <v>493</v>
      </c>
      <c r="F405" s="2">
        <v>5.04</v>
      </c>
    </row>
    <row r="406" spans="1:6" x14ac:dyDescent="0.25">
      <c r="A406" t="s">
        <v>493</v>
      </c>
      <c r="B406" t="s">
        <v>2488</v>
      </c>
      <c r="C406" t="s">
        <v>1953</v>
      </c>
      <c r="D406" t="s">
        <v>1954</v>
      </c>
      <c r="E406" t="s">
        <v>493</v>
      </c>
      <c r="F406" s="2">
        <v>5.04</v>
      </c>
    </row>
    <row r="407" spans="1:6" x14ac:dyDescent="0.25">
      <c r="A407" t="s">
        <v>494</v>
      </c>
      <c r="B407" t="s">
        <v>2489</v>
      </c>
      <c r="C407" t="s">
        <v>1953</v>
      </c>
      <c r="D407" t="s">
        <v>1954</v>
      </c>
      <c r="E407" t="s">
        <v>493</v>
      </c>
      <c r="F407" s="2">
        <v>5.04</v>
      </c>
    </row>
    <row r="408" spans="1:6" x14ac:dyDescent="0.25">
      <c r="A408" t="s">
        <v>496</v>
      </c>
      <c r="B408" t="s">
        <v>2490</v>
      </c>
      <c r="C408" t="s">
        <v>1953</v>
      </c>
      <c r="D408" t="s">
        <v>1954</v>
      </c>
      <c r="E408" t="s">
        <v>493</v>
      </c>
      <c r="F408" s="2">
        <v>5.04</v>
      </c>
    </row>
    <row r="409" spans="1:6" x14ac:dyDescent="0.25">
      <c r="A409" t="s">
        <v>497</v>
      </c>
      <c r="B409" t="s">
        <v>2491</v>
      </c>
      <c r="C409" t="s">
        <v>1953</v>
      </c>
      <c r="D409" t="s">
        <v>1954</v>
      </c>
      <c r="E409" t="s">
        <v>493</v>
      </c>
      <c r="F409" s="2">
        <v>5.04</v>
      </c>
    </row>
    <row r="410" spans="1:6" x14ac:dyDescent="0.25">
      <c r="A410" t="s">
        <v>499</v>
      </c>
      <c r="B410" t="s">
        <v>2492</v>
      </c>
      <c r="C410" t="s">
        <v>1953</v>
      </c>
      <c r="D410" t="s">
        <v>1954</v>
      </c>
      <c r="E410" t="s">
        <v>493</v>
      </c>
      <c r="F410" s="2">
        <v>5.04</v>
      </c>
    </row>
    <row r="411" spans="1:6" x14ac:dyDescent="0.25">
      <c r="A411" t="s">
        <v>500</v>
      </c>
      <c r="B411" t="s">
        <v>2493</v>
      </c>
      <c r="C411" t="s">
        <v>1953</v>
      </c>
      <c r="D411" t="s">
        <v>1954</v>
      </c>
      <c r="E411" t="s">
        <v>493</v>
      </c>
      <c r="F411" s="2">
        <v>5.04</v>
      </c>
    </row>
    <row r="412" spans="1:6" x14ac:dyDescent="0.25">
      <c r="A412" t="s">
        <v>502</v>
      </c>
      <c r="B412" t="s">
        <v>2494</v>
      </c>
      <c r="C412" t="s">
        <v>1953</v>
      </c>
      <c r="D412" t="s">
        <v>1954</v>
      </c>
      <c r="E412" t="s">
        <v>493</v>
      </c>
      <c r="F412" s="2">
        <v>5.04</v>
      </c>
    </row>
    <row r="413" spans="1:6" x14ac:dyDescent="0.25">
      <c r="A413" t="s">
        <v>503</v>
      </c>
      <c r="B413" t="s">
        <v>2495</v>
      </c>
      <c r="C413" t="s">
        <v>1953</v>
      </c>
      <c r="D413" t="s">
        <v>1954</v>
      </c>
      <c r="E413" t="s">
        <v>493</v>
      </c>
      <c r="F413" s="2">
        <v>5.39</v>
      </c>
    </row>
    <row r="414" spans="1:6" x14ac:dyDescent="0.25">
      <c r="A414" t="s">
        <v>505</v>
      </c>
      <c r="B414" t="s">
        <v>2496</v>
      </c>
      <c r="C414" t="s">
        <v>1953</v>
      </c>
      <c r="D414" t="s">
        <v>1954</v>
      </c>
      <c r="E414" t="s">
        <v>493</v>
      </c>
      <c r="F414" s="2">
        <v>5.39</v>
      </c>
    </row>
    <row r="415" spans="1:6" x14ac:dyDescent="0.25">
      <c r="A415" t="s">
        <v>506</v>
      </c>
      <c r="B415" t="s">
        <v>2497</v>
      </c>
      <c r="C415" t="s">
        <v>1953</v>
      </c>
      <c r="D415" t="s">
        <v>1954</v>
      </c>
      <c r="E415" t="s">
        <v>493</v>
      </c>
      <c r="F415" s="2">
        <v>5.39</v>
      </c>
    </row>
    <row r="416" spans="1:6" x14ac:dyDescent="0.25">
      <c r="A416" t="s">
        <v>508</v>
      </c>
      <c r="B416" t="s">
        <v>2498</v>
      </c>
      <c r="C416" t="s">
        <v>1953</v>
      </c>
      <c r="D416" t="s">
        <v>1954</v>
      </c>
      <c r="E416" t="s">
        <v>493</v>
      </c>
      <c r="F416" s="2">
        <v>5.39</v>
      </c>
    </row>
    <row r="417" spans="1:6" x14ac:dyDescent="0.25">
      <c r="A417" t="s">
        <v>509</v>
      </c>
      <c r="B417" t="s">
        <v>2499</v>
      </c>
      <c r="C417" t="s">
        <v>1953</v>
      </c>
      <c r="D417" t="s">
        <v>1954</v>
      </c>
      <c r="E417" t="s">
        <v>493</v>
      </c>
      <c r="F417" s="2">
        <v>5.39</v>
      </c>
    </row>
    <row r="418" spans="1:6" x14ac:dyDescent="0.25">
      <c r="A418" t="s">
        <v>511</v>
      </c>
      <c r="B418" t="s">
        <v>2500</v>
      </c>
      <c r="C418" t="s">
        <v>1953</v>
      </c>
      <c r="D418" t="s">
        <v>1954</v>
      </c>
      <c r="E418" t="s">
        <v>493</v>
      </c>
      <c r="F418" s="2">
        <v>5.39</v>
      </c>
    </row>
    <row r="419" spans="1:6" x14ac:dyDescent="0.25">
      <c r="A419" t="s">
        <v>512</v>
      </c>
      <c r="B419" t="s">
        <v>2501</v>
      </c>
      <c r="C419" t="s">
        <v>1953</v>
      </c>
      <c r="D419" t="s">
        <v>1954</v>
      </c>
      <c r="E419" t="s">
        <v>493</v>
      </c>
      <c r="F419" s="2">
        <v>5.39</v>
      </c>
    </row>
    <row r="420" spans="1:6" x14ac:dyDescent="0.25">
      <c r="A420" t="s">
        <v>514</v>
      </c>
      <c r="B420" t="s">
        <v>2502</v>
      </c>
      <c r="C420" t="s">
        <v>1953</v>
      </c>
      <c r="D420" t="s">
        <v>1954</v>
      </c>
      <c r="E420" t="s">
        <v>493</v>
      </c>
      <c r="F420" s="2">
        <v>5.39</v>
      </c>
    </row>
    <row r="421" spans="1:6" x14ac:dyDescent="0.25">
      <c r="A421" t="s">
        <v>2503</v>
      </c>
      <c r="B421" t="s">
        <v>2504</v>
      </c>
      <c r="C421" t="s">
        <v>1953</v>
      </c>
      <c r="D421" t="s">
        <v>1954</v>
      </c>
      <c r="F421" s="2">
        <v>19.04</v>
      </c>
    </row>
    <row r="422" spans="1:6" x14ac:dyDescent="0.25">
      <c r="A422" t="s">
        <v>2505</v>
      </c>
      <c r="B422" t="s">
        <v>2506</v>
      </c>
      <c r="C422" t="s">
        <v>1953</v>
      </c>
      <c r="D422" t="s">
        <v>1954</v>
      </c>
      <c r="F422" s="2">
        <v>23</v>
      </c>
    </row>
    <row r="423" spans="1:6" x14ac:dyDescent="0.25">
      <c r="A423" t="s">
        <v>689</v>
      </c>
      <c r="B423" t="s">
        <v>2507</v>
      </c>
      <c r="C423" t="s">
        <v>1953</v>
      </c>
      <c r="D423" t="s">
        <v>1954</v>
      </c>
      <c r="E423" t="s">
        <v>698</v>
      </c>
      <c r="F423" s="2">
        <v>125.04</v>
      </c>
    </row>
    <row r="424" spans="1:6" x14ac:dyDescent="0.25">
      <c r="A424" t="s">
        <v>694</v>
      </c>
      <c r="B424" t="s">
        <v>2508</v>
      </c>
      <c r="C424" t="s">
        <v>1953</v>
      </c>
      <c r="D424" t="s">
        <v>1954</v>
      </c>
      <c r="E424" t="s">
        <v>699</v>
      </c>
      <c r="F424" s="2">
        <v>125.04</v>
      </c>
    </row>
    <row r="425" spans="1:6" x14ac:dyDescent="0.25">
      <c r="A425" t="s">
        <v>696</v>
      </c>
      <c r="B425" t="s">
        <v>2509</v>
      </c>
      <c r="C425" t="s">
        <v>1953</v>
      </c>
      <c r="D425" t="s">
        <v>1940</v>
      </c>
      <c r="E425" t="s">
        <v>700</v>
      </c>
      <c r="F425" s="2">
        <v>165.87</v>
      </c>
    </row>
    <row r="426" spans="1:6" x14ac:dyDescent="0.25">
      <c r="A426" t="s">
        <v>698</v>
      </c>
      <c r="B426" t="s">
        <v>2510</v>
      </c>
      <c r="C426" t="s">
        <v>1953</v>
      </c>
      <c r="D426" t="s">
        <v>1954</v>
      </c>
      <c r="E426" t="s">
        <v>698</v>
      </c>
      <c r="F426" s="2">
        <v>62.45</v>
      </c>
    </row>
    <row r="427" spans="1:6" x14ac:dyDescent="0.25">
      <c r="A427" t="s">
        <v>699</v>
      </c>
      <c r="B427" t="s">
        <v>2511</v>
      </c>
      <c r="C427" t="s">
        <v>1953</v>
      </c>
      <c r="D427" t="s">
        <v>1954</v>
      </c>
      <c r="E427" t="s">
        <v>699</v>
      </c>
      <c r="F427" s="2">
        <v>62.45</v>
      </c>
    </row>
    <row r="428" spans="1:6" x14ac:dyDescent="0.25">
      <c r="A428" t="s">
        <v>700</v>
      </c>
      <c r="B428" t="s">
        <v>2512</v>
      </c>
      <c r="C428" t="s">
        <v>1953</v>
      </c>
      <c r="D428" t="s">
        <v>1954</v>
      </c>
      <c r="E428" t="s">
        <v>700</v>
      </c>
      <c r="F428" s="2">
        <v>82.95</v>
      </c>
    </row>
    <row r="429" spans="1:6" x14ac:dyDescent="0.25">
      <c r="A429" t="s">
        <v>701</v>
      </c>
      <c r="B429" t="s">
        <v>2513</v>
      </c>
      <c r="C429" t="s">
        <v>1953</v>
      </c>
      <c r="D429" t="s">
        <v>1954</v>
      </c>
      <c r="E429" t="s">
        <v>707</v>
      </c>
      <c r="F429" s="2">
        <v>134.66999999999999</v>
      </c>
    </row>
    <row r="430" spans="1:6" x14ac:dyDescent="0.25">
      <c r="A430" t="s">
        <v>703</v>
      </c>
      <c r="B430" t="s">
        <v>2514</v>
      </c>
      <c r="C430" t="s">
        <v>1953</v>
      </c>
      <c r="D430" t="s">
        <v>1954</v>
      </c>
      <c r="E430" t="s">
        <v>708</v>
      </c>
      <c r="F430" s="2">
        <v>134.66999999999999</v>
      </c>
    </row>
    <row r="431" spans="1:6" x14ac:dyDescent="0.25">
      <c r="A431" t="s">
        <v>705</v>
      </c>
      <c r="B431" t="s">
        <v>2515</v>
      </c>
      <c r="C431" t="s">
        <v>1953</v>
      </c>
      <c r="D431" t="s">
        <v>1954</v>
      </c>
      <c r="E431" t="s">
        <v>709</v>
      </c>
      <c r="F431" s="2">
        <v>128.26</v>
      </c>
    </row>
    <row r="432" spans="1:6" x14ac:dyDescent="0.25">
      <c r="A432" t="s">
        <v>706</v>
      </c>
      <c r="B432" t="s">
        <v>2516</v>
      </c>
      <c r="C432" t="s">
        <v>1953</v>
      </c>
      <c r="D432" t="s">
        <v>1954</v>
      </c>
      <c r="E432" t="s">
        <v>710</v>
      </c>
      <c r="F432" s="2">
        <v>117.23</v>
      </c>
    </row>
    <row r="433" spans="1:6" x14ac:dyDescent="0.25">
      <c r="A433" t="s">
        <v>707</v>
      </c>
      <c r="B433" t="s">
        <v>2517</v>
      </c>
      <c r="C433" t="s">
        <v>1953</v>
      </c>
      <c r="D433" t="s">
        <v>1954</v>
      </c>
      <c r="E433" t="s">
        <v>707</v>
      </c>
      <c r="F433" s="2">
        <v>69.48</v>
      </c>
    </row>
    <row r="434" spans="1:6" x14ac:dyDescent="0.25">
      <c r="A434" t="s">
        <v>708</v>
      </c>
      <c r="B434" t="s">
        <v>2518</v>
      </c>
      <c r="C434" t="s">
        <v>1953</v>
      </c>
      <c r="D434" t="s">
        <v>1954</v>
      </c>
      <c r="E434" t="s">
        <v>708</v>
      </c>
      <c r="F434" s="2">
        <v>69.48</v>
      </c>
    </row>
    <row r="435" spans="1:6" x14ac:dyDescent="0.25">
      <c r="A435" t="s">
        <v>709</v>
      </c>
      <c r="B435" t="s">
        <v>2519</v>
      </c>
      <c r="C435" t="s">
        <v>1953</v>
      </c>
      <c r="D435" t="s">
        <v>1954</v>
      </c>
      <c r="E435" t="s">
        <v>709</v>
      </c>
      <c r="F435" s="2">
        <v>69.48</v>
      </c>
    </row>
    <row r="436" spans="1:6" x14ac:dyDescent="0.25">
      <c r="A436" t="s">
        <v>710</v>
      </c>
      <c r="B436" t="s">
        <v>2520</v>
      </c>
      <c r="C436" t="s">
        <v>1953</v>
      </c>
      <c r="D436" t="s">
        <v>1954</v>
      </c>
      <c r="E436" t="s">
        <v>710</v>
      </c>
      <c r="F436" s="2">
        <v>58.61</v>
      </c>
    </row>
    <row r="437" spans="1:6" x14ac:dyDescent="0.25">
      <c r="A437" t="s">
        <v>711</v>
      </c>
      <c r="B437" t="s">
        <v>2521</v>
      </c>
      <c r="C437" t="s">
        <v>1953</v>
      </c>
      <c r="D437" t="s">
        <v>1954</v>
      </c>
      <c r="E437" t="s">
        <v>711</v>
      </c>
      <c r="F437" s="2">
        <v>5.92</v>
      </c>
    </row>
    <row r="438" spans="1:6" x14ac:dyDescent="0.25">
      <c r="A438" t="s">
        <v>714</v>
      </c>
      <c r="B438" t="s">
        <v>2522</v>
      </c>
      <c r="C438" t="s">
        <v>1953</v>
      </c>
      <c r="D438" t="s">
        <v>1954</v>
      </c>
      <c r="E438" t="s">
        <v>711</v>
      </c>
      <c r="F438" s="2">
        <v>5.92</v>
      </c>
    </row>
    <row r="439" spans="1:6" x14ac:dyDescent="0.25">
      <c r="A439" t="s">
        <v>716</v>
      </c>
      <c r="B439" t="s">
        <v>2523</v>
      </c>
      <c r="C439" t="s">
        <v>1953</v>
      </c>
      <c r="D439" t="s">
        <v>1954</v>
      </c>
      <c r="E439" t="s">
        <v>711</v>
      </c>
      <c r="F439" s="2">
        <v>5.92</v>
      </c>
    </row>
    <row r="440" spans="1:6" x14ac:dyDescent="0.25">
      <c r="A440" t="s">
        <v>718</v>
      </c>
      <c r="B440" t="s">
        <v>2524</v>
      </c>
      <c r="C440" t="s">
        <v>1953</v>
      </c>
      <c r="D440" t="s">
        <v>1954</v>
      </c>
      <c r="E440" t="s">
        <v>711</v>
      </c>
      <c r="F440" s="2">
        <v>5.92</v>
      </c>
    </row>
    <row r="441" spans="1:6" x14ac:dyDescent="0.25">
      <c r="A441" t="s">
        <v>720</v>
      </c>
      <c r="B441" t="s">
        <v>2525</v>
      </c>
      <c r="C441" t="s">
        <v>1953</v>
      </c>
      <c r="D441" t="s">
        <v>1954</v>
      </c>
      <c r="E441" t="s">
        <v>711</v>
      </c>
      <c r="F441" s="2">
        <v>5.92</v>
      </c>
    </row>
    <row r="442" spans="1:6" x14ac:dyDescent="0.25">
      <c r="A442" t="s">
        <v>722</v>
      </c>
      <c r="B442" t="s">
        <v>2526</v>
      </c>
      <c r="C442" t="s">
        <v>1953</v>
      </c>
      <c r="D442" t="s">
        <v>1954</v>
      </c>
      <c r="E442" t="s">
        <v>711</v>
      </c>
      <c r="F442" s="2">
        <v>5.92</v>
      </c>
    </row>
    <row r="443" spans="1:6" x14ac:dyDescent="0.25">
      <c r="A443" t="s">
        <v>724</v>
      </c>
      <c r="B443" t="s">
        <v>2527</v>
      </c>
      <c r="C443" t="s">
        <v>1953</v>
      </c>
      <c r="D443" t="s">
        <v>1954</v>
      </c>
      <c r="E443" t="s">
        <v>711</v>
      </c>
      <c r="F443" s="2">
        <v>5.92</v>
      </c>
    </row>
    <row r="444" spans="1:6" x14ac:dyDescent="0.25">
      <c r="A444" t="s">
        <v>726</v>
      </c>
      <c r="B444" t="s">
        <v>2528</v>
      </c>
      <c r="C444" t="s">
        <v>1953</v>
      </c>
      <c r="D444" t="s">
        <v>1954</v>
      </c>
      <c r="E444" t="s">
        <v>711</v>
      </c>
      <c r="F444" s="2">
        <v>5.92</v>
      </c>
    </row>
    <row r="445" spans="1:6" x14ac:dyDescent="0.25">
      <c r="A445" t="s">
        <v>728</v>
      </c>
      <c r="B445" t="s">
        <v>2529</v>
      </c>
      <c r="C445" t="s">
        <v>1953</v>
      </c>
      <c r="D445" t="s">
        <v>1954</v>
      </c>
      <c r="E445" t="s">
        <v>711</v>
      </c>
      <c r="F445" s="2">
        <v>5.92</v>
      </c>
    </row>
    <row r="446" spans="1:6" x14ac:dyDescent="0.25">
      <c r="A446" t="s">
        <v>730</v>
      </c>
      <c r="B446" t="s">
        <v>2530</v>
      </c>
      <c r="C446" t="s">
        <v>1953</v>
      </c>
      <c r="D446" t="s">
        <v>1954</v>
      </c>
      <c r="E446" t="s">
        <v>711</v>
      </c>
      <c r="F446" s="2">
        <v>5.92</v>
      </c>
    </row>
    <row r="447" spans="1:6" x14ac:dyDescent="0.25">
      <c r="A447" t="s">
        <v>732</v>
      </c>
      <c r="B447" t="s">
        <v>2531</v>
      </c>
      <c r="C447" t="s">
        <v>1953</v>
      </c>
      <c r="D447" t="s">
        <v>1954</v>
      </c>
      <c r="E447" t="s">
        <v>711</v>
      </c>
      <c r="F447" s="2">
        <v>5.92</v>
      </c>
    </row>
    <row r="448" spans="1:6" x14ac:dyDescent="0.25">
      <c r="A448" t="s">
        <v>734</v>
      </c>
      <c r="B448" t="s">
        <v>2532</v>
      </c>
      <c r="C448" t="s">
        <v>1953</v>
      </c>
      <c r="D448" t="s">
        <v>1954</v>
      </c>
      <c r="E448" t="s">
        <v>711</v>
      </c>
      <c r="F448" s="2">
        <v>5.92</v>
      </c>
    </row>
    <row r="449" spans="1:6" x14ac:dyDescent="0.25">
      <c r="A449" t="s">
        <v>736</v>
      </c>
      <c r="B449" t="s">
        <v>2533</v>
      </c>
      <c r="C449" t="s">
        <v>1953</v>
      </c>
      <c r="D449" t="s">
        <v>1954</v>
      </c>
      <c r="E449" t="s">
        <v>711</v>
      </c>
      <c r="F449" s="2">
        <v>5.92</v>
      </c>
    </row>
    <row r="450" spans="1:6" x14ac:dyDescent="0.25">
      <c r="A450" t="s">
        <v>738</v>
      </c>
      <c r="B450" t="s">
        <v>2534</v>
      </c>
      <c r="C450" t="s">
        <v>1953</v>
      </c>
      <c r="D450" t="s">
        <v>1954</v>
      </c>
      <c r="E450" t="s">
        <v>711</v>
      </c>
      <c r="F450" s="2">
        <v>5.92</v>
      </c>
    </row>
    <row r="451" spans="1:6" x14ac:dyDescent="0.25">
      <c r="A451" t="s">
        <v>740</v>
      </c>
      <c r="B451" t="s">
        <v>2535</v>
      </c>
      <c r="C451" t="s">
        <v>1953</v>
      </c>
      <c r="D451" t="s">
        <v>1954</v>
      </c>
      <c r="E451" t="s">
        <v>711</v>
      </c>
      <c r="F451" s="2">
        <v>5.92</v>
      </c>
    </row>
    <row r="452" spans="1:6" x14ac:dyDescent="0.25">
      <c r="A452" t="s">
        <v>742</v>
      </c>
      <c r="B452" t="s">
        <v>2536</v>
      </c>
      <c r="C452" t="s">
        <v>1953</v>
      </c>
      <c r="D452" t="s">
        <v>1954</v>
      </c>
      <c r="E452" t="s">
        <v>711</v>
      </c>
      <c r="F452" s="2">
        <v>5.92</v>
      </c>
    </row>
    <row r="453" spans="1:6" x14ac:dyDescent="0.25">
      <c r="A453" t="s">
        <v>744</v>
      </c>
      <c r="B453" t="s">
        <v>2537</v>
      </c>
      <c r="C453" t="s">
        <v>1953</v>
      </c>
      <c r="D453" t="s">
        <v>1954</v>
      </c>
      <c r="E453" t="s">
        <v>711</v>
      </c>
      <c r="F453" s="2">
        <v>5.92</v>
      </c>
    </row>
    <row r="454" spans="1:6" x14ac:dyDescent="0.25">
      <c r="A454" t="s">
        <v>746</v>
      </c>
      <c r="B454" t="s">
        <v>2538</v>
      </c>
      <c r="C454" t="s">
        <v>1953</v>
      </c>
      <c r="D454" t="s">
        <v>1954</v>
      </c>
      <c r="E454" t="s">
        <v>711</v>
      </c>
      <c r="F454" s="2">
        <v>5.92</v>
      </c>
    </row>
    <row r="455" spans="1:6" x14ac:dyDescent="0.25">
      <c r="A455" t="s">
        <v>748</v>
      </c>
      <c r="B455" t="s">
        <v>2539</v>
      </c>
      <c r="C455" t="s">
        <v>1953</v>
      </c>
      <c r="D455" t="s">
        <v>1954</v>
      </c>
      <c r="E455" t="s">
        <v>711</v>
      </c>
      <c r="F455" s="2">
        <v>5.92</v>
      </c>
    </row>
    <row r="456" spans="1:6" x14ac:dyDescent="0.25">
      <c r="A456" t="s">
        <v>750</v>
      </c>
      <c r="B456" t="s">
        <v>2540</v>
      </c>
      <c r="C456" t="s">
        <v>1953</v>
      </c>
      <c r="D456" t="s">
        <v>1954</v>
      </c>
      <c r="E456" t="s">
        <v>711</v>
      </c>
      <c r="F456" s="2">
        <v>5.92</v>
      </c>
    </row>
    <row r="457" spans="1:6" x14ac:dyDescent="0.25">
      <c r="A457" t="s">
        <v>752</v>
      </c>
      <c r="B457" t="s">
        <v>2541</v>
      </c>
      <c r="C457" t="s">
        <v>1953</v>
      </c>
      <c r="D457" t="s">
        <v>1954</v>
      </c>
      <c r="E457" t="s">
        <v>711</v>
      </c>
      <c r="F457" s="2">
        <v>5.92</v>
      </c>
    </row>
    <row r="458" spans="1:6" x14ac:dyDescent="0.25">
      <c r="A458" t="s">
        <v>754</v>
      </c>
      <c r="B458" t="s">
        <v>2542</v>
      </c>
      <c r="C458" t="s">
        <v>1953</v>
      </c>
      <c r="D458" t="s">
        <v>1954</v>
      </c>
      <c r="E458" t="s">
        <v>711</v>
      </c>
      <c r="F458" s="2">
        <v>5.92</v>
      </c>
    </row>
    <row r="459" spans="1:6" x14ac:dyDescent="0.25">
      <c r="A459" t="s">
        <v>756</v>
      </c>
      <c r="B459" t="s">
        <v>2543</v>
      </c>
      <c r="C459" t="s">
        <v>1953</v>
      </c>
      <c r="D459" t="s">
        <v>1954</v>
      </c>
      <c r="E459" t="s">
        <v>711</v>
      </c>
      <c r="F459" s="2">
        <v>5.92</v>
      </c>
    </row>
    <row r="460" spans="1:6" x14ac:dyDescent="0.25">
      <c r="A460" t="s">
        <v>758</v>
      </c>
      <c r="B460" t="s">
        <v>2544</v>
      </c>
      <c r="C460" t="s">
        <v>1953</v>
      </c>
      <c r="D460" t="s">
        <v>1954</v>
      </c>
      <c r="E460" t="s">
        <v>711</v>
      </c>
      <c r="F460" s="2">
        <v>5.92</v>
      </c>
    </row>
    <row r="461" spans="1:6" x14ac:dyDescent="0.25">
      <c r="A461" t="s">
        <v>760</v>
      </c>
      <c r="B461" t="s">
        <v>2545</v>
      </c>
      <c r="C461" t="s">
        <v>1953</v>
      </c>
      <c r="D461" t="s">
        <v>1954</v>
      </c>
      <c r="E461" t="s">
        <v>711</v>
      </c>
      <c r="F461" s="2">
        <v>5.92</v>
      </c>
    </row>
    <row r="462" spans="1:6" x14ac:dyDescent="0.25">
      <c r="A462" t="s">
        <v>762</v>
      </c>
      <c r="B462" t="s">
        <v>2546</v>
      </c>
      <c r="C462" t="s">
        <v>1953</v>
      </c>
      <c r="D462" t="s">
        <v>1954</v>
      </c>
      <c r="E462" t="s">
        <v>711</v>
      </c>
      <c r="F462" s="2">
        <v>5.92</v>
      </c>
    </row>
    <row r="463" spans="1:6" x14ac:dyDescent="0.25">
      <c r="A463" t="s">
        <v>764</v>
      </c>
      <c r="B463" t="s">
        <v>2547</v>
      </c>
      <c r="C463" t="s">
        <v>1953</v>
      </c>
      <c r="D463" t="s">
        <v>1954</v>
      </c>
      <c r="E463" t="s">
        <v>711</v>
      </c>
      <c r="F463" s="2">
        <v>5.92</v>
      </c>
    </row>
    <row r="464" spans="1:6" x14ac:dyDescent="0.25">
      <c r="A464" t="s">
        <v>766</v>
      </c>
      <c r="B464" t="s">
        <v>2548</v>
      </c>
      <c r="C464" t="s">
        <v>1953</v>
      </c>
      <c r="D464" t="s">
        <v>1954</v>
      </c>
      <c r="E464" t="s">
        <v>711</v>
      </c>
      <c r="F464" s="2">
        <v>5.92</v>
      </c>
    </row>
    <row r="465" spans="1:6" x14ac:dyDescent="0.25">
      <c r="A465" t="s">
        <v>768</v>
      </c>
      <c r="B465" t="s">
        <v>2549</v>
      </c>
      <c r="C465" t="s">
        <v>1953</v>
      </c>
      <c r="D465" t="s">
        <v>1954</v>
      </c>
      <c r="E465" t="s">
        <v>711</v>
      </c>
      <c r="F465" s="2">
        <v>5.92</v>
      </c>
    </row>
    <row r="466" spans="1:6" x14ac:dyDescent="0.25">
      <c r="A466" t="s">
        <v>770</v>
      </c>
      <c r="B466" t="s">
        <v>2550</v>
      </c>
      <c r="C466" t="s">
        <v>1953</v>
      </c>
      <c r="D466" t="s">
        <v>1954</v>
      </c>
      <c r="E466" t="s">
        <v>711</v>
      </c>
      <c r="F466" s="2">
        <v>5.92</v>
      </c>
    </row>
    <row r="467" spans="1:6" x14ac:dyDescent="0.25">
      <c r="A467" t="s">
        <v>772</v>
      </c>
      <c r="B467" t="s">
        <v>2551</v>
      </c>
      <c r="C467" t="s">
        <v>1953</v>
      </c>
      <c r="D467" t="s">
        <v>1954</v>
      </c>
      <c r="E467" t="s">
        <v>711</v>
      </c>
      <c r="F467" s="2">
        <v>5.92</v>
      </c>
    </row>
    <row r="468" spans="1:6" x14ac:dyDescent="0.25">
      <c r="A468" t="s">
        <v>774</v>
      </c>
      <c r="B468" t="s">
        <v>2552</v>
      </c>
      <c r="C468" t="s">
        <v>1953</v>
      </c>
      <c r="D468" t="s">
        <v>1954</v>
      </c>
      <c r="E468" t="s">
        <v>711</v>
      </c>
      <c r="F468" s="2">
        <v>5.92</v>
      </c>
    </row>
    <row r="469" spans="1:6" x14ac:dyDescent="0.25">
      <c r="A469" t="s">
        <v>776</v>
      </c>
      <c r="B469" t="s">
        <v>2553</v>
      </c>
      <c r="C469" t="s">
        <v>1953</v>
      </c>
      <c r="D469" t="s">
        <v>1954</v>
      </c>
      <c r="E469" t="s">
        <v>711</v>
      </c>
      <c r="F469" s="2">
        <v>5.92</v>
      </c>
    </row>
    <row r="470" spans="1:6" x14ac:dyDescent="0.25">
      <c r="A470" t="s">
        <v>778</v>
      </c>
      <c r="B470" t="s">
        <v>2554</v>
      </c>
      <c r="C470" t="s">
        <v>1953</v>
      </c>
      <c r="D470" t="s">
        <v>1954</v>
      </c>
      <c r="E470" t="s">
        <v>711</v>
      </c>
      <c r="F470" s="2">
        <v>6.91</v>
      </c>
    </row>
    <row r="471" spans="1:6" x14ac:dyDescent="0.25">
      <c r="A471" t="s">
        <v>780</v>
      </c>
      <c r="B471" t="s">
        <v>2555</v>
      </c>
      <c r="C471" t="s">
        <v>1953</v>
      </c>
      <c r="D471" t="s">
        <v>1954</v>
      </c>
      <c r="E471" t="s">
        <v>711</v>
      </c>
      <c r="F471" s="2">
        <v>6.91</v>
      </c>
    </row>
    <row r="472" spans="1:6" x14ac:dyDescent="0.25">
      <c r="A472" t="s">
        <v>782</v>
      </c>
      <c r="B472" t="s">
        <v>2556</v>
      </c>
      <c r="C472" t="s">
        <v>1953</v>
      </c>
      <c r="D472" t="s">
        <v>1954</v>
      </c>
      <c r="E472" t="s">
        <v>711</v>
      </c>
      <c r="F472" s="2">
        <v>6.91</v>
      </c>
    </row>
    <row r="473" spans="1:6" x14ac:dyDescent="0.25">
      <c r="A473" t="s">
        <v>784</v>
      </c>
      <c r="B473" t="s">
        <v>2557</v>
      </c>
      <c r="C473" t="s">
        <v>1953</v>
      </c>
      <c r="D473" t="s">
        <v>1954</v>
      </c>
      <c r="E473" t="s">
        <v>711</v>
      </c>
      <c r="F473" s="2">
        <v>6.91</v>
      </c>
    </row>
    <row r="474" spans="1:6" x14ac:dyDescent="0.25">
      <c r="A474" t="s">
        <v>786</v>
      </c>
      <c r="B474" t="s">
        <v>2558</v>
      </c>
      <c r="C474" t="s">
        <v>1953</v>
      </c>
      <c r="D474" t="s">
        <v>1954</v>
      </c>
      <c r="E474" t="s">
        <v>711</v>
      </c>
      <c r="F474" s="2">
        <v>6.91</v>
      </c>
    </row>
    <row r="475" spans="1:6" x14ac:dyDescent="0.25">
      <c r="A475" t="s">
        <v>788</v>
      </c>
      <c r="B475" t="s">
        <v>2559</v>
      </c>
      <c r="C475" t="s">
        <v>1953</v>
      </c>
      <c r="D475" t="s">
        <v>1954</v>
      </c>
      <c r="E475" t="s">
        <v>788</v>
      </c>
      <c r="F475" s="2">
        <v>6.17</v>
      </c>
    </row>
    <row r="476" spans="1:6" x14ac:dyDescent="0.25">
      <c r="A476" t="s">
        <v>790</v>
      </c>
      <c r="B476" t="s">
        <v>2560</v>
      </c>
      <c r="C476" t="s">
        <v>1953</v>
      </c>
      <c r="D476" t="s">
        <v>1954</v>
      </c>
      <c r="E476" t="s">
        <v>788</v>
      </c>
      <c r="F476" s="2">
        <v>6.17</v>
      </c>
    </row>
    <row r="477" spans="1:6" x14ac:dyDescent="0.25">
      <c r="A477" t="s">
        <v>792</v>
      </c>
      <c r="B477" t="s">
        <v>2561</v>
      </c>
      <c r="C477" t="s">
        <v>1953</v>
      </c>
      <c r="D477" t="s">
        <v>1954</v>
      </c>
      <c r="E477" t="s">
        <v>788</v>
      </c>
      <c r="F477" s="2">
        <v>6.17</v>
      </c>
    </row>
    <row r="478" spans="1:6" x14ac:dyDescent="0.25">
      <c r="A478" t="s">
        <v>794</v>
      </c>
      <c r="B478" t="s">
        <v>2562</v>
      </c>
      <c r="C478" t="s">
        <v>1953</v>
      </c>
      <c r="D478" t="s">
        <v>1954</v>
      </c>
      <c r="E478" t="s">
        <v>788</v>
      </c>
      <c r="F478" s="2">
        <v>6.17</v>
      </c>
    </row>
    <row r="479" spans="1:6" x14ac:dyDescent="0.25">
      <c r="A479" t="s">
        <v>796</v>
      </c>
      <c r="B479" t="s">
        <v>2563</v>
      </c>
      <c r="C479" t="s">
        <v>1953</v>
      </c>
      <c r="D479" t="s">
        <v>1954</v>
      </c>
      <c r="E479" t="s">
        <v>788</v>
      </c>
      <c r="F479" s="2">
        <v>6.17</v>
      </c>
    </row>
    <row r="480" spans="1:6" x14ac:dyDescent="0.25">
      <c r="A480" t="s">
        <v>798</v>
      </c>
      <c r="B480" t="s">
        <v>2564</v>
      </c>
      <c r="C480" t="s">
        <v>1953</v>
      </c>
      <c r="D480" t="s">
        <v>1954</v>
      </c>
      <c r="E480" t="s">
        <v>788</v>
      </c>
      <c r="F480" s="2">
        <v>6.17</v>
      </c>
    </row>
    <row r="481" spans="1:6" x14ac:dyDescent="0.25">
      <c r="A481" t="s">
        <v>800</v>
      </c>
      <c r="B481" t="s">
        <v>2565</v>
      </c>
      <c r="C481" t="s">
        <v>1953</v>
      </c>
      <c r="D481" t="s">
        <v>1954</v>
      </c>
      <c r="E481" t="s">
        <v>788</v>
      </c>
      <c r="F481" s="2">
        <v>6.17</v>
      </c>
    </row>
    <row r="482" spans="1:6" x14ac:dyDescent="0.25">
      <c r="A482" t="s">
        <v>802</v>
      </c>
      <c r="B482" t="s">
        <v>2566</v>
      </c>
      <c r="C482" t="s">
        <v>1953</v>
      </c>
      <c r="D482" t="s">
        <v>1954</v>
      </c>
      <c r="E482" t="s">
        <v>788</v>
      </c>
      <c r="F482" s="2">
        <v>6.17</v>
      </c>
    </row>
    <row r="483" spans="1:6" x14ac:dyDescent="0.25">
      <c r="A483" t="s">
        <v>804</v>
      </c>
      <c r="B483" t="s">
        <v>2567</v>
      </c>
      <c r="C483" t="s">
        <v>1953</v>
      </c>
      <c r="D483" t="s">
        <v>1954</v>
      </c>
      <c r="E483" t="s">
        <v>788</v>
      </c>
      <c r="F483" s="2">
        <v>6.17</v>
      </c>
    </row>
    <row r="484" spans="1:6" x14ac:dyDescent="0.25">
      <c r="A484" t="s">
        <v>806</v>
      </c>
      <c r="B484" t="s">
        <v>2568</v>
      </c>
      <c r="C484" t="s">
        <v>1953</v>
      </c>
      <c r="D484" t="s">
        <v>1954</v>
      </c>
      <c r="E484" t="s">
        <v>788</v>
      </c>
      <c r="F484" s="2">
        <v>6.17</v>
      </c>
    </row>
    <row r="485" spans="1:6" x14ac:dyDescent="0.25">
      <c r="A485" t="s">
        <v>808</v>
      </c>
      <c r="B485" t="s">
        <v>2569</v>
      </c>
      <c r="C485" t="s">
        <v>1953</v>
      </c>
      <c r="D485" t="s">
        <v>1954</v>
      </c>
      <c r="E485" t="s">
        <v>788</v>
      </c>
      <c r="F485" s="2">
        <v>6.17</v>
      </c>
    </row>
    <row r="486" spans="1:6" x14ac:dyDescent="0.25">
      <c r="A486" t="s">
        <v>810</v>
      </c>
      <c r="B486" t="s">
        <v>2570</v>
      </c>
      <c r="C486" t="s">
        <v>1953</v>
      </c>
      <c r="D486" t="s">
        <v>1954</v>
      </c>
      <c r="E486" t="s">
        <v>788</v>
      </c>
      <c r="F486" s="2">
        <v>6.17</v>
      </c>
    </row>
    <row r="487" spans="1:6" x14ac:dyDescent="0.25">
      <c r="A487" t="s">
        <v>812</v>
      </c>
      <c r="B487" t="s">
        <v>2571</v>
      </c>
      <c r="C487" t="s">
        <v>1953</v>
      </c>
      <c r="D487" t="s">
        <v>1954</v>
      </c>
      <c r="E487" t="s">
        <v>788</v>
      </c>
      <c r="F487" s="2">
        <v>6.17</v>
      </c>
    </row>
    <row r="488" spans="1:6" x14ac:dyDescent="0.25">
      <c r="A488" t="s">
        <v>814</v>
      </c>
      <c r="B488" t="s">
        <v>2572</v>
      </c>
      <c r="C488" t="s">
        <v>1953</v>
      </c>
      <c r="D488" t="s">
        <v>1954</v>
      </c>
      <c r="E488" t="s">
        <v>788</v>
      </c>
      <c r="F488" s="2">
        <v>6.17</v>
      </c>
    </row>
    <row r="489" spans="1:6" x14ac:dyDescent="0.25">
      <c r="A489" t="s">
        <v>816</v>
      </c>
      <c r="B489" t="s">
        <v>2573</v>
      </c>
      <c r="C489" t="s">
        <v>1953</v>
      </c>
      <c r="D489" t="s">
        <v>1954</v>
      </c>
      <c r="E489" t="s">
        <v>788</v>
      </c>
      <c r="F489" s="2">
        <v>6.17</v>
      </c>
    </row>
    <row r="490" spans="1:6" x14ac:dyDescent="0.25">
      <c r="A490" t="s">
        <v>818</v>
      </c>
      <c r="B490" t="s">
        <v>2574</v>
      </c>
      <c r="C490" t="s">
        <v>1953</v>
      </c>
      <c r="D490" t="s">
        <v>1954</v>
      </c>
      <c r="E490" t="s">
        <v>788</v>
      </c>
      <c r="F490" s="2">
        <v>6.17</v>
      </c>
    </row>
    <row r="491" spans="1:6" x14ac:dyDescent="0.25">
      <c r="A491" t="s">
        <v>820</v>
      </c>
      <c r="B491" t="s">
        <v>2575</v>
      </c>
      <c r="C491" t="s">
        <v>1953</v>
      </c>
      <c r="D491" t="s">
        <v>1954</v>
      </c>
      <c r="E491" t="s">
        <v>788</v>
      </c>
      <c r="F491" s="2">
        <v>6.17</v>
      </c>
    </row>
    <row r="492" spans="1:6" x14ac:dyDescent="0.25">
      <c r="A492" t="s">
        <v>822</v>
      </c>
      <c r="B492" t="s">
        <v>2576</v>
      </c>
      <c r="C492" t="s">
        <v>1953</v>
      </c>
      <c r="D492" t="s">
        <v>1954</v>
      </c>
      <c r="E492" t="s">
        <v>788</v>
      </c>
      <c r="F492" s="2">
        <v>6.17</v>
      </c>
    </row>
    <row r="493" spans="1:6" x14ac:dyDescent="0.25">
      <c r="A493" t="s">
        <v>824</v>
      </c>
      <c r="B493" t="s">
        <v>2577</v>
      </c>
      <c r="C493" t="s">
        <v>1953</v>
      </c>
      <c r="D493" t="s">
        <v>1954</v>
      </c>
      <c r="E493" t="s">
        <v>788</v>
      </c>
      <c r="F493" s="2">
        <v>6.17</v>
      </c>
    </row>
    <row r="494" spans="1:6" x14ac:dyDescent="0.25">
      <c r="A494" t="s">
        <v>826</v>
      </c>
      <c r="B494" t="s">
        <v>2578</v>
      </c>
      <c r="C494" t="s">
        <v>1953</v>
      </c>
      <c r="D494" t="s">
        <v>1954</v>
      </c>
      <c r="E494" t="s">
        <v>788</v>
      </c>
      <c r="F494" s="2">
        <v>6.17</v>
      </c>
    </row>
    <row r="495" spans="1:6" x14ac:dyDescent="0.25">
      <c r="A495" t="s">
        <v>828</v>
      </c>
      <c r="B495" t="s">
        <v>2579</v>
      </c>
      <c r="C495" t="s">
        <v>1953</v>
      </c>
      <c r="D495" t="s">
        <v>1954</v>
      </c>
      <c r="E495" t="s">
        <v>788</v>
      </c>
      <c r="F495" s="2">
        <v>6.17</v>
      </c>
    </row>
    <row r="496" spans="1:6" x14ac:dyDescent="0.25">
      <c r="A496" t="s">
        <v>830</v>
      </c>
      <c r="B496" t="s">
        <v>2580</v>
      </c>
      <c r="C496" t="s">
        <v>1953</v>
      </c>
      <c r="D496" t="s">
        <v>1954</v>
      </c>
      <c r="E496" t="s">
        <v>788</v>
      </c>
      <c r="F496" s="2">
        <v>6.17</v>
      </c>
    </row>
    <row r="497" spans="1:6" x14ac:dyDescent="0.25">
      <c r="A497" t="s">
        <v>832</v>
      </c>
      <c r="B497" t="s">
        <v>2581</v>
      </c>
      <c r="C497" t="s">
        <v>1953</v>
      </c>
      <c r="D497" t="s">
        <v>1954</v>
      </c>
      <c r="E497" t="s">
        <v>788</v>
      </c>
      <c r="F497" s="2">
        <v>6.17</v>
      </c>
    </row>
    <row r="498" spans="1:6" x14ac:dyDescent="0.25">
      <c r="A498" t="s">
        <v>834</v>
      </c>
      <c r="B498" t="s">
        <v>2582</v>
      </c>
      <c r="C498" t="s">
        <v>1953</v>
      </c>
      <c r="D498" t="s">
        <v>1954</v>
      </c>
      <c r="E498" t="s">
        <v>788</v>
      </c>
      <c r="F498" s="2">
        <v>6.17</v>
      </c>
    </row>
    <row r="499" spans="1:6" x14ac:dyDescent="0.25">
      <c r="A499" t="s">
        <v>836</v>
      </c>
      <c r="B499" t="s">
        <v>2583</v>
      </c>
      <c r="C499" t="s">
        <v>1953</v>
      </c>
      <c r="D499" t="s">
        <v>1954</v>
      </c>
      <c r="E499" t="s">
        <v>788</v>
      </c>
      <c r="F499" s="2">
        <v>6.17</v>
      </c>
    </row>
    <row r="500" spans="1:6" x14ac:dyDescent="0.25">
      <c r="A500" t="s">
        <v>838</v>
      </c>
      <c r="B500" t="s">
        <v>2584</v>
      </c>
      <c r="C500" t="s">
        <v>1953</v>
      </c>
      <c r="D500" t="s">
        <v>1954</v>
      </c>
      <c r="E500" t="s">
        <v>788</v>
      </c>
      <c r="F500" s="2">
        <v>6.17</v>
      </c>
    </row>
    <row r="501" spans="1:6" x14ac:dyDescent="0.25">
      <c r="A501" t="s">
        <v>840</v>
      </c>
      <c r="B501" t="s">
        <v>2585</v>
      </c>
      <c r="C501" t="s">
        <v>1953</v>
      </c>
      <c r="D501" t="s">
        <v>1954</v>
      </c>
      <c r="E501" t="s">
        <v>788</v>
      </c>
      <c r="F501" s="2">
        <v>6.17</v>
      </c>
    </row>
    <row r="502" spans="1:6" x14ac:dyDescent="0.25">
      <c r="A502" t="s">
        <v>842</v>
      </c>
      <c r="B502" t="s">
        <v>2586</v>
      </c>
      <c r="C502" t="s">
        <v>1953</v>
      </c>
      <c r="D502" t="s">
        <v>1954</v>
      </c>
      <c r="E502" t="s">
        <v>788</v>
      </c>
      <c r="F502" s="2">
        <v>6.17</v>
      </c>
    </row>
    <row r="503" spans="1:6" x14ac:dyDescent="0.25">
      <c r="A503" t="s">
        <v>844</v>
      </c>
      <c r="B503" t="s">
        <v>2587</v>
      </c>
      <c r="C503" t="s">
        <v>1953</v>
      </c>
      <c r="D503" t="s">
        <v>1954</v>
      </c>
      <c r="E503" t="s">
        <v>788</v>
      </c>
      <c r="F503" s="2">
        <v>6.17</v>
      </c>
    </row>
    <row r="504" spans="1:6" x14ac:dyDescent="0.25">
      <c r="A504" t="s">
        <v>846</v>
      </c>
      <c r="B504" t="s">
        <v>2588</v>
      </c>
      <c r="C504" t="s">
        <v>1953</v>
      </c>
      <c r="D504" t="s">
        <v>1954</v>
      </c>
      <c r="E504" t="s">
        <v>788</v>
      </c>
      <c r="F504" s="2">
        <v>6.17</v>
      </c>
    </row>
    <row r="505" spans="1:6" x14ac:dyDescent="0.25">
      <c r="A505" t="s">
        <v>848</v>
      </c>
      <c r="B505" t="s">
        <v>2589</v>
      </c>
      <c r="C505" t="s">
        <v>1953</v>
      </c>
      <c r="D505" t="s">
        <v>1954</v>
      </c>
      <c r="E505" t="s">
        <v>788</v>
      </c>
      <c r="F505" s="2">
        <v>6.17</v>
      </c>
    </row>
    <row r="506" spans="1:6" x14ac:dyDescent="0.25">
      <c r="A506" t="s">
        <v>850</v>
      </c>
      <c r="B506" t="s">
        <v>2590</v>
      </c>
      <c r="C506" t="s">
        <v>1953</v>
      </c>
      <c r="D506" t="s">
        <v>1954</v>
      </c>
      <c r="E506" t="s">
        <v>788</v>
      </c>
      <c r="F506" s="2">
        <v>6.17</v>
      </c>
    </row>
    <row r="507" spans="1:6" x14ac:dyDescent="0.25">
      <c r="A507" t="s">
        <v>852</v>
      </c>
      <c r="B507" t="s">
        <v>2591</v>
      </c>
      <c r="C507" t="s">
        <v>1953</v>
      </c>
      <c r="D507" t="s">
        <v>1954</v>
      </c>
      <c r="E507" t="s">
        <v>788</v>
      </c>
      <c r="F507" s="2">
        <v>6.92</v>
      </c>
    </row>
    <row r="508" spans="1:6" x14ac:dyDescent="0.25">
      <c r="A508" t="s">
        <v>854</v>
      </c>
      <c r="B508" t="s">
        <v>2592</v>
      </c>
      <c r="C508" t="s">
        <v>1953</v>
      </c>
      <c r="D508" t="s">
        <v>1954</v>
      </c>
      <c r="E508" t="s">
        <v>20</v>
      </c>
      <c r="F508" s="2">
        <v>10.99</v>
      </c>
    </row>
    <row r="509" spans="1:6" x14ac:dyDescent="0.25">
      <c r="A509" t="s">
        <v>856</v>
      </c>
      <c r="B509" t="s">
        <v>2593</v>
      </c>
      <c r="C509" t="s">
        <v>1953</v>
      </c>
      <c r="D509" t="s">
        <v>1954</v>
      </c>
      <c r="E509" t="s">
        <v>20</v>
      </c>
      <c r="F509" s="2">
        <v>10.99</v>
      </c>
    </row>
    <row r="510" spans="1:6" x14ac:dyDescent="0.25">
      <c r="A510" t="s">
        <v>858</v>
      </c>
      <c r="B510" t="s">
        <v>2594</v>
      </c>
      <c r="C510" t="s">
        <v>1953</v>
      </c>
      <c r="D510" t="s">
        <v>1954</v>
      </c>
      <c r="E510" t="s">
        <v>20</v>
      </c>
      <c r="F510" s="2">
        <v>10.99</v>
      </c>
    </row>
    <row r="511" spans="1:6" x14ac:dyDescent="0.25">
      <c r="A511" t="s">
        <v>860</v>
      </c>
      <c r="B511" t="s">
        <v>2595</v>
      </c>
      <c r="C511" t="s">
        <v>1953</v>
      </c>
      <c r="D511" t="s">
        <v>1954</v>
      </c>
      <c r="E511" t="s">
        <v>20</v>
      </c>
      <c r="F511" s="2">
        <v>10.99</v>
      </c>
    </row>
    <row r="512" spans="1:6" x14ac:dyDescent="0.25">
      <c r="A512" t="s">
        <v>862</v>
      </c>
      <c r="B512" t="s">
        <v>2596</v>
      </c>
      <c r="C512" t="s">
        <v>1953</v>
      </c>
      <c r="D512" t="s">
        <v>1954</v>
      </c>
      <c r="E512" t="s">
        <v>20</v>
      </c>
      <c r="F512" s="2">
        <v>10.99</v>
      </c>
    </row>
    <row r="513" spans="1:6" x14ac:dyDescent="0.25">
      <c r="A513" t="s">
        <v>864</v>
      </c>
      <c r="B513" t="s">
        <v>2597</v>
      </c>
      <c r="C513" t="s">
        <v>1953</v>
      </c>
      <c r="D513" t="s">
        <v>1954</v>
      </c>
      <c r="E513" t="s">
        <v>20</v>
      </c>
      <c r="F513" s="2">
        <v>10.99</v>
      </c>
    </row>
    <row r="514" spans="1:6" x14ac:dyDescent="0.25">
      <c r="A514" t="s">
        <v>866</v>
      </c>
      <c r="B514" t="s">
        <v>2598</v>
      </c>
      <c r="C514" t="s">
        <v>1953</v>
      </c>
      <c r="D514" t="s">
        <v>1954</v>
      </c>
      <c r="E514" t="s">
        <v>20</v>
      </c>
      <c r="F514" s="2">
        <v>10.99</v>
      </c>
    </row>
    <row r="515" spans="1:6" x14ac:dyDescent="0.25">
      <c r="A515" t="s">
        <v>868</v>
      </c>
      <c r="B515" t="s">
        <v>2599</v>
      </c>
      <c r="C515" t="s">
        <v>1953</v>
      </c>
      <c r="D515" t="s">
        <v>1954</v>
      </c>
      <c r="E515" t="s">
        <v>20</v>
      </c>
      <c r="F515" s="2">
        <v>10.99</v>
      </c>
    </row>
    <row r="516" spans="1:6" x14ac:dyDescent="0.25">
      <c r="A516" t="s">
        <v>870</v>
      </c>
      <c r="B516" t="s">
        <v>2600</v>
      </c>
      <c r="C516" t="s">
        <v>1953</v>
      </c>
      <c r="D516" t="s">
        <v>1954</v>
      </c>
      <c r="E516" t="s">
        <v>20</v>
      </c>
      <c r="F516" s="2">
        <v>10.99</v>
      </c>
    </row>
    <row r="517" spans="1:6" x14ac:dyDescent="0.25">
      <c r="A517" t="s">
        <v>872</v>
      </c>
      <c r="B517" t="s">
        <v>2601</v>
      </c>
      <c r="C517" t="s">
        <v>1953</v>
      </c>
      <c r="D517" t="s">
        <v>1954</v>
      </c>
      <c r="E517" t="s">
        <v>872</v>
      </c>
      <c r="F517" s="2">
        <v>9.4499999999999993</v>
      </c>
    </row>
    <row r="518" spans="1:6" x14ac:dyDescent="0.25">
      <c r="A518" t="s">
        <v>873</v>
      </c>
      <c r="B518" t="s">
        <v>2602</v>
      </c>
      <c r="C518" t="s">
        <v>1953</v>
      </c>
      <c r="D518" t="s">
        <v>1954</v>
      </c>
      <c r="E518" t="s">
        <v>872</v>
      </c>
      <c r="F518" s="2">
        <v>8.9</v>
      </c>
    </row>
    <row r="519" spans="1:6" x14ac:dyDescent="0.25">
      <c r="A519" t="s">
        <v>874</v>
      </c>
      <c r="B519" t="s">
        <v>2603</v>
      </c>
      <c r="C519" t="s">
        <v>1953</v>
      </c>
      <c r="D519" t="s">
        <v>1954</v>
      </c>
      <c r="E519" t="s">
        <v>872</v>
      </c>
      <c r="F519" s="2">
        <v>8.9</v>
      </c>
    </row>
    <row r="520" spans="1:6" x14ac:dyDescent="0.25">
      <c r="A520" t="s">
        <v>875</v>
      </c>
      <c r="B520" t="s">
        <v>2604</v>
      </c>
      <c r="C520" t="s">
        <v>1953</v>
      </c>
      <c r="D520" t="s">
        <v>1954</v>
      </c>
      <c r="E520" t="s">
        <v>872</v>
      </c>
      <c r="F520" s="2">
        <v>8.9</v>
      </c>
    </row>
    <row r="521" spans="1:6" x14ac:dyDescent="0.25">
      <c r="A521" t="s">
        <v>876</v>
      </c>
      <c r="B521" t="s">
        <v>2605</v>
      </c>
      <c r="C521" t="s">
        <v>1953</v>
      </c>
      <c r="D521" t="s">
        <v>1954</v>
      </c>
      <c r="E521" t="s">
        <v>872</v>
      </c>
      <c r="F521" s="2">
        <v>8.9</v>
      </c>
    </row>
    <row r="522" spans="1:6" x14ac:dyDescent="0.25">
      <c r="A522" t="s">
        <v>877</v>
      </c>
      <c r="B522" t="s">
        <v>2606</v>
      </c>
      <c r="C522" t="s">
        <v>1953</v>
      </c>
      <c r="D522" t="s">
        <v>1954</v>
      </c>
      <c r="E522" t="s">
        <v>872</v>
      </c>
      <c r="F522" s="2">
        <v>8.9</v>
      </c>
    </row>
    <row r="523" spans="1:6" x14ac:dyDescent="0.25">
      <c r="A523" t="s">
        <v>878</v>
      </c>
      <c r="B523" t="s">
        <v>2607</v>
      </c>
      <c r="C523" t="s">
        <v>1953</v>
      </c>
      <c r="D523" t="s">
        <v>1954</v>
      </c>
      <c r="E523" t="s">
        <v>872</v>
      </c>
      <c r="F523" s="2">
        <v>8.9</v>
      </c>
    </row>
    <row r="524" spans="1:6" x14ac:dyDescent="0.25">
      <c r="A524" t="s">
        <v>879</v>
      </c>
      <c r="B524" t="s">
        <v>2608</v>
      </c>
      <c r="C524" t="s">
        <v>1953</v>
      </c>
      <c r="D524" t="s">
        <v>1954</v>
      </c>
      <c r="E524" t="s">
        <v>872</v>
      </c>
      <c r="F524" s="2">
        <v>8.9</v>
      </c>
    </row>
    <row r="525" spans="1:6" x14ac:dyDescent="0.25">
      <c r="A525" t="s">
        <v>880</v>
      </c>
      <c r="B525" t="s">
        <v>2609</v>
      </c>
      <c r="C525" t="s">
        <v>1953</v>
      </c>
      <c r="D525" t="s">
        <v>1954</v>
      </c>
      <c r="E525" t="s">
        <v>872</v>
      </c>
      <c r="F525" s="2">
        <v>8.9</v>
      </c>
    </row>
    <row r="526" spans="1:6" x14ac:dyDescent="0.25">
      <c r="A526" t="s">
        <v>881</v>
      </c>
      <c r="B526" t="s">
        <v>2610</v>
      </c>
      <c r="C526" t="s">
        <v>1953</v>
      </c>
      <c r="D526" t="s">
        <v>1954</v>
      </c>
      <c r="E526" t="s">
        <v>872</v>
      </c>
      <c r="F526" s="2">
        <v>8.9</v>
      </c>
    </row>
    <row r="527" spans="1:6" x14ac:dyDescent="0.25">
      <c r="A527" t="s">
        <v>882</v>
      </c>
      <c r="B527" t="s">
        <v>2611</v>
      </c>
      <c r="C527" t="s">
        <v>1953</v>
      </c>
      <c r="D527" t="s">
        <v>1954</v>
      </c>
      <c r="E527" t="s">
        <v>872</v>
      </c>
      <c r="F527" s="2">
        <v>8.9</v>
      </c>
    </row>
    <row r="528" spans="1:6" x14ac:dyDescent="0.25">
      <c r="A528" t="s">
        <v>883</v>
      </c>
      <c r="B528" t="s">
        <v>2612</v>
      </c>
      <c r="C528" t="s">
        <v>1953</v>
      </c>
      <c r="D528" t="s">
        <v>1954</v>
      </c>
      <c r="E528" t="s">
        <v>872</v>
      </c>
      <c r="F528" s="2">
        <v>8.9</v>
      </c>
    </row>
    <row r="529" spans="1:6" x14ac:dyDescent="0.25">
      <c r="A529" t="s">
        <v>884</v>
      </c>
      <c r="B529" t="s">
        <v>2613</v>
      </c>
      <c r="C529" t="s">
        <v>1953</v>
      </c>
      <c r="D529" t="s">
        <v>1954</v>
      </c>
      <c r="E529" t="s">
        <v>872</v>
      </c>
      <c r="F529" s="2">
        <v>8.9</v>
      </c>
    </row>
    <row r="530" spans="1:6" x14ac:dyDescent="0.25">
      <c r="A530" t="s">
        <v>885</v>
      </c>
      <c r="B530" t="s">
        <v>2614</v>
      </c>
      <c r="C530" t="s">
        <v>1953</v>
      </c>
      <c r="D530" t="s">
        <v>1954</v>
      </c>
      <c r="E530" t="s">
        <v>872</v>
      </c>
      <c r="F530" s="2">
        <v>8.9</v>
      </c>
    </row>
    <row r="531" spans="1:6" x14ac:dyDescent="0.25">
      <c r="A531" t="s">
        <v>886</v>
      </c>
      <c r="B531" t="s">
        <v>2615</v>
      </c>
      <c r="C531" t="s">
        <v>1953</v>
      </c>
      <c r="D531" t="s">
        <v>1954</v>
      </c>
      <c r="E531" t="s">
        <v>872</v>
      </c>
      <c r="F531" s="2">
        <v>8.9</v>
      </c>
    </row>
    <row r="532" spans="1:6" x14ac:dyDescent="0.25">
      <c r="A532" t="s">
        <v>887</v>
      </c>
      <c r="B532" t="s">
        <v>2616</v>
      </c>
      <c r="C532" t="s">
        <v>1953</v>
      </c>
      <c r="D532" t="s">
        <v>1954</v>
      </c>
      <c r="E532" t="s">
        <v>872</v>
      </c>
      <c r="F532" s="2">
        <v>8.9</v>
      </c>
    </row>
    <row r="533" spans="1:6" x14ac:dyDescent="0.25">
      <c r="A533" t="s">
        <v>888</v>
      </c>
      <c r="B533" t="s">
        <v>2617</v>
      </c>
      <c r="C533" t="s">
        <v>1953</v>
      </c>
      <c r="D533" t="s">
        <v>1954</v>
      </c>
      <c r="E533" t="s">
        <v>872</v>
      </c>
      <c r="F533" s="2">
        <v>8.9</v>
      </c>
    </row>
    <row r="534" spans="1:6" x14ac:dyDescent="0.25">
      <c r="A534" t="s">
        <v>889</v>
      </c>
      <c r="B534" t="s">
        <v>2618</v>
      </c>
      <c r="C534" t="s">
        <v>1953</v>
      </c>
      <c r="D534" t="s">
        <v>1954</v>
      </c>
      <c r="E534" t="s">
        <v>872</v>
      </c>
      <c r="F534" s="2">
        <v>8.9</v>
      </c>
    </row>
    <row r="535" spans="1:6" x14ac:dyDescent="0.25">
      <c r="A535" t="s">
        <v>890</v>
      </c>
      <c r="B535" t="s">
        <v>2619</v>
      </c>
      <c r="C535" t="s">
        <v>1953</v>
      </c>
      <c r="D535" t="s">
        <v>1954</v>
      </c>
      <c r="E535" t="s">
        <v>872</v>
      </c>
      <c r="F535" s="2">
        <v>8.9</v>
      </c>
    </row>
    <row r="536" spans="1:6" x14ac:dyDescent="0.25">
      <c r="A536" t="s">
        <v>891</v>
      </c>
      <c r="B536" t="s">
        <v>2620</v>
      </c>
      <c r="C536" t="s">
        <v>1953</v>
      </c>
      <c r="D536" t="s">
        <v>1954</v>
      </c>
      <c r="E536" t="s">
        <v>872</v>
      </c>
      <c r="F536" s="2">
        <v>10.06</v>
      </c>
    </row>
    <row r="537" spans="1:6" x14ac:dyDescent="0.25">
      <c r="A537" t="s">
        <v>892</v>
      </c>
      <c r="B537" t="s">
        <v>2621</v>
      </c>
      <c r="C537" t="s">
        <v>1953</v>
      </c>
      <c r="D537" t="s">
        <v>1954</v>
      </c>
      <c r="E537" t="s">
        <v>872</v>
      </c>
      <c r="F537" s="2">
        <v>8.9</v>
      </c>
    </row>
    <row r="538" spans="1:6" x14ac:dyDescent="0.25">
      <c r="A538" t="s">
        <v>893</v>
      </c>
      <c r="B538" t="s">
        <v>2622</v>
      </c>
      <c r="C538" t="s">
        <v>1953</v>
      </c>
      <c r="D538" t="s">
        <v>1954</v>
      </c>
      <c r="E538" t="s">
        <v>872</v>
      </c>
      <c r="F538" s="2">
        <v>8.9</v>
      </c>
    </row>
    <row r="539" spans="1:6" x14ac:dyDescent="0.25">
      <c r="A539" t="s">
        <v>894</v>
      </c>
      <c r="B539" t="s">
        <v>2623</v>
      </c>
      <c r="C539" t="s">
        <v>1953</v>
      </c>
      <c r="D539" t="s">
        <v>1954</v>
      </c>
      <c r="E539" t="s">
        <v>872</v>
      </c>
      <c r="F539" s="2">
        <v>8.9</v>
      </c>
    </row>
    <row r="540" spans="1:6" x14ac:dyDescent="0.25">
      <c r="A540" t="s">
        <v>895</v>
      </c>
      <c r="B540" t="s">
        <v>2624</v>
      </c>
      <c r="C540" t="s">
        <v>1953</v>
      </c>
      <c r="D540" t="s">
        <v>1954</v>
      </c>
      <c r="E540" t="s">
        <v>872</v>
      </c>
      <c r="F540" s="2">
        <v>8.9</v>
      </c>
    </row>
    <row r="541" spans="1:6" x14ac:dyDescent="0.25">
      <c r="A541" t="s">
        <v>896</v>
      </c>
      <c r="B541" t="s">
        <v>2625</v>
      </c>
      <c r="C541" t="s">
        <v>1953</v>
      </c>
      <c r="D541" t="s">
        <v>1954</v>
      </c>
      <c r="E541" t="s">
        <v>872</v>
      </c>
      <c r="F541" s="2">
        <v>10.06</v>
      </c>
    </row>
    <row r="542" spans="1:6" x14ac:dyDescent="0.25">
      <c r="A542" t="s">
        <v>897</v>
      </c>
      <c r="B542" t="s">
        <v>2626</v>
      </c>
      <c r="C542" t="s">
        <v>1953</v>
      </c>
      <c r="D542" t="s">
        <v>1954</v>
      </c>
      <c r="E542" t="s">
        <v>872</v>
      </c>
      <c r="F542" s="2">
        <v>8.9</v>
      </c>
    </row>
    <row r="543" spans="1:6" x14ac:dyDescent="0.25">
      <c r="A543" t="s">
        <v>898</v>
      </c>
      <c r="B543" t="s">
        <v>2627</v>
      </c>
      <c r="C543" t="s">
        <v>1953</v>
      </c>
      <c r="D543" t="s">
        <v>1954</v>
      </c>
      <c r="E543" t="s">
        <v>872</v>
      </c>
      <c r="F543" s="2">
        <v>8.9</v>
      </c>
    </row>
    <row r="544" spans="1:6" x14ac:dyDescent="0.25">
      <c r="A544" t="s">
        <v>899</v>
      </c>
      <c r="B544" t="s">
        <v>2628</v>
      </c>
      <c r="C544" t="s">
        <v>1953</v>
      </c>
      <c r="D544" t="s">
        <v>1954</v>
      </c>
      <c r="E544" t="s">
        <v>872</v>
      </c>
      <c r="F544" s="2">
        <v>8.9</v>
      </c>
    </row>
    <row r="545" spans="1:6" x14ac:dyDescent="0.25">
      <c r="A545" t="s">
        <v>900</v>
      </c>
      <c r="B545" t="s">
        <v>2629</v>
      </c>
      <c r="C545" t="s">
        <v>1953</v>
      </c>
      <c r="D545" t="s">
        <v>1954</v>
      </c>
      <c r="E545" t="s">
        <v>872</v>
      </c>
      <c r="F545" s="2">
        <v>11.08</v>
      </c>
    </row>
    <row r="546" spans="1:6" x14ac:dyDescent="0.25">
      <c r="A546" t="s">
        <v>901</v>
      </c>
      <c r="B546" t="s">
        <v>2630</v>
      </c>
      <c r="C546" t="s">
        <v>1953</v>
      </c>
      <c r="D546" t="s">
        <v>1954</v>
      </c>
      <c r="E546" t="s">
        <v>872</v>
      </c>
      <c r="F546" s="2">
        <v>11.08</v>
      </c>
    </row>
    <row r="547" spans="1:6" x14ac:dyDescent="0.25">
      <c r="A547" t="s">
        <v>902</v>
      </c>
      <c r="B547" t="s">
        <v>2631</v>
      </c>
      <c r="C547" t="s">
        <v>1953</v>
      </c>
      <c r="D547" t="s">
        <v>1954</v>
      </c>
      <c r="E547" t="s">
        <v>872</v>
      </c>
      <c r="F547" s="2">
        <v>11.08</v>
      </c>
    </row>
    <row r="548" spans="1:6" x14ac:dyDescent="0.25">
      <c r="A548" t="s">
        <v>903</v>
      </c>
      <c r="B548" t="s">
        <v>2632</v>
      </c>
      <c r="C548" t="s">
        <v>1953</v>
      </c>
      <c r="D548" t="s">
        <v>1954</v>
      </c>
      <c r="E548" t="s">
        <v>872</v>
      </c>
      <c r="F548" s="2">
        <v>11.08</v>
      </c>
    </row>
    <row r="549" spans="1:6" x14ac:dyDescent="0.25">
      <c r="A549" t="s">
        <v>904</v>
      </c>
      <c r="B549" t="s">
        <v>2633</v>
      </c>
      <c r="C549" t="s">
        <v>1953</v>
      </c>
      <c r="D549" t="s">
        <v>1954</v>
      </c>
      <c r="E549" t="s">
        <v>872</v>
      </c>
      <c r="F549" s="2">
        <v>11.08</v>
      </c>
    </row>
    <row r="550" spans="1:6" x14ac:dyDescent="0.25">
      <c r="A550" t="s">
        <v>905</v>
      </c>
      <c r="B550" t="s">
        <v>2634</v>
      </c>
      <c r="C550" t="s">
        <v>1953</v>
      </c>
      <c r="D550" t="s">
        <v>1954</v>
      </c>
      <c r="E550" t="s">
        <v>872</v>
      </c>
      <c r="F550" s="2">
        <v>11.08</v>
      </c>
    </row>
    <row r="551" spans="1:6" x14ac:dyDescent="0.25">
      <c r="A551" t="s">
        <v>906</v>
      </c>
      <c r="B551" t="s">
        <v>2635</v>
      </c>
      <c r="C551" t="s">
        <v>1953</v>
      </c>
      <c r="D551" t="s">
        <v>1954</v>
      </c>
      <c r="E551" t="s">
        <v>872</v>
      </c>
      <c r="F551" s="2">
        <v>8.9</v>
      </c>
    </row>
    <row r="552" spans="1:6" x14ac:dyDescent="0.25">
      <c r="A552" t="s">
        <v>907</v>
      </c>
      <c r="B552" t="s">
        <v>2636</v>
      </c>
      <c r="C552" t="s">
        <v>1953</v>
      </c>
      <c r="D552" t="s">
        <v>1954</v>
      </c>
      <c r="E552" t="s">
        <v>872</v>
      </c>
      <c r="F552" s="2">
        <v>8.9</v>
      </c>
    </row>
    <row r="553" spans="1:6" x14ac:dyDescent="0.25">
      <c r="A553" t="s">
        <v>908</v>
      </c>
      <c r="B553" t="s">
        <v>2637</v>
      </c>
      <c r="C553" t="s">
        <v>1953</v>
      </c>
      <c r="D553" t="s">
        <v>1954</v>
      </c>
      <c r="E553" t="s">
        <v>908</v>
      </c>
      <c r="F553" s="2">
        <v>5.86</v>
      </c>
    </row>
    <row r="554" spans="1:6" x14ac:dyDescent="0.25">
      <c r="A554" t="s">
        <v>909</v>
      </c>
      <c r="B554" t="s">
        <v>2638</v>
      </c>
      <c r="C554" t="s">
        <v>1953</v>
      </c>
      <c r="D554" t="s">
        <v>1954</v>
      </c>
      <c r="E554" t="s">
        <v>908</v>
      </c>
      <c r="F554" s="2">
        <v>5.86</v>
      </c>
    </row>
    <row r="555" spans="1:6" x14ac:dyDescent="0.25">
      <c r="A555" t="s">
        <v>910</v>
      </c>
      <c r="B555" t="s">
        <v>2639</v>
      </c>
      <c r="C555" t="s">
        <v>1953</v>
      </c>
      <c r="D555" t="s">
        <v>1954</v>
      </c>
      <c r="E555" t="s">
        <v>908</v>
      </c>
      <c r="F555" s="2">
        <v>7.85</v>
      </c>
    </row>
    <row r="556" spans="1:6" x14ac:dyDescent="0.25">
      <c r="A556" t="s">
        <v>911</v>
      </c>
      <c r="B556" t="s">
        <v>2640</v>
      </c>
      <c r="C556" t="s">
        <v>1953</v>
      </c>
      <c r="D556" t="s">
        <v>1954</v>
      </c>
      <c r="E556" t="s">
        <v>908</v>
      </c>
      <c r="F556" s="2">
        <v>7.85</v>
      </c>
    </row>
    <row r="557" spans="1:6" x14ac:dyDescent="0.25">
      <c r="A557" t="s">
        <v>912</v>
      </c>
      <c r="B557" t="s">
        <v>2641</v>
      </c>
      <c r="C557" t="s">
        <v>1953</v>
      </c>
      <c r="D557" t="s">
        <v>1954</v>
      </c>
      <c r="E557" t="s">
        <v>908</v>
      </c>
      <c r="F557" s="2">
        <v>7.85</v>
      </c>
    </row>
    <row r="558" spans="1:6" x14ac:dyDescent="0.25">
      <c r="A558" t="s">
        <v>913</v>
      </c>
      <c r="B558" t="s">
        <v>2642</v>
      </c>
      <c r="C558" t="s">
        <v>1953</v>
      </c>
      <c r="D558" t="s">
        <v>1954</v>
      </c>
      <c r="E558" t="s">
        <v>908</v>
      </c>
      <c r="F558" s="2">
        <v>7.85</v>
      </c>
    </row>
    <row r="559" spans="1:6" x14ac:dyDescent="0.25">
      <c r="A559" t="s">
        <v>914</v>
      </c>
      <c r="B559" t="s">
        <v>2643</v>
      </c>
      <c r="C559" t="s">
        <v>1953</v>
      </c>
      <c r="D559" t="s">
        <v>1954</v>
      </c>
      <c r="E559" t="s">
        <v>908</v>
      </c>
      <c r="F559" s="2">
        <v>7.85</v>
      </c>
    </row>
    <row r="560" spans="1:6" x14ac:dyDescent="0.25">
      <c r="A560" t="s">
        <v>915</v>
      </c>
      <c r="B560" t="s">
        <v>2644</v>
      </c>
      <c r="C560" t="s">
        <v>1953</v>
      </c>
      <c r="D560" t="s">
        <v>1954</v>
      </c>
      <c r="E560" t="s">
        <v>908</v>
      </c>
      <c r="F560" s="2">
        <v>7.85</v>
      </c>
    </row>
    <row r="561" spans="1:6" x14ac:dyDescent="0.25">
      <c r="A561" t="s">
        <v>916</v>
      </c>
      <c r="B561" t="s">
        <v>2645</v>
      </c>
      <c r="C561" t="s">
        <v>1953</v>
      </c>
      <c r="D561" t="s">
        <v>1954</v>
      </c>
      <c r="E561" t="s">
        <v>908</v>
      </c>
      <c r="F561" s="2">
        <v>7.85</v>
      </c>
    </row>
    <row r="562" spans="1:6" x14ac:dyDescent="0.25">
      <c r="A562" t="s">
        <v>917</v>
      </c>
      <c r="B562" t="s">
        <v>2646</v>
      </c>
      <c r="C562" t="s">
        <v>1953</v>
      </c>
      <c r="D562" t="s">
        <v>1954</v>
      </c>
      <c r="E562" t="s">
        <v>908</v>
      </c>
      <c r="F562" s="2">
        <v>7.85</v>
      </c>
    </row>
    <row r="563" spans="1:6" x14ac:dyDescent="0.25">
      <c r="A563" t="s">
        <v>918</v>
      </c>
      <c r="B563" t="s">
        <v>2647</v>
      </c>
      <c r="C563" t="s">
        <v>1953</v>
      </c>
      <c r="D563" t="s">
        <v>1954</v>
      </c>
      <c r="E563" t="s">
        <v>908</v>
      </c>
      <c r="F563" s="2">
        <v>7.85</v>
      </c>
    </row>
    <row r="564" spans="1:6" x14ac:dyDescent="0.25">
      <c r="A564" t="s">
        <v>919</v>
      </c>
      <c r="B564" t="s">
        <v>2648</v>
      </c>
      <c r="C564" t="s">
        <v>1953</v>
      </c>
      <c r="D564" t="s">
        <v>1954</v>
      </c>
      <c r="E564" t="s">
        <v>908</v>
      </c>
      <c r="F564" s="2">
        <v>9.3699999999999992</v>
      </c>
    </row>
    <row r="565" spans="1:6" x14ac:dyDescent="0.25">
      <c r="A565" t="s">
        <v>920</v>
      </c>
      <c r="B565" t="s">
        <v>2649</v>
      </c>
      <c r="C565" t="s">
        <v>1953</v>
      </c>
      <c r="D565" t="s">
        <v>1954</v>
      </c>
      <c r="E565" t="s">
        <v>920</v>
      </c>
      <c r="F565" s="2">
        <v>7.14</v>
      </c>
    </row>
    <row r="566" spans="1:6" x14ac:dyDescent="0.25">
      <c r="A566" t="s">
        <v>923</v>
      </c>
      <c r="B566" t="s">
        <v>2650</v>
      </c>
      <c r="C566" t="s">
        <v>1953</v>
      </c>
      <c r="D566" t="s">
        <v>1954</v>
      </c>
      <c r="E566" t="s">
        <v>920</v>
      </c>
      <c r="F566" s="2">
        <v>7.14</v>
      </c>
    </row>
    <row r="567" spans="1:6" x14ac:dyDescent="0.25">
      <c r="A567" t="s">
        <v>925</v>
      </c>
      <c r="B567" t="s">
        <v>2651</v>
      </c>
      <c r="C567" t="s">
        <v>1953</v>
      </c>
      <c r="D567" t="s">
        <v>1954</v>
      </c>
      <c r="E567" t="s">
        <v>920</v>
      </c>
      <c r="F567" s="2">
        <v>7.14</v>
      </c>
    </row>
    <row r="568" spans="1:6" x14ac:dyDescent="0.25">
      <c r="A568" t="s">
        <v>927</v>
      </c>
      <c r="B568" t="s">
        <v>2652</v>
      </c>
      <c r="C568" t="s">
        <v>1953</v>
      </c>
      <c r="D568" t="s">
        <v>1954</v>
      </c>
      <c r="E568" t="s">
        <v>920</v>
      </c>
      <c r="F568" s="2">
        <v>7.14</v>
      </c>
    </row>
    <row r="569" spans="1:6" x14ac:dyDescent="0.25">
      <c r="A569" t="s">
        <v>929</v>
      </c>
      <c r="B569" t="s">
        <v>2653</v>
      </c>
      <c r="C569" t="s">
        <v>1953</v>
      </c>
      <c r="D569" t="s">
        <v>1954</v>
      </c>
      <c r="E569" t="s">
        <v>920</v>
      </c>
      <c r="F569" s="2">
        <v>7.14</v>
      </c>
    </row>
    <row r="570" spans="1:6" x14ac:dyDescent="0.25">
      <c r="A570" t="s">
        <v>931</v>
      </c>
      <c r="B570" t="s">
        <v>2654</v>
      </c>
      <c r="C570" t="s">
        <v>1953</v>
      </c>
      <c r="D570" t="s">
        <v>1954</v>
      </c>
      <c r="E570" t="s">
        <v>920</v>
      </c>
      <c r="F570" s="2">
        <v>7.14</v>
      </c>
    </row>
    <row r="571" spans="1:6" x14ac:dyDescent="0.25">
      <c r="A571" t="s">
        <v>933</v>
      </c>
      <c r="B571" t="s">
        <v>2655</v>
      </c>
      <c r="C571" t="s">
        <v>1953</v>
      </c>
      <c r="D571" t="s">
        <v>1954</v>
      </c>
      <c r="E571" t="s">
        <v>920</v>
      </c>
      <c r="F571" s="2">
        <v>7.14</v>
      </c>
    </row>
    <row r="572" spans="1:6" x14ac:dyDescent="0.25">
      <c r="A572" t="s">
        <v>935</v>
      </c>
      <c r="B572" t="s">
        <v>2656</v>
      </c>
      <c r="C572" t="s">
        <v>1953</v>
      </c>
      <c r="D572" t="s">
        <v>1954</v>
      </c>
      <c r="E572" t="s">
        <v>920</v>
      </c>
      <c r="F572" s="2">
        <v>7.14</v>
      </c>
    </row>
    <row r="573" spans="1:6" x14ac:dyDescent="0.25">
      <c r="A573" t="s">
        <v>937</v>
      </c>
      <c r="B573" t="s">
        <v>2657</v>
      </c>
      <c r="C573" t="s">
        <v>1953</v>
      </c>
      <c r="D573" t="s">
        <v>1954</v>
      </c>
      <c r="E573" t="s">
        <v>920</v>
      </c>
      <c r="F573" s="2">
        <v>7.14</v>
      </c>
    </row>
    <row r="574" spans="1:6" x14ac:dyDescent="0.25">
      <c r="A574" t="s">
        <v>939</v>
      </c>
      <c r="B574" t="s">
        <v>2658</v>
      </c>
      <c r="C574" t="s">
        <v>1953</v>
      </c>
      <c r="D574" t="s">
        <v>1954</v>
      </c>
      <c r="E574" t="s">
        <v>920</v>
      </c>
      <c r="F574" s="2">
        <v>7.14</v>
      </c>
    </row>
    <row r="575" spans="1:6" x14ac:dyDescent="0.25">
      <c r="A575" t="s">
        <v>941</v>
      </c>
      <c r="B575" t="s">
        <v>2659</v>
      </c>
      <c r="C575" t="s">
        <v>1953</v>
      </c>
      <c r="D575" t="s">
        <v>1954</v>
      </c>
      <c r="E575" t="s">
        <v>920</v>
      </c>
      <c r="F575" s="2">
        <v>7.14</v>
      </c>
    </row>
    <row r="576" spans="1:6" x14ac:dyDescent="0.25">
      <c r="A576" t="s">
        <v>943</v>
      </c>
      <c r="B576" t="s">
        <v>2660</v>
      </c>
      <c r="C576" t="s">
        <v>1953</v>
      </c>
      <c r="D576" t="s">
        <v>1954</v>
      </c>
      <c r="E576" t="s">
        <v>943</v>
      </c>
      <c r="F576" s="2">
        <v>13.03</v>
      </c>
    </row>
    <row r="577" spans="1:6" x14ac:dyDescent="0.25">
      <c r="A577" t="s">
        <v>946</v>
      </c>
      <c r="B577" t="s">
        <v>2661</v>
      </c>
      <c r="C577" t="s">
        <v>1953</v>
      </c>
      <c r="D577" t="s">
        <v>1954</v>
      </c>
      <c r="E577" t="s">
        <v>943</v>
      </c>
      <c r="F577" s="2">
        <v>13.03</v>
      </c>
    </row>
    <row r="578" spans="1:6" x14ac:dyDescent="0.25">
      <c r="A578" t="s">
        <v>948</v>
      </c>
      <c r="B578" t="s">
        <v>2662</v>
      </c>
      <c r="C578" t="s">
        <v>1953</v>
      </c>
      <c r="D578" t="s">
        <v>1954</v>
      </c>
      <c r="E578" t="s">
        <v>943</v>
      </c>
      <c r="F578" s="2">
        <v>13.03</v>
      </c>
    </row>
    <row r="579" spans="1:6" x14ac:dyDescent="0.25">
      <c r="A579" t="s">
        <v>950</v>
      </c>
      <c r="B579" t="s">
        <v>2663</v>
      </c>
      <c r="C579" t="s">
        <v>1953</v>
      </c>
      <c r="D579" t="s">
        <v>1954</v>
      </c>
      <c r="E579" t="s">
        <v>943</v>
      </c>
      <c r="F579" s="2">
        <v>13.03</v>
      </c>
    </row>
    <row r="580" spans="1:6" x14ac:dyDescent="0.25">
      <c r="A580" t="s">
        <v>952</v>
      </c>
      <c r="B580" t="s">
        <v>2664</v>
      </c>
      <c r="C580" t="s">
        <v>1953</v>
      </c>
      <c r="D580" t="s">
        <v>1954</v>
      </c>
      <c r="E580" t="s">
        <v>943</v>
      </c>
      <c r="F580" s="2">
        <v>13.03</v>
      </c>
    </row>
    <row r="581" spans="1:6" x14ac:dyDescent="0.25">
      <c r="A581" t="s">
        <v>954</v>
      </c>
      <c r="B581" t="s">
        <v>2665</v>
      </c>
      <c r="C581" t="s">
        <v>1953</v>
      </c>
      <c r="D581" t="s">
        <v>1954</v>
      </c>
      <c r="E581" t="s">
        <v>943</v>
      </c>
      <c r="F581" s="2">
        <v>13.03</v>
      </c>
    </row>
    <row r="582" spans="1:6" x14ac:dyDescent="0.25">
      <c r="A582" t="s">
        <v>956</v>
      </c>
      <c r="B582" t="s">
        <v>2666</v>
      </c>
      <c r="C582" t="s">
        <v>1953</v>
      </c>
      <c r="D582" t="s">
        <v>1954</v>
      </c>
      <c r="E582" t="s">
        <v>943</v>
      </c>
      <c r="F582" s="2">
        <v>13.03</v>
      </c>
    </row>
    <row r="583" spans="1:6" x14ac:dyDescent="0.25">
      <c r="A583" t="s">
        <v>958</v>
      </c>
      <c r="B583" t="s">
        <v>2667</v>
      </c>
      <c r="C583" t="s">
        <v>1953</v>
      </c>
      <c r="D583" t="s">
        <v>1954</v>
      </c>
      <c r="E583" t="s">
        <v>958</v>
      </c>
      <c r="F583" s="2">
        <v>19.28</v>
      </c>
    </row>
    <row r="584" spans="1:6" x14ac:dyDescent="0.25">
      <c r="A584" t="s">
        <v>960</v>
      </c>
      <c r="B584" t="s">
        <v>2668</v>
      </c>
      <c r="C584" t="s">
        <v>1953</v>
      </c>
      <c r="D584" t="s">
        <v>1954</v>
      </c>
      <c r="E584" t="s">
        <v>958</v>
      </c>
      <c r="F584" s="2">
        <v>19.28</v>
      </c>
    </row>
    <row r="585" spans="1:6" x14ac:dyDescent="0.25">
      <c r="A585" t="s">
        <v>962</v>
      </c>
      <c r="B585" t="s">
        <v>2669</v>
      </c>
      <c r="C585" t="s">
        <v>1953</v>
      </c>
      <c r="D585" t="s">
        <v>1954</v>
      </c>
      <c r="E585" t="s">
        <v>958</v>
      </c>
      <c r="F585" s="2">
        <v>19.28</v>
      </c>
    </row>
    <row r="586" spans="1:6" x14ac:dyDescent="0.25">
      <c r="A586" t="s">
        <v>964</v>
      </c>
      <c r="B586" t="s">
        <v>2670</v>
      </c>
      <c r="C586" t="s">
        <v>1953</v>
      </c>
      <c r="D586" t="s">
        <v>1954</v>
      </c>
      <c r="E586" t="s">
        <v>958</v>
      </c>
      <c r="F586" s="2">
        <v>19.28</v>
      </c>
    </row>
    <row r="587" spans="1:6" x14ac:dyDescent="0.25">
      <c r="A587" t="s">
        <v>966</v>
      </c>
      <c r="B587" t="s">
        <v>2671</v>
      </c>
      <c r="C587" t="s">
        <v>1953</v>
      </c>
      <c r="D587" t="s">
        <v>1954</v>
      </c>
      <c r="E587" t="s">
        <v>958</v>
      </c>
      <c r="F587" s="2">
        <v>19.28</v>
      </c>
    </row>
    <row r="588" spans="1:6" x14ac:dyDescent="0.25">
      <c r="A588" t="s">
        <v>968</v>
      </c>
      <c r="B588" t="s">
        <v>2672</v>
      </c>
      <c r="C588" t="s">
        <v>1953</v>
      </c>
      <c r="D588" t="s">
        <v>1954</v>
      </c>
      <c r="E588" t="s">
        <v>958</v>
      </c>
      <c r="F588" s="2">
        <v>19.28</v>
      </c>
    </row>
    <row r="589" spans="1:6" x14ac:dyDescent="0.25">
      <c r="A589" t="s">
        <v>970</v>
      </c>
      <c r="B589" t="s">
        <v>2673</v>
      </c>
      <c r="C589" t="s">
        <v>1953</v>
      </c>
      <c r="D589" t="s">
        <v>1954</v>
      </c>
      <c r="E589" t="s">
        <v>958</v>
      </c>
      <c r="F589" s="2">
        <v>19.28</v>
      </c>
    </row>
    <row r="590" spans="1:6" x14ac:dyDescent="0.25">
      <c r="A590" t="s">
        <v>2674</v>
      </c>
      <c r="B590" t="s">
        <v>2675</v>
      </c>
      <c r="C590" t="s">
        <v>1953</v>
      </c>
      <c r="D590" t="s">
        <v>1954</v>
      </c>
      <c r="F590" s="2">
        <v>150.93</v>
      </c>
    </row>
    <row r="591" spans="1:6" x14ac:dyDescent="0.25">
      <c r="A591" t="s">
        <v>2676</v>
      </c>
      <c r="B591" t="s">
        <v>2677</v>
      </c>
      <c r="C591" t="s">
        <v>1953</v>
      </c>
      <c r="D591" t="s">
        <v>1954</v>
      </c>
      <c r="F591" s="2">
        <v>217.68</v>
      </c>
    </row>
    <row r="592" spans="1:6" x14ac:dyDescent="0.25">
      <c r="A592" t="s">
        <v>2678</v>
      </c>
      <c r="B592" t="s">
        <v>2679</v>
      </c>
      <c r="C592" t="s">
        <v>1953</v>
      </c>
      <c r="D592" t="s">
        <v>1954</v>
      </c>
      <c r="F592" s="2">
        <v>215</v>
      </c>
    </row>
    <row r="593" spans="1:6" x14ac:dyDescent="0.25">
      <c r="A593" t="s">
        <v>2680</v>
      </c>
      <c r="B593" t="s">
        <v>2681</v>
      </c>
      <c r="C593" t="s">
        <v>1953</v>
      </c>
      <c r="D593" t="s">
        <v>1954</v>
      </c>
      <c r="F593" s="2">
        <v>235.08</v>
      </c>
    </row>
    <row r="594" spans="1:6" x14ac:dyDescent="0.25">
      <c r="A594" t="s">
        <v>2682</v>
      </c>
      <c r="B594" t="s">
        <v>2683</v>
      </c>
      <c r="C594" t="s">
        <v>1953</v>
      </c>
      <c r="D594" t="s">
        <v>1954</v>
      </c>
      <c r="F594" s="2">
        <v>182.98</v>
      </c>
    </row>
    <row r="595" spans="1:6" x14ac:dyDescent="0.25">
      <c r="A595" t="s">
        <v>2684</v>
      </c>
      <c r="B595" t="s">
        <v>2685</v>
      </c>
      <c r="C595" t="s">
        <v>1953</v>
      </c>
      <c r="D595" t="s">
        <v>1954</v>
      </c>
      <c r="F595" s="2">
        <v>174.8</v>
      </c>
    </row>
    <row r="596" spans="1:6" x14ac:dyDescent="0.25">
      <c r="A596" t="s">
        <v>2686</v>
      </c>
      <c r="B596" t="s">
        <v>2687</v>
      </c>
      <c r="C596" t="s">
        <v>1953</v>
      </c>
      <c r="D596" t="s">
        <v>1954</v>
      </c>
      <c r="F596" s="2">
        <v>287.33</v>
      </c>
    </row>
    <row r="597" spans="1:6" x14ac:dyDescent="0.25">
      <c r="A597" t="s">
        <v>2688</v>
      </c>
      <c r="B597" t="s">
        <v>2689</v>
      </c>
      <c r="C597" t="s">
        <v>1953</v>
      </c>
      <c r="D597" t="s">
        <v>1954</v>
      </c>
      <c r="F597" s="2">
        <v>213.48</v>
      </c>
    </row>
    <row r="598" spans="1:6" x14ac:dyDescent="0.25">
      <c r="A598" t="s">
        <v>2690</v>
      </c>
      <c r="B598" t="s">
        <v>2691</v>
      </c>
      <c r="C598" t="s">
        <v>1953</v>
      </c>
      <c r="D598" t="s">
        <v>1954</v>
      </c>
      <c r="F598" s="2">
        <v>72.33</v>
      </c>
    </row>
    <row r="599" spans="1:6" x14ac:dyDescent="0.25">
      <c r="A599" t="s">
        <v>515</v>
      </c>
      <c r="B599" t="s">
        <v>2692</v>
      </c>
      <c r="C599" t="s">
        <v>1953</v>
      </c>
      <c r="D599" t="s">
        <v>1954</v>
      </c>
      <c r="E599" t="s">
        <v>493</v>
      </c>
      <c r="F599" s="2">
        <v>5.39</v>
      </c>
    </row>
    <row r="600" spans="1:6" x14ac:dyDescent="0.25">
      <c r="A600" t="s">
        <v>517</v>
      </c>
      <c r="B600" t="s">
        <v>2693</v>
      </c>
      <c r="C600" t="s">
        <v>1953</v>
      </c>
      <c r="D600" t="s">
        <v>1954</v>
      </c>
      <c r="E600" t="s">
        <v>493</v>
      </c>
      <c r="F600" s="2">
        <v>5.39</v>
      </c>
    </row>
    <row r="601" spans="1:6" x14ac:dyDescent="0.25">
      <c r="A601" t="s">
        <v>518</v>
      </c>
      <c r="B601" t="s">
        <v>2694</v>
      </c>
      <c r="C601" t="s">
        <v>1953</v>
      </c>
      <c r="D601" t="s">
        <v>1954</v>
      </c>
      <c r="E601" t="s">
        <v>493</v>
      </c>
      <c r="F601" s="2">
        <v>5.39</v>
      </c>
    </row>
    <row r="602" spans="1:6" x14ac:dyDescent="0.25">
      <c r="A602" t="s">
        <v>520</v>
      </c>
      <c r="B602" t="s">
        <v>2695</v>
      </c>
      <c r="C602" t="s">
        <v>1953</v>
      </c>
      <c r="D602" t="s">
        <v>1954</v>
      </c>
      <c r="E602" t="s">
        <v>493</v>
      </c>
      <c r="F602" s="2">
        <v>5.39</v>
      </c>
    </row>
    <row r="603" spans="1:6" x14ac:dyDescent="0.25">
      <c r="A603" t="s">
        <v>521</v>
      </c>
      <c r="B603" t="s">
        <v>2696</v>
      </c>
      <c r="C603" t="s">
        <v>1953</v>
      </c>
      <c r="D603" t="s">
        <v>1954</v>
      </c>
      <c r="E603" t="s">
        <v>493</v>
      </c>
      <c r="F603" s="2">
        <v>5.39</v>
      </c>
    </row>
    <row r="604" spans="1:6" x14ac:dyDescent="0.25">
      <c r="A604" t="s">
        <v>2697</v>
      </c>
      <c r="B604" t="s">
        <v>2698</v>
      </c>
      <c r="C604" t="s">
        <v>1953</v>
      </c>
      <c r="D604" t="s">
        <v>1940</v>
      </c>
      <c r="F604" s="2">
        <v>75</v>
      </c>
    </row>
    <row r="605" spans="1:6" x14ac:dyDescent="0.25">
      <c r="A605" t="s">
        <v>2699</v>
      </c>
      <c r="B605" t="s">
        <v>2700</v>
      </c>
      <c r="C605" t="s">
        <v>1953</v>
      </c>
      <c r="D605" t="s">
        <v>1940</v>
      </c>
      <c r="F605" s="2">
        <v>45</v>
      </c>
    </row>
    <row r="606" spans="1:6" x14ac:dyDescent="0.25">
      <c r="A606" t="s">
        <v>2701</v>
      </c>
      <c r="B606" t="s">
        <v>2702</v>
      </c>
      <c r="C606" t="s">
        <v>1953</v>
      </c>
      <c r="D606" t="s">
        <v>1940</v>
      </c>
      <c r="F606" s="2">
        <v>5.05</v>
      </c>
    </row>
    <row r="607" spans="1:6" x14ac:dyDescent="0.25">
      <c r="A607" t="s">
        <v>2703</v>
      </c>
      <c r="B607" t="s">
        <v>2704</v>
      </c>
      <c r="C607" t="s">
        <v>1953</v>
      </c>
      <c r="D607" t="s">
        <v>1940</v>
      </c>
      <c r="F607" s="2">
        <v>17.07</v>
      </c>
    </row>
    <row r="608" spans="1:6" x14ac:dyDescent="0.25">
      <c r="A608" t="s">
        <v>2705</v>
      </c>
      <c r="B608" t="s">
        <v>2706</v>
      </c>
      <c r="C608" t="s">
        <v>1953</v>
      </c>
      <c r="D608" t="s">
        <v>1940</v>
      </c>
      <c r="F608" s="2">
        <v>5.43</v>
      </c>
    </row>
    <row r="609" spans="1:6" x14ac:dyDescent="0.25">
      <c r="A609" t="s">
        <v>2707</v>
      </c>
      <c r="B609" t="s">
        <v>2708</v>
      </c>
      <c r="C609" t="s">
        <v>1953</v>
      </c>
      <c r="D609" t="s">
        <v>1940</v>
      </c>
      <c r="F609" s="2">
        <v>5.24</v>
      </c>
    </row>
    <row r="610" spans="1:6" x14ac:dyDescent="0.25">
      <c r="A610" t="s">
        <v>2709</v>
      </c>
      <c r="B610" t="s">
        <v>2710</v>
      </c>
      <c r="C610" t="s">
        <v>1953</v>
      </c>
      <c r="D610" t="s">
        <v>1940</v>
      </c>
      <c r="F610" s="2">
        <v>6.46</v>
      </c>
    </row>
    <row r="611" spans="1:6" x14ac:dyDescent="0.25">
      <c r="A611" t="s">
        <v>2711</v>
      </c>
      <c r="B611" t="s">
        <v>2712</v>
      </c>
      <c r="C611" t="s">
        <v>1953</v>
      </c>
      <c r="D611" t="s">
        <v>1940</v>
      </c>
      <c r="F611" s="2">
        <v>33</v>
      </c>
    </row>
    <row r="612" spans="1:6" x14ac:dyDescent="0.25">
      <c r="A612" t="s">
        <v>2713</v>
      </c>
      <c r="B612" t="s">
        <v>2714</v>
      </c>
      <c r="C612" t="s">
        <v>1953</v>
      </c>
      <c r="D612" t="s">
        <v>1940</v>
      </c>
      <c r="F612" s="2">
        <v>66.02</v>
      </c>
    </row>
    <row r="613" spans="1:6" x14ac:dyDescent="0.25">
      <c r="A613" t="s">
        <v>2715</v>
      </c>
      <c r="B613" t="s">
        <v>2716</v>
      </c>
      <c r="C613" t="s">
        <v>1953</v>
      </c>
      <c r="D613" t="s">
        <v>1940</v>
      </c>
      <c r="F613" s="2">
        <v>33</v>
      </c>
    </row>
    <row r="614" spans="1:6" x14ac:dyDescent="0.25">
      <c r="A614" t="s">
        <v>2717</v>
      </c>
      <c r="B614" t="s">
        <v>2718</v>
      </c>
      <c r="C614" t="s">
        <v>1953</v>
      </c>
      <c r="D614" t="s">
        <v>1940</v>
      </c>
      <c r="F614" s="2">
        <v>41.27</v>
      </c>
    </row>
    <row r="615" spans="1:6" x14ac:dyDescent="0.25">
      <c r="A615" t="s">
        <v>2719</v>
      </c>
      <c r="B615" t="s">
        <v>2720</v>
      </c>
      <c r="C615" t="s">
        <v>1953</v>
      </c>
      <c r="D615" t="s">
        <v>1940</v>
      </c>
      <c r="F615" s="2">
        <v>11.15</v>
      </c>
    </row>
    <row r="616" spans="1:6" x14ac:dyDescent="0.25">
      <c r="A616" t="s">
        <v>2721</v>
      </c>
      <c r="B616" t="s">
        <v>2722</v>
      </c>
      <c r="C616" t="s">
        <v>1953</v>
      </c>
      <c r="D616" t="s">
        <v>1940</v>
      </c>
      <c r="F616" s="2">
        <v>78.3</v>
      </c>
    </row>
    <row r="617" spans="1:6" x14ac:dyDescent="0.25">
      <c r="A617" t="s">
        <v>2723</v>
      </c>
      <c r="B617" t="s">
        <v>2724</v>
      </c>
      <c r="C617" t="s">
        <v>1953</v>
      </c>
      <c r="D617" t="s">
        <v>1940</v>
      </c>
      <c r="F617" s="2">
        <v>5.32</v>
      </c>
    </row>
    <row r="618" spans="1:6" x14ac:dyDescent="0.25">
      <c r="A618" t="s">
        <v>2725</v>
      </c>
      <c r="B618" t="s">
        <v>2726</v>
      </c>
      <c r="C618" t="s">
        <v>1953</v>
      </c>
      <c r="D618" t="s">
        <v>1940</v>
      </c>
      <c r="F618" s="2">
        <v>3.29</v>
      </c>
    </row>
    <row r="619" spans="1:6" x14ac:dyDescent="0.25">
      <c r="A619" t="s">
        <v>2727</v>
      </c>
      <c r="B619" t="s">
        <v>2728</v>
      </c>
      <c r="C619" t="s">
        <v>1953</v>
      </c>
      <c r="D619" t="s">
        <v>1940</v>
      </c>
      <c r="F619" s="2">
        <v>3.86</v>
      </c>
    </row>
    <row r="620" spans="1:6" x14ac:dyDescent="0.25">
      <c r="A620" t="s">
        <v>978</v>
      </c>
      <c r="B620" t="s">
        <v>2729</v>
      </c>
      <c r="C620" t="s">
        <v>1953</v>
      </c>
      <c r="D620" t="s">
        <v>1954</v>
      </c>
      <c r="F620" s="2">
        <v>34.549999999999997</v>
      </c>
    </row>
    <row r="621" spans="1:6" x14ac:dyDescent="0.25">
      <c r="A621" t="s">
        <v>523</v>
      </c>
      <c r="B621" t="s">
        <v>2730</v>
      </c>
      <c r="C621" t="s">
        <v>1953</v>
      </c>
      <c r="D621" t="s">
        <v>1954</v>
      </c>
      <c r="E621" t="s">
        <v>493</v>
      </c>
      <c r="F621" s="2">
        <v>5.39</v>
      </c>
    </row>
    <row r="622" spans="1:6" x14ac:dyDescent="0.25">
      <c r="A622" t="s">
        <v>524</v>
      </c>
      <c r="B622" t="s">
        <v>2731</v>
      </c>
      <c r="C622" t="s">
        <v>1953</v>
      </c>
      <c r="D622" t="s">
        <v>1954</v>
      </c>
      <c r="E622" t="s">
        <v>493</v>
      </c>
      <c r="F622" s="2">
        <v>5.39</v>
      </c>
    </row>
    <row r="623" spans="1:6" x14ac:dyDescent="0.25">
      <c r="A623" t="s">
        <v>2732</v>
      </c>
      <c r="B623" t="s">
        <v>2733</v>
      </c>
      <c r="C623" t="s">
        <v>1953</v>
      </c>
      <c r="D623" t="s">
        <v>1954</v>
      </c>
      <c r="F623" s="2">
        <v>18.98</v>
      </c>
    </row>
    <row r="624" spans="1:6" x14ac:dyDescent="0.25">
      <c r="A624" t="s">
        <v>2734</v>
      </c>
      <c r="B624" t="s">
        <v>2735</v>
      </c>
      <c r="C624" t="s">
        <v>1953</v>
      </c>
      <c r="D624" t="s">
        <v>1954</v>
      </c>
      <c r="F624" s="2">
        <v>7.12</v>
      </c>
    </row>
    <row r="625" spans="1:6" x14ac:dyDescent="0.25">
      <c r="A625" t="s">
        <v>2736</v>
      </c>
      <c r="B625" t="s">
        <v>2737</v>
      </c>
      <c r="C625" t="s">
        <v>1953</v>
      </c>
      <c r="D625" t="s">
        <v>1954</v>
      </c>
      <c r="F625" s="2">
        <v>11.81</v>
      </c>
    </row>
    <row r="626" spans="1:6" x14ac:dyDescent="0.25">
      <c r="A626" t="s">
        <v>2738</v>
      </c>
      <c r="B626" t="s">
        <v>2739</v>
      </c>
      <c r="C626" t="s">
        <v>1953</v>
      </c>
      <c r="D626" t="s">
        <v>1940</v>
      </c>
      <c r="F626" s="2">
        <v>1.59</v>
      </c>
    </row>
    <row r="627" spans="1:6" x14ac:dyDescent="0.25">
      <c r="A627" t="s">
        <v>2740</v>
      </c>
      <c r="B627" t="s">
        <v>2741</v>
      </c>
      <c r="C627" t="s">
        <v>1953</v>
      </c>
      <c r="D627" t="s">
        <v>1940</v>
      </c>
      <c r="F627" s="2">
        <v>0.52</v>
      </c>
    </row>
    <row r="628" spans="1:6" x14ac:dyDescent="0.25">
      <c r="A628" t="s">
        <v>2742</v>
      </c>
      <c r="B628" t="s">
        <v>2743</v>
      </c>
      <c r="C628" t="s">
        <v>1953</v>
      </c>
      <c r="D628" t="s">
        <v>1954</v>
      </c>
      <c r="F628" s="2">
        <v>1.31</v>
      </c>
    </row>
    <row r="629" spans="1:6" x14ac:dyDescent="0.25">
      <c r="A629" t="s">
        <v>2744</v>
      </c>
      <c r="B629" t="s">
        <v>2745</v>
      </c>
      <c r="C629" t="s">
        <v>1953</v>
      </c>
      <c r="D629" t="s">
        <v>1940</v>
      </c>
      <c r="F629" s="2">
        <v>13.49</v>
      </c>
    </row>
    <row r="630" spans="1:6" x14ac:dyDescent="0.25">
      <c r="A630" t="s">
        <v>2746</v>
      </c>
      <c r="B630" t="s">
        <v>2747</v>
      </c>
      <c r="C630" t="s">
        <v>1953</v>
      </c>
      <c r="D630" t="s">
        <v>1940</v>
      </c>
      <c r="F630" s="2">
        <v>3.38</v>
      </c>
    </row>
    <row r="631" spans="1:6" x14ac:dyDescent="0.25">
      <c r="A631" t="s">
        <v>2748</v>
      </c>
      <c r="B631" t="s">
        <v>2749</v>
      </c>
      <c r="C631" t="s">
        <v>1953</v>
      </c>
      <c r="D631" t="s">
        <v>1940</v>
      </c>
      <c r="F631" s="2">
        <v>3.38</v>
      </c>
    </row>
    <row r="632" spans="1:6" x14ac:dyDescent="0.25">
      <c r="A632" t="s">
        <v>2750</v>
      </c>
      <c r="B632" t="s">
        <v>2751</v>
      </c>
      <c r="C632" t="s">
        <v>1953</v>
      </c>
      <c r="D632" t="s">
        <v>1940</v>
      </c>
      <c r="F632" s="2">
        <v>6.71</v>
      </c>
    </row>
    <row r="633" spans="1:6" x14ac:dyDescent="0.25">
      <c r="A633" t="s">
        <v>2752</v>
      </c>
      <c r="B633" t="s">
        <v>2753</v>
      </c>
      <c r="C633" t="s">
        <v>1953</v>
      </c>
      <c r="D633" t="s">
        <v>1940</v>
      </c>
      <c r="F633" s="2">
        <v>3.38</v>
      </c>
    </row>
    <row r="634" spans="1:6" x14ac:dyDescent="0.25">
      <c r="A634" t="s">
        <v>2754</v>
      </c>
      <c r="B634" t="s">
        <v>2755</v>
      </c>
      <c r="C634" t="s">
        <v>1953</v>
      </c>
      <c r="D634" t="s">
        <v>1940</v>
      </c>
      <c r="F634" s="2">
        <v>6.71</v>
      </c>
    </row>
    <row r="635" spans="1:6" x14ac:dyDescent="0.25">
      <c r="A635" t="s">
        <v>2756</v>
      </c>
      <c r="B635" t="s">
        <v>2757</v>
      </c>
      <c r="C635" t="s">
        <v>1953</v>
      </c>
      <c r="D635" t="s">
        <v>1940</v>
      </c>
      <c r="F635" s="2">
        <v>3.61</v>
      </c>
    </row>
    <row r="636" spans="1:6" x14ac:dyDescent="0.25">
      <c r="A636" t="s">
        <v>2758</v>
      </c>
      <c r="B636" t="s">
        <v>2759</v>
      </c>
      <c r="C636" t="s">
        <v>1953</v>
      </c>
      <c r="D636" t="s">
        <v>1940</v>
      </c>
      <c r="F636" s="2">
        <v>1.82</v>
      </c>
    </row>
    <row r="637" spans="1:6" x14ac:dyDescent="0.25">
      <c r="A637" t="s">
        <v>2760</v>
      </c>
      <c r="B637" t="s">
        <v>2761</v>
      </c>
      <c r="C637" t="s">
        <v>1953</v>
      </c>
      <c r="D637" t="s">
        <v>1940</v>
      </c>
      <c r="F637" s="2">
        <v>3.31</v>
      </c>
    </row>
    <row r="638" spans="1:6" x14ac:dyDescent="0.25">
      <c r="A638" t="s">
        <v>2762</v>
      </c>
      <c r="B638" t="s">
        <v>2763</v>
      </c>
      <c r="C638" t="s">
        <v>1953</v>
      </c>
      <c r="D638" t="s">
        <v>1940</v>
      </c>
      <c r="F638" s="2">
        <v>1.82</v>
      </c>
    </row>
    <row r="639" spans="1:6" x14ac:dyDescent="0.25">
      <c r="A639" t="s">
        <v>2764</v>
      </c>
      <c r="B639" t="s">
        <v>2765</v>
      </c>
      <c r="C639" t="s">
        <v>1953</v>
      </c>
      <c r="D639" t="s">
        <v>1940</v>
      </c>
      <c r="F639" s="2">
        <v>3.61</v>
      </c>
    </row>
    <row r="640" spans="1:6" x14ac:dyDescent="0.25">
      <c r="A640" t="s">
        <v>2766</v>
      </c>
      <c r="B640" t="s">
        <v>2767</v>
      </c>
      <c r="C640" t="s">
        <v>1953</v>
      </c>
      <c r="D640" t="s">
        <v>1940</v>
      </c>
      <c r="F640" s="2">
        <v>13.49</v>
      </c>
    </row>
    <row r="641" spans="1:6" x14ac:dyDescent="0.25">
      <c r="A641" t="s">
        <v>2768</v>
      </c>
      <c r="B641" t="s">
        <v>2769</v>
      </c>
      <c r="C641" t="s">
        <v>1953</v>
      </c>
      <c r="D641" t="s">
        <v>1940</v>
      </c>
      <c r="F641" s="2">
        <v>1.82</v>
      </c>
    </row>
    <row r="642" spans="1:6" x14ac:dyDescent="0.25">
      <c r="A642" t="s">
        <v>2770</v>
      </c>
      <c r="B642" t="s">
        <v>2771</v>
      </c>
      <c r="C642" t="s">
        <v>1953</v>
      </c>
      <c r="D642" t="s">
        <v>1940</v>
      </c>
      <c r="F642" s="2">
        <v>1.42</v>
      </c>
    </row>
    <row r="643" spans="1:6" x14ac:dyDescent="0.25">
      <c r="A643" t="s">
        <v>2772</v>
      </c>
      <c r="B643" t="s">
        <v>2773</v>
      </c>
      <c r="C643" t="s">
        <v>1953</v>
      </c>
      <c r="D643" t="s">
        <v>1940</v>
      </c>
      <c r="F643" s="2">
        <v>2.94</v>
      </c>
    </row>
    <row r="644" spans="1:6" x14ac:dyDescent="0.25">
      <c r="A644" t="s">
        <v>2774</v>
      </c>
      <c r="B644" t="s">
        <v>2775</v>
      </c>
      <c r="C644" t="s">
        <v>1953</v>
      </c>
      <c r="D644" t="s">
        <v>1940</v>
      </c>
      <c r="F644" s="2">
        <v>2.94</v>
      </c>
    </row>
    <row r="645" spans="1:6" x14ac:dyDescent="0.25">
      <c r="A645" t="s">
        <v>2776</v>
      </c>
      <c r="B645" t="s">
        <v>2777</v>
      </c>
      <c r="C645" t="s">
        <v>1953</v>
      </c>
      <c r="D645" t="s">
        <v>1940</v>
      </c>
      <c r="F645" s="2">
        <v>1.42</v>
      </c>
    </row>
    <row r="646" spans="1:6" x14ac:dyDescent="0.25">
      <c r="A646" t="s">
        <v>2778</v>
      </c>
      <c r="B646" t="s">
        <v>2779</v>
      </c>
      <c r="C646" t="s">
        <v>1953</v>
      </c>
      <c r="D646" t="s">
        <v>1940</v>
      </c>
      <c r="F646" s="2">
        <v>1.39</v>
      </c>
    </row>
    <row r="647" spans="1:6" x14ac:dyDescent="0.25">
      <c r="A647" t="s">
        <v>2780</v>
      </c>
      <c r="B647" t="s">
        <v>2781</v>
      </c>
      <c r="C647" t="s">
        <v>1953</v>
      </c>
      <c r="D647" t="s">
        <v>1940</v>
      </c>
      <c r="F647" s="2">
        <v>1.39</v>
      </c>
    </row>
    <row r="648" spans="1:6" x14ac:dyDescent="0.25">
      <c r="A648" t="s">
        <v>2782</v>
      </c>
      <c r="B648" t="s">
        <v>2783</v>
      </c>
      <c r="C648" t="s">
        <v>1953</v>
      </c>
      <c r="D648" t="s">
        <v>1940</v>
      </c>
      <c r="F648" s="2">
        <v>2.66</v>
      </c>
    </row>
    <row r="649" spans="1:6" x14ac:dyDescent="0.25">
      <c r="A649" t="s">
        <v>2784</v>
      </c>
      <c r="B649" t="s">
        <v>2785</v>
      </c>
      <c r="C649" t="s">
        <v>1953</v>
      </c>
      <c r="D649" t="s">
        <v>1940</v>
      </c>
      <c r="F649" s="2">
        <v>2.66</v>
      </c>
    </row>
    <row r="650" spans="1:6" x14ac:dyDescent="0.25">
      <c r="A650" t="s">
        <v>2786</v>
      </c>
      <c r="B650" t="s">
        <v>2787</v>
      </c>
      <c r="C650" t="s">
        <v>1953</v>
      </c>
      <c r="D650" t="s">
        <v>1940</v>
      </c>
      <c r="F650" s="2">
        <v>35.630000000000003</v>
      </c>
    </row>
    <row r="651" spans="1:6" x14ac:dyDescent="0.25">
      <c r="A651" t="s">
        <v>2788</v>
      </c>
      <c r="B651" t="s">
        <v>2789</v>
      </c>
      <c r="C651" t="s">
        <v>1953</v>
      </c>
      <c r="D651" t="s">
        <v>1940</v>
      </c>
      <c r="F651" s="2">
        <v>6.67</v>
      </c>
    </row>
    <row r="652" spans="1:6" x14ac:dyDescent="0.25">
      <c r="A652" t="s">
        <v>2790</v>
      </c>
      <c r="B652" t="s">
        <v>2791</v>
      </c>
      <c r="C652" t="s">
        <v>1953</v>
      </c>
      <c r="D652" t="s">
        <v>1940</v>
      </c>
      <c r="F652" s="2">
        <v>46.02</v>
      </c>
    </row>
    <row r="653" spans="1:6" x14ac:dyDescent="0.25">
      <c r="A653" t="s">
        <v>2792</v>
      </c>
      <c r="B653" t="s">
        <v>2793</v>
      </c>
      <c r="C653" t="s">
        <v>1953</v>
      </c>
      <c r="D653" t="s">
        <v>1940</v>
      </c>
      <c r="F653" s="2">
        <v>76.67</v>
      </c>
    </row>
    <row r="654" spans="1:6" x14ac:dyDescent="0.25">
      <c r="A654" t="s">
        <v>2794</v>
      </c>
      <c r="B654" t="s">
        <v>2795</v>
      </c>
      <c r="C654" t="s">
        <v>1953</v>
      </c>
      <c r="D654" t="s">
        <v>1940</v>
      </c>
      <c r="F654" s="2">
        <v>6.74</v>
      </c>
    </row>
    <row r="655" spans="1:6" x14ac:dyDescent="0.25">
      <c r="A655" t="s">
        <v>2796</v>
      </c>
      <c r="B655" t="s">
        <v>2797</v>
      </c>
      <c r="C655" t="s">
        <v>1953</v>
      </c>
      <c r="D655" t="s">
        <v>1940</v>
      </c>
      <c r="F655" s="2">
        <v>13.44</v>
      </c>
    </row>
    <row r="656" spans="1:6" x14ac:dyDescent="0.25">
      <c r="A656" t="s">
        <v>2798</v>
      </c>
      <c r="B656" t="s">
        <v>2799</v>
      </c>
      <c r="C656" t="s">
        <v>1953</v>
      </c>
      <c r="D656" t="s">
        <v>1940</v>
      </c>
      <c r="F656" s="2">
        <v>21.61</v>
      </c>
    </row>
    <row r="657" spans="1:6" x14ac:dyDescent="0.25">
      <c r="A657" t="s">
        <v>2800</v>
      </c>
      <c r="B657" t="s">
        <v>2801</v>
      </c>
      <c r="C657" t="s">
        <v>1953</v>
      </c>
      <c r="D657" t="s">
        <v>1940</v>
      </c>
      <c r="F657" s="2">
        <v>25.21</v>
      </c>
    </row>
    <row r="658" spans="1:6" x14ac:dyDescent="0.25">
      <c r="A658" t="s">
        <v>2802</v>
      </c>
      <c r="B658" t="s">
        <v>2803</v>
      </c>
      <c r="C658" t="s">
        <v>1953</v>
      </c>
      <c r="D658" t="s">
        <v>1940</v>
      </c>
      <c r="F658" s="2">
        <v>33.119999999999997</v>
      </c>
    </row>
    <row r="659" spans="1:6" x14ac:dyDescent="0.25">
      <c r="A659" t="s">
        <v>2804</v>
      </c>
      <c r="B659" t="s">
        <v>2805</v>
      </c>
      <c r="C659" t="s">
        <v>1953</v>
      </c>
      <c r="D659" t="s">
        <v>1940</v>
      </c>
      <c r="F659" s="2">
        <v>50.34</v>
      </c>
    </row>
    <row r="660" spans="1:6" x14ac:dyDescent="0.25">
      <c r="A660" t="s">
        <v>2806</v>
      </c>
      <c r="B660" t="s">
        <v>2807</v>
      </c>
      <c r="C660" t="s">
        <v>1953</v>
      </c>
      <c r="D660" t="s">
        <v>1940</v>
      </c>
      <c r="F660" s="2">
        <v>30.59</v>
      </c>
    </row>
    <row r="661" spans="1:6" x14ac:dyDescent="0.25">
      <c r="A661" t="s">
        <v>2808</v>
      </c>
      <c r="B661" t="s">
        <v>2809</v>
      </c>
      <c r="C661" t="s">
        <v>1953</v>
      </c>
      <c r="D661" t="s">
        <v>1940</v>
      </c>
      <c r="F661" s="2">
        <v>6.67</v>
      </c>
    </row>
    <row r="662" spans="1:6" x14ac:dyDescent="0.25">
      <c r="A662" t="s">
        <v>2810</v>
      </c>
      <c r="B662" t="s">
        <v>2811</v>
      </c>
      <c r="C662" t="s">
        <v>1953</v>
      </c>
      <c r="D662" t="s">
        <v>1940</v>
      </c>
      <c r="F662" s="2">
        <v>48.56</v>
      </c>
    </row>
    <row r="663" spans="1:6" x14ac:dyDescent="0.25">
      <c r="A663" t="s">
        <v>2812</v>
      </c>
      <c r="B663" t="s">
        <v>2813</v>
      </c>
      <c r="C663" t="s">
        <v>1953</v>
      </c>
      <c r="D663" t="s">
        <v>1940</v>
      </c>
      <c r="F663" s="2">
        <v>38.6</v>
      </c>
    </row>
    <row r="664" spans="1:6" x14ac:dyDescent="0.25">
      <c r="A664" t="s">
        <v>2814</v>
      </c>
      <c r="B664" t="s">
        <v>2815</v>
      </c>
      <c r="C664" t="s">
        <v>1953</v>
      </c>
      <c r="D664" t="s">
        <v>1940</v>
      </c>
      <c r="F664" s="2">
        <v>61.24</v>
      </c>
    </row>
    <row r="665" spans="1:6" x14ac:dyDescent="0.25">
      <c r="A665" t="s">
        <v>2816</v>
      </c>
      <c r="B665" t="s">
        <v>2817</v>
      </c>
      <c r="C665" t="s">
        <v>1953</v>
      </c>
      <c r="D665" t="s">
        <v>1940</v>
      </c>
      <c r="F665" s="2">
        <v>80.599999999999994</v>
      </c>
    </row>
    <row r="666" spans="1:6" x14ac:dyDescent="0.25">
      <c r="A666" t="s">
        <v>2818</v>
      </c>
      <c r="B666" t="s">
        <v>2819</v>
      </c>
      <c r="C666" t="s">
        <v>1953</v>
      </c>
      <c r="D666" t="s">
        <v>1940</v>
      </c>
      <c r="F666" s="2">
        <v>37.44</v>
      </c>
    </row>
    <row r="667" spans="1:6" x14ac:dyDescent="0.25">
      <c r="A667" t="s">
        <v>2820</v>
      </c>
      <c r="B667" t="s">
        <v>2821</v>
      </c>
      <c r="C667" t="s">
        <v>1953</v>
      </c>
      <c r="D667" t="s">
        <v>1940</v>
      </c>
      <c r="F667" s="2">
        <v>46.82</v>
      </c>
    </row>
    <row r="668" spans="1:6" x14ac:dyDescent="0.25">
      <c r="A668" t="s">
        <v>2822</v>
      </c>
      <c r="B668" t="s">
        <v>2823</v>
      </c>
      <c r="C668" t="s">
        <v>1953</v>
      </c>
      <c r="D668" t="s">
        <v>1940</v>
      </c>
      <c r="F668" s="2">
        <v>48.26</v>
      </c>
    </row>
    <row r="669" spans="1:6" x14ac:dyDescent="0.25">
      <c r="A669" t="s">
        <v>2824</v>
      </c>
      <c r="B669" t="s">
        <v>2825</v>
      </c>
      <c r="C669" t="s">
        <v>1953</v>
      </c>
      <c r="D669" t="s">
        <v>1940</v>
      </c>
      <c r="F669" s="2">
        <v>76.13</v>
      </c>
    </row>
    <row r="670" spans="1:6" x14ac:dyDescent="0.25">
      <c r="A670" t="s">
        <v>2826</v>
      </c>
      <c r="B670" t="s">
        <v>2827</v>
      </c>
      <c r="C670" t="s">
        <v>1953</v>
      </c>
      <c r="D670" t="s">
        <v>1940</v>
      </c>
      <c r="F670" s="2">
        <v>45.76</v>
      </c>
    </row>
    <row r="671" spans="1:6" x14ac:dyDescent="0.25">
      <c r="A671" t="s">
        <v>2828</v>
      </c>
      <c r="B671" t="s">
        <v>2829</v>
      </c>
      <c r="C671" t="s">
        <v>1953</v>
      </c>
      <c r="D671" t="s">
        <v>1940</v>
      </c>
      <c r="F671" s="2">
        <v>57.23</v>
      </c>
    </row>
    <row r="672" spans="1:6" x14ac:dyDescent="0.25">
      <c r="A672" t="s">
        <v>2830</v>
      </c>
      <c r="B672" t="s">
        <v>2831</v>
      </c>
      <c r="C672" t="s">
        <v>1953</v>
      </c>
      <c r="D672" t="s">
        <v>1940</v>
      </c>
      <c r="F672" s="2">
        <v>4.0999999999999996</v>
      </c>
    </row>
    <row r="673" spans="1:6" x14ac:dyDescent="0.25">
      <c r="A673" t="s">
        <v>2832</v>
      </c>
      <c r="B673" t="s">
        <v>2833</v>
      </c>
      <c r="C673" t="s">
        <v>1953</v>
      </c>
      <c r="D673" t="s">
        <v>1940</v>
      </c>
      <c r="F673" s="2">
        <v>72.459999999999994</v>
      </c>
    </row>
    <row r="674" spans="1:6" x14ac:dyDescent="0.25">
      <c r="A674" t="s">
        <v>2834</v>
      </c>
      <c r="B674" t="s">
        <v>2835</v>
      </c>
      <c r="C674" t="s">
        <v>1953</v>
      </c>
      <c r="D674" t="s">
        <v>1940</v>
      </c>
      <c r="F674" s="2">
        <v>95.35</v>
      </c>
    </row>
    <row r="675" spans="1:6" x14ac:dyDescent="0.25">
      <c r="A675" t="s">
        <v>2836</v>
      </c>
      <c r="B675" t="s">
        <v>2837</v>
      </c>
      <c r="C675" t="s">
        <v>1953</v>
      </c>
      <c r="D675" t="s">
        <v>1940</v>
      </c>
      <c r="F675" s="2">
        <v>35.96</v>
      </c>
    </row>
    <row r="676" spans="1:6" x14ac:dyDescent="0.25">
      <c r="A676" t="s">
        <v>2838</v>
      </c>
      <c r="B676" t="s">
        <v>2839</v>
      </c>
      <c r="C676" t="s">
        <v>1953</v>
      </c>
      <c r="D676" t="s">
        <v>1940</v>
      </c>
      <c r="F676" s="2">
        <v>41.63</v>
      </c>
    </row>
    <row r="677" spans="1:6" x14ac:dyDescent="0.25">
      <c r="A677" t="s">
        <v>2840</v>
      </c>
      <c r="B677" t="s">
        <v>2841</v>
      </c>
      <c r="C677" t="s">
        <v>1953</v>
      </c>
      <c r="D677" t="s">
        <v>1940</v>
      </c>
      <c r="F677" s="2">
        <v>52.01</v>
      </c>
    </row>
    <row r="678" spans="1:6" x14ac:dyDescent="0.25">
      <c r="A678" t="s">
        <v>2842</v>
      </c>
      <c r="B678" t="s">
        <v>2843</v>
      </c>
      <c r="C678" t="s">
        <v>1953</v>
      </c>
      <c r="D678" t="s">
        <v>1940</v>
      </c>
      <c r="F678" s="2">
        <v>65.89</v>
      </c>
    </row>
    <row r="679" spans="1:6" x14ac:dyDescent="0.25">
      <c r="A679" t="s">
        <v>2844</v>
      </c>
      <c r="B679" t="s">
        <v>2845</v>
      </c>
      <c r="C679" t="s">
        <v>1953</v>
      </c>
      <c r="D679" t="s">
        <v>1940</v>
      </c>
      <c r="F679" s="2">
        <v>86.7</v>
      </c>
    </row>
    <row r="680" spans="1:6" x14ac:dyDescent="0.25">
      <c r="A680" t="s">
        <v>2846</v>
      </c>
      <c r="B680" t="s">
        <v>2847</v>
      </c>
      <c r="C680" t="s">
        <v>1953</v>
      </c>
      <c r="D680" t="s">
        <v>1940</v>
      </c>
      <c r="F680" s="2">
        <v>35.96</v>
      </c>
    </row>
    <row r="681" spans="1:6" x14ac:dyDescent="0.25">
      <c r="A681" t="s">
        <v>2848</v>
      </c>
      <c r="B681" t="s">
        <v>2849</v>
      </c>
      <c r="C681" t="s">
        <v>1953</v>
      </c>
      <c r="D681" t="s">
        <v>1940</v>
      </c>
      <c r="F681" s="2">
        <v>74.89</v>
      </c>
    </row>
    <row r="682" spans="1:6" x14ac:dyDescent="0.25">
      <c r="A682" t="s">
        <v>2850</v>
      </c>
      <c r="B682" t="s">
        <v>2851</v>
      </c>
      <c r="C682" t="s">
        <v>1953</v>
      </c>
      <c r="D682" t="s">
        <v>1940</v>
      </c>
      <c r="F682" s="2">
        <v>41.94</v>
      </c>
    </row>
    <row r="683" spans="1:6" x14ac:dyDescent="0.25">
      <c r="A683" t="s">
        <v>2852</v>
      </c>
      <c r="B683" t="s">
        <v>2853</v>
      </c>
      <c r="C683" t="s">
        <v>1953</v>
      </c>
      <c r="D683" t="s">
        <v>1940</v>
      </c>
      <c r="F683" s="2">
        <v>4.0999999999999996</v>
      </c>
    </row>
    <row r="684" spans="1:6" x14ac:dyDescent="0.25">
      <c r="A684" t="s">
        <v>2854</v>
      </c>
      <c r="B684" t="s">
        <v>2855</v>
      </c>
      <c r="C684" t="s">
        <v>1953</v>
      </c>
      <c r="D684" t="s">
        <v>1940</v>
      </c>
      <c r="F684" s="2">
        <v>66.42</v>
      </c>
    </row>
    <row r="685" spans="1:6" x14ac:dyDescent="0.25">
      <c r="A685" t="s">
        <v>2856</v>
      </c>
      <c r="B685" t="s">
        <v>2857</v>
      </c>
      <c r="C685" t="s">
        <v>1953</v>
      </c>
      <c r="D685" t="s">
        <v>1940</v>
      </c>
      <c r="F685" s="2">
        <v>87.38</v>
      </c>
    </row>
    <row r="686" spans="1:6" x14ac:dyDescent="0.25">
      <c r="A686" t="s">
        <v>2858</v>
      </c>
      <c r="B686" t="s">
        <v>2859</v>
      </c>
      <c r="C686" t="s">
        <v>1953</v>
      </c>
      <c r="D686" t="s">
        <v>1940</v>
      </c>
      <c r="F686" s="2">
        <v>87.71</v>
      </c>
    </row>
    <row r="687" spans="1:6" x14ac:dyDescent="0.25">
      <c r="A687" t="s">
        <v>2860</v>
      </c>
      <c r="B687" t="s">
        <v>2861</v>
      </c>
      <c r="C687" t="s">
        <v>1953</v>
      </c>
      <c r="D687" t="s">
        <v>1940</v>
      </c>
      <c r="F687" s="2">
        <v>87.71</v>
      </c>
    </row>
    <row r="688" spans="1:6" x14ac:dyDescent="0.25">
      <c r="A688" t="s">
        <v>2862</v>
      </c>
      <c r="B688" t="s">
        <v>2863</v>
      </c>
      <c r="C688" t="s">
        <v>1953</v>
      </c>
      <c r="D688" t="s">
        <v>1940</v>
      </c>
      <c r="F688" s="2">
        <v>87.71</v>
      </c>
    </row>
    <row r="689" spans="1:6" x14ac:dyDescent="0.25">
      <c r="A689" t="s">
        <v>2864</v>
      </c>
      <c r="B689" t="s">
        <v>2865</v>
      </c>
      <c r="C689" t="s">
        <v>1953</v>
      </c>
      <c r="D689" t="s">
        <v>1940</v>
      </c>
      <c r="F689" s="2">
        <v>87.71</v>
      </c>
    </row>
    <row r="690" spans="1:6" x14ac:dyDescent="0.25">
      <c r="A690" t="s">
        <v>2866</v>
      </c>
      <c r="B690" t="s">
        <v>2867</v>
      </c>
      <c r="C690" t="s">
        <v>1953</v>
      </c>
      <c r="D690" t="s">
        <v>1940</v>
      </c>
      <c r="F690" s="2">
        <v>1.18</v>
      </c>
    </row>
    <row r="691" spans="1:6" x14ac:dyDescent="0.25">
      <c r="A691" t="s">
        <v>2868</v>
      </c>
      <c r="B691" t="s">
        <v>2869</v>
      </c>
      <c r="C691" t="s">
        <v>1953</v>
      </c>
      <c r="D691" t="s">
        <v>1940</v>
      </c>
      <c r="F691" s="2">
        <v>1.1399999999999999</v>
      </c>
    </row>
    <row r="692" spans="1:6" x14ac:dyDescent="0.25">
      <c r="A692" t="s">
        <v>2870</v>
      </c>
      <c r="B692" t="s">
        <v>2871</v>
      </c>
      <c r="C692" t="s">
        <v>1953</v>
      </c>
      <c r="D692" t="s">
        <v>1940</v>
      </c>
      <c r="F692" s="2">
        <v>1.52</v>
      </c>
    </row>
    <row r="693" spans="1:6" x14ac:dyDescent="0.25">
      <c r="A693" t="s">
        <v>2872</v>
      </c>
      <c r="B693" t="s">
        <v>2873</v>
      </c>
      <c r="C693" t="s">
        <v>1953</v>
      </c>
      <c r="D693" t="s">
        <v>1940</v>
      </c>
      <c r="F693" s="2">
        <v>1.98</v>
      </c>
    </row>
    <row r="694" spans="1:6" x14ac:dyDescent="0.25">
      <c r="A694" t="s">
        <v>2874</v>
      </c>
      <c r="B694" t="s">
        <v>2875</v>
      </c>
      <c r="C694" t="s">
        <v>1953</v>
      </c>
      <c r="D694" t="s">
        <v>1940</v>
      </c>
      <c r="F694" s="2">
        <v>8.1999999999999993</v>
      </c>
    </row>
    <row r="695" spans="1:6" x14ac:dyDescent="0.25">
      <c r="A695" t="s">
        <v>2876</v>
      </c>
      <c r="B695" t="s">
        <v>2877</v>
      </c>
      <c r="C695" t="s">
        <v>1953</v>
      </c>
      <c r="D695" t="s">
        <v>1940</v>
      </c>
      <c r="F695" s="2">
        <v>2.38</v>
      </c>
    </row>
    <row r="696" spans="1:6" x14ac:dyDescent="0.25">
      <c r="A696" t="s">
        <v>2878</v>
      </c>
      <c r="B696" t="s">
        <v>2879</v>
      </c>
      <c r="C696" t="s">
        <v>1953</v>
      </c>
      <c r="D696" t="s">
        <v>1940</v>
      </c>
      <c r="F696" s="2">
        <v>3.95</v>
      </c>
    </row>
    <row r="697" spans="1:6" x14ac:dyDescent="0.25">
      <c r="A697" t="s">
        <v>2880</v>
      </c>
      <c r="B697" t="s">
        <v>2881</v>
      </c>
      <c r="C697" t="s">
        <v>1953</v>
      </c>
      <c r="D697" t="s">
        <v>1940</v>
      </c>
      <c r="F697" s="2">
        <v>1.52</v>
      </c>
    </row>
    <row r="698" spans="1:6" x14ac:dyDescent="0.25">
      <c r="A698" t="s">
        <v>2882</v>
      </c>
      <c r="B698" t="s">
        <v>2883</v>
      </c>
      <c r="C698" t="s">
        <v>1953</v>
      </c>
      <c r="D698" t="s">
        <v>1940</v>
      </c>
      <c r="F698" s="2">
        <v>1.69</v>
      </c>
    </row>
    <row r="699" spans="1:6" x14ac:dyDescent="0.25">
      <c r="A699" t="s">
        <v>2884</v>
      </c>
      <c r="B699" t="s">
        <v>2885</v>
      </c>
      <c r="C699" t="s">
        <v>1953</v>
      </c>
      <c r="D699" t="s">
        <v>1940</v>
      </c>
      <c r="F699" s="2">
        <v>1.82</v>
      </c>
    </row>
    <row r="700" spans="1:6" x14ac:dyDescent="0.25">
      <c r="A700" t="s">
        <v>2886</v>
      </c>
      <c r="B700" t="s">
        <v>2887</v>
      </c>
      <c r="C700" t="s">
        <v>1953</v>
      </c>
      <c r="D700" t="s">
        <v>1940</v>
      </c>
      <c r="F700" s="2">
        <v>3.04</v>
      </c>
    </row>
    <row r="701" spans="1:6" x14ac:dyDescent="0.25">
      <c r="A701" t="s">
        <v>2888</v>
      </c>
      <c r="B701" t="s">
        <v>2889</v>
      </c>
      <c r="C701" t="s">
        <v>1953</v>
      </c>
      <c r="D701" t="s">
        <v>1940</v>
      </c>
      <c r="F701" s="2">
        <v>11.15</v>
      </c>
    </row>
    <row r="702" spans="1:6" x14ac:dyDescent="0.25">
      <c r="A702" t="s">
        <v>2890</v>
      </c>
      <c r="B702" t="s">
        <v>2891</v>
      </c>
      <c r="C702" t="s">
        <v>1953</v>
      </c>
      <c r="D702" t="s">
        <v>1940</v>
      </c>
      <c r="F702" s="2">
        <v>11.96</v>
      </c>
    </row>
    <row r="703" spans="1:6" x14ac:dyDescent="0.25">
      <c r="A703" t="s">
        <v>2892</v>
      </c>
      <c r="B703" t="s">
        <v>2893</v>
      </c>
      <c r="C703" t="s">
        <v>1953</v>
      </c>
      <c r="D703" t="s">
        <v>1940</v>
      </c>
      <c r="F703" s="2">
        <v>8.9600000000000009</v>
      </c>
    </row>
    <row r="704" spans="1:6" x14ac:dyDescent="0.25">
      <c r="A704" t="s">
        <v>2894</v>
      </c>
      <c r="B704" t="s">
        <v>2895</v>
      </c>
      <c r="C704" t="s">
        <v>1953</v>
      </c>
      <c r="D704" t="s">
        <v>1940</v>
      </c>
      <c r="F704" s="2">
        <v>5.66</v>
      </c>
    </row>
    <row r="705" spans="1:6" x14ac:dyDescent="0.25">
      <c r="A705" t="s">
        <v>2896</v>
      </c>
      <c r="B705" t="s">
        <v>2897</v>
      </c>
      <c r="C705" t="s">
        <v>1953</v>
      </c>
      <c r="D705" t="s">
        <v>1940</v>
      </c>
      <c r="F705" s="2">
        <v>4.0999999999999996</v>
      </c>
    </row>
    <row r="706" spans="1:6" x14ac:dyDescent="0.25">
      <c r="A706" t="s">
        <v>2898</v>
      </c>
      <c r="B706" t="s">
        <v>2899</v>
      </c>
      <c r="C706" t="s">
        <v>1953</v>
      </c>
      <c r="D706" t="s">
        <v>1940</v>
      </c>
      <c r="F706" s="2">
        <v>5.66</v>
      </c>
    </row>
    <row r="707" spans="1:6" x14ac:dyDescent="0.25">
      <c r="A707" t="s">
        <v>2900</v>
      </c>
      <c r="B707" t="s">
        <v>2901</v>
      </c>
      <c r="C707" t="s">
        <v>1953</v>
      </c>
      <c r="D707" t="s">
        <v>1940</v>
      </c>
      <c r="F707" s="2">
        <v>8.9600000000000009</v>
      </c>
    </row>
    <row r="708" spans="1:6" x14ac:dyDescent="0.25">
      <c r="A708" t="s">
        <v>2902</v>
      </c>
      <c r="B708" t="s">
        <v>2903</v>
      </c>
      <c r="C708" t="s">
        <v>1953</v>
      </c>
      <c r="D708" t="s">
        <v>1940</v>
      </c>
      <c r="F708" s="2">
        <v>15.38</v>
      </c>
    </row>
    <row r="709" spans="1:6" x14ac:dyDescent="0.25">
      <c r="A709" t="s">
        <v>2904</v>
      </c>
      <c r="B709" t="s">
        <v>2905</v>
      </c>
      <c r="C709" t="s">
        <v>1953</v>
      </c>
      <c r="D709" t="s">
        <v>1940</v>
      </c>
      <c r="F709" s="2">
        <v>25.39</v>
      </c>
    </row>
    <row r="710" spans="1:6" x14ac:dyDescent="0.25">
      <c r="A710" t="s">
        <v>2906</v>
      </c>
      <c r="B710" t="s">
        <v>2907</v>
      </c>
      <c r="C710" t="s">
        <v>1953</v>
      </c>
      <c r="D710" t="s">
        <v>1940</v>
      </c>
      <c r="F710" s="2">
        <v>33.04</v>
      </c>
    </row>
    <row r="711" spans="1:6" x14ac:dyDescent="0.25">
      <c r="A711" t="s">
        <v>2908</v>
      </c>
      <c r="B711" t="s">
        <v>2909</v>
      </c>
      <c r="C711" t="s">
        <v>1953</v>
      </c>
      <c r="D711" t="s">
        <v>1940</v>
      </c>
      <c r="F711" s="2">
        <v>64.03</v>
      </c>
    </row>
    <row r="712" spans="1:6" x14ac:dyDescent="0.25">
      <c r="A712" t="s">
        <v>2910</v>
      </c>
      <c r="B712" t="s">
        <v>2911</v>
      </c>
      <c r="C712" t="s">
        <v>1953</v>
      </c>
      <c r="D712" t="s">
        <v>1940</v>
      </c>
      <c r="F712" s="2">
        <v>2.76</v>
      </c>
    </row>
    <row r="713" spans="1:6" x14ac:dyDescent="0.25">
      <c r="A713" t="s">
        <v>2912</v>
      </c>
      <c r="B713" t="s">
        <v>2913</v>
      </c>
      <c r="C713" t="s">
        <v>1953</v>
      </c>
      <c r="D713" t="s">
        <v>1940</v>
      </c>
      <c r="F713" s="2">
        <v>3.38</v>
      </c>
    </row>
    <row r="714" spans="1:6" x14ac:dyDescent="0.25">
      <c r="A714" t="s">
        <v>2914</v>
      </c>
      <c r="B714" t="s">
        <v>2915</v>
      </c>
      <c r="C714" t="s">
        <v>1953</v>
      </c>
      <c r="D714" t="s">
        <v>1940</v>
      </c>
      <c r="F714" s="2">
        <v>5.38</v>
      </c>
    </row>
    <row r="715" spans="1:6" x14ac:dyDescent="0.25">
      <c r="A715" t="s">
        <v>2916</v>
      </c>
      <c r="B715" t="s">
        <v>2917</v>
      </c>
      <c r="C715" t="s">
        <v>1953</v>
      </c>
      <c r="D715" t="s">
        <v>1940</v>
      </c>
      <c r="F715" s="2">
        <v>7.07</v>
      </c>
    </row>
    <row r="716" spans="1:6" x14ac:dyDescent="0.25">
      <c r="A716" t="s">
        <v>2918</v>
      </c>
      <c r="B716" t="s">
        <v>2919</v>
      </c>
      <c r="C716" t="s">
        <v>1953</v>
      </c>
      <c r="D716" t="s">
        <v>1940</v>
      </c>
      <c r="F716" s="2">
        <v>8.1999999999999993</v>
      </c>
    </row>
    <row r="717" spans="1:6" x14ac:dyDescent="0.25">
      <c r="A717" t="s">
        <v>2920</v>
      </c>
      <c r="B717" t="s">
        <v>2921</v>
      </c>
      <c r="C717" t="s">
        <v>1953</v>
      </c>
      <c r="D717" t="s">
        <v>1940</v>
      </c>
      <c r="F717" s="2">
        <v>2.17</v>
      </c>
    </row>
    <row r="718" spans="1:6" x14ac:dyDescent="0.25">
      <c r="A718" t="s">
        <v>2922</v>
      </c>
      <c r="B718" t="s">
        <v>2923</v>
      </c>
      <c r="C718" t="s">
        <v>1953</v>
      </c>
      <c r="D718" t="s">
        <v>1940</v>
      </c>
      <c r="F718" s="2">
        <v>14.11</v>
      </c>
    </row>
    <row r="719" spans="1:6" x14ac:dyDescent="0.25">
      <c r="A719" t="s">
        <v>2924</v>
      </c>
      <c r="B719" t="s">
        <v>2925</v>
      </c>
      <c r="C719" t="s">
        <v>1953</v>
      </c>
      <c r="D719" t="s">
        <v>1940</v>
      </c>
      <c r="F719" s="2">
        <v>5.32</v>
      </c>
    </row>
    <row r="720" spans="1:6" x14ac:dyDescent="0.25">
      <c r="A720" t="s">
        <v>2926</v>
      </c>
      <c r="B720" t="s">
        <v>2927</v>
      </c>
      <c r="C720" t="s">
        <v>1953</v>
      </c>
      <c r="D720" t="s">
        <v>1940</v>
      </c>
      <c r="F720" s="2">
        <v>42.48</v>
      </c>
    </row>
    <row r="721" spans="1:6" x14ac:dyDescent="0.25">
      <c r="A721" t="s">
        <v>2928</v>
      </c>
      <c r="B721" t="s">
        <v>2929</v>
      </c>
      <c r="C721" t="s">
        <v>1953</v>
      </c>
      <c r="D721" t="s">
        <v>1940</v>
      </c>
      <c r="F721" s="2">
        <v>18.13</v>
      </c>
    </row>
    <row r="722" spans="1:6" x14ac:dyDescent="0.25">
      <c r="A722" t="s">
        <v>2930</v>
      </c>
      <c r="B722" t="s">
        <v>2931</v>
      </c>
      <c r="C722" t="s">
        <v>1953</v>
      </c>
      <c r="D722" t="s">
        <v>1940</v>
      </c>
      <c r="F722" s="2">
        <v>41.03</v>
      </c>
    </row>
    <row r="723" spans="1:6" x14ac:dyDescent="0.25">
      <c r="A723" t="s">
        <v>2932</v>
      </c>
      <c r="B723" t="s">
        <v>2933</v>
      </c>
      <c r="C723" t="s">
        <v>1953</v>
      </c>
      <c r="D723" t="s">
        <v>1940</v>
      </c>
      <c r="F723" s="2">
        <v>83.77</v>
      </c>
    </row>
    <row r="724" spans="1:6" x14ac:dyDescent="0.25">
      <c r="A724" t="s">
        <v>526</v>
      </c>
      <c r="B724" t="s">
        <v>2934</v>
      </c>
      <c r="C724" t="s">
        <v>1953</v>
      </c>
      <c r="D724" t="s">
        <v>1954</v>
      </c>
      <c r="E724" t="s">
        <v>493</v>
      </c>
      <c r="F724" s="2">
        <v>5.39</v>
      </c>
    </row>
    <row r="725" spans="1:6" x14ac:dyDescent="0.25">
      <c r="A725" t="s">
        <v>982</v>
      </c>
      <c r="B725" t="s">
        <v>2935</v>
      </c>
      <c r="C725" t="s">
        <v>1953</v>
      </c>
      <c r="D725" t="s">
        <v>1954</v>
      </c>
      <c r="F725" s="2">
        <v>34.6</v>
      </c>
    </row>
    <row r="726" spans="1:6" x14ac:dyDescent="0.25">
      <c r="A726" t="s">
        <v>2936</v>
      </c>
      <c r="B726" t="s">
        <v>2937</v>
      </c>
      <c r="C726" t="s">
        <v>1953</v>
      </c>
      <c r="D726" t="s">
        <v>1954</v>
      </c>
      <c r="F726" s="2">
        <v>36.17</v>
      </c>
    </row>
    <row r="727" spans="1:6" x14ac:dyDescent="0.25">
      <c r="A727" t="s">
        <v>983</v>
      </c>
      <c r="B727" t="s">
        <v>2938</v>
      </c>
      <c r="C727" t="s">
        <v>1953</v>
      </c>
      <c r="D727" t="s">
        <v>1954</v>
      </c>
      <c r="E727" t="s">
        <v>983</v>
      </c>
      <c r="F727" s="2">
        <v>318.64</v>
      </c>
    </row>
    <row r="728" spans="1:6" x14ac:dyDescent="0.25">
      <c r="A728" t="s">
        <v>987</v>
      </c>
      <c r="B728" t="s">
        <v>2939</v>
      </c>
      <c r="C728" t="s">
        <v>1953</v>
      </c>
      <c r="D728" t="s">
        <v>1954</v>
      </c>
      <c r="E728" t="s">
        <v>169</v>
      </c>
      <c r="F728" s="2">
        <v>179.7</v>
      </c>
    </row>
    <row r="729" spans="1:6" x14ac:dyDescent="0.25">
      <c r="A729" t="s">
        <v>2940</v>
      </c>
      <c r="B729" t="s">
        <v>2941</v>
      </c>
      <c r="C729" t="s">
        <v>1953</v>
      </c>
      <c r="D729" t="s">
        <v>1940</v>
      </c>
      <c r="F729" s="2">
        <v>20.98</v>
      </c>
    </row>
    <row r="730" spans="1:6" x14ac:dyDescent="0.25">
      <c r="A730" t="s">
        <v>2942</v>
      </c>
      <c r="B730" t="s">
        <v>2943</v>
      </c>
      <c r="C730" t="s">
        <v>1953</v>
      </c>
      <c r="D730" t="s">
        <v>1940</v>
      </c>
      <c r="F730" s="2">
        <v>4.53</v>
      </c>
    </row>
    <row r="731" spans="1:6" x14ac:dyDescent="0.25">
      <c r="A731" t="s">
        <v>2944</v>
      </c>
      <c r="B731" t="s">
        <v>2945</v>
      </c>
      <c r="C731" t="s">
        <v>1953</v>
      </c>
      <c r="D731" t="s">
        <v>1940</v>
      </c>
      <c r="F731" s="2">
        <v>27.55</v>
      </c>
    </row>
    <row r="732" spans="1:6" x14ac:dyDescent="0.25">
      <c r="A732" t="s">
        <v>2946</v>
      </c>
      <c r="B732" t="s">
        <v>2947</v>
      </c>
      <c r="C732" t="s">
        <v>1953</v>
      </c>
      <c r="D732" t="s">
        <v>1940</v>
      </c>
      <c r="F732" s="2">
        <v>298.99</v>
      </c>
    </row>
    <row r="733" spans="1:6" x14ac:dyDescent="0.25">
      <c r="A733" t="s">
        <v>2948</v>
      </c>
      <c r="B733" t="s">
        <v>2949</v>
      </c>
      <c r="C733" t="s">
        <v>1953</v>
      </c>
      <c r="D733" t="s">
        <v>1940</v>
      </c>
      <c r="F733" s="2">
        <v>17.57</v>
      </c>
    </row>
    <row r="734" spans="1:6" x14ac:dyDescent="0.25">
      <c r="A734" t="s">
        <v>2950</v>
      </c>
      <c r="B734" t="s">
        <v>2951</v>
      </c>
      <c r="C734" t="s">
        <v>1953</v>
      </c>
      <c r="D734" t="s">
        <v>1940</v>
      </c>
      <c r="F734" s="2">
        <v>5.3</v>
      </c>
    </row>
    <row r="735" spans="1:6" x14ac:dyDescent="0.25">
      <c r="A735" t="s">
        <v>2952</v>
      </c>
      <c r="B735" t="s">
        <v>2953</v>
      </c>
      <c r="C735" t="s">
        <v>1953</v>
      </c>
      <c r="D735" t="s">
        <v>1940</v>
      </c>
      <c r="F735" s="2">
        <v>39.11</v>
      </c>
    </row>
    <row r="736" spans="1:6" x14ac:dyDescent="0.25">
      <c r="A736" t="s">
        <v>2954</v>
      </c>
      <c r="B736" t="s">
        <v>2955</v>
      </c>
      <c r="C736" t="s">
        <v>1953</v>
      </c>
      <c r="D736" t="s">
        <v>1940</v>
      </c>
      <c r="F736" s="2">
        <v>39.11</v>
      </c>
    </row>
    <row r="737" spans="1:6" x14ac:dyDescent="0.25">
      <c r="A737" t="s">
        <v>2956</v>
      </c>
      <c r="B737" t="s">
        <v>2957</v>
      </c>
      <c r="C737" t="s">
        <v>1953</v>
      </c>
      <c r="D737" t="s">
        <v>1940</v>
      </c>
      <c r="F737" s="2">
        <v>39.11</v>
      </c>
    </row>
    <row r="738" spans="1:6" x14ac:dyDescent="0.25">
      <c r="A738" t="s">
        <v>2958</v>
      </c>
      <c r="B738" t="s">
        <v>2959</v>
      </c>
      <c r="C738" t="s">
        <v>1953</v>
      </c>
      <c r="D738" t="s">
        <v>1940</v>
      </c>
      <c r="F738" s="2">
        <v>39.11</v>
      </c>
    </row>
    <row r="739" spans="1:6" x14ac:dyDescent="0.25">
      <c r="A739" t="s">
        <v>2960</v>
      </c>
      <c r="B739" t="s">
        <v>2961</v>
      </c>
      <c r="C739" t="s">
        <v>1953</v>
      </c>
      <c r="D739" t="s">
        <v>1940</v>
      </c>
      <c r="F739" s="2">
        <v>3.9</v>
      </c>
    </row>
    <row r="740" spans="1:6" x14ac:dyDescent="0.25">
      <c r="A740" t="s">
        <v>2962</v>
      </c>
      <c r="B740" t="s">
        <v>2963</v>
      </c>
      <c r="C740" t="s">
        <v>1953</v>
      </c>
      <c r="D740" t="s">
        <v>1940</v>
      </c>
      <c r="F740" s="2">
        <v>270.51</v>
      </c>
    </row>
    <row r="741" spans="1:6" x14ac:dyDescent="0.25">
      <c r="A741" t="s">
        <v>2964</v>
      </c>
      <c r="B741" t="s">
        <v>2965</v>
      </c>
      <c r="C741" t="s">
        <v>1953</v>
      </c>
      <c r="D741" t="s">
        <v>1940</v>
      </c>
      <c r="F741" s="2">
        <v>4880.17</v>
      </c>
    </row>
    <row r="742" spans="1:6" x14ac:dyDescent="0.25">
      <c r="A742" t="s">
        <v>988</v>
      </c>
      <c r="B742" t="s">
        <v>2966</v>
      </c>
      <c r="C742" t="s">
        <v>1953</v>
      </c>
      <c r="D742" t="s">
        <v>1954</v>
      </c>
      <c r="E742" t="s">
        <v>1003</v>
      </c>
      <c r="F742" s="2">
        <v>102.82</v>
      </c>
    </row>
    <row r="743" spans="1:6" x14ac:dyDescent="0.25">
      <c r="A743" t="s">
        <v>989</v>
      </c>
      <c r="B743" t="s">
        <v>2967</v>
      </c>
      <c r="C743" t="s">
        <v>1953</v>
      </c>
      <c r="D743" t="s">
        <v>1954</v>
      </c>
      <c r="E743" t="s">
        <v>1003</v>
      </c>
      <c r="F743" s="2">
        <v>102.82</v>
      </c>
    </row>
    <row r="744" spans="1:6" x14ac:dyDescent="0.25">
      <c r="A744" t="s">
        <v>990</v>
      </c>
      <c r="B744" t="s">
        <v>2968</v>
      </c>
      <c r="C744" t="s">
        <v>1953</v>
      </c>
      <c r="D744" t="s">
        <v>1954</v>
      </c>
      <c r="E744" t="s">
        <v>1003</v>
      </c>
      <c r="F744" s="2">
        <v>102.82</v>
      </c>
    </row>
    <row r="745" spans="1:6" x14ac:dyDescent="0.25">
      <c r="A745" t="s">
        <v>991</v>
      </c>
      <c r="B745" t="s">
        <v>2969</v>
      </c>
      <c r="C745" t="s">
        <v>1953</v>
      </c>
      <c r="D745" t="s">
        <v>1954</v>
      </c>
      <c r="E745" t="s">
        <v>1003</v>
      </c>
      <c r="F745" s="2">
        <v>102.82</v>
      </c>
    </row>
    <row r="746" spans="1:6" x14ac:dyDescent="0.25">
      <c r="A746" t="s">
        <v>992</v>
      </c>
      <c r="B746" t="s">
        <v>2970</v>
      </c>
      <c r="C746" t="s">
        <v>1953</v>
      </c>
      <c r="D746" t="s">
        <v>1954</v>
      </c>
      <c r="E746" t="s">
        <v>1003</v>
      </c>
      <c r="F746" s="2">
        <v>102.82</v>
      </c>
    </row>
    <row r="747" spans="1:6" x14ac:dyDescent="0.25">
      <c r="A747" t="s">
        <v>993</v>
      </c>
      <c r="B747" t="s">
        <v>2971</v>
      </c>
      <c r="C747" t="s">
        <v>1953</v>
      </c>
      <c r="D747" t="s">
        <v>1954</v>
      </c>
      <c r="E747" t="s">
        <v>1003</v>
      </c>
      <c r="F747" s="2">
        <v>102.82</v>
      </c>
    </row>
    <row r="748" spans="1:6" x14ac:dyDescent="0.25">
      <c r="A748" t="s">
        <v>994</v>
      </c>
      <c r="B748" t="s">
        <v>2972</v>
      </c>
      <c r="C748" t="s">
        <v>1953</v>
      </c>
      <c r="D748" t="s">
        <v>1954</v>
      </c>
      <c r="E748" t="s">
        <v>1003</v>
      </c>
      <c r="F748" s="2">
        <v>66.78</v>
      </c>
    </row>
    <row r="749" spans="1:6" x14ac:dyDescent="0.25">
      <c r="A749" t="s">
        <v>996</v>
      </c>
      <c r="B749" t="s">
        <v>2973</v>
      </c>
      <c r="C749" t="s">
        <v>1953</v>
      </c>
      <c r="D749" t="s">
        <v>1954</v>
      </c>
      <c r="E749" t="s">
        <v>2974</v>
      </c>
      <c r="F749" s="2">
        <v>102.82</v>
      </c>
    </row>
    <row r="750" spans="1:6" x14ac:dyDescent="0.25">
      <c r="A750" t="s">
        <v>997</v>
      </c>
      <c r="B750" t="s">
        <v>2975</v>
      </c>
      <c r="C750" t="s">
        <v>1953</v>
      </c>
      <c r="D750" t="s">
        <v>1954</v>
      </c>
      <c r="E750" t="s">
        <v>2974</v>
      </c>
      <c r="F750" s="2">
        <v>102.82</v>
      </c>
    </row>
    <row r="751" spans="1:6" x14ac:dyDescent="0.25">
      <c r="A751" t="s">
        <v>998</v>
      </c>
      <c r="B751" t="s">
        <v>2976</v>
      </c>
      <c r="C751" t="s">
        <v>1953</v>
      </c>
      <c r="D751" t="s">
        <v>1954</v>
      </c>
      <c r="E751" t="s">
        <v>2974</v>
      </c>
      <c r="F751" s="2">
        <v>102.82</v>
      </c>
    </row>
    <row r="752" spans="1:6" x14ac:dyDescent="0.25">
      <c r="A752" t="s">
        <v>999</v>
      </c>
      <c r="B752" t="s">
        <v>2977</v>
      </c>
      <c r="C752" t="s">
        <v>1953</v>
      </c>
      <c r="D752" t="s">
        <v>1954</v>
      </c>
      <c r="E752" t="s">
        <v>2974</v>
      </c>
      <c r="F752" s="2">
        <v>102.82</v>
      </c>
    </row>
    <row r="753" spans="1:6" x14ac:dyDescent="0.25">
      <c r="A753" t="s">
        <v>1000</v>
      </c>
      <c r="B753" t="s">
        <v>2978</v>
      </c>
      <c r="C753" t="s">
        <v>1953</v>
      </c>
      <c r="D753" t="s">
        <v>1954</v>
      </c>
      <c r="E753" t="s">
        <v>2974</v>
      </c>
      <c r="F753" s="2">
        <v>102.82</v>
      </c>
    </row>
    <row r="754" spans="1:6" x14ac:dyDescent="0.25">
      <c r="A754" t="s">
        <v>1001</v>
      </c>
      <c r="B754" t="s">
        <v>2979</v>
      </c>
      <c r="C754" t="s">
        <v>1953</v>
      </c>
      <c r="D754" t="s">
        <v>1954</v>
      </c>
      <c r="E754" t="s">
        <v>2974</v>
      </c>
      <c r="F754" s="2">
        <v>102.82</v>
      </c>
    </row>
    <row r="755" spans="1:6" x14ac:dyDescent="0.25">
      <c r="A755" t="s">
        <v>1002</v>
      </c>
      <c r="B755" t="s">
        <v>2980</v>
      </c>
      <c r="C755" t="s">
        <v>1953</v>
      </c>
      <c r="D755" t="s">
        <v>1954</v>
      </c>
      <c r="E755" t="s">
        <v>1003</v>
      </c>
      <c r="F755" s="2">
        <v>66.78</v>
      </c>
    </row>
    <row r="756" spans="1:6" x14ac:dyDescent="0.25">
      <c r="A756" t="s">
        <v>1003</v>
      </c>
      <c r="B756" t="s">
        <v>2981</v>
      </c>
      <c r="C756" t="s">
        <v>1953</v>
      </c>
      <c r="D756" t="s">
        <v>1954</v>
      </c>
      <c r="E756" t="s">
        <v>1003</v>
      </c>
      <c r="F756" s="2">
        <v>66.78</v>
      </c>
    </row>
    <row r="757" spans="1:6" x14ac:dyDescent="0.25">
      <c r="A757" t="s">
        <v>1004</v>
      </c>
      <c r="B757" t="s">
        <v>2982</v>
      </c>
      <c r="C757" t="s">
        <v>1953</v>
      </c>
      <c r="D757" t="s">
        <v>1954</v>
      </c>
      <c r="E757" t="s">
        <v>1003</v>
      </c>
      <c r="F757" s="2">
        <v>66.78</v>
      </c>
    </row>
    <row r="758" spans="1:6" x14ac:dyDescent="0.25">
      <c r="A758" t="s">
        <v>1005</v>
      </c>
      <c r="B758" t="s">
        <v>2983</v>
      </c>
      <c r="C758" t="s">
        <v>1953</v>
      </c>
      <c r="D758" t="s">
        <v>1954</v>
      </c>
      <c r="E758" t="s">
        <v>1003</v>
      </c>
      <c r="F758" s="2">
        <v>66.78</v>
      </c>
    </row>
    <row r="759" spans="1:6" x14ac:dyDescent="0.25">
      <c r="A759" t="s">
        <v>1006</v>
      </c>
      <c r="B759" t="s">
        <v>2984</v>
      </c>
      <c r="C759" t="s">
        <v>1953</v>
      </c>
      <c r="D759" t="s">
        <v>1954</v>
      </c>
      <c r="E759" t="s">
        <v>1003</v>
      </c>
      <c r="F759" s="2">
        <v>66.78</v>
      </c>
    </row>
    <row r="760" spans="1:6" x14ac:dyDescent="0.25">
      <c r="A760" t="s">
        <v>1007</v>
      </c>
      <c r="B760" t="s">
        <v>2985</v>
      </c>
      <c r="C760" t="s">
        <v>1953</v>
      </c>
      <c r="D760" t="s">
        <v>1954</v>
      </c>
      <c r="E760" t="s">
        <v>2974</v>
      </c>
      <c r="F760" s="2">
        <v>102.82</v>
      </c>
    </row>
    <row r="761" spans="1:6" x14ac:dyDescent="0.25">
      <c r="A761" t="s">
        <v>1009</v>
      </c>
      <c r="B761" t="s">
        <v>2986</v>
      </c>
      <c r="C761" t="s">
        <v>1953</v>
      </c>
      <c r="D761" t="s">
        <v>1954</v>
      </c>
      <c r="E761" t="s">
        <v>983</v>
      </c>
      <c r="F761" s="2">
        <v>353.54</v>
      </c>
    </row>
    <row r="762" spans="1:6" x14ac:dyDescent="0.25">
      <c r="A762" t="s">
        <v>1010</v>
      </c>
      <c r="B762" t="s">
        <v>2987</v>
      </c>
      <c r="C762" t="s">
        <v>1953</v>
      </c>
      <c r="D762" t="s">
        <v>1954</v>
      </c>
      <c r="E762" t="s">
        <v>1013</v>
      </c>
      <c r="F762" s="2">
        <v>68.900000000000006</v>
      </c>
    </row>
    <row r="763" spans="1:6" x14ac:dyDescent="0.25">
      <c r="A763" t="s">
        <v>1011</v>
      </c>
      <c r="B763" t="s">
        <v>2988</v>
      </c>
      <c r="C763" t="s">
        <v>1953</v>
      </c>
      <c r="D763" t="s">
        <v>1954</v>
      </c>
      <c r="E763" t="s">
        <v>1013</v>
      </c>
      <c r="F763" s="2">
        <v>68.900000000000006</v>
      </c>
    </row>
    <row r="764" spans="1:6" x14ac:dyDescent="0.25">
      <c r="A764" t="s">
        <v>1012</v>
      </c>
      <c r="B764" t="s">
        <v>2989</v>
      </c>
      <c r="C764" t="s">
        <v>1953</v>
      </c>
      <c r="D764" t="s">
        <v>1954</v>
      </c>
      <c r="E764" t="s">
        <v>1013</v>
      </c>
      <c r="F764" s="2">
        <v>68.900000000000006</v>
      </c>
    </row>
    <row r="765" spans="1:6" x14ac:dyDescent="0.25">
      <c r="A765" t="s">
        <v>1013</v>
      </c>
      <c r="B765" t="s">
        <v>2990</v>
      </c>
      <c r="C765" t="s">
        <v>1953</v>
      </c>
      <c r="D765" t="s">
        <v>1954</v>
      </c>
      <c r="E765" t="s">
        <v>1013</v>
      </c>
      <c r="F765" s="2">
        <v>68.900000000000006</v>
      </c>
    </row>
    <row r="766" spans="1:6" x14ac:dyDescent="0.25">
      <c r="A766" t="s">
        <v>1014</v>
      </c>
      <c r="B766" t="s">
        <v>2991</v>
      </c>
      <c r="C766" t="s">
        <v>1953</v>
      </c>
      <c r="D766" t="s">
        <v>1954</v>
      </c>
      <c r="E766" t="s">
        <v>1013</v>
      </c>
      <c r="F766" s="2">
        <v>68.900000000000006</v>
      </c>
    </row>
    <row r="767" spans="1:6" x14ac:dyDescent="0.25">
      <c r="A767" t="s">
        <v>1015</v>
      </c>
      <c r="B767" t="s">
        <v>2992</v>
      </c>
      <c r="C767" t="s">
        <v>1953</v>
      </c>
      <c r="D767" t="s">
        <v>1954</v>
      </c>
      <c r="E767" t="s">
        <v>1013</v>
      </c>
      <c r="F767" s="2">
        <v>104.94</v>
      </c>
    </row>
    <row r="768" spans="1:6" x14ac:dyDescent="0.25">
      <c r="A768" t="s">
        <v>1017</v>
      </c>
      <c r="B768" t="s">
        <v>2993</v>
      </c>
      <c r="C768" t="s">
        <v>1953</v>
      </c>
      <c r="D768" t="s">
        <v>1954</v>
      </c>
      <c r="E768" t="s">
        <v>1013</v>
      </c>
      <c r="F768" s="2">
        <v>104.94</v>
      </c>
    </row>
    <row r="769" spans="1:6" x14ac:dyDescent="0.25">
      <c r="A769" t="s">
        <v>1018</v>
      </c>
      <c r="B769" t="s">
        <v>2994</v>
      </c>
      <c r="C769" t="s">
        <v>1953</v>
      </c>
      <c r="D769" t="s">
        <v>1954</v>
      </c>
      <c r="E769" t="s">
        <v>1013</v>
      </c>
      <c r="F769" s="2">
        <v>104.94</v>
      </c>
    </row>
    <row r="770" spans="1:6" x14ac:dyDescent="0.25">
      <c r="A770" t="s">
        <v>1019</v>
      </c>
      <c r="B770" t="s">
        <v>2995</v>
      </c>
      <c r="C770" t="s">
        <v>1953</v>
      </c>
      <c r="D770" t="s">
        <v>1954</v>
      </c>
      <c r="E770" t="s">
        <v>1013</v>
      </c>
      <c r="F770" s="2">
        <v>104.94</v>
      </c>
    </row>
    <row r="771" spans="1:6" x14ac:dyDescent="0.25">
      <c r="A771" t="s">
        <v>1020</v>
      </c>
      <c r="B771" t="s">
        <v>2996</v>
      </c>
      <c r="C771" t="s">
        <v>1953</v>
      </c>
      <c r="D771" t="s">
        <v>1954</v>
      </c>
      <c r="E771" t="s">
        <v>1013</v>
      </c>
      <c r="F771" s="2">
        <v>104.94</v>
      </c>
    </row>
    <row r="772" spans="1:6" x14ac:dyDescent="0.25">
      <c r="A772" t="s">
        <v>1021</v>
      </c>
      <c r="B772" t="s">
        <v>2997</v>
      </c>
      <c r="C772" t="s">
        <v>1953</v>
      </c>
      <c r="D772" t="s">
        <v>1954</v>
      </c>
      <c r="E772" t="s">
        <v>1013</v>
      </c>
      <c r="F772" s="2">
        <v>104.94</v>
      </c>
    </row>
    <row r="773" spans="1:6" x14ac:dyDescent="0.25">
      <c r="A773" t="s">
        <v>1022</v>
      </c>
      <c r="B773" t="s">
        <v>2998</v>
      </c>
      <c r="C773" t="s">
        <v>1953</v>
      </c>
      <c r="D773" t="s">
        <v>1954</v>
      </c>
      <c r="E773" t="s">
        <v>1013</v>
      </c>
      <c r="F773" s="2">
        <v>68.900000000000006</v>
      </c>
    </row>
    <row r="774" spans="1:6" x14ac:dyDescent="0.25">
      <c r="A774" t="s">
        <v>1023</v>
      </c>
      <c r="B774" t="s">
        <v>2999</v>
      </c>
      <c r="C774" t="s">
        <v>1953</v>
      </c>
      <c r="D774" t="s">
        <v>1954</v>
      </c>
      <c r="E774" t="s">
        <v>1013</v>
      </c>
      <c r="F774" s="2">
        <v>104.94</v>
      </c>
    </row>
    <row r="775" spans="1:6" x14ac:dyDescent="0.25">
      <c r="A775" t="s">
        <v>3000</v>
      </c>
      <c r="B775" t="s">
        <v>3001</v>
      </c>
      <c r="C775" t="s">
        <v>1953</v>
      </c>
      <c r="D775" t="s">
        <v>1954</v>
      </c>
      <c r="F775" s="2">
        <v>147.41999999999999</v>
      </c>
    </row>
    <row r="776" spans="1:6" x14ac:dyDescent="0.25">
      <c r="A776" t="s">
        <v>3002</v>
      </c>
      <c r="B776" t="s">
        <v>3003</v>
      </c>
      <c r="C776" t="s">
        <v>1953</v>
      </c>
      <c r="D776" t="s">
        <v>1954</v>
      </c>
      <c r="F776" s="2">
        <v>107.04</v>
      </c>
    </row>
    <row r="777" spans="1:6" x14ac:dyDescent="0.25">
      <c r="A777" t="s">
        <v>3004</v>
      </c>
      <c r="B777" t="s">
        <v>3005</v>
      </c>
      <c r="C777" t="s">
        <v>1953</v>
      </c>
      <c r="D777" t="s">
        <v>1954</v>
      </c>
      <c r="F777" s="2">
        <v>161.81</v>
      </c>
    </row>
    <row r="778" spans="1:6" x14ac:dyDescent="0.25">
      <c r="A778" t="s">
        <v>3006</v>
      </c>
      <c r="B778" t="s">
        <v>3007</v>
      </c>
      <c r="C778" t="s">
        <v>1953</v>
      </c>
      <c r="D778" t="s">
        <v>1954</v>
      </c>
      <c r="F778" s="2">
        <v>108.29</v>
      </c>
    </row>
    <row r="779" spans="1:6" x14ac:dyDescent="0.25">
      <c r="A779" t="s">
        <v>3008</v>
      </c>
      <c r="B779" t="s">
        <v>3009</v>
      </c>
      <c r="C779" t="s">
        <v>1953</v>
      </c>
      <c r="D779" t="s">
        <v>1954</v>
      </c>
      <c r="F779" s="2">
        <v>104.55</v>
      </c>
    </row>
    <row r="780" spans="1:6" x14ac:dyDescent="0.25">
      <c r="A780" t="s">
        <v>3010</v>
      </c>
      <c r="B780" t="s">
        <v>3011</v>
      </c>
      <c r="C780" t="s">
        <v>1953</v>
      </c>
      <c r="D780" t="s">
        <v>1954</v>
      </c>
      <c r="F780" s="2">
        <v>209.05</v>
      </c>
    </row>
    <row r="781" spans="1:6" x14ac:dyDescent="0.25">
      <c r="A781" t="s">
        <v>3012</v>
      </c>
      <c r="B781" t="s">
        <v>3013</v>
      </c>
      <c r="C781" t="s">
        <v>1953</v>
      </c>
      <c r="D781" t="s">
        <v>1954</v>
      </c>
      <c r="F781" s="2">
        <v>288.82</v>
      </c>
    </row>
    <row r="782" spans="1:6" x14ac:dyDescent="0.25">
      <c r="A782" t="s">
        <v>3014</v>
      </c>
      <c r="B782" t="s">
        <v>3015</v>
      </c>
      <c r="C782" t="s">
        <v>1953</v>
      </c>
      <c r="D782" t="s">
        <v>1954</v>
      </c>
      <c r="F782" s="2">
        <v>288.82</v>
      </c>
    </row>
    <row r="783" spans="1:6" x14ac:dyDescent="0.25">
      <c r="A783" t="s">
        <v>3016</v>
      </c>
      <c r="B783" t="s">
        <v>3017</v>
      </c>
      <c r="C783" t="s">
        <v>1953</v>
      </c>
      <c r="D783" t="s">
        <v>1954</v>
      </c>
      <c r="F783" s="2">
        <v>200.5</v>
      </c>
    </row>
    <row r="784" spans="1:6" x14ac:dyDescent="0.25">
      <c r="A784" t="s">
        <v>3018</v>
      </c>
      <c r="B784" t="s">
        <v>3019</v>
      </c>
      <c r="C784" t="s">
        <v>1953</v>
      </c>
      <c r="D784" t="s">
        <v>1954</v>
      </c>
      <c r="F784" s="2">
        <v>124.15</v>
      </c>
    </row>
    <row r="785" spans="1:6" x14ac:dyDescent="0.25">
      <c r="A785" t="s">
        <v>3020</v>
      </c>
      <c r="B785" t="s">
        <v>3021</v>
      </c>
      <c r="C785" t="s">
        <v>1953</v>
      </c>
      <c r="D785" t="s">
        <v>1954</v>
      </c>
      <c r="F785" s="2">
        <v>124.15</v>
      </c>
    </row>
    <row r="786" spans="1:6" x14ac:dyDescent="0.25">
      <c r="A786" t="s">
        <v>3022</v>
      </c>
      <c r="B786" t="s">
        <v>3023</v>
      </c>
      <c r="C786" t="s">
        <v>1953</v>
      </c>
      <c r="D786" t="s">
        <v>1954</v>
      </c>
      <c r="F786" s="2">
        <v>124.15</v>
      </c>
    </row>
    <row r="787" spans="1:6" x14ac:dyDescent="0.25">
      <c r="A787" t="s">
        <v>3024</v>
      </c>
      <c r="B787" t="s">
        <v>3025</v>
      </c>
      <c r="C787" t="s">
        <v>1953</v>
      </c>
      <c r="D787" t="s">
        <v>1954</v>
      </c>
      <c r="F787" s="2">
        <v>3.5</v>
      </c>
    </row>
    <row r="788" spans="1:6" x14ac:dyDescent="0.25">
      <c r="A788" t="s">
        <v>3026</v>
      </c>
      <c r="B788" t="s">
        <v>3027</v>
      </c>
      <c r="C788" t="s">
        <v>1953</v>
      </c>
      <c r="D788" t="s">
        <v>1954</v>
      </c>
      <c r="F788" s="2">
        <v>4712.76</v>
      </c>
    </row>
    <row r="789" spans="1:6" x14ac:dyDescent="0.25">
      <c r="A789" t="s">
        <v>1024</v>
      </c>
      <c r="B789" t="s">
        <v>3028</v>
      </c>
      <c r="C789" t="s">
        <v>1953</v>
      </c>
      <c r="D789" t="s">
        <v>1954</v>
      </c>
      <c r="F789" s="2">
        <v>1450.21</v>
      </c>
    </row>
    <row r="790" spans="1:6" x14ac:dyDescent="0.25">
      <c r="A790" t="s">
        <v>1026</v>
      </c>
      <c r="B790" t="s">
        <v>3029</v>
      </c>
      <c r="C790" t="s">
        <v>1953</v>
      </c>
      <c r="D790" t="s">
        <v>1954</v>
      </c>
      <c r="F790" s="2">
        <v>217.74</v>
      </c>
    </row>
    <row r="791" spans="1:6" x14ac:dyDescent="0.25">
      <c r="A791" t="s">
        <v>1028</v>
      </c>
      <c r="B791" t="s">
        <v>3030</v>
      </c>
      <c r="C791" t="s">
        <v>1953</v>
      </c>
      <c r="D791" t="s">
        <v>1954</v>
      </c>
      <c r="E791" t="s">
        <v>1013</v>
      </c>
      <c r="F791" s="2">
        <v>68.900000000000006</v>
      </c>
    </row>
    <row r="792" spans="1:6" x14ac:dyDescent="0.25">
      <c r="A792" t="s">
        <v>1029</v>
      </c>
      <c r="B792" t="s">
        <v>3031</v>
      </c>
      <c r="C792" t="s">
        <v>1953</v>
      </c>
      <c r="D792" t="s">
        <v>1954</v>
      </c>
      <c r="F792" s="2">
        <v>20912.419999999998</v>
      </c>
    </row>
    <row r="793" spans="1:6" x14ac:dyDescent="0.25">
      <c r="A793" t="s">
        <v>1032</v>
      </c>
      <c r="B793" t="s">
        <v>3032</v>
      </c>
      <c r="C793" t="s">
        <v>1953</v>
      </c>
      <c r="D793" t="s">
        <v>1954</v>
      </c>
      <c r="F793" s="2">
        <v>13261.62</v>
      </c>
    </row>
    <row r="794" spans="1:6" x14ac:dyDescent="0.25">
      <c r="A794" t="s">
        <v>1033</v>
      </c>
      <c r="B794" t="s">
        <v>3033</v>
      </c>
      <c r="C794" t="s">
        <v>1953</v>
      </c>
      <c r="D794" t="s">
        <v>1954</v>
      </c>
      <c r="F794" s="2">
        <v>22086.35</v>
      </c>
    </row>
    <row r="795" spans="1:6" x14ac:dyDescent="0.25">
      <c r="A795" t="s">
        <v>1034</v>
      </c>
      <c r="B795" t="s">
        <v>3034</v>
      </c>
      <c r="C795" t="s">
        <v>1953</v>
      </c>
      <c r="D795" t="s">
        <v>1954</v>
      </c>
      <c r="F795" s="2">
        <v>1555.2</v>
      </c>
    </row>
    <row r="796" spans="1:6" x14ac:dyDescent="0.25">
      <c r="A796" t="s">
        <v>1036</v>
      </c>
      <c r="B796" t="s">
        <v>3035</v>
      </c>
      <c r="C796" t="s">
        <v>1953</v>
      </c>
      <c r="D796" t="s">
        <v>1954</v>
      </c>
      <c r="F796" s="2">
        <v>100499.43</v>
      </c>
    </row>
    <row r="797" spans="1:6" x14ac:dyDescent="0.25">
      <c r="A797" t="s">
        <v>1037</v>
      </c>
      <c r="B797" t="s">
        <v>3036</v>
      </c>
      <c r="C797" t="s">
        <v>1953</v>
      </c>
      <c r="D797" t="s">
        <v>1954</v>
      </c>
      <c r="F797" s="2">
        <v>95271.89</v>
      </c>
    </row>
    <row r="798" spans="1:6" x14ac:dyDescent="0.25">
      <c r="A798" t="s">
        <v>3037</v>
      </c>
      <c r="B798" t="s">
        <v>3038</v>
      </c>
      <c r="C798" t="s">
        <v>1953</v>
      </c>
      <c r="D798" t="s">
        <v>1940</v>
      </c>
      <c r="F798" s="2">
        <v>29.87</v>
      </c>
    </row>
    <row r="799" spans="1:6" x14ac:dyDescent="0.25">
      <c r="A799" t="s">
        <v>3039</v>
      </c>
      <c r="B799" t="s">
        <v>3040</v>
      </c>
      <c r="C799" t="s">
        <v>1953</v>
      </c>
      <c r="D799" t="s">
        <v>1940</v>
      </c>
      <c r="F799" s="2">
        <v>94.59</v>
      </c>
    </row>
    <row r="800" spans="1:6" x14ac:dyDescent="0.25">
      <c r="A800" t="s">
        <v>3041</v>
      </c>
      <c r="B800" t="s">
        <v>3042</v>
      </c>
      <c r="C800" t="s">
        <v>1953</v>
      </c>
      <c r="D800" t="s">
        <v>1940</v>
      </c>
      <c r="F800" s="2">
        <v>145.56</v>
      </c>
    </row>
    <row r="801" spans="1:6" x14ac:dyDescent="0.25">
      <c r="A801" t="s">
        <v>3043</v>
      </c>
      <c r="B801" t="s">
        <v>3044</v>
      </c>
      <c r="C801" t="s">
        <v>1953</v>
      </c>
      <c r="D801" t="s">
        <v>1940</v>
      </c>
      <c r="F801" s="2">
        <v>31.82</v>
      </c>
    </row>
    <row r="802" spans="1:6" x14ac:dyDescent="0.25">
      <c r="A802" t="s">
        <v>3045</v>
      </c>
      <c r="B802" t="s">
        <v>3046</v>
      </c>
      <c r="C802" t="s">
        <v>1953</v>
      </c>
      <c r="D802" t="s">
        <v>1940</v>
      </c>
      <c r="F802" s="2">
        <v>27.62</v>
      </c>
    </row>
    <row r="803" spans="1:6" x14ac:dyDescent="0.25">
      <c r="A803" t="s">
        <v>3047</v>
      </c>
      <c r="B803" t="s">
        <v>3048</v>
      </c>
      <c r="C803" t="s">
        <v>1953</v>
      </c>
      <c r="D803" t="s">
        <v>1940</v>
      </c>
      <c r="F803" s="2">
        <v>16.05</v>
      </c>
    </row>
    <row r="804" spans="1:6" x14ac:dyDescent="0.25">
      <c r="A804" t="s">
        <v>3049</v>
      </c>
      <c r="B804" t="s">
        <v>3050</v>
      </c>
      <c r="C804" t="s">
        <v>1953</v>
      </c>
      <c r="D804" t="s">
        <v>1940</v>
      </c>
      <c r="F804" s="2">
        <v>31.03</v>
      </c>
    </row>
    <row r="805" spans="1:6" x14ac:dyDescent="0.25">
      <c r="A805" t="s">
        <v>3051</v>
      </c>
      <c r="B805" t="s">
        <v>3052</v>
      </c>
      <c r="C805" t="s">
        <v>1953</v>
      </c>
      <c r="D805" t="s">
        <v>1954</v>
      </c>
      <c r="F805" s="2">
        <v>65.72</v>
      </c>
    </row>
    <row r="806" spans="1:6" x14ac:dyDescent="0.25">
      <c r="A806" t="s">
        <v>3053</v>
      </c>
      <c r="B806" t="s">
        <v>3054</v>
      </c>
      <c r="C806" t="s">
        <v>1953</v>
      </c>
      <c r="D806" t="s">
        <v>1954</v>
      </c>
      <c r="F806" s="2">
        <v>1054.7</v>
      </c>
    </row>
    <row r="807" spans="1:6" x14ac:dyDescent="0.25">
      <c r="A807" t="s">
        <v>3055</v>
      </c>
      <c r="B807" t="s">
        <v>3056</v>
      </c>
      <c r="C807" t="s">
        <v>1953</v>
      </c>
      <c r="D807" t="s">
        <v>1940</v>
      </c>
      <c r="F807" s="2">
        <v>45.93</v>
      </c>
    </row>
    <row r="808" spans="1:6" x14ac:dyDescent="0.25">
      <c r="A808" t="s">
        <v>3057</v>
      </c>
      <c r="B808" t="s">
        <v>3058</v>
      </c>
      <c r="C808" t="s">
        <v>1953</v>
      </c>
      <c r="D808" t="s">
        <v>1940</v>
      </c>
      <c r="F808" s="2">
        <v>29.09</v>
      </c>
    </row>
    <row r="809" spans="1:6" x14ac:dyDescent="0.25">
      <c r="A809" t="s">
        <v>3059</v>
      </c>
      <c r="B809" t="s">
        <v>3060</v>
      </c>
      <c r="C809" t="s">
        <v>1953</v>
      </c>
      <c r="D809" t="s">
        <v>1940</v>
      </c>
      <c r="F809" s="2">
        <v>690.77</v>
      </c>
    </row>
    <row r="810" spans="1:6" x14ac:dyDescent="0.25">
      <c r="A810" t="s">
        <v>3061</v>
      </c>
      <c r="B810" t="s">
        <v>3062</v>
      </c>
      <c r="C810" t="s">
        <v>1953</v>
      </c>
      <c r="D810" t="s">
        <v>1940</v>
      </c>
      <c r="F810" s="2">
        <v>51.56</v>
      </c>
    </row>
    <row r="811" spans="1:6" x14ac:dyDescent="0.25">
      <c r="A811" t="s">
        <v>3063</v>
      </c>
      <c r="B811" t="s">
        <v>3064</v>
      </c>
      <c r="C811" t="s">
        <v>1953</v>
      </c>
      <c r="D811" t="s">
        <v>1954</v>
      </c>
      <c r="F811" s="2">
        <v>19.04</v>
      </c>
    </row>
    <row r="812" spans="1:6" x14ac:dyDescent="0.25">
      <c r="A812" t="s">
        <v>3065</v>
      </c>
      <c r="B812" t="s">
        <v>3066</v>
      </c>
      <c r="C812" t="s">
        <v>1953</v>
      </c>
      <c r="D812" t="s">
        <v>1940</v>
      </c>
      <c r="F812" s="2">
        <v>79.66</v>
      </c>
    </row>
    <row r="813" spans="1:6" x14ac:dyDescent="0.25">
      <c r="A813" t="s">
        <v>3067</v>
      </c>
      <c r="B813" t="s">
        <v>3068</v>
      </c>
      <c r="C813" t="s">
        <v>1953</v>
      </c>
      <c r="D813" t="s">
        <v>1940</v>
      </c>
      <c r="F813" s="2">
        <v>66.13</v>
      </c>
    </row>
    <row r="814" spans="1:6" x14ac:dyDescent="0.25">
      <c r="A814" t="s">
        <v>3069</v>
      </c>
      <c r="B814" t="s">
        <v>3070</v>
      </c>
      <c r="C814" t="s">
        <v>1953</v>
      </c>
      <c r="D814" t="s">
        <v>1954</v>
      </c>
      <c r="F814" s="2">
        <v>10.52</v>
      </c>
    </row>
    <row r="815" spans="1:6" x14ac:dyDescent="0.25">
      <c r="A815" t="s">
        <v>3071</v>
      </c>
      <c r="B815" t="s">
        <v>3072</v>
      </c>
      <c r="C815" t="s">
        <v>1953</v>
      </c>
      <c r="D815" t="s">
        <v>1954</v>
      </c>
      <c r="F815" s="2">
        <v>8.51</v>
      </c>
    </row>
    <row r="816" spans="1:6" x14ac:dyDescent="0.25">
      <c r="A816" t="s">
        <v>3073</v>
      </c>
      <c r="B816" t="s">
        <v>3074</v>
      </c>
      <c r="C816" t="s">
        <v>1953</v>
      </c>
      <c r="D816" t="s">
        <v>1940</v>
      </c>
      <c r="F816" s="2">
        <v>2527.35</v>
      </c>
    </row>
    <row r="817" spans="1:6" x14ac:dyDescent="0.25">
      <c r="A817" t="s">
        <v>3075</v>
      </c>
      <c r="B817" t="s">
        <v>3076</v>
      </c>
      <c r="C817" t="s">
        <v>1953</v>
      </c>
      <c r="D817" t="s">
        <v>1940</v>
      </c>
      <c r="F817" s="2">
        <v>2739.36</v>
      </c>
    </row>
    <row r="818" spans="1:6" x14ac:dyDescent="0.25">
      <c r="A818" t="s">
        <v>527</v>
      </c>
      <c r="B818" t="s">
        <v>3077</v>
      </c>
      <c r="C818" t="s">
        <v>1953</v>
      </c>
      <c r="D818" t="s">
        <v>1954</v>
      </c>
      <c r="E818" t="s">
        <v>493</v>
      </c>
      <c r="F818" s="2">
        <v>5.39</v>
      </c>
    </row>
    <row r="819" spans="1:6" x14ac:dyDescent="0.25">
      <c r="A819" t="s">
        <v>528</v>
      </c>
      <c r="B819" t="s">
        <v>3078</v>
      </c>
      <c r="C819" t="s">
        <v>1953</v>
      </c>
      <c r="D819" t="s">
        <v>1954</v>
      </c>
      <c r="E819" t="s">
        <v>493</v>
      </c>
      <c r="F819" s="2">
        <v>5.39</v>
      </c>
    </row>
    <row r="820" spans="1:6" x14ac:dyDescent="0.25">
      <c r="A820" t="s">
        <v>530</v>
      </c>
      <c r="B820" t="s">
        <v>3079</v>
      </c>
      <c r="C820" t="s">
        <v>1953</v>
      </c>
      <c r="D820" t="s">
        <v>1954</v>
      </c>
      <c r="E820" t="s">
        <v>493</v>
      </c>
      <c r="F820" s="2">
        <v>5.39</v>
      </c>
    </row>
    <row r="821" spans="1:6" x14ac:dyDescent="0.25">
      <c r="A821" t="s">
        <v>3080</v>
      </c>
      <c r="B821" t="s">
        <v>3081</v>
      </c>
      <c r="C821" t="s">
        <v>1953</v>
      </c>
      <c r="D821" t="s">
        <v>1940</v>
      </c>
      <c r="F821" s="2">
        <v>723.68</v>
      </c>
    </row>
    <row r="822" spans="1:6" x14ac:dyDescent="0.25">
      <c r="A822" t="s">
        <v>1038</v>
      </c>
      <c r="B822" t="s">
        <v>3082</v>
      </c>
      <c r="C822" t="s">
        <v>1953</v>
      </c>
      <c r="D822" t="s">
        <v>1954</v>
      </c>
      <c r="F822" s="2">
        <v>2207.13</v>
      </c>
    </row>
    <row r="823" spans="1:6" x14ac:dyDescent="0.25">
      <c r="A823" t="s">
        <v>3083</v>
      </c>
      <c r="B823" t="s">
        <v>3084</v>
      </c>
      <c r="C823" t="s">
        <v>1953</v>
      </c>
      <c r="D823" t="s">
        <v>1940</v>
      </c>
      <c r="F823" s="2">
        <v>574.59</v>
      </c>
    </row>
    <row r="824" spans="1:6" x14ac:dyDescent="0.25">
      <c r="A824" t="s">
        <v>3085</v>
      </c>
      <c r="B824" t="s">
        <v>3086</v>
      </c>
      <c r="C824" t="s">
        <v>1953</v>
      </c>
      <c r="D824" t="s">
        <v>1954</v>
      </c>
      <c r="F824" s="2">
        <v>394.14</v>
      </c>
    </row>
    <row r="825" spans="1:6" x14ac:dyDescent="0.25">
      <c r="A825" t="s">
        <v>3087</v>
      </c>
      <c r="B825" t="s">
        <v>3088</v>
      </c>
      <c r="C825" t="s">
        <v>1953</v>
      </c>
      <c r="D825" t="s">
        <v>1940</v>
      </c>
      <c r="E825" t="s">
        <v>194</v>
      </c>
      <c r="F825" s="2">
        <v>169.2</v>
      </c>
    </row>
    <row r="826" spans="1:6" x14ac:dyDescent="0.25">
      <c r="A826" t="s">
        <v>3089</v>
      </c>
      <c r="B826" t="s">
        <v>3090</v>
      </c>
      <c r="C826" t="s">
        <v>1953</v>
      </c>
      <c r="D826" t="s">
        <v>1940</v>
      </c>
      <c r="E826" t="s">
        <v>194</v>
      </c>
      <c r="F826" s="2">
        <v>169.2</v>
      </c>
    </row>
    <row r="827" spans="1:6" x14ac:dyDescent="0.25">
      <c r="A827" t="s">
        <v>3091</v>
      </c>
      <c r="B827" t="s">
        <v>3092</v>
      </c>
      <c r="C827" t="s">
        <v>1953</v>
      </c>
      <c r="D827" t="s">
        <v>1940</v>
      </c>
      <c r="F827" s="2">
        <v>60.22</v>
      </c>
    </row>
    <row r="828" spans="1:6" x14ac:dyDescent="0.25">
      <c r="A828" t="s">
        <v>3093</v>
      </c>
      <c r="B828" t="s">
        <v>3094</v>
      </c>
      <c r="C828" t="s">
        <v>1953</v>
      </c>
      <c r="D828" t="s">
        <v>1940</v>
      </c>
      <c r="F828" s="2">
        <v>713.56</v>
      </c>
    </row>
    <row r="829" spans="1:6" x14ac:dyDescent="0.25">
      <c r="A829" t="s">
        <v>3095</v>
      </c>
      <c r="B829" t="s">
        <v>3096</v>
      </c>
      <c r="C829" t="s">
        <v>1953</v>
      </c>
      <c r="D829" t="s">
        <v>1940</v>
      </c>
      <c r="E829" t="s">
        <v>169</v>
      </c>
      <c r="F829" s="2">
        <v>254.64</v>
      </c>
    </row>
    <row r="830" spans="1:6" x14ac:dyDescent="0.25">
      <c r="A830" t="s">
        <v>1039</v>
      </c>
      <c r="B830" t="s">
        <v>3097</v>
      </c>
      <c r="C830" t="s">
        <v>1953</v>
      </c>
      <c r="D830" t="s">
        <v>1954</v>
      </c>
      <c r="F830" s="2">
        <v>23.42</v>
      </c>
    </row>
    <row r="831" spans="1:6" x14ac:dyDescent="0.25">
      <c r="A831" t="s">
        <v>3098</v>
      </c>
      <c r="B831" t="s">
        <v>3099</v>
      </c>
      <c r="C831" t="s">
        <v>1953</v>
      </c>
      <c r="D831" t="s">
        <v>1940</v>
      </c>
      <c r="F831" s="2">
        <v>40.07</v>
      </c>
    </row>
    <row r="832" spans="1:6" x14ac:dyDescent="0.25">
      <c r="A832" t="s">
        <v>3100</v>
      </c>
      <c r="B832" t="s">
        <v>3101</v>
      </c>
      <c r="C832" t="s">
        <v>1953</v>
      </c>
      <c r="D832" t="s">
        <v>1940</v>
      </c>
      <c r="F832" s="2">
        <v>381.39</v>
      </c>
    </row>
    <row r="833" spans="1:6" x14ac:dyDescent="0.25">
      <c r="A833" t="s">
        <v>3102</v>
      </c>
      <c r="B833" t="s">
        <v>3103</v>
      </c>
      <c r="C833" t="s">
        <v>1953</v>
      </c>
      <c r="D833" t="s">
        <v>1940</v>
      </c>
      <c r="F833" s="2">
        <v>149.77000000000001</v>
      </c>
    </row>
    <row r="834" spans="1:6" x14ac:dyDescent="0.25">
      <c r="A834" t="s">
        <v>3104</v>
      </c>
      <c r="B834" t="s">
        <v>3105</v>
      </c>
      <c r="C834" t="s">
        <v>1953</v>
      </c>
      <c r="D834" t="s">
        <v>1954</v>
      </c>
      <c r="E834" t="s">
        <v>131</v>
      </c>
      <c r="F834" s="2">
        <v>84.64</v>
      </c>
    </row>
    <row r="835" spans="1:6" x14ac:dyDescent="0.25">
      <c r="A835" t="s">
        <v>3106</v>
      </c>
      <c r="B835" t="s">
        <v>3107</v>
      </c>
      <c r="C835" t="s">
        <v>1953</v>
      </c>
      <c r="D835" t="s">
        <v>1954</v>
      </c>
      <c r="E835" t="s">
        <v>131</v>
      </c>
      <c r="F835" s="2">
        <v>129</v>
      </c>
    </row>
    <row r="836" spans="1:6" x14ac:dyDescent="0.25">
      <c r="A836" t="s">
        <v>3108</v>
      </c>
      <c r="B836" t="s">
        <v>3109</v>
      </c>
      <c r="C836" t="s">
        <v>1953</v>
      </c>
      <c r="D836" t="s">
        <v>1954</v>
      </c>
      <c r="E836" t="s">
        <v>131</v>
      </c>
      <c r="F836" s="2">
        <v>110.48</v>
      </c>
    </row>
    <row r="837" spans="1:6" x14ac:dyDescent="0.25">
      <c r="A837" t="s">
        <v>3110</v>
      </c>
      <c r="B837" t="s">
        <v>3111</v>
      </c>
      <c r="C837" t="s">
        <v>1953</v>
      </c>
      <c r="D837" t="s">
        <v>1940</v>
      </c>
      <c r="F837" s="2">
        <v>1127.51</v>
      </c>
    </row>
    <row r="838" spans="1:6" x14ac:dyDescent="0.25">
      <c r="A838" t="s">
        <v>3112</v>
      </c>
      <c r="B838" t="s">
        <v>3113</v>
      </c>
      <c r="C838" t="s">
        <v>1953</v>
      </c>
      <c r="D838" t="s">
        <v>1954</v>
      </c>
      <c r="F838" s="2">
        <v>134.66999999999999</v>
      </c>
    </row>
    <row r="839" spans="1:6" x14ac:dyDescent="0.25">
      <c r="A839" t="s">
        <v>3114</v>
      </c>
      <c r="B839" t="s">
        <v>3115</v>
      </c>
      <c r="C839" t="s">
        <v>1953</v>
      </c>
      <c r="D839" t="s">
        <v>1954</v>
      </c>
      <c r="E839" t="s">
        <v>2022</v>
      </c>
      <c r="F839" s="2">
        <v>199.73</v>
      </c>
    </row>
    <row r="840" spans="1:6" x14ac:dyDescent="0.25">
      <c r="A840" t="s">
        <v>3116</v>
      </c>
      <c r="B840" t="s">
        <v>3117</v>
      </c>
      <c r="C840" t="s">
        <v>1953</v>
      </c>
      <c r="D840" t="s">
        <v>1940</v>
      </c>
      <c r="F840" s="2">
        <v>116.14</v>
      </c>
    </row>
    <row r="841" spans="1:6" x14ac:dyDescent="0.25">
      <c r="A841" t="s">
        <v>3118</v>
      </c>
      <c r="B841" t="s">
        <v>3119</v>
      </c>
      <c r="C841" t="s">
        <v>1953</v>
      </c>
      <c r="D841" t="s">
        <v>1940</v>
      </c>
      <c r="F841" s="2">
        <v>9.1999999999999993</v>
      </c>
    </row>
    <row r="842" spans="1:6" x14ac:dyDescent="0.25">
      <c r="A842" t="s">
        <v>3120</v>
      </c>
      <c r="B842" t="s">
        <v>3121</v>
      </c>
      <c r="C842" t="s">
        <v>1953</v>
      </c>
      <c r="D842" t="s">
        <v>1940</v>
      </c>
      <c r="F842" s="2">
        <v>37.82</v>
      </c>
    </row>
    <row r="843" spans="1:6" x14ac:dyDescent="0.25">
      <c r="A843" t="s">
        <v>3122</v>
      </c>
      <c r="B843" t="s">
        <v>3123</v>
      </c>
      <c r="C843" t="s">
        <v>1953</v>
      </c>
      <c r="D843" t="s">
        <v>1940</v>
      </c>
      <c r="F843" s="2">
        <v>9.1999999999999993</v>
      </c>
    </row>
    <row r="844" spans="1:6" x14ac:dyDescent="0.25">
      <c r="A844" t="s">
        <v>3124</v>
      </c>
      <c r="B844" t="s">
        <v>3125</v>
      </c>
      <c r="C844" t="s">
        <v>1953</v>
      </c>
      <c r="D844" t="s">
        <v>1940</v>
      </c>
      <c r="F844" s="2">
        <v>39.450000000000003</v>
      </c>
    </row>
    <row r="845" spans="1:6" x14ac:dyDescent="0.25">
      <c r="A845" t="s">
        <v>532</v>
      </c>
      <c r="B845" t="s">
        <v>3126</v>
      </c>
      <c r="C845" t="s">
        <v>1953</v>
      </c>
      <c r="D845" t="s">
        <v>1954</v>
      </c>
      <c r="E845" t="s">
        <v>493</v>
      </c>
      <c r="F845" s="2">
        <v>5.39</v>
      </c>
    </row>
    <row r="846" spans="1:6" x14ac:dyDescent="0.25">
      <c r="A846" t="s">
        <v>3127</v>
      </c>
      <c r="B846" t="s">
        <v>3128</v>
      </c>
      <c r="C846" t="s">
        <v>1953</v>
      </c>
      <c r="D846" t="s">
        <v>1940</v>
      </c>
      <c r="F846" s="2">
        <v>2135.44</v>
      </c>
    </row>
    <row r="847" spans="1:6" x14ac:dyDescent="0.25">
      <c r="A847" t="s">
        <v>1040</v>
      </c>
      <c r="B847" t="s">
        <v>3129</v>
      </c>
      <c r="C847" t="s">
        <v>1953</v>
      </c>
      <c r="D847" t="s">
        <v>1954</v>
      </c>
      <c r="E847" t="s">
        <v>1040</v>
      </c>
      <c r="F847" s="2">
        <v>66.17</v>
      </c>
    </row>
    <row r="848" spans="1:6" x14ac:dyDescent="0.25">
      <c r="A848" t="s">
        <v>1042</v>
      </c>
      <c r="B848" t="s">
        <v>3130</v>
      </c>
      <c r="C848" t="s">
        <v>1953</v>
      </c>
      <c r="D848" t="s">
        <v>1954</v>
      </c>
      <c r="E848" t="s">
        <v>1040</v>
      </c>
      <c r="F848" s="2">
        <v>66.17</v>
      </c>
    </row>
    <row r="849" spans="1:6" x14ac:dyDescent="0.25">
      <c r="A849" t="s">
        <v>533</v>
      </c>
      <c r="B849" t="s">
        <v>3131</v>
      </c>
      <c r="C849" t="s">
        <v>1953</v>
      </c>
      <c r="D849" t="s">
        <v>1954</v>
      </c>
      <c r="E849" t="s">
        <v>493</v>
      </c>
      <c r="F849" s="2">
        <v>5.39</v>
      </c>
    </row>
    <row r="850" spans="1:6" x14ac:dyDescent="0.25">
      <c r="A850" t="s">
        <v>535</v>
      </c>
      <c r="B850" t="s">
        <v>3132</v>
      </c>
      <c r="C850" t="s">
        <v>1953</v>
      </c>
      <c r="D850" t="s">
        <v>1954</v>
      </c>
      <c r="E850" t="s">
        <v>493</v>
      </c>
      <c r="F850" s="2">
        <v>5.39</v>
      </c>
    </row>
    <row r="851" spans="1:6" x14ac:dyDescent="0.25">
      <c r="A851" t="s">
        <v>1044</v>
      </c>
      <c r="B851" t="s">
        <v>3133</v>
      </c>
      <c r="C851" t="s">
        <v>1953</v>
      </c>
      <c r="D851" t="s">
        <v>1954</v>
      </c>
      <c r="E851" t="s">
        <v>1040</v>
      </c>
      <c r="F851" s="2">
        <v>66.17</v>
      </c>
    </row>
    <row r="852" spans="1:6" x14ac:dyDescent="0.25">
      <c r="A852" t="s">
        <v>1045</v>
      </c>
      <c r="B852" t="s">
        <v>3134</v>
      </c>
      <c r="C852" t="s">
        <v>1953</v>
      </c>
      <c r="D852" t="s">
        <v>1954</v>
      </c>
      <c r="E852" t="s">
        <v>1040</v>
      </c>
      <c r="F852" s="2">
        <v>66.17</v>
      </c>
    </row>
    <row r="853" spans="1:6" x14ac:dyDescent="0.25">
      <c r="A853" t="s">
        <v>1046</v>
      </c>
      <c r="B853" t="s">
        <v>3135</v>
      </c>
      <c r="C853" t="s">
        <v>1953</v>
      </c>
      <c r="D853" t="s">
        <v>1954</v>
      </c>
      <c r="E853" t="s">
        <v>1040</v>
      </c>
      <c r="F853" s="2">
        <v>66.17</v>
      </c>
    </row>
    <row r="854" spans="1:6" x14ac:dyDescent="0.25">
      <c r="A854" t="s">
        <v>1047</v>
      </c>
      <c r="B854" t="s">
        <v>3136</v>
      </c>
      <c r="C854" t="s">
        <v>1953</v>
      </c>
      <c r="D854" t="s">
        <v>1954</v>
      </c>
      <c r="E854" t="s">
        <v>1040</v>
      </c>
      <c r="F854" s="2">
        <v>66.17</v>
      </c>
    </row>
    <row r="855" spans="1:6" x14ac:dyDescent="0.25">
      <c r="A855" t="s">
        <v>536</v>
      </c>
      <c r="B855" t="s">
        <v>3137</v>
      </c>
      <c r="C855" t="s">
        <v>1953</v>
      </c>
      <c r="D855" t="s">
        <v>1954</v>
      </c>
      <c r="E855" t="s">
        <v>493</v>
      </c>
      <c r="F855" s="2">
        <v>5.39</v>
      </c>
    </row>
    <row r="856" spans="1:6" x14ac:dyDescent="0.25">
      <c r="A856" t="s">
        <v>538</v>
      </c>
      <c r="B856" t="s">
        <v>3138</v>
      </c>
      <c r="C856" t="s">
        <v>1953</v>
      </c>
      <c r="D856" t="s">
        <v>1954</v>
      </c>
      <c r="E856" t="s">
        <v>493</v>
      </c>
      <c r="F856" s="2">
        <v>5.39</v>
      </c>
    </row>
    <row r="857" spans="1:6" x14ac:dyDescent="0.25">
      <c r="A857" t="s">
        <v>539</v>
      </c>
      <c r="B857" t="s">
        <v>3139</v>
      </c>
      <c r="C857" t="s">
        <v>1953</v>
      </c>
      <c r="D857" t="s">
        <v>1954</v>
      </c>
      <c r="E857" t="s">
        <v>493</v>
      </c>
      <c r="F857" s="2">
        <v>5.39</v>
      </c>
    </row>
    <row r="858" spans="1:6" x14ac:dyDescent="0.25">
      <c r="A858" t="s">
        <v>541</v>
      </c>
      <c r="B858" t="s">
        <v>3140</v>
      </c>
      <c r="C858" t="s">
        <v>1953</v>
      </c>
      <c r="D858" t="s">
        <v>1954</v>
      </c>
      <c r="E858" t="s">
        <v>493</v>
      </c>
      <c r="F858" s="2">
        <v>5.39</v>
      </c>
    </row>
    <row r="859" spans="1:6" x14ac:dyDescent="0.25">
      <c r="A859" t="s">
        <v>1052</v>
      </c>
      <c r="B859" t="s">
        <v>3141</v>
      </c>
      <c r="C859" t="s">
        <v>1953</v>
      </c>
      <c r="D859" t="s">
        <v>1954</v>
      </c>
      <c r="E859" t="s">
        <v>1052</v>
      </c>
      <c r="F859" s="2">
        <v>78.739999999999995</v>
      </c>
    </row>
    <row r="860" spans="1:6" x14ac:dyDescent="0.25">
      <c r="A860" t="s">
        <v>1053</v>
      </c>
      <c r="B860" t="s">
        <v>3142</v>
      </c>
      <c r="C860" t="s">
        <v>1953</v>
      </c>
      <c r="D860" t="s">
        <v>1954</v>
      </c>
      <c r="E860" t="s">
        <v>1052</v>
      </c>
      <c r="F860" s="2">
        <v>78.739999999999995</v>
      </c>
    </row>
    <row r="861" spans="1:6" x14ac:dyDescent="0.25">
      <c r="A861" t="s">
        <v>1054</v>
      </c>
      <c r="B861" t="s">
        <v>3143</v>
      </c>
      <c r="C861" t="s">
        <v>1953</v>
      </c>
      <c r="D861" t="s">
        <v>1954</v>
      </c>
      <c r="E861" t="s">
        <v>1052</v>
      </c>
      <c r="F861" s="2">
        <v>78.739999999999995</v>
      </c>
    </row>
    <row r="862" spans="1:6" x14ac:dyDescent="0.25">
      <c r="A862" t="s">
        <v>1055</v>
      </c>
      <c r="B862" t="s">
        <v>3144</v>
      </c>
      <c r="C862" t="s">
        <v>1953</v>
      </c>
      <c r="D862" t="s">
        <v>1954</v>
      </c>
      <c r="E862" t="s">
        <v>1052</v>
      </c>
      <c r="F862" s="2">
        <v>78.739999999999995</v>
      </c>
    </row>
    <row r="863" spans="1:6" x14ac:dyDescent="0.25">
      <c r="A863" t="s">
        <v>1056</v>
      </c>
      <c r="B863" t="s">
        <v>3145</v>
      </c>
      <c r="C863" t="s">
        <v>1953</v>
      </c>
      <c r="D863" t="s">
        <v>1954</v>
      </c>
      <c r="E863" t="s">
        <v>1052</v>
      </c>
      <c r="F863" s="2">
        <v>78.739999999999995</v>
      </c>
    </row>
    <row r="864" spans="1:6" x14ac:dyDescent="0.25">
      <c r="A864" t="s">
        <v>1057</v>
      </c>
      <c r="B864" t="s">
        <v>3146</v>
      </c>
      <c r="C864" t="s">
        <v>1953</v>
      </c>
      <c r="D864" t="s">
        <v>1954</v>
      </c>
      <c r="E864" t="s">
        <v>1052</v>
      </c>
      <c r="F864" s="2">
        <v>78.739999999999995</v>
      </c>
    </row>
    <row r="865" spans="1:6" x14ac:dyDescent="0.25">
      <c r="A865" t="s">
        <v>542</v>
      </c>
      <c r="B865" t="s">
        <v>3147</v>
      </c>
      <c r="C865" t="s">
        <v>1953</v>
      </c>
      <c r="D865" t="s">
        <v>1954</v>
      </c>
      <c r="E865" t="s">
        <v>493</v>
      </c>
      <c r="F865" s="2">
        <v>5.39</v>
      </c>
    </row>
    <row r="866" spans="1:6" x14ac:dyDescent="0.25">
      <c r="A866" t="s">
        <v>544</v>
      </c>
      <c r="B866" t="s">
        <v>3148</v>
      </c>
      <c r="C866" t="s">
        <v>1953</v>
      </c>
      <c r="D866" t="s">
        <v>1954</v>
      </c>
      <c r="E866" t="s">
        <v>493</v>
      </c>
      <c r="F866" s="2">
        <v>5.39</v>
      </c>
    </row>
    <row r="867" spans="1:6" x14ac:dyDescent="0.25">
      <c r="A867" t="s">
        <v>3149</v>
      </c>
      <c r="B867" t="s">
        <v>3150</v>
      </c>
      <c r="C867" t="s">
        <v>1953</v>
      </c>
      <c r="D867" t="s">
        <v>1954</v>
      </c>
      <c r="E867" t="s">
        <v>493</v>
      </c>
      <c r="F867" s="2">
        <v>5.39</v>
      </c>
    </row>
    <row r="868" spans="1:6" x14ac:dyDescent="0.25">
      <c r="A868" t="s">
        <v>3151</v>
      </c>
      <c r="B868" t="s">
        <v>3152</v>
      </c>
      <c r="C868" t="s">
        <v>1953</v>
      </c>
      <c r="D868" t="s">
        <v>1954</v>
      </c>
      <c r="E868" t="s">
        <v>493</v>
      </c>
      <c r="F868" s="2">
        <v>5.39</v>
      </c>
    </row>
    <row r="869" spans="1:6" x14ac:dyDescent="0.25">
      <c r="A869" t="s">
        <v>545</v>
      </c>
      <c r="B869" t="s">
        <v>3153</v>
      </c>
      <c r="C869" t="s">
        <v>1953</v>
      </c>
      <c r="D869" t="s">
        <v>1954</v>
      </c>
      <c r="E869" t="s">
        <v>493</v>
      </c>
      <c r="F869" s="2">
        <v>5.39</v>
      </c>
    </row>
    <row r="870" spans="1:6" x14ac:dyDescent="0.25">
      <c r="A870" t="s">
        <v>547</v>
      </c>
      <c r="B870" t="s">
        <v>3154</v>
      </c>
      <c r="C870" t="s">
        <v>1953</v>
      </c>
      <c r="D870" t="s">
        <v>1954</v>
      </c>
      <c r="E870" t="s">
        <v>493</v>
      </c>
      <c r="F870" s="2">
        <v>5.39</v>
      </c>
    </row>
    <row r="871" spans="1:6" x14ac:dyDescent="0.25">
      <c r="A871" t="s">
        <v>3155</v>
      </c>
      <c r="B871" t="s">
        <v>3156</v>
      </c>
      <c r="C871" t="s">
        <v>1953</v>
      </c>
      <c r="D871" t="s">
        <v>1940</v>
      </c>
      <c r="F871" s="2">
        <v>113.28</v>
      </c>
    </row>
    <row r="872" spans="1:6" x14ac:dyDescent="0.25">
      <c r="A872" t="s">
        <v>3157</v>
      </c>
      <c r="B872" t="s">
        <v>3158</v>
      </c>
      <c r="C872" t="s">
        <v>1953</v>
      </c>
      <c r="D872" t="s">
        <v>1954</v>
      </c>
      <c r="F872" s="2">
        <v>37.9</v>
      </c>
    </row>
    <row r="873" spans="1:6" x14ac:dyDescent="0.25">
      <c r="A873" t="s">
        <v>3159</v>
      </c>
      <c r="B873" t="s">
        <v>3160</v>
      </c>
      <c r="C873" t="s">
        <v>1953</v>
      </c>
      <c r="D873" t="s">
        <v>1940</v>
      </c>
      <c r="F873" s="2">
        <v>50.47</v>
      </c>
    </row>
    <row r="874" spans="1:6" x14ac:dyDescent="0.25">
      <c r="A874" t="s">
        <v>3161</v>
      </c>
      <c r="B874" t="s">
        <v>3162</v>
      </c>
      <c r="C874" t="s">
        <v>1953</v>
      </c>
      <c r="D874" t="s">
        <v>1940</v>
      </c>
      <c r="F874" s="2">
        <v>27.73</v>
      </c>
    </row>
    <row r="875" spans="1:6" x14ac:dyDescent="0.25">
      <c r="A875" t="s">
        <v>3163</v>
      </c>
      <c r="B875" t="s">
        <v>3164</v>
      </c>
      <c r="C875" t="s">
        <v>1953</v>
      </c>
      <c r="D875" t="s">
        <v>1940</v>
      </c>
      <c r="F875" s="2">
        <v>33.54</v>
      </c>
    </row>
    <row r="876" spans="1:6" x14ac:dyDescent="0.25">
      <c r="A876" t="s">
        <v>3165</v>
      </c>
      <c r="B876" t="s">
        <v>3166</v>
      </c>
      <c r="C876" t="s">
        <v>1953</v>
      </c>
      <c r="D876" t="s">
        <v>1940</v>
      </c>
      <c r="F876" s="2">
        <v>3.38</v>
      </c>
    </row>
    <row r="877" spans="1:6" x14ac:dyDescent="0.25">
      <c r="A877" t="s">
        <v>1063</v>
      </c>
      <c r="B877" t="s">
        <v>3167</v>
      </c>
      <c r="C877" t="s">
        <v>1953</v>
      </c>
      <c r="D877" t="s">
        <v>1954</v>
      </c>
      <c r="F877" s="2">
        <v>45.09</v>
      </c>
    </row>
    <row r="878" spans="1:6" x14ac:dyDescent="0.25">
      <c r="A878" t="s">
        <v>3168</v>
      </c>
      <c r="B878" t="s">
        <v>3169</v>
      </c>
      <c r="C878" t="s">
        <v>1953</v>
      </c>
      <c r="D878" t="s">
        <v>1940</v>
      </c>
      <c r="F878" s="2">
        <v>35.020000000000003</v>
      </c>
    </row>
    <row r="879" spans="1:6" x14ac:dyDescent="0.25">
      <c r="A879" t="s">
        <v>3170</v>
      </c>
      <c r="B879" t="s">
        <v>3171</v>
      </c>
      <c r="C879" t="s">
        <v>1953</v>
      </c>
      <c r="D879" t="s">
        <v>1940</v>
      </c>
      <c r="F879" s="2">
        <v>296.38</v>
      </c>
    </row>
    <row r="880" spans="1:6" x14ac:dyDescent="0.25">
      <c r="A880" t="s">
        <v>3172</v>
      </c>
      <c r="B880" t="s">
        <v>3173</v>
      </c>
      <c r="C880" t="s">
        <v>1953</v>
      </c>
      <c r="D880" t="s">
        <v>1940</v>
      </c>
      <c r="F880" s="2">
        <v>230.58</v>
      </c>
    </row>
    <row r="881" spans="1:6" x14ac:dyDescent="0.25">
      <c r="A881" t="s">
        <v>3174</v>
      </c>
      <c r="B881" t="s">
        <v>3175</v>
      </c>
      <c r="C881" t="s">
        <v>1953</v>
      </c>
      <c r="D881" t="s">
        <v>1940</v>
      </c>
      <c r="F881" s="2">
        <v>218.81</v>
      </c>
    </row>
    <row r="882" spans="1:6" x14ac:dyDescent="0.25">
      <c r="A882" t="s">
        <v>3176</v>
      </c>
      <c r="B882" t="s">
        <v>3177</v>
      </c>
      <c r="C882" t="s">
        <v>1953</v>
      </c>
      <c r="D882" t="s">
        <v>1940</v>
      </c>
      <c r="F882" s="2">
        <v>38.14</v>
      </c>
    </row>
    <row r="883" spans="1:6" x14ac:dyDescent="0.25">
      <c r="A883" t="s">
        <v>3178</v>
      </c>
      <c r="B883" t="s">
        <v>3179</v>
      </c>
      <c r="C883" t="s">
        <v>1953</v>
      </c>
      <c r="D883" t="s">
        <v>1940</v>
      </c>
      <c r="E883" t="s">
        <v>164</v>
      </c>
      <c r="F883" s="2">
        <v>310.33999999999997</v>
      </c>
    </row>
    <row r="884" spans="1:6" x14ac:dyDescent="0.25">
      <c r="A884" t="s">
        <v>3180</v>
      </c>
      <c r="B884" t="s">
        <v>3181</v>
      </c>
      <c r="C884" t="s">
        <v>1953</v>
      </c>
      <c r="D884" t="s">
        <v>1954</v>
      </c>
      <c r="E884" t="s">
        <v>219</v>
      </c>
      <c r="F884" s="2">
        <v>283.27999999999997</v>
      </c>
    </row>
    <row r="885" spans="1:6" x14ac:dyDescent="0.25">
      <c r="A885" t="s">
        <v>548</v>
      </c>
      <c r="B885" t="s">
        <v>3182</v>
      </c>
      <c r="C885" t="s">
        <v>1953</v>
      </c>
      <c r="D885" t="s">
        <v>1954</v>
      </c>
      <c r="E885" t="s">
        <v>493</v>
      </c>
      <c r="F885" s="2">
        <v>5.39</v>
      </c>
    </row>
    <row r="886" spans="1:6" x14ac:dyDescent="0.25">
      <c r="A886" t="s">
        <v>550</v>
      </c>
      <c r="B886" t="s">
        <v>3183</v>
      </c>
      <c r="C886" t="s">
        <v>1953</v>
      </c>
      <c r="D886" t="s">
        <v>1954</v>
      </c>
      <c r="E886" t="s">
        <v>493</v>
      </c>
      <c r="F886" s="2">
        <v>5.39</v>
      </c>
    </row>
    <row r="887" spans="1:6" x14ac:dyDescent="0.25">
      <c r="A887" t="s">
        <v>551</v>
      </c>
      <c r="B887" t="s">
        <v>3184</v>
      </c>
      <c r="C887" t="s">
        <v>1953</v>
      </c>
      <c r="D887" t="s">
        <v>1954</v>
      </c>
      <c r="E887" t="s">
        <v>493</v>
      </c>
      <c r="F887" s="2">
        <v>5.39</v>
      </c>
    </row>
    <row r="888" spans="1:6" x14ac:dyDescent="0.25">
      <c r="A888" t="s">
        <v>553</v>
      </c>
      <c r="B888" t="s">
        <v>3185</v>
      </c>
      <c r="C888" t="s">
        <v>1953</v>
      </c>
      <c r="D888" t="s">
        <v>1954</v>
      </c>
      <c r="E888" t="s">
        <v>493</v>
      </c>
      <c r="F888" s="2">
        <v>5.39</v>
      </c>
    </row>
    <row r="889" spans="1:6" x14ac:dyDescent="0.25">
      <c r="A889" t="s">
        <v>554</v>
      </c>
      <c r="B889" t="s">
        <v>3186</v>
      </c>
      <c r="C889" t="s">
        <v>1953</v>
      </c>
      <c r="D889" t="s">
        <v>1954</v>
      </c>
      <c r="E889" t="s">
        <v>493</v>
      </c>
      <c r="F889" s="2">
        <v>5.39</v>
      </c>
    </row>
    <row r="890" spans="1:6" x14ac:dyDescent="0.25">
      <c r="A890" t="s">
        <v>556</v>
      </c>
      <c r="B890" t="s">
        <v>3187</v>
      </c>
      <c r="C890" t="s">
        <v>1953</v>
      </c>
      <c r="D890" t="s">
        <v>1954</v>
      </c>
      <c r="E890" t="s">
        <v>493</v>
      </c>
      <c r="F890" s="2">
        <v>5.39</v>
      </c>
    </row>
    <row r="891" spans="1:6" x14ac:dyDescent="0.25">
      <c r="A891" t="s">
        <v>557</v>
      </c>
      <c r="B891" t="s">
        <v>3188</v>
      </c>
      <c r="C891" t="s">
        <v>1953</v>
      </c>
      <c r="D891" t="s">
        <v>1954</v>
      </c>
      <c r="E891" t="s">
        <v>493</v>
      </c>
      <c r="F891" s="2">
        <v>5.39</v>
      </c>
    </row>
    <row r="892" spans="1:6" x14ac:dyDescent="0.25">
      <c r="A892" t="s">
        <v>559</v>
      </c>
      <c r="B892" t="s">
        <v>3189</v>
      </c>
      <c r="C892" t="s">
        <v>1953</v>
      </c>
      <c r="D892" t="s">
        <v>1954</v>
      </c>
      <c r="E892" t="s">
        <v>493</v>
      </c>
      <c r="F892" s="2">
        <v>5.39</v>
      </c>
    </row>
    <row r="893" spans="1:6" x14ac:dyDescent="0.25">
      <c r="A893" t="s">
        <v>560</v>
      </c>
      <c r="B893" t="s">
        <v>3190</v>
      </c>
      <c r="C893" t="s">
        <v>1953</v>
      </c>
      <c r="D893" t="s">
        <v>1954</v>
      </c>
      <c r="E893" t="s">
        <v>493</v>
      </c>
      <c r="F893" s="2">
        <v>5.39</v>
      </c>
    </row>
    <row r="894" spans="1:6" x14ac:dyDescent="0.25">
      <c r="A894" t="s">
        <v>562</v>
      </c>
      <c r="B894" t="s">
        <v>3191</v>
      </c>
      <c r="C894" t="s">
        <v>1953</v>
      </c>
      <c r="D894" t="s">
        <v>1954</v>
      </c>
      <c r="E894" t="s">
        <v>493</v>
      </c>
      <c r="F894" s="2">
        <v>5.39</v>
      </c>
    </row>
    <row r="895" spans="1:6" x14ac:dyDescent="0.25">
      <c r="A895" t="s">
        <v>563</v>
      </c>
      <c r="B895" t="s">
        <v>3192</v>
      </c>
      <c r="C895" t="s">
        <v>1953</v>
      </c>
      <c r="D895" t="s">
        <v>1954</v>
      </c>
      <c r="E895" t="s">
        <v>493</v>
      </c>
      <c r="F895" s="2">
        <v>5.39</v>
      </c>
    </row>
    <row r="896" spans="1:6" x14ac:dyDescent="0.25">
      <c r="A896" t="s">
        <v>565</v>
      </c>
      <c r="B896" t="s">
        <v>3193</v>
      </c>
      <c r="C896" t="s">
        <v>1953</v>
      </c>
      <c r="D896" t="s">
        <v>1954</v>
      </c>
      <c r="E896" t="s">
        <v>493</v>
      </c>
      <c r="F896" s="2">
        <v>5.39</v>
      </c>
    </row>
    <row r="897" spans="1:6" x14ac:dyDescent="0.25">
      <c r="A897" t="s">
        <v>566</v>
      </c>
      <c r="B897" t="s">
        <v>3194</v>
      </c>
      <c r="C897" t="s">
        <v>1953</v>
      </c>
      <c r="D897" t="s">
        <v>1954</v>
      </c>
      <c r="E897" t="s">
        <v>493</v>
      </c>
      <c r="F897" s="2">
        <v>5.39</v>
      </c>
    </row>
    <row r="898" spans="1:6" x14ac:dyDescent="0.25">
      <c r="A898" t="s">
        <v>568</v>
      </c>
      <c r="B898" t="s">
        <v>3195</v>
      </c>
      <c r="C898" t="s">
        <v>1953</v>
      </c>
      <c r="D898" t="s">
        <v>1954</v>
      </c>
      <c r="E898" t="s">
        <v>493</v>
      </c>
      <c r="F898" s="2">
        <v>5.39</v>
      </c>
    </row>
    <row r="899" spans="1:6" x14ac:dyDescent="0.25">
      <c r="A899" t="s">
        <v>569</v>
      </c>
      <c r="B899" t="s">
        <v>3196</v>
      </c>
      <c r="C899" t="s">
        <v>1953</v>
      </c>
      <c r="D899" t="s">
        <v>1954</v>
      </c>
      <c r="E899" t="s">
        <v>493</v>
      </c>
      <c r="F899" s="2">
        <v>5.39</v>
      </c>
    </row>
    <row r="900" spans="1:6" x14ac:dyDescent="0.25">
      <c r="A900" t="s">
        <v>571</v>
      </c>
      <c r="B900" t="s">
        <v>3197</v>
      </c>
      <c r="C900" t="s">
        <v>1953</v>
      </c>
      <c r="D900" t="s">
        <v>1954</v>
      </c>
      <c r="E900" t="s">
        <v>493</v>
      </c>
      <c r="F900" s="2">
        <v>5.39</v>
      </c>
    </row>
    <row r="901" spans="1:6" x14ac:dyDescent="0.25">
      <c r="A901" t="s">
        <v>572</v>
      </c>
      <c r="B901" t="s">
        <v>3198</v>
      </c>
      <c r="C901" t="s">
        <v>1953</v>
      </c>
      <c r="D901" t="s">
        <v>1954</v>
      </c>
      <c r="E901" t="s">
        <v>493</v>
      </c>
      <c r="F901" s="2">
        <v>5.39</v>
      </c>
    </row>
    <row r="902" spans="1:6" x14ac:dyDescent="0.25">
      <c r="A902" t="s">
        <v>574</v>
      </c>
      <c r="B902" t="s">
        <v>3199</v>
      </c>
      <c r="C902" t="s">
        <v>1953</v>
      </c>
      <c r="D902" t="s">
        <v>1954</v>
      </c>
      <c r="E902" t="s">
        <v>493</v>
      </c>
      <c r="F902" s="2">
        <v>5.39</v>
      </c>
    </row>
    <row r="903" spans="1:6" x14ac:dyDescent="0.25">
      <c r="A903" t="s">
        <v>575</v>
      </c>
      <c r="B903" t="s">
        <v>3200</v>
      </c>
      <c r="C903" t="s">
        <v>1953</v>
      </c>
      <c r="D903" t="s">
        <v>1954</v>
      </c>
      <c r="E903" t="s">
        <v>493</v>
      </c>
      <c r="F903" s="2">
        <v>5.39</v>
      </c>
    </row>
    <row r="904" spans="1:6" x14ac:dyDescent="0.25">
      <c r="A904" t="s">
        <v>577</v>
      </c>
      <c r="B904" t="s">
        <v>3201</v>
      </c>
      <c r="C904" t="s">
        <v>1953</v>
      </c>
      <c r="D904" t="s">
        <v>1954</v>
      </c>
      <c r="E904" t="s">
        <v>493</v>
      </c>
      <c r="F904" s="2">
        <v>5.39</v>
      </c>
    </row>
    <row r="905" spans="1:6" x14ac:dyDescent="0.25">
      <c r="A905" t="s">
        <v>578</v>
      </c>
      <c r="B905" t="s">
        <v>3202</v>
      </c>
      <c r="C905" t="s">
        <v>1953</v>
      </c>
      <c r="D905" t="s">
        <v>1954</v>
      </c>
      <c r="E905" t="s">
        <v>493</v>
      </c>
      <c r="F905" s="2">
        <v>5.39</v>
      </c>
    </row>
    <row r="906" spans="1:6" x14ac:dyDescent="0.25">
      <c r="A906" t="s">
        <v>580</v>
      </c>
      <c r="B906" t="s">
        <v>3203</v>
      </c>
      <c r="C906" t="s">
        <v>1953</v>
      </c>
      <c r="D906" t="s">
        <v>1954</v>
      </c>
      <c r="E906" t="s">
        <v>493</v>
      </c>
      <c r="F906" s="2">
        <v>5.39</v>
      </c>
    </row>
    <row r="907" spans="1:6" x14ac:dyDescent="0.25">
      <c r="A907" t="s">
        <v>581</v>
      </c>
      <c r="B907" t="s">
        <v>3204</v>
      </c>
      <c r="C907" t="s">
        <v>1953</v>
      </c>
      <c r="D907" t="s">
        <v>1954</v>
      </c>
      <c r="E907" t="s">
        <v>493</v>
      </c>
      <c r="F907" s="2">
        <v>5.39</v>
      </c>
    </row>
    <row r="908" spans="1:6" x14ac:dyDescent="0.25">
      <c r="A908" t="s">
        <v>583</v>
      </c>
      <c r="B908" t="s">
        <v>3205</v>
      </c>
      <c r="C908" t="s">
        <v>1953</v>
      </c>
      <c r="D908" t="s">
        <v>1954</v>
      </c>
      <c r="E908" t="s">
        <v>493</v>
      </c>
      <c r="F908" s="2">
        <v>5.39</v>
      </c>
    </row>
    <row r="909" spans="1:6" x14ac:dyDescent="0.25">
      <c r="A909" t="s">
        <v>584</v>
      </c>
      <c r="B909" t="s">
        <v>3206</v>
      </c>
      <c r="C909" t="s">
        <v>1953</v>
      </c>
      <c r="D909" t="s">
        <v>1954</v>
      </c>
      <c r="E909" t="s">
        <v>493</v>
      </c>
      <c r="F909" s="2">
        <v>5.39</v>
      </c>
    </row>
    <row r="910" spans="1:6" x14ac:dyDescent="0.25">
      <c r="A910" t="s">
        <v>586</v>
      </c>
      <c r="B910" t="s">
        <v>3207</v>
      </c>
      <c r="C910" t="s">
        <v>1953</v>
      </c>
      <c r="D910" t="s">
        <v>1954</v>
      </c>
      <c r="E910" t="s">
        <v>493</v>
      </c>
      <c r="F910" s="2">
        <v>5.39</v>
      </c>
    </row>
    <row r="911" spans="1:6" x14ac:dyDescent="0.25">
      <c r="A911" t="s">
        <v>587</v>
      </c>
      <c r="B911" t="s">
        <v>3208</v>
      </c>
      <c r="C911" t="s">
        <v>1953</v>
      </c>
      <c r="D911" t="s">
        <v>1954</v>
      </c>
      <c r="E911" t="s">
        <v>493</v>
      </c>
      <c r="F911" s="2">
        <v>5.39</v>
      </c>
    </row>
    <row r="912" spans="1:6" x14ac:dyDescent="0.25">
      <c r="A912" t="s">
        <v>589</v>
      </c>
      <c r="B912" t="s">
        <v>3209</v>
      </c>
      <c r="C912" t="s">
        <v>1953</v>
      </c>
      <c r="D912" t="s">
        <v>1954</v>
      </c>
      <c r="E912" t="s">
        <v>493</v>
      </c>
      <c r="F912" s="2">
        <v>5.39</v>
      </c>
    </row>
    <row r="913" spans="1:6" x14ac:dyDescent="0.25">
      <c r="A913" t="s">
        <v>590</v>
      </c>
      <c r="B913" t="s">
        <v>3210</v>
      </c>
      <c r="C913" t="s">
        <v>1953</v>
      </c>
      <c r="D913" t="s">
        <v>1954</v>
      </c>
      <c r="E913" t="s">
        <v>493</v>
      </c>
      <c r="F913" s="2">
        <v>5.39</v>
      </c>
    </row>
    <row r="914" spans="1:6" x14ac:dyDescent="0.25">
      <c r="A914" t="s">
        <v>592</v>
      </c>
      <c r="B914" t="s">
        <v>3211</v>
      </c>
      <c r="C914" t="s">
        <v>1953</v>
      </c>
      <c r="D914" t="s">
        <v>1954</v>
      </c>
      <c r="E914" t="s">
        <v>493</v>
      </c>
      <c r="F914" s="2">
        <v>5.39</v>
      </c>
    </row>
    <row r="915" spans="1:6" x14ac:dyDescent="0.25">
      <c r="A915" t="s">
        <v>593</v>
      </c>
      <c r="B915" t="s">
        <v>3212</v>
      </c>
      <c r="C915" t="s">
        <v>1953</v>
      </c>
      <c r="D915" t="s">
        <v>1954</v>
      </c>
      <c r="E915" t="s">
        <v>493</v>
      </c>
      <c r="F915" s="2">
        <v>5.39</v>
      </c>
    </row>
    <row r="916" spans="1:6" x14ac:dyDescent="0.25">
      <c r="A916" t="s">
        <v>595</v>
      </c>
      <c r="B916" t="s">
        <v>3213</v>
      </c>
      <c r="C916" t="s">
        <v>1953</v>
      </c>
      <c r="D916" t="s">
        <v>1954</v>
      </c>
      <c r="E916" t="s">
        <v>493</v>
      </c>
      <c r="F916" s="2">
        <v>5.39</v>
      </c>
    </row>
    <row r="917" spans="1:6" x14ac:dyDescent="0.25">
      <c r="A917" t="s">
        <v>596</v>
      </c>
      <c r="B917" t="s">
        <v>3214</v>
      </c>
      <c r="C917" t="s">
        <v>1953</v>
      </c>
      <c r="D917" t="s">
        <v>1954</v>
      </c>
      <c r="E917" t="s">
        <v>493</v>
      </c>
      <c r="F917" s="2">
        <v>5.39</v>
      </c>
    </row>
    <row r="918" spans="1:6" x14ac:dyDescent="0.25">
      <c r="A918" t="s">
        <v>598</v>
      </c>
      <c r="B918" t="s">
        <v>3215</v>
      </c>
      <c r="C918" t="s">
        <v>1953</v>
      </c>
      <c r="D918" t="s">
        <v>1954</v>
      </c>
      <c r="E918" t="s">
        <v>493</v>
      </c>
      <c r="F918" s="2">
        <v>5.39</v>
      </c>
    </row>
    <row r="919" spans="1:6" x14ac:dyDescent="0.25">
      <c r="A919" t="s">
        <v>599</v>
      </c>
      <c r="B919" t="s">
        <v>3216</v>
      </c>
      <c r="C919" t="s">
        <v>1953</v>
      </c>
      <c r="D919" t="s">
        <v>1954</v>
      </c>
      <c r="E919" t="s">
        <v>493</v>
      </c>
      <c r="F919" s="2">
        <v>5.39</v>
      </c>
    </row>
    <row r="920" spans="1:6" x14ac:dyDescent="0.25">
      <c r="A920" t="s">
        <v>601</v>
      </c>
      <c r="B920" t="s">
        <v>3217</v>
      </c>
      <c r="C920" t="s">
        <v>1953</v>
      </c>
      <c r="D920" t="s">
        <v>1954</v>
      </c>
      <c r="E920" t="s">
        <v>493</v>
      </c>
      <c r="F920" s="2">
        <v>5.39</v>
      </c>
    </row>
    <row r="921" spans="1:6" x14ac:dyDescent="0.25">
      <c r="A921" t="s">
        <v>602</v>
      </c>
      <c r="B921" t="s">
        <v>3218</v>
      </c>
      <c r="C921" t="s">
        <v>1953</v>
      </c>
      <c r="D921" t="s">
        <v>1954</v>
      </c>
      <c r="E921" t="s">
        <v>493</v>
      </c>
      <c r="F921" s="2">
        <v>5.39</v>
      </c>
    </row>
    <row r="922" spans="1:6" x14ac:dyDescent="0.25">
      <c r="A922" t="s">
        <v>604</v>
      </c>
      <c r="B922" t="s">
        <v>3219</v>
      </c>
      <c r="C922" t="s">
        <v>1953</v>
      </c>
      <c r="D922" t="s">
        <v>1954</v>
      </c>
      <c r="E922" t="s">
        <v>493</v>
      </c>
      <c r="F922" s="2">
        <v>5.39</v>
      </c>
    </row>
    <row r="923" spans="1:6" x14ac:dyDescent="0.25">
      <c r="A923" t="s">
        <v>605</v>
      </c>
      <c r="B923" t="s">
        <v>3220</v>
      </c>
      <c r="C923" t="s">
        <v>1953</v>
      </c>
      <c r="D923" t="s">
        <v>1954</v>
      </c>
      <c r="E923" t="s">
        <v>493</v>
      </c>
      <c r="F923" s="2">
        <v>5.39</v>
      </c>
    </row>
    <row r="924" spans="1:6" x14ac:dyDescent="0.25">
      <c r="A924" t="s">
        <v>607</v>
      </c>
      <c r="B924" t="s">
        <v>3221</v>
      </c>
      <c r="C924" t="s">
        <v>1953</v>
      </c>
      <c r="D924" t="s">
        <v>1954</v>
      </c>
      <c r="E924" t="s">
        <v>493</v>
      </c>
      <c r="F924" s="2">
        <v>5.39</v>
      </c>
    </row>
    <row r="925" spans="1:6" x14ac:dyDescent="0.25">
      <c r="A925" t="s">
        <v>608</v>
      </c>
      <c r="B925" t="s">
        <v>3222</v>
      </c>
      <c r="C925" t="s">
        <v>1953</v>
      </c>
      <c r="D925" t="s">
        <v>1954</v>
      </c>
      <c r="E925" t="s">
        <v>493</v>
      </c>
      <c r="F925" s="2">
        <v>5.39</v>
      </c>
    </row>
    <row r="926" spans="1:6" x14ac:dyDescent="0.25">
      <c r="A926" t="s">
        <v>610</v>
      </c>
      <c r="B926" t="s">
        <v>3223</v>
      </c>
      <c r="C926" t="s">
        <v>1953</v>
      </c>
      <c r="D926" t="s">
        <v>1954</v>
      </c>
      <c r="E926" t="s">
        <v>493</v>
      </c>
      <c r="F926" s="2">
        <v>5.39</v>
      </c>
    </row>
    <row r="927" spans="1:6" x14ac:dyDescent="0.25">
      <c r="A927" t="s">
        <v>611</v>
      </c>
      <c r="B927" t="s">
        <v>3224</v>
      </c>
      <c r="C927" t="s">
        <v>1953</v>
      </c>
      <c r="D927" t="s">
        <v>1954</v>
      </c>
      <c r="E927" t="s">
        <v>493</v>
      </c>
      <c r="F927" s="2">
        <v>5.39</v>
      </c>
    </row>
    <row r="928" spans="1:6" x14ac:dyDescent="0.25">
      <c r="A928" t="s">
        <v>613</v>
      </c>
      <c r="B928" t="s">
        <v>3225</v>
      </c>
      <c r="C928" t="s">
        <v>1953</v>
      </c>
      <c r="D928" t="s">
        <v>1954</v>
      </c>
      <c r="E928" t="s">
        <v>493</v>
      </c>
      <c r="F928" s="2">
        <v>5.39</v>
      </c>
    </row>
    <row r="929" spans="1:6" x14ac:dyDescent="0.25">
      <c r="A929" t="s">
        <v>614</v>
      </c>
      <c r="B929" t="s">
        <v>3226</v>
      </c>
      <c r="C929" t="s">
        <v>1953</v>
      </c>
      <c r="D929" t="s">
        <v>1954</v>
      </c>
      <c r="E929" t="s">
        <v>493</v>
      </c>
      <c r="F929" s="2">
        <v>5.39</v>
      </c>
    </row>
    <row r="930" spans="1:6" x14ac:dyDescent="0.25">
      <c r="A930" t="s">
        <v>616</v>
      </c>
      <c r="B930" t="s">
        <v>3227</v>
      </c>
      <c r="C930" t="s">
        <v>1953</v>
      </c>
      <c r="D930" t="s">
        <v>1954</v>
      </c>
      <c r="E930" t="s">
        <v>493</v>
      </c>
      <c r="F930" s="2">
        <v>5.39</v>
      </c>
    </row>
    <row r="931" spans="1:6" x14ac:dyDescent="0.25">
      <c r="A931" t="s">
        <v>617</v>
      </c>
      <c r="B931" t="s">
        <v>3228</v>
      </c>
      <c r="C931" t="s">
        <v>1953</v>
      </c>
      <c r="D931" t="s">
        <v>1954</v>
      </c>
      <c r="E931" t="s">
        <v>493</v>
      </c>
      <c r="F931" s="2">
        <v>5.39</v>
      </c>
    </row>
    <row r="932" spans="1:6" x14ac:dyDescent="0.25">
      <c r="A932" t="s">
        <v>619</v>
      </c>
      <c r="B932" t="s">
        <v>3229</v>
      </c>
      <c r="C932" t="s">
        <v>1953</v>
      </c>
      <c r="D932" t="s">
        <v>1954</v>
      </c>
      <c r="E932" t="s">
        <v>493</v>
      </c>
      <c r="F932" s="2">
        <v>5.39</v>
      </c>
    </row>
    <row r="933" spans="1:6" x14ac:dyDescent="0.25">
      <c r="A933" t="s">
        <v>620</v>
      </c>
      <c r="B933" t="s">
        <v>3230</v>
      </c>
      <c r="C933" t="s">
        <v>1953</v>
      </c>
      <c r="D933" t="s">
        <v>1954</v>
      </c>
      <c r="E933" t="s">
        <v>493</v>
      </c>
      <c r="F933" s="2">
        <v>5.39</v>
      </c>
    </row>
    <row r="934" spans="1:6" x14ac:dyDescent="0.25">
      <c r="A934" t="s">
        <v>622</v>
      </c>
      <c r="B934" t="s">
        <v>3231</v>
      </c>
      <c r="C934" t="s">
        <v>1953</v>
      </c>
      <c r="D934" t="s">
        <v>1954</v>
      </c>
      <c r="E934" t="s">
        <v>493</v>
      </c>
      <c r="F934" s="2">
        <v>5.39</v>
      </c>
    </row>
    <row r="935" spans="1:6" x14ac:dyDescent="0.25">
      <c r="A935" t="s">
        <v>623</v>
      </c>
      <c r="B935" t="s">
        <v>3232</v>
      </c>
      <c r="C935" t="s">
        <v>1953</v>
      </c>
      <c r="D935" t="s">
        <v>1954</v>
      </c>
      <c r="E935" t="s">
        <v>493</v>
      </c>
      <c r="F935" s="2">
        <v>5.39</v>
      </c>
    </row>
    <row r="936" spans="1:6" x14ac:dyDescent="0.25">
      <c r="A936" t="s">
        <v>625</v>
      </c>
      <c r="B936" t="s">
        <v>3233</v>
      </c>
      <c r="C936" t="s">
        <v>1953</v>
      </c>
      <c r="D936" t="s">
        <v>1954</v>
      </c>
      <c r="E936" t="s">
        <v>493</v>
      </c>
      <c r="F936" s="2">
        <v>5.39</v>
      </c>
    </row>
    <row r="937" spans="1:6" x14ac:dyDescent="0.25">
      <c r="A937" t="s">
        <v>626</v>
      </c>
      <c r="B937" t="s">
        <v>3234</v>
      </c>
      <c r="C937" t="s">
        <v>1953</v>
      </c>
      <c r="D937" t="s">
        <v>1954</v>
      </c>
      <c r="E937" t="s">
        <v>493</v>
      </c>
      <c r="F937" s="2">
        <v>5.39</v>
      </c>
    </row>
    <row r="938" spans="1:6" x14ac:dyDescent="0.25">
      <c r="A938" t="s">
        <v>628</v>
      </c>
      <c r="B938" t="s">
        <v>3235</v>
      </c>
      <c r="C938" t="s">
        <v>1953</v>
      </c>
      <c r="D938" t="s">
        <v>1954</v>
      </c>
      <c r="E938" t="s">
        <v>493</v>
      </c>
      <c r="F938" s="2">
        <v>5.39</v>
      </c>
    </row>
    <row r="939" spans="1:6" x14ac:dyDescent="0.25">
      <c r="A939" t="s">
        <v>629</v>
      </c>
      <c r="B939" t="s">
        <v>3236</v>
      </c>
      <c r="C939" t="s">
        <v>1953</v>
      </c>
      <c r="D939" t="s">
        <v>1954</v>
      </c>
      <c r="E939" t="s">
        <v>493</v>
      </c>
      <c r="F939" s="2">
        <v>5.39</v>
      </c>
    </row>
    <row r="940" spans="1:6" x14ac:dyDescent="0.25">
      <c r="A940" t="s">
        <v>631</v>
      </c>
      <c r="B940" t="s">
        <v>3237</v>
      </c>
      <c r="C940" t="s">
        <v>1953</v>
      </c>
      <c r="D940" t="s">
        <v>1954</v>
      </c>
      <c r="E940" t="s">
        <v>493</v>
      </c>
      <c r="F940" s="2">
        <v>5.39</v>
      </c>
    </row>
    <row r="941" spans="1:6" x14ac:dyDescent="0.25">
      <c r="A941" t="s">
        <v>632</v>
      </c>
      <c r="B941" t="s">
        <v>3238</v>
      </c>
      <c r="C941" t="s">
        <v>1953</v>
      </c>
      <c r="D941" t="s">
        <v>1954</v>
      </c>
      <c r="E941" t="s">
        <v>493</v>
      </c>
      <c r="F941" s="2">
        <v>5.39</v>
      </c>
    </row>
    <row r="942" spans="1:6" x14ac:dyDescent="0.25">
      <c r="A942" t="s">
        <v>634</v>
      </c>
      <c r="B942" t="s">
        <v>3239</v>
      </c>
      <c r="C942" t="s">
        <v>1953</v>
      </c>
      <c r="D942" t="s">
        <v>1954</v>
      </c>
      <c r="E942" t="s">
        <v>493</v>
      </c>
      <c r="F942" s="2">
        <v>5.39</v>
      </c>
    </row>
    <row r="943" spans="1:6" x14ac:dyDescent="0.25">
      <c r="A943" t="s">
        <v>635</v>
      </c>
      <c r="B943" t="s">
        <v>3240</v>
      </c>
      <c r="C943" t="s">
        <v>1953</v>
      </c>
      <c r="D943" t="s">
        <v>1954</v>
      </c>
      <c r="E943" t="s">
        <v>493</v>
      </c>
      <c r="F943" s="2">
        <v>5.39</v>
      </c>
    </row>
    <row r="944" spans="1:6" x14ac:dyDescent="0.25">
      <c r="A944" t="s">
        <v>637</v>
      </c>
      <c r="B944" t="s">
        <v>3241</v>
      </c>
      <c r="C944" t="s">
        <v>1953</v>
      </c>
      <c r="D944" t="s">
        <v>1954</v>
      </c>
      <c r="E944" t="s">
        <v>493</v>
      </c>
      <c r="F944" s="2">
        <v>5.39</v>
      </c>
    </row>
    <row r="945" spans="1:6" x14ac:dyDescent="0.25">
      <c r="A945" t="s">
        <v>638</v>
      </c>
      <c r="B945" t="s">
        <v>3242</v>
      </c>
      <c r="C945" t="s">
        <v>1953</v>
      </c>
      <c r="D945" t="s">
        <v>1954</v>
      </c>
      <c r="E945" t="s">
        <v>493</v>
      </c>
      <c r="F945" s="2">
        <v>5.39</v>
      </c>
    </row>
    <row r="946" spans="1:6" x14ac:dyDescent="0.25">
      <c r="A946" t="s">
        <v>640</v>
      </c>
      <c r="B946" t="s">
        <v>3243</v>
      </c>
      <c r="C946" t="s">
        <v>1953</v>
      </c>
      <c r="D946" t="s">
        <v>1954</v>
      </c>
      <c r="E946" t="s">
        <v>493</v>
      </c>
      <c r="F946" s="2">
        <v>5.39</v>
      </c>
    </row>
    <row r="947" spans="1:6" x14ac:dyDescent="0.25">
      <c r="A947" t="s">
        <v>641</v>
      </c>
      <c r="B947" t="s">
        <v>3244</v>
      </c>
      <c r="C947" t="s">
        <v>1953</v>
      </c>
      <c r="D947" t="s">
        <v>1954</v>
      </c>
      <c r="E947" t="s">
        <v>493</v>
      </c>
      <c r="F947" s="2">
        <v>5.39</v>
      </c>
    </row>
    <row r="948" spans="1:6" x14ac:dyDescent="0.25">
      <c r="A948" t="s">
        <v>643</v>
      </c>
      <c r="B948" t="s">
        <v>3245</v>
      </c>
      <c r="C948" t="s">
        <v>1953</v>
      </c>
      <c r="D948" t="s">
        <v>1954</v>
      </c>
      <c r="E948" t="s">
        <v>493</v>
      </c>
      <c r="F948" s="2">
        <v>5.39</v>
      </c>
    </row>
    <row r="949" spans="1:6" x14ac:dyDescent="0.25">
      <c r="A949" t="s">
        <v>644</v>
      </c>
      <c r="B949" t="s">
        <v>3246</v>
      </c>
      <c r="C949" t="s">
        <v>1953</v>
      </c>
      <c r="D949" t="s">
        <v>1954</v>
      </c>
      <c r="E949" t="s">
        <v>493</v>
      </c>
      <c r="F949" s="2">
        <v>5.39</v>
      </c>
    </row>
    <row r="950" spans="1:6" x14ac:dyDescent="0.25">
      <c r="A950" t="s">
        <v>646</v>
      </c>
      <c r="B950" t="s">
        <v>3247</v>
      </c>
      <c r="C950" t="s">
        <v>1953</v>
      </c>
      <c r="D950" t="s">
        <v>1954</v>
      </c>
      <c r="E950" t="s">
        <v>493</v>
      </c>
      <c r="F950" s="2">
        <v>5.39</v>
      </c>
    </row>
    <row r="951" spans="1:6" x14ac:dyDescent="0.25">
      <c r="A951" t="s">
        <v>647</v>
      </c>
      <c r="B951" t="s">
        <v>3248</v>
      </c>
      <c r="C951" t="s">
        <v>1953</v>
      </c>
      <c r="D951" t="s">
        <v>1954</v>
      </c>
      <c r="E951" t="s">
        <v>493</v>
      </c>
      <c r="F951" s="2">
        <v>5.39</v>
      </c>
    </row>
    <row r="952" spans="1:6" x14ac:dyDescent="0.25">
      <c r="A952" t="s">
        <v>649</v>
      </c>
      <c r="B952" t="s">
        <v>3249</v>
      </c>
      <c r="C952" t="s">
        <v>1953</v>
      </c>
      <c r="D952" t="s">
        <v>1954</v>
      </c>
      <c r="E952" t="s">
        <v>493</v>
      </c>
      <c r="F952" s="2">
        <v>5.39</v>
      </c>
    </row>
    <row r="953" spans="1:6" x14ac:dyDescent="0.25">
      <c r="A953" t="s">
        <v>650</v>
      </c>
      <c r="B953" t="s">
        <v>3250</v>
      </c>
      <c r="C953" t="s">
        <v>1953</v>
      </c>
      <c r="D953" t="s">
        <v>1954</v>
      </c>
      <c r="E953" t="s">
        <v>493</v>
      </c>
      <c r="F953" s="2">
        <v>5.39</v>
      </c>
    </row>
    <row r="954" spans="1:6" x14ac:dyDescent="0.25">
      <c r="A954" t="s">
        <v>652</v>
      </c>
      <c r="B954" t="s">
        <v>3251</v>
      </c>
      <c r="C954" t="s">
        <v>1953</v>
      </c>
      <c r="D954" t="s">
        <v>1954</v>
      </c>
      <c r="E954" t="s">
        <v>493</v>
      </c>
      <c r="F954" s="2">
        <v>5.39</v>
      </c>
    </row>
    <row r="955" spans="1:6" x14ac:dyDescent="0.25">
      <c r="A955" t="s">
        <v>653</v>
      </c>
      <c r="B955" t="s">
        <v>3252</v>
      </c>
      <c r="C955" t="s">
        <v>1953</v>
      </c>
      <c r="D955" t="s">
        <v>1954</v>
      </c>
      <c r="E955" t="s">
        <v>493</v>
      </c>
      <c r="F955" s="2">
        <v>5.39</v>
      </c>
    </row>
    <row r="956" spans="1:6" x14ac:dyDescent="0.25">
      <c r="A956" t="s">
        <v>655</v>
      </c>
      <c r="B956" t="s">
        <v>3253</v>
      </c>
      <c r="C956" t="s">
        <v>1953</v>
      </c>
      <c r="D956" t="s">
        <v>1954</v>
      </c>
      <c r="E956" t="s">
        <v>493</v>
      </c>
      <c r="F956" s="2">
        <v>5.39</v>
      </c>
    </row>
    <row r="957" spans="1:6" x14ac:dyDescent="0.25">
      <c r="A957" t="s">
        <v>656</v>
      </c>
      <c r="B957" t="s">
        <v>3254</v>
      </c>
      <c r="C957" t="s">
        <v>1953</v>
      </c>
      <c r="D957" t="s">
        <v>1954</v>
      </c>
      <c r="E957" t="s">
        <v>493</v>
      </c>
      <c r="F957" s="2">
        <v>5.39</v>
      </c>
    </row>
    <row r="958" spans="1:6" x14ac:dyDescent="0.25">
      <c r="A958" t="s">
        <v>3255</v>
      </c>
      <c r="B958" t="s">
        <v>3256</v>
      </c>
      <c r="C958" t="s">
        <v>1953</v>
      </c>
      <c r="D958" t="s">
        <v>1940</v>
      </c>
      <c r="F958" s="2">
        <v>2133.6</v>
      </c>
    </row>
    <row r="959" spans="1:6" x14ac:dyDescent="0.25">
      <c r="A959" t="s">
        <v>3257</v>
      </c>
      <c r="B959" t="s">
        <v>3258</v>
      </c>
      <c r="C959" t="s">
        <v>1953</v>
      </c>
      <c r="D959" t="s">
        <v>1940</v>
      </c>
      <c r="E959" t="s">
        <v>2022</v>
      </c>
      <c r="F959" s="2">
        <v>175.77</v>
      </c>
    </row>
    <row r="960" spans="1:6" x14ac:dyDescent="0.25">
      <c r="A960" t="s">
        <v>658</v>
      </c>
      <c r="B960" t="s">
        <v>3259</v>
      </c>
      <c r="C960" t="s">
        <v>1953</v>
      </c>
      <c r="D960" t="s">
        <v>1954</v>
      </c>
      <c r="E960" t="s">
        <v>493</v>
      </c>
      <c r="F960" s="2">
        <v>5.39</v>
      </c>
    </row>
    <row r="961" spans="1:6" x14ac:dyDescent="0.25">
      <c r="A961" t="s">
        <v>3260</v>
      </c>
      <c r="B961" t="s">
        <v>3261</v>
      </c>
      <c r="C961" t="s">
        <v>1953</v>
      </c>
      <c r="D961" t="s">
        <v>1940</v>
      </c>
      <c r="F961" s="2">
        <v>96.38</v>
      </c>
    </row>
    <row r="962" spans="1:6" x14ac:dyDescent="0.25">
      <c r="A962" t="s">
        <v>3262</v>
      </c>
      <c r="B962" t="s">
        <v>3263</v>
      </c>
      <c r="C962" t="s">
        <v>1953</v>
      </c>
      <c r="D962" t="s">
        <v>1940</v>
      </c>
      <c r="F962" s="2">
        <v>90.39</v>
      </c>
    </row>
    <row r="963" spans="1:6" x14ac:dyDescent="0.25">
      <c r="A963" t="s">
        <v>3264</v>
      </c>
      <c r="B963" t="s">
        <v>3265</v>
      </c>
      <c r="C963" t="s">
        <v>1953</v>
      </c>
      <c r="D963" t="s">
        <v>1940</v>
      </c>
      <c r="F963" s="2">
        <v>8.93</v>
      </c>
    </row>
    <row r="964" spans="1:6" x14ac:dyDescent="0.25">
      <c r="A964" t="s">
        <v>3266</v>
      </c>
      <c r="B964" t="s">
        <v>3267</v>
      </c>
      <c r="C964" t="s">
        <v>1953</v>
      </c>
      <c r="D964" t="s">
        <v>1940</v>
      </c>
      <c r="F964" s="2">
        <v>109.21</v>
      </c>
    </row>
    <row r="965" spans="1:6" x14ac:dyDescent="0.25">
      <c r="A965" t="s">
        <v>3268</v>
      </c>
      <c r="B965" t="s">
        <v>3269</v>
      </c>
      <c r="C965" t="s">
        <v>1953</v>
      </c>
      <c r="D965" t="s">
        <v>1940</v>
      </c>
      <c r="F965" s="2">
        <v>73.38</v>
      </c>
    </row>
    <row r="966" spans="1:6" x14ac:dyDescent="0.25">
      <c r="A966" t="s">
        <v>3270</v>
      </c>
      <c r="B966" t="s">
        <v>3271</v>
      </c>
      <c r="C966" t="s">
        <v>1953</v>
      </c>
      <c r="D966" t="s">
        <v>1940</v>
      </c>
      <c r="F966" s="2">
        <v>106.58</v>
      </c>
    </row>
    <row r="967" spans="1:6" x14ac:dyDescent="0.25">
      <c r="A967" t="s">
        <v>3272</v>
      </c>
      <c r="B967" t="s">
        <v>3273</v>
      </c>
      <c r="C967" t="s">
        <v>1953</v>
      </c>
      <c r="D967" t="s">
        <v>1940</v>
      </c>
      <c r="F967" s="2">
        <v>122.31</v>
      </c>
    </row>
    <row r="968" spans="1:6" x14ac:dyDescent="0.25">
      <c r="A968" t="s">
        <v>3274</v>
      </c>
      <c r="B968" t="s">
        <v>3275</v>
      </c>
      <c r="C968" t="s">
        <v>1953</v>
      </c>
      <c r="D968" t="s">
        <v>1940</v>
      </c>
      <c r="F968" s="2">
        <v>300.52</v>
      </c>
    </row>
    <row r="969" spans="1:6" x14ac:dyDescent="0.25">
      <c r="A969" t="s">
        <v>3276</v>
      </c>
      <c r="B969" t="s">
        <v>3277</v>
      </c>
      <c r="C969" t="s">
        <v>1953</v>
      </c>
      <c r="D969" t="s">
        <v>1940</v>
      </c>
      <c r="F969" s="2">
        <v>85.62</v>
      </c>
    </row>
    <row r="970" spans="1:6" x14ac:dyDescent="0.25">
      <c r="A970" t="s">
        <v>3278</v>
      </c>
      <c r="B970" t="s">
        <v>3279</v>
      </c>
      <c r="C970" t="s">
        <v>1953</v>
      </c>
      <c r="D970" t="s">
        <v>1940</v>
      </c>
      <c r="F970" s="2">
        <v>143.27000000000001</v>
      </c>
    </row>
    <row r="971" spans="1:6" x14ac:dyDescent="0.25">
      <c r="A971" t="s">
        <v>3280</v>
      </c>
      <c r="B971" t="s">
        <v>3281</v>
      </c>
      <c r="C971" t="s">
        <v>1953</v>
      </c>
      <c r="D971" t="s">
        <v>1940</v>
      </c>
      <c r="F971" s="2">
        <v>510.2</v>
      </c>
    </row>
    <row r="972" spans="1:6" x14ac:dyDescent="0.25">
      <c r="A972" t="s">
        <v>3282</v>
      </c>
      <c r="B972" t="s">
        <v>3283</v>
      </c>
      <c r="C972" t="s">
        <v>1953</v>
      </c>
      <c r="D972" t="s">
        <v>1940</v>
      </c>
      <c r="F972" s="2">
        <v>221.9</v>
      </c>
    </row>
    <row r="973" spans="1:6" x14ac:dyDescent="0.25">
      <c r="A973" t="s">
        <v>3284</v>
      </c>
      <c r="B973" t="s">
        <v>3285</v>
      </c>
      <c r="C973" t="s">
        <v>1953</v>
      </c>
      <c r="D973" t="s">
        <v>1940</v>
      </c>
      <c r="F973" s="2">
        <v>95.19</v>
      </c>
    </row>
    <row r="974" spans="1:6" x14ac:dyDescent="0.25">
      <c r="A974" t="s">
        <v>3286</v>
      </c>
      <c r="B974" t="s">
        <v>3287</v>
      </c>
      <c r="C974" t="s">
        <v>1953</v>
      </c>
      <c r="D974" t="s">
        <v>1940</v>
      </c>
      <c r="F974" s="2">
        <v>156.88</v>
      </c>
    </row>
    <row r="975" spans="1:6" x14ac:dyDescent="0.25">
      <c r="A975" t="s">
        <v>3288</v>
      </c>
      <c r="B975" t="s">
        <v>3289</v>
      </c>
      <c r="C975" t="s">
        <v>1953</v>
      </c>
      <c r="D975" t="s">
        <v>1940</v>
      </c>
      <c r="F975" s="2">
        <v>280.27999999999997</v>
      </c>
    </row>
    <row r="976" spans="1:6" x14ac:dyDescent="0.25">
      <c r="A976" t="s">
        <v>3290</v>
      </c>
      <c r="B976" t="s">
        <v>3291</v>
      </c>
      <c r="C976" t="s">
        <v>1953</v>
      </c>
      <c r="D976" t="s">
        <v>1940</v>
      </c>
      <c r="F976" s="2">
        <v>86.38</v>
      </c>
    </row>
    <row r="977" spans="1:6" x14ac:dyDescent="0.25">
      <c r="A977" t="s">
        <v>3292</v>
      </c>
      <c r="B977" t="s">
        <v>3293</v>
      </c>
      <c r="C977" t="s">
        <v>1953</v>
      </c>
      <c r="D977" t="s">
        <v>1940</v>
      </c>
      <c r="F977" s="2">
        <v>119.87</v>
      </c>
    </row>
    <row r="978" spans="1:6" x14ac:dyDescent="0.25">
      <c r="A978" t="s">
        <v>3294</v>
      </c>
      <c r="B978" t="s">
        <v>3295</v>
      </c>
      <c r="C978" t="s">
        <v>1953</v>
      </c>
      <c r="D978" t="s">
        <v>1940</v>
      </c>
      <c r="F978" s="2">
        <v>223.88</v>
      </c>
    </row>
    <row r="979" spans="1:6" x14ac:dyDescent="0.25">
      <c r="A979" t="s">
        <v>3296</v>
      </c>
      <c r="B979" t="s">
        <v>3297</v>
      </c>
      <c r="C979" t="s">
        <v>1953</v>
      </c>
      <c r="D979" t="s">
        <v>1940</v>
      </c>
      <c r="F979" s="2">
        <v>6.38</v>
      </c>
    </row>
    <row r="980" spans="1:6" x14ac:dyDescent="0.25">
      <c r="A980" t="s">
        <v>3298</v>
      </c>
      <c r="B980" t="s">
        <v>3299</v>
      </c>
      <c r="C980" t="s">
        <v>1953</v>
      </c>
      <c r="D980" t="s">
        <v>1940</v>
      </c>
      <c r="F980" s="2">
        <v>3.62</v>
      </c>
    </row>
    <row r="981" spans="1:6" x14ac:dyDescent="0.25">
      <c r="A981" t="s">
        <v>3300</v>
      </c>
      <c r="B981" t="s">
        <v>3301</v>
      </c>
      <c r="C981" t="s">
        <v>1953</v>
      </c>
      <c r="D981" t="s">
        <v>1940</v>
      </c>
      <c r="F981" s="2">
        <v>719.42</v>
      </c>
    </row>
    <row r="982" spans="1:6" x14ac:dyDescent="0.25">
      <c r="A982" t="s">
        <v>3302</v>
      </c>
      <c r="B982" t="s">
        <v>3303</v>
      </c>
      <c r="C982" t="s">
        <v>1953</v>
      </c>
      <c r="D982" t="s">
        <v>1940</v>
      </c>
      <c r="F982" s="2">
        <v>69.900000000000006</v>
      </c>
    </row>
    <row r="983" spans="1:6" x14ac:dyDescent="0.25">
      <c r="A983" t="s">
        <v>3304</v>
      </c>
      <c r="B983" t="s">
        <v>3305</v>
      </c>
      <c r="C983" t="s">
        <v>1953</v>
      </c>
      <c r="D983" t="s">
        <v>1940</v>
      </c>
      <c r="F983" s="2">
        <v>96.25</v>
      </c>
    </row>
    <row r="984" spans="1:6" x14ac:dyDescent="0.25">
      <c r="A984" t="s">
        <v>3306</v>
      </c>
      <c r="B984" t="s">
        <v>3307</v>
      </c>
      <c r="C984" t="s">
        <v>1953</v>
      </c>
      <c r="D984" t="s">
        <v>1940</v>
      </c>
      <c r="F984" s="2">
        <v>8.1199999999999992</v>
      </c>
    </row>
    <row r="985" spans="1:6" x14ac:dyDescent="0.25">
      <c r="A985" t="s">
        <v>3308</v>
      </c>
      <c r="B985" t="s">
        <v>3309</v>
      </c>
      <c r="C985" t="s">
        <v>1953</v>
      </c>
      <c r="D985" t="s">
        <v>1940</v>
      </c>
      <c r="F985" s="2">
        <v>53.29</v>
      </c>
    </row>
    <row r="986" spans="1:6" x14ac:dyDescent="0.25">
      <c r="A986" t="s">
        <v>659</v>
      </c>
      <c r="B986" t="s">
        <v>3310</v>
      </c>
      <c r="C986" t="s">
        <v>1953</v>
      </c>
      <c r="D986" t="s">
        <v>1954</v>
      </c>
      <c r="E986" t="s">
        <v>493</v>
      </c>
      <c r="F986" s="2">
        <v>5.39</v>
      </c>
    </row>
    <row r="987" spans="1:6" x14ac:dyDescent="0.25">
      <c r="A987" t="s">
        <v>3311</v>
      </c>
      <c r="B987" t="s">
        <v>3312</v>
      </c>
      <c r="C987" t="s">
        <v>1953</v>
      </c>
      <c r="D987" t="s">
        <v>1940</v>
      </c>
      <c r="F987" s="2">
        <v>175.2</v>
      </c>
    </row>
    <row r="988" spans="1:6" x14ac:dyDescent="0.25">
      <c r="A988" t="s">
        <v>3313</v>
      </c>
      <c r="B988" t="s">
        <v>3314</v>
      </c>
      <c r="C988" t="s">
        <v>1953</v>
      </c>
      <c r="D988" t="s">
        <v>1940</v>
      </c>
      <c r="F988" s="2">
        <v>222.35</v>
      </c>
    </row>
    <row r="989" spans="1:6" x14ac:dyDescent="0.25">
      <c r="A989" t="s">
        <v>3315</v>
      </c>
      <c r="B989" t="s">
        <v>3316</v>
      </c>
      <c r="C989" t="s">
        <v>1953</v>
      </c>
      <c r="D989" t="s">
        <v>1940</v>
      </c>
      <c r="F989" s="2">
        <v>35.5</v>
      </c>
    </row>
    <row r="990" spans="1:6" x14ac:dyDescent="0.25">
      <c r="A990" t="s">
        <v>661</v>
      </c>
      <c r="B990" t="s">
        <v>3317</v>
      </c>
      <c r="C990" t="s">
        <v>1953</v>
      </c>
      <c r="D990" t="s">
        <v>1954</v>
      </c>
      <c r="E990" t="s">
        <v>493</v>
      </c>
      <c r="F990" s="2">
        <v>5.39</v>
      </c>
    </row>
    <row r="991" spans="1:6" x14ac:dyDescent="0.25">
      <c r="A991" t="s">
        <v>662</v>
      </c>
      <c r="B991" t="s">
        <v>3318</v>
      </c>
      <c r="C991" t="s">
        <v>1953</v>
      </c>
      <c r="D991" t="s">
        <v>1954</v>
      </c>
      <c r="E991" t="s">
        <v>493</v>
      </c>
      <c r="F991" s="2">
        <v>5.39</v>
      </c>
    </row>
    <row r="992" spans="1:6" x14ac:dyDescent="0.25">
      <c r="A992" t="s">
        <v>3319</v>
      </c>
      <c r="B992" t="s">
        <v>3320</v>
      </c>
      <c r="C992" t="s">
        <v>1953</v>
      </c>
      <c r="D992" t="s">
        <v>1940</v>
      </c>
      <c r="F992" s="2">
        <v>1284.21</v>
      </c>
    </row>
    <row r="993" spans="1:6" x14ac:dyDescent="0.25">
      <c r="A993" t="s">
        <v>1176</v>
      </c>
      <c r="B993" t="s">
        <v>3321</v>
      </c>
      <c r="C993" t="s">
        <v>1953</v>
      </c>
      <c r="D993" t="s">
        <v>1954</v>
      </c>
      <c r="F993" s="2">
        <v>738.09</v>
      </c>
    </row>
    <row r="994" spans="1:6" x14ac:dyDescent="0.25">
      <c r="A994" t="s">
        <v>3322</v>
      </c>
      <c r="B994" t="s">
        <v>3323</v>
      </c>
      <c r="C994" t="s">
        <v>1953</v>
      </c>
      <c r="D994" t="s">
        <v>1954</v>
      </c>
      <c r="F994" s="2">
        <v>324.76</v>
      </c>
    </row>
    <row r="995" spans="1:6" x14ac:dyDescent="0.25">
      <c r="A995" t="s">
        <v>3324</v>
      </c>
      <c r="B995" t="s">
        <v>3325</v>
      </c>
      <c r="C995" t="s">
        <v>1953</v>
      </c>
      <c r="D995" t="s">
        <v>1954</v>
      </c>
      <c r="F995" s="2">
        <v>2633.4</v>
      </c>
    </row>
    <row r="996" spans="1:6" x14ac:dyDescent="0.25">
      <c r="A996" t="s">
        <v>3326</v>
      </c>
      <c r="B996" t="s">
        <v>3327</v>
      </c>
      <c r="C996" t="s">
        <v>1953</v>
      </c>
      <c r="D996" t="s">
        <v>1940</v>
      </c>
      <c r="F996" s="2">
        <v>99.07</v>
      </c>
    </row>
    <row r="997" spans="1:6" x14ac:dyDescent="0.25">
      <c r="A997" t="s">
        <v>3328</v>
      </c>
      <c r="B997" t="s">
        <v>3329</v>
      </c>
      <c r="C997" t="s">
        <v>1953</v>
      </c>
      <c r="D997" t="s">
        <v>1940</v>
      </c>
      <c r="E997" t="s">
        <v>164</v>
      </c>
      <c r="F997" s="2">
        <v>320.14</v>
      </c>
    </row>
    <row r="998" spans="1:6" x14ac:dyDescent="0.25">
      <c r="A998" t="s">
        <v>3330</v>
      </c>
      <c r="B998" t="s">
        <v>3331</v>
      </c>
      <c r="C998" t="s">
        <v>1953</v>
      </c>
      <c r="D998" t="s">
        <v>1940</v>
      </c>
      <c r="F998" s="2">
        <v>226.44</v>
      </c>
    </row>
    <row r="999" spans="1:6" x14ac:dyDescent="0.25">
      <c r="A999" t="s">
        <v>3332</v>
      </c>
      <c r="B999" t="s">
        <v>3333</v>
      </c>
      <c r="C999" t="s">
        <v>1953</v>
      </c>
      <c r="D999" t="s">
        <v>1940</v>
      </c>
      <c r="F999" s="2">
        <v>9.61</v>
      </c>
    </row>
    <row r="1000" spans="1:6" x14ac:dyDescent="0.25">
      <c r="A1000" t="s">
        <v>3334</v>
      </c>
      <c r="B1000" t="s">
        <v>3335</v>
      </c>
      <c r="C1000" t="s">
        <v>1953</v>
      </c>
      <c r="D1000" t="s">
        <v>1940</v>
      </c>
      <c r="F1000" s="2">
        <v>165.11</v>
      </c>
    </row>
    <row r="1001" spans="1:6" x14ac:dyDescent="0.25">
      <c r="A1001" t="s">
        <v>166</v>
      </c>
      <c r="B1001" t="s">
        <v>3336</v>
      </c>
      <c r="C1001" t="s">
        <v>1953</v>
      </c>
      <c r="D1001" t="s">
        <v>1954</v>
      </c>
      <c r="E1001" t="s">
        <v>164</v>
      </c>
      <c r="F1001" s="2">
        <v>520.21</v>
      </c>
    </row>
    <row r="1002" spans="1:6" x14ac:dyDescent="0.25">
      <c r="A1002" t="s">
        <v>3337</v>
      </c>
      <c r="B1002" t="s">
        <v>3338</v>
      </c>
      <c r="C1002" t="s">
        <v>1953</v>
      </c>
      <c r="D1002" t="s">
        <v>1954</v>
      </c>
      <c r="E1002" t="s">
        <v>164</v>
      </c>
      <c r="F1002" s="2">
        <v>362.17</v>
      </c>
    </row>
    <row r="1003" spans="1:6" x14ac:dyDescent="0.25">
      <c r="A1003" t="s">
        <v>3339</v>
      </c>
      <c r="B1003" t="s">
        <v>3340</v>
      </c>
      <c r="C1003" t="s">
        <v>1953</v>
      </c>
      <c r="D1003" t="s">
        <v>1954</v>
      </c>
      <c r="E1003" t="s">
        <v>219</v>
      </c>
      <c r="F1003" s="2">
        <v>330.84</v>
      </c>
    </row>
    <row r="1004" spans="1:6" x14ac:dyDescent="0.25">
      <c r="A1004" t="s">
        <v>3341</v>
      </c>
      <c r="B1004" t="s">
        <v>3342</v>
      </c>
      <c r="C1004" t="s">
        <v>1953</v>
      </c>
      <c r="D1004" t="s">
        <v>1940</v>
      </c>
      <c r="F1004" s="2">
        <v>686.12</v>
      </c>
    </row>
    <row r="1005" spans="1:6" x14ac:dyDescent="0.25">
      <c r="A1005" t="s">
        <v>1177</v>
      </c>
      <c r="B1005" t="s">
        <v>3343</v>
      </c>
      <c r="C1005" t="s">
        <v>1953</v>
      </c>
      <c r="D1005" t="s">
        <v>1954</v>
      </c>
      <c r="F1005" s="2">
        <v>44.34</v>
      </c>
    </row>
    <row r="1006" spans="1:6" x14ac:dyDescent="0.25">
      <c r="A1006" t="s">
        <v>3344</v>
      </c>
      <c r="B1006" t="s">
        <v>3345</v>
      </c>
      <c r="C1006" t="s">
        <v>1953</v>
      </c>
      <c r="D1006" t="s">
        <v>1940</v>
      </c>
      <c r="F1006" s="2">
        <v>123.39</v>
      </c>
    </row>
    <row r="1007" spans="1:6" x14ac:dyDescent="0.25">
      <c r="A1007" t="s">
        <v>3346</v>
      </c>
      <c r="B1007" t="s">
        <v>3347</v>
      </c>
      <c r="C1007" t="s">
        <v>1953</v>
      </c>
      <c r="D1007" t="s">
        <v>1940</v>
      </c>
      <c r="F1007" s="2">
        <v>63.46</v>
      </c>
    </row>
    <row r="1008" spans="1:6" x14ac:dyDescent="0.25">
      <c r="A1008" t="s">
        <v>3348</v>
      </c>
      <c r="B1008" t="s">
        <v>3349</v>
      </c>
      <c r="C1008" t="s">
        <v>1953</v>
      </c>
      <c r="D1008" t="s">
        <v>1940</v>
      </c>
      <c r="F1008" s="2">
        <v>93.43</v>
      </c>
    </row>
    <row r="1009" spans="1:6" x14ac:dyDescent="0.25">
      <c r="A1009" t="s">
        <v>3350</v>
      </c>
      <c r="B1009" t="s">
        <v>3351</v>
      </c>
      <c r="C1009" t="s">
        <v>1953</v>
      </c>
      <c r="D1009" t="s">
        <v>1940</v>
      </c>
      <c r="F1009" s="2">
        <v>296.14</v>
      </c>
    </row>
    <row r="1010" spans="1:6" x14ac:dyDescent="0.25">
      <c r="A1010" t="s">
        <v>3352</v>
      </c>
      <c r="B1010" t="s">
        <v>3353</v>
      </c>
      <c r="C1010" t="s">
        <v>1953</v>
      </c>
      <c r="D1010" t="s">
        <v>1940</v>
      </c>
      <c r="F1010" s="2">
        <v>45.34</v>
      </c>
    </row>
    <row r="1011" spans="1:6" x14ac:dyDescent="0.25">
      <c r="A1011" t="s">
        <v>3354</v>
      </c>
      <c r="B1011" t="s">
        <v>3355</v>
      </c>
      <c r="C1011" t="s">
        <v>1953</v>
      </c>
      <c r="D1011" t="s">
        <v>1940</v>
      </c>
      <c r="F1011" s="2">
        <v>10.09</v>
      </c>
    </row>
    <row r="1012" spans="1:6" x14ac:dyDescent="0.25">
      <c r="A1012" t="s">
        <v>664</v>
      </c>
      <c r="B1012" t="s">
        <v>3356</v>
      </c>
      <c r="C1012" t="s">
        <v>1953</v>
      </c>
      <c r="D1012" t="s">
        <v>1954</v>
      </c>
      <c r="E1012" t="s">
        <v>493</v>
      </c>
      <c r="F1012" s="2">
        <v>5.39</v>
      </c>
    </row>
    <row r="1013" spans="1:6" x14ac:dyDescent="0.25">
      <c r="A1013" t="s">
        <v>665</v>
      </c>
      <c r="B1013" t="s">
        <v>3357</v>
      </c>
      <c r="C1013" t="s">
        <v>1953</v>
      </c>
      <c r="D1013" t="s">
        <v>1954</v>
      </c>
      <c r="E1013" t="s">
        <v>493</v>
      </c>
      <c r="F1013" s="2">
        <v>5.39</v>
      </c>
    </row>
    <row r="1014" spans="1:6" x14ac:dyDescent="0.25">
      <c r="A1014" t="s">
        <v>667</v>
      </c>
      <c r="B1014" t="s">
        <v>3358</v>
      </c>
      <c r="C1014" t="s">
        <v>1953</v>
      </c>
      <c r="D1014" t="s">
        <v>1954</v>
      </c>
      <c r="E1014" t="s">
        <v>493</v>
      </c>
      <c r="F1014" s="2">
        <v>5.39</v>
      </c>
    </row>
    <row r="1015" spans="1:6" x14ac:dyDescent="0.25">
      <c r="A1015" t="s">
        <v>668</v>
      </c>
      <c r="B1015" t="s">
        <v>3359</v>
      </c>
      <c r="C1015" t="s">
        <v>1953</v>
      </c>
      <c r="D1015" t="s">
        <v>1954</v>
      </c>
      <c r="E1015" t="s">
        <v>493</v>
      </c>
      <c r="F1015" s="2">
        <v>5.39</v>
      </c>
    </row>
    <row r="1016" spans="1:6" x14ac:dyDescent="0.25">
      <c r="A1016" t="s">
        <v>3360</v>
      </c>
      <c r="B1016" t="s">
        <v>3361</v>
      </c>
      <c r="C1016" t="s">
        <v>1953</v>
      </c>
      <c r="D1016" t="s">
        <v>1954</v>
      </c>
      <c r="F1016" s="2">
        <v>259.2</v>
      </c>
    </row>
    <row r="1017" spans="1:6" x14ac:dyDescent="0.25">
      <c r="A1017" t="s">
        <v>3362</v>
      </c>
      <c r="B1017" t="s">
        <v>3363</v>
      </c>
      <c r="C1017" t="s">
        <v>1953</v>
      </c>
      <c r="D1017" t="s">
        <v>1954</v>
      </c>
      <c r="E1017" t="s">
        <v>711</v>
      </c>
      <c r="F1017" s="2">
        <v>16.670000000000002</v>
      </c>
    </row>
    <row r="1018" spans="1:6" x14ac:dyDescent="0.25">
      <c r="A1018" t="s">
        <v>3364</v>
      </c>
      <c r="B1018" t="s">
        <v>3365</v>
      </c>
      <c r="C1018" t="s">
        <v>1953</v>
      </c>
      <c r="D1018" t="s">
        <v>1940</v>
      </c>
      <c r="F1018" s="2">
        <v>117.9</v>
      </c>
    </row>
    <row r="1019" spans="1:6" x14ac:dyDescent="0.25">
      <c r="A1019" t="s">
        <v>3366</v>
      </c>
      <c r="B1019" t="s">
        <v>3367</v>
      </c>
      <c r="C1019" t="s">
        <v>1953</v>
      </c>
      <c r="D1019" t="s">
        <v>1940</v>
      </c>
      <c r="F1019" s="2">
        <v>14.21</v>
      </c>
    </row>
    <row r="1020" spans="1:6" x14ac:dyDescent="0.25">
      <c r="A1020" t="s">
        <v>3368</v>
      </c>
      <c r="B1020" t="s">
        <v>3369</v>
      </c>
      <c r="C1020" t="s">
        <v>1953</v>
      </c>
      <c r="D1020" t="s">
        <v>1954</v>
      </c>
      <c r="E1020" t="s">
        <v>3370</v>
      </c>
      <c r="F1020" s="2">
        <v>104.94</v>
      </c>
    </row>
    <row r="1021" spans="1:6" x14ac:dyDescent="0.25">
      <c r="A1021" t="s">
        <v>3371</v>
      </c>
      <c r="B1021" t="s">
        <v>3372</v>
      </c>
      <c r="C1021" t="s">
        <v>1953</v>
      </c>
      <c r="D1021" t="s">
        <v>1954</v>
      </c>
      <c r="E1021" t="s">
        <v>3370</v>
      </c>
      <c r="F1021" s="2">
        <v>104.94</v>
      </c>
    </row>
    <row r="1022" spans="1:6" x14ac:dyDescent="0.25">
      <c r="A1022" t="s">
        <v>3373</v>
      </c>
      <c r="B1022" t="s">
        <v>3374</v>
      </c>
      <c r="C1022" t="s">
        <v>1953</v>
      </c>
      <c r="D1022" t="s">
        <v>1954</v>
      </c>
      <c r="E1022" t="s">
        <v>3370</v>
      </c>
      <c r="F1022" s="2">
        <v>104.94</v>
      </c>
    </row>
    <row r="1023" spans="1:6" x14ac:dyDescent="0.25">
      <c r="A1023" t="s">
        <v>3375</v>
      </c>
      <c r="B1023" t="s">
        <v>3376</v>
      </c>
      <c r="C1023" t="s">
        <v>1953</v>
      </c>
      <c r="D1023" t="s">
        <v>1954</v>
      </c>
      <c r="E1023" t="s">
        <v>3370</v>
      </c>
      <c r="F1023" s="2">
        <v>104.94</v>
      </c>
    </row>
    <row r="1024" spans="1:6" x14ac:dyDescent="0.25">
      <c r="A1024" t="s">
        <v>3377</v>
      </c>
      <c r="B1024" t="s">
        <v>3378</v>
      </c>
      <c r="C1024" t="s">
        <v>1953</v>
      </c>
      <c r="D1024" t="s">
        <v>1954</v>
      </c>
      <c r="E1024" t="s">
        <v>3370</v>
      </c>
      <c r="F1024" s="2">
        <v>104.94</v>
      </c>
    </row>
    <row r="1025" spans="1:6" x14ac:dyDescent="0.25">
      <c r="A1025" t="s">
        <v>3379</v>
      </c>
      <c r="B1025" t="s">
        <v>3380</v>
      </c>
      <c r="C1025" t="s">
        <v>1953</v>
      </c>
      <c r="D1025" t="s">
        <v>1954</v>
      </c>
      <c r="E1025" t="s">
        <v>3370</v>
      </c>
      <c r="F1025" s="2">
        <v>104.94</v>
      </c>
    </row>
    <row r="1026" spans="1:6" x14ac:dyDescent="0.25">
      <c r="A1026" t="s">
        <v>3381</v>
      </c>
      <c r="B1026" t="s">
        <v>3382</v>
      </c>
      <c r="C1026" t="s">
        <v>1953</v>
      </c>
      <c r="D1026" t="s">
        <v>1954</v>
      </c>
      <c r="E1026" t="s">
        <v>3370</v>
      </c>
      <c r="F1026" s="2">
        <v>104.94</v>
      </c>
    </row>
    <row r="1027" spans="1:6" x14ac:dyDescent="0.25">
      <c r="A1027" t="s">
        <v>3383</v>
      </c>
      <c r="B1027" t="s">
        <v>3384</v>
      </c>
      <c r="C1027" t="s">
        <v>1953</v>
      </c>
      <c r="D1027" t="s">
        <v>1954</v>
      </c>
      <c r="F1027" s="2">
        <v>55.12</v>
      </c>
    </row>
    <row r="1028" spans="1:6" x14ac:dyDescent="0.25">
      <c r="A1028" t="s">
        <v>3385</v>
      </c>
      <c r="B1028" t="s">
        <v>3386</v>
      </c>
      <c r="C1028" t="s">
        <v>1953</v>
      </c>
      <c r="D1028" t="s">
        <v>1954</v>
      </c>
      <c r="E1028" t="s">
        <v>3370</v>
      </c>
      <c r="F1028" s="2">
        <v>104.94</v>
      </c>
    </row>
    <row r="1029" spans="1:6" x14ac:dyDescent="0.25">
      <c r="A1029" t="s">
        <v>670</v>
      </c>
      <c r="B1029" t="s">
        <v>3387</v>
      </c>
      <c r="C1029" t="s">
        <v>1953</v>
      </c>
      <c r="D1029" t="s">
        <v>1954</v>
      </c>
      <c r="E1029" t="s">
        <v>493</v>
      </c>
      <c r="F1029" s="2">
        <v>5.39</v>
      </c>
    </row>
    <row r="1030" spans="1:6" x14ac:dyDescent="0.25">
      <c r="A1030" t="s">
        <v>3388</v>
      </c>
      <c r="B1030" t="s">
        <v>3389</v>
      </c>
      <c r="C1030" t="s">
        <v>1953</v>
      </c>
      <c r="D1030" t="s">
        <v>1954</v>
      </c>
      <c r="E1030" t="s">
        <v>710</v>
      </c>
      <c r="F1030" s="2">
        <v>167.78</v>
      </c>
    </row>
    <row r="1031" spans="1:6" x14ac:dyDescent="0.25">
      <c r="A1031" t="s">
        <v>3390</v>
      </c>
      <c r="B1031" t="s">
        <v>3391</v>
      </c>
      <c r="C1031" t="s">
        <v>1953</v>
      </c>
      <c r="D1031" t="s">
        <v>1954</v>
      </c>
      <c r="E1031" t="s">
        <v>943</v>
      </c>
      <c r="F1031" s="2">
        <v>8.26</v>
      </c>
    </row>
    <row r="1032" spans="1:6" x14ac:dyDescent="0.25">
      <c r="A1032" t="s">
        <v>3392</v>
      </c>
      <c r="B1032" t="s">
        <v>3393</v>
      </c>
      <c r="C1032" t="s">
        <v>1953</v>
      </c>
      <c r="D1032" t="s">
        <v>1954</v>
      </c>
      <c r="E1032" t="s">
        <v>943</v>
      </c>
      <c r="F1032" s="2">
        <v>8.26</v>
      </c>
    </row>
    <row r="1033" spans="1:6" x14ac:dyDescent="0.25">
      <c r="A1033" t="s">
        <v>3394</v>
      </c>
      <c r="B1033" t="s">
        <v>3395</v>
      </c>
      <c r="C1033" t="s">
        <v>1953</v>
      </c>
      <c r="D1033" t="s">
        <v>1954</v>
      </c>
      <c r="E1033" t="s">
        <v>943</v>
      </c>
      <c r="F1033" s="2">
        <v>8.26</v>
      </c>
    </row>
    <row r="1034" spans="1:6" x14ac:dyDescent="0.25">
      <c r="A1034" t="s">
        <v>3396</v>
      </c>
      <c r="B1034" t="s">
        <v>3397</v>
      </c>
      <c r="C1034" t="s">
        <v>1953</v>
      </c>
      <c r="D1034" t="s">
        <v>1954</v>
      </c>
      <c r="E1034" t="s">
        <v>943</v>
      </c>
      <c r="F1034" s="2">
        <v>8.26</v>
      </c>
    </row>
    <row r="1035" spans="1:6" x14ac:dyDescent="0.25">
      <c r="A1035" t="s">
        <v>3398</v>
      </c>
      <c r="B1035" t="s">
        <v>3399</v>
      </c>
      <c r="C1035" t="s">
        <v>1953</v>
      </c>
      <c r="D1035" t="s">
        <v>1954</v>
      </c>
      <c r="E1035" t="s">
        <v>943</v>
      </c>
      <c r="F1035" s="2">
        <v>8.26</v>
      </c>
    </row>
    <row r="1036" spans="1:6" x14ac:dyDescent="0.25">
      <c r="A1036" t="s">
        <v>3400</v>
      </c>
      <c r="B1036" t="s">
        <v>3401</v>
      </c>
      <c r="C1036" t="s">
        <v>1953</v>
      </c>
      <c r="D1036" t="s">
        <v>1954</v>
      </c>
      <c r="E1036" t="s">
        <v>943</v>
      </c>
      <c r="F1036" s="2">
        <v>8.26</v>
      </c>
    </row>
    <row r="1037" spans="1:6" x14ac:dyDescent="0.25">
      <c r="A1037" t="s">
        <v>3402</v>
      </c>
      <c r="B1037" t="s">
        <v>3403</v>
      </c>
      <c r="C1037" t="s">
        <v>1953</v>
      </c>
      <c r="D1037" t="s">
        <v>1954</v>
      </c>
      <c r="E1037" t="s">
        <v>943</v>
      </c>
      <c r="F1037" s="2">
        <v>8.26</v>
      </c>
    </row>
    <row r="1038" spans="1:6" x14ac:dyDescent="0.25">
      <c r="A1038" t="s">
        <v>3404</v>
      </c>
      <c r="B1038" t="s">
        <v>3405</v>
      </c>
      <c r="C1038" t="s">
        <v>1953</v>
      </c>
      <c r="D1038" t="s">
        <v>1954</v>
      </c>
      <c r="E1038" t="s">
        <v>943</v>
      </c>
      <c r="F1038" s="2">
        <v>8.26</v>
      </c>
    </row>
    <row r="1039" spans="1:6" x14ac:dyDescent="0.25">
      <c r="A1039" t="s">
        <v>3406</v>
      </c>
      <c r="B1039" t="s">
        <v>3407</v>
      </c>
      <c r="C1039" t="s">
        <v>1953</v>
      </c>
      <c r="D1039" t="s">
        <v>1954</v>
      </c>
      <c r="E1039" t="s">
        <v>943</v>
      </c>
      <c r="F1039" s="2">
        <v>8.26</v>
      </c>
    </row>
    <row r="1040" spans="1:6" x14ac:dyDescent="0.25">
      <c r="A1040" t="s">
        <v>3408</v>
      </c>
      <c r="B1040" t="s">
        <v>3409</v>
      </c>
      <c r="C1040" t="s">
        <v>1953</v>
      </c>
      <c r="D1040" t="s">
        <v>1954</v>
      </c>
      <c r="E1040" t="s">
        <v>943</v>
      </c>
      <c r="F1040" s="2">
        <v>8.26</v>
      </c>
    </row>
    <row r="1041" spans="1:6" x14ac:dyDescent="0.25">
      <c r="A1041" t="s">
        <v>3410</v>
      </c>
      <c r="B1041" t="s">
        <v>3411</v>
      </c>
      <c r="C1041" t="s">
        <v>1953</v>
      </c>
      <c r="D1041" t="s">
        <v>1954</v>
      </c>
      <c r="E1041" t="s">
        <v>943</v>
      </c>
      <c r="F1041" s="2">
        <v>8.26</v>
      </c>
    </row>
    <row r="1042" spans="1:6" x14ac:dyDescent="0.25">
      <c r="A1042" t="s">
        <v>3412</v>
      </c>
      <c r="B1042" t="s">
        <v>3413</v>
      </c>
      <c r="C1042" t="s">
        <v>1953</v>
      </c>
      <c r="D1042" t="s">
        <v>1954</v>
      </c>
      <c r="E1042" t="s">
        <v>943</v>
      </c>
      <c r="F1042" s="2">
        <v>8.26</v>
      </c>
    </row>
    <row r="1043" spans="1:6" x14ac:dyDescent="0.25">
      <c r="A1043" t="s">
        <v>3414</v>
      </c>
      <c r="B1043" t="s">
        <v>3415</v>
      </c>
      <c r="C1043" t="s">
        <v>1953</v>
      </c>
      <c r="D1043" t="s">
        <v>1954</v>
      </c>
      <c r="E1043" t="s">
        <v>943</v>
      </c>
      <c r="F1043" s="2">
        <v>8.26</v>
      </c>
    </row>
    <row r="1044" spans="1:6" x14ac:dyDescent="0.25">
      <c r="A1044" t="s">
        <v>3416</v>
      </c>
      <c r="B1044" t="s">
        <v>3417</v>
      </c>
      <c r="C1044" t="s">
        <v>1953</v>
      </c>
      <c r="D1044" t="s">
        <v>1954</v>
      </c>
      <c r="E1044" t="s">
        <v>943</v>
      </c>
      <c r="F1044" s="2">
        <v>8.26</v>
      </c>
    </row>
    <row r="1045" spans="1:6" x14ac:dyDescent="0.25">
      <c r="A1045" t="s">
        <v>3418</v>
      </c>
      <c r="B1045" t="s">
        <v>3419</v>
      </c>
      <c r="C1045" t="s">
        <v>1953</v>
      </c>
      <c r="D1045" t="s">
        <v>1954</v>
      </c>
      <c r="E1045" t="s">
        <v>943</v>
      </c>
      <c r="F1045" s="2">
        <v>8.26</v>
      </c>
    </row>
    <row r="1046" spans="1:6" x14ac:dyDescent="0.25">
      <c r="A1046" t="s">
        <v>3420</v>
      </c>
      <c r="B1046" t="s">
        <v>3421</v>
      </c>
      <c r="C1046" t="s">
        <v>1953</v>
      </c>
      <c r="D1046" t="s">
        <v>1954</v>
      </c>
      <c r="E1046" t="s">
        <v>943</v>
      </c>
      <c r="F1046" s="2">
        <v>8.26</v>
      </c>
    </row>
    <row r="1047" spans="1:6" x14ac:dyDescent="0.25">
      <c r="A1047" t="s">
        <v>3422</v>
      </c>
      <c r="B1047" t="s">
        <v>3423</v>
      </c>
      <c r="C1047" t="s">
        <v>1953</v>
      </c>
      <c r="D1047" t="s">
        <v>1954</v>
      </c>
      <c r="E1047" t="s">
        <v>943</v>
      </c>
      <c r="F1047" s="2">
        <v>8.26</v>
      </c>
    </row>
    <row r="1048" spans="1:6" x14ac:dyDescent="0.25">
      <c r="A1048" t="s">
        <v>3424</v>
      </c>
      <c r="B1048" t="s">
        <v>3425</v>
      </c>
      <c r="C1048" t="s">
        <v>1953</v>
      </c>
      <c r="D1048" t="s">
        <v>1954</v>
      </c>
      <c r="E1048" t="s">
        <v>943</v>
      </c>
      <c r="F1048" s="2">
        <v>8.26</v>
      </c>
    </row>
    <row r="1049" spans="1:6" x14ac:dyDescent="0.25">
      <c r="A1049" t="s">
        <v>3426</v>
      </c>
      <c r="B1049" t="s">
        <v>3427</v>
      </c>
      <c r="C1049" t="s">
        <v>1953</v>
      </c>
      <c r="D1049" t="s">
        <v>1954</v>
      </c>
      <c r="E1049" t="s">
        <v>943</v>
      </c>
      <c r="F1049" s="2">
        <v>8.26</v>
      </c>
    </row>
    <row r="1050" spans="1:6" x14ac:dyDescent="0.25">
      <c r="A1050" t="s">
        <v>3428</v>
      </c>
      <c r="B1050" t="s">
        <v>3429</v>
      </c>
      <c r="C1050" t="s">
        <v>1953</v>
      </c>
      <c r="D1050" t="s">
        <v>1940</v>
      </c>
      <c r="F1050" s="2">
        <v>348.59</v>
      </c>
    </row>
    <row r="1051" spans="1:6" x14ac:dyDescent="0.25">
      <c r="A1051" t="s">
        <v>3430</v>
      </c>
      <c r="B1051" t="s">
        <v>3431</v>
      </c>
      <c r="C1051" t="s">
        <v>1953</v>
      </c>
      <c r="D1051" t="s">
        <v>1940</v>
      </c>
      <c r="F1051" s="2">
        <v>9.61</v>
      </c>
    </row>
    <row r="1052" spans="1:6" x14ac:dyDescent="0.25">
      <c r="A1052" t="s">
        <v>3432</v>
      </c>
      <c r="B1052" t="s">
        <v>3433</v>
      </c>
      <c r="C1052" t="s">
        <v>1953</v>
      </c>
      <c r="D1052" t="s">
        <v>1940</v>
      </c>
      <c r="F1052" s="2">
        <v>29.87</v>
      </c>
    </row>
    <row r="1053" spans="1:6" x14ac:dyDescent="0.25">
      <c r="A1053" t="s">
        <v>3434</v>
      </c>
      <c r="B1053" t="s">
        <v>3435</v>
      </c>
      <c r="C1053" t="s">
        <v>1953</v>
      </c>
      <c r="D1053" t="s">
        <v>1940</v>
      </c>
      <c r="F1053" s="2">
        <v>29.87</v>
      </c>
    </row>
    <row r="1054" spans="1:6" x14ac:dyDescent="0.25">
      <c r="A1054" t="s">
        <v>3436</v>
      </c>
      <c r="B1054" t="s">
        <v>3437</v>
      </c>
      <c r="C1054" t="s">
        <v>1953</v>
      </c>
      <c r="D1054" t="s">
        <v>1940</v>
      </c>
      <c r="F1054" s="2">
        <v>29.87</v>
      </c>
    </row>
    <row r="1055" spans="1:6" x14ac:dyDescent="0.25">
      <c r="A1055" t="s">
        <v>3438</v>
      </c>
      <c r="B1055" t="s">
        <v>3439</v>
      </c>
      <c r="C1055" t="s">
        <v>1953</v>
      </c>
      <c r="D1055" t="s">
        <v>1940</v>
      </c>
      <c r="F1055" s="2">
        <v>95.2</v>
      </c>
    </row>
    <row r="1056" spans="1:6" x14ac:dyDescent="0.25">
      <c r="A1056" t="s">
        <v>3440</v>
      </c>
      <c r="B1056" t="s">
        <v>3441</v>
      </c>
      <c r="C1056" t="s">
        <v>1953</v>
      </c>
      <c r="D1056" t="s">
        <v>1940</v>
      </c>
      <c r="F1056" s="2">
        <v>263.79000000000002</v>
      </c>
    </row>
    <row r="1057" spans="1:6" x14ac:dyDescent="0.25">
      <c r="A1057" t="s">
        <v>3442</v>
      </c>
      <c r="B1057" t="s">
        <v>3443</v>
      </c>
      <c r="C1057" t="s">
        <v>1953</v>
      </c>
      <c r="D1057" t="s">
        <v>1954</v>
      </c>
      <c r="F1057" s="2">
        <v>33.89</v>
      </c>
    </row>
    <row r="1058" spans="1:6" x14ac:dyDescent="0.25">
      <c r="A1058" t="s">
        <v>3444</v>
      </c>
      <c r="B1058" t="s">
        <v>3445</v>
      </c>
      <c r="C1058" t="s">
        <v>1953</v>
      </c>
      <c r="D1058" t="s">
        <v>1940</v>
      </c>
      <c r="F1058" s="2">
        <v>20.38</v>
      </c>
    </row>
    <row r="1059" spans="1:6" x14ac:dyDescent="0.25">
      <c r="A1059" t="s">
        <v>3446</v>
      </c>
      <c r="B1059" t="s">
        <v>3447</v>
      </c>
      <c r="C1059" t="s">
        <v>1953</v>
      </c>
      <c r="D1059" t="s">
        <v>1954</v>
      </c>
      <c r="F1059" s="2">
        <v>13722.29</v>
      </c>
    </row>
    <row r="1060" spans="1:6" x14ac:dyDescent="0.25">
      <c r="A1060" t="s">
        <v>3448</v>
      </c>
      <c r="B1060" t="s">
        <v>3449</v>
      </c>
      <c r="C1060" t="s">
        <v>1953</v>
      </c>
      <c r="D1060" t="s">
        <v>1954</v>
      </c>
      <c r="F1060" s="2">
        <v>15669.56</v>
      </c>
    </row>
    <row r="1061" spans="1:6" x14ac:dyDescent="0.25">
      <c r="A1061" t="s">
        <v>3450</v>
      </c>
      <c r="B1061" t="s">
        <v>3451</v>
      </c>
      <c r="C1061" t="s">
        <v>1953</v>
      </c>
      <c r="D1061" t="s">
        <v>1954</v>
      </c>
      <c r="E1061" t="s">
        <v>711</v>
      </c>
      <c r="F1061" s="2">
        <v>9.5</v>
      </c>
    </row>
    <row r="1062" spans="1:6" x14ac:dyDescent="0.25">
      <c r="A1062" t="s">
        <v>3452</v>
      </c>
      <c r="B1062" t="s">
        <v>3453</v>
      </c>
      <c r="C1062" t="s">
        <v>1953</v>
      </c>
      <c r="D1062" t="s">
        <v>1940</v>
      </c>
      <c r="F1062" s="2">
        <v>46.2</v>
      </c>
    </row>
    <row r="1063" spans="1:6" x14ac:dyDescent="0.25">
      <c r="A1063" t="s">
        <v>3454</v>
      </c>
      <c r="B1063" t="s">
        <v>3455</v>
      </c>
      <c r="C1063" t="s">
        <v>1953</v>
      </c>
      <c r="D1063" t="s">
        <v>1940</v>
      </c>
      <c r="F1063" s="2">
        <v>18.899999999999999</v>
      </c>
    </row>
    <row r="1064" spans="1:6" x14ac:dyDescent="0.25">
      <c r="A1064" t="s">
        <v>3456</v>
      </c>
      <c r="B1064" t="s">
        <v>3457</v>
      </c>
      <c r="C1064" t="s">
        <v>1953</v>
      </c>
      <c r="D1064" t="s">
        <v>1940</v>
      </c>
      <c r="F1064" s="2">
        <v>1.1299999999999999</v>
      </c>
    </row>
    <row r="1065" spans="1:6" x14ac:dyDescent="0.25">
      <c r="A1065" t="s">
        <v>3458</v>
      </c>
      <c r="B1065" t="s">
        <v>3459</v>
      </c>
      <c r="C1065" t="s">
        <v>1953</v>
      </c>
      <c r="D1065" t="s">
        <v>1940</v>
      </c>
      <c r="F1065" s="2">
        <v>2.25</v>
      </c>
    </row>
    <row r="1066" spans="1:6" x14ac:dyDescent="0.25">
      <c r="A1066" t="s">
        <v>3460</v>
      </c>
      <c r="B1066" t="s">
        <v>3461</v>
      </c>
      <c r="C1066" t="s">
        <v>1953</v>
      </c>
      <c r="D1066" t="s">
        <v>1940</v>
      </c>
      <c r="F1066" s="2">
        <v>2.25</v>
      </c>
    </row>
    <row r="1067" spans="1:6" x14ac:dyDescent="0.25">
      <c r="A1067" t="s">
        <v>3462</v>
      </c>
      <c r="B1067" t="s">
        <v>3463</v>
      </c>
      <c r="C1067" t="s">
        <v>1953</v>
      </c>
      <c r="D1067" t="s">
        <v>1940</v>
      </c>
      <c r="F1067" s="2">
        <v>1.69</v>
      </c>
    </row>
    <row r="1068" spans="1:6" x14ac:dyDescent="0.25">
      <c r="A1068" t="s">
        <v>3464</v>
      </c>
      <c r="B1068" t="s">
        <v>3465</v>
      </c>
      <c r="C1068" t="s">
        <v>1953</v>
      </c>
      <c r="D1068" t="s">
        <v>1940</v>
      </c>
      <c r="F1068" s="2">
        <v>1.71</v>
      </c>
    </row>
    <row r="1069" spans="1:6" x14ac:dyDescent="0.25">
      <c r="A1069" t="s">
        <v>3466</v>
      </c>
      <c r="B1069" t="s">
        <v>3467</v>
      </c>
      <c r="C1069" t="s">
        <v>1953</v>
      </c>
      <c r="D1069" t="s">
        <v>1940</v>
      </c>
      <c r="F1069" s="2">
        <v>2.88</v>
      </c>
    </row>
    <row r="1070" spans="1:6" x14ac:dyDescent="0.25">
      <c r="A1070" t="s">
        <v>671</v>
      </c>
      <c r="B1070" t="s">
        <v>3468</v>
      </c>
      <c r="C1070" t="s">
        <v>1953</v>
      </c>
      <c r="D1070" t="s">
        <v>1954</v>
      </c>
      <c r="E1070" t="s">
        <v>493</v>
      </c>
      <c r="F1070" s="2">
        <v>5.39</v>
      </c>
    </row>
    <row r="1071" spans="1:6" x14ac:dyDescent="0.25">
      <c r="A1071" t="s">
        <v>3469</v>
      </c>
      <c r="B1071" t="s">
        <v>3470</v>
      </c>
      <c r="C1071" t="s">
        <v>1953</v>
      </c>
      <c r="D1071" t="s">
        <v>1940</v>
      </c>
      <c r="F1071" s="2">
        <v>228.39</v>
      </c>
    </row>
    <row r="1072" spans="1:6" x14ac:dyDescent="0.25">
      <c r="A1072" t="s">
        <v>3471</v>
      </c>
      <c r="B1072" t="s">
        <v>3472</v>
      </c>
      <c r="C1072" t="s">
        <v>1953</v>
      </c>
      <c r="D1072" t="s">
        <v>1940</v>
      </c>
      <c r="F1072" s="2">
        <v>54.6</v>
      </c>
    </row>
    <row r="1073" spans="1:6" x14ac:dyDescent="0.25">
      <c r="A1073" t="s">
        <v>3473</v>
      </c>
      <c r="B1073" t="s">
        <v>3474</v>
      </c>
      <c r="C1073" t="s">
        <v>1953</v>
      </c>
      <c r="D1073" t="s">
        <v>1940</v>
      </c>
      <c r="F1073" s="2">
        <v>212.54</v>
      </c>
    </row>
    <row r="1074" spans="1:6" x14ac:dyDescent="0.25">
      <c r="A1074" t="s">
        <v>3475</v>
      </c>
      <c r="B1074" t="s">
        <v>3476</v>
      </c>
      <c r="C1074" t="s">
        <v>1953</v>
      </c>
      <c r="D1074" t="s">
        <v>1940</v>
      </c>
      <c r="E1074" t="s">
        <v>3477</v>
      </c>
      <c r="F1074" s="2">
        <v>50.01</v>
      </c>
    </row>
    <row r="1075" spans="1:6" x14ac:dyDescent="0.25">
      <c r="A1075" t="s">
        <v>3478</v>
      </c>
      <c r="B1075" t="s">
        <v>3479</v>
      </c>
      <c r="C1075" t="s">
        <v>1953</v>
      </c>
      <c r="D1075" t="s">
        <v>1940</v>
      </c>
      <c r="E1075" t="s">
        <v>3477</v>
      </c>
      <c r="F1075" s="2">
        <v>42.86</v>
      </c>
    </row>
    <row r="1076" spans="1:6" x14ac:dyDescent="0.25">
      <c r="A1076" t="s">
        <v>3480</v>
      </c>
      <c r="B1076" t="s">
        <v>3481</v>
      </c>
      <c r="C1076" t="s">
        <v>1953</v>
      </c>
      <c r="D1076" t="s">
        <v>1940</v>
      </c>
      <c r="F1076" s="2">
        <v>54.71</v>
      </c>
    </row>
    <row r="1077" spans="1:6" x14ac:dyDescent="0.25">
      <c r="A1077" t="s">
        <v>3482</v>
      </c>
      <c r="B1077" t="s">
        <v>3483</v>
      </c>
      <c r="C1077" t="s">
        <v>1953</v>
      </c>
      <c r="D1077" t="s">
        <v>1940</v>
      </c>
      <c r="F1077" s="2">
        <v>54.71</v>
      </c>
    </row>
    <row r="1078" spans="1:6" x14ac:dyDescent="0.25">
      <c r="A1078" t="s">
        <v>3484</v>
      </c>
      <c r="B1078" t="s">
        <v>3485</v>
      </c>
      <c r="C1078" t="s">
        <v>1953</v>
      </c>
      <c r="D1078" t="s">
        <v>1940</v>
      </c>
      <c r="F1078" s="2">
        <v>68.94</v>
      </c>
    </row>
    <row r="1079" spans="1:6" x14ac:dyDescent="0.25">
      <c r="A1079" t="s">
        <v>3486</v>
      </c>
      <c r="B1079" t="s">
        <v>3487</v>
      </c>
      <c r="C1079" t="s">
        <v>1953</v>
      </c>
      <c r="D1079" t="s">
        <v>1940</v>
      </c>
      <c r="F1079" s="2">
        <v>11.4</v>
      </c>
    </row>
    <row r="1080" spans="1:6" x14ac:dyDescent="0.25">
      <c r="A1080" t="s">
        <v>3488</v>
      </c>
      <c r="B1080" t="s">
        <v>3489</v>
      </c>
      <c r="C1080" t="s">
        <v>1953</v>
      </c>
      <c r="D1080" t="s">
        <v>1940</v>
      </c>
      <c r="F1080" s="2">
        <v>25.21</v>
      </c>
    </row>
    <row r="1081" spans="1:6" x14ac:dyDescent="0.25">
      <c r="A1081" t="s">
        <v>3490</v>
      </c>
      <c r="B1081" t="s">
        <v>3491</v>
      </c>
      <c r="C1081" t="s">
        <v>1953</v>
      </c>
      <c r="D1081" t="s">
        <v>1940</v>
      </c>
      <c r="F1081" s="2">
        <v>354</v>
      </c>
    </row>
    <row r="1082" spans="1:6" x14ac:dyDescent="0.25">
      <c r="A1082" t="s">
        <v>3492</v>
      </c>
      <c r="B1082" t="s">
        <v>3493</v>
      </c>
      <c r="C1082" t="s">
        <v>1953</v>
      </c>
      <c r="D1082" t="s">
        <v>1940</v>
      </c>
      <c r="F1082" s="2">
        <v>26.62</v>
      </c>
    </row>
    <row r="1083" spans="1:6" x14ac:dyDescent="0.25">
      <c r="A1083" t="s">
        <v>673</v>
      </c>
      <c r="B1083" t="s">
        <v>3494</v>
      </c>
      <c r="C1083" t="s">
        <v>1953</v>
      </c>
      <c r="D1083" t="s">
        <v>1954</v>
      </c>
      <c r="E1083" t="s">
        <v>493</v>
      </c>
      <c r="F1083" s="2">
        <v>5.39</v>
      </c>
    </row>
    <row r="1084" spans="1:6" x14ac:dyDescent="0.25">
      <c r="A1084" t="s">
        <v>674</v>
      </c>
      <c r="B1084" t="s">
        <v>3495</v>
      </c>
      <c r="C1084" t="s">
        <v>1953</v>
      </c>
      <c r="D1084" t="s">
        <v>1954</v>
      </c>
      <c r="E1084" t="s">
        <v>493</v>
      </c>
      <c r="F1084" s="2">
        <v>5.39</v>
      </c>
    </row>
    <row r="1085" spans="1:6" x14ac:dyDescent="0.25">
      <c r="A1085" t="s">
        <v>3496</v>
      </c>
      <c r="B1085" t="s">
        <v>3497</v>
      </c>
      <c r="C1085" t="s">
        <v>1953</v>
      </c>
      <c r="D1085" t="s">
        <v>1940</v>
      </c>
      <c r="F1085" s="2">
        <v>122.17</v>
      </c>
    </row>
    <row r="1086" spans="1:6" x14ac:dyDescent="0.25">
      <c r="A1086" t="s">
        <v>3498</v>
      </c>
      <c r="B1086" t="s">
        <v>3499</v>
      </c>
      <c r="C1086" t="s">
        <v>1953</v>
      </c>
      <c r="D1086" t="s">
        <v>1940</v>
      </c>
      <c r="F1086" s="2">
        <v>54.3</v>
      </c>
    </row>
    <row r="1087" spans="1:6" x14ac:dyDescent="0.25">
      <c r="A1087" t="s">
        <v>3500</v>
      </c>
      <c r="B1087" t="s">
        <v>3501</v>
      </c>
      <c r="C1087" t="s">
        <v>1953</v>
      </c>
      <c r="D1087" t="s">
        <v>1954</v>
      </c>
      <c r="F1087" s="2">
        <v>168.66</v>
      </c>
    </row>
    <row r="1088" spans="1:6" x14ac:dyDescent="0.25">
      <c r="A1088" t="s">
        <v>3502</v>
      </c>
      <c r="B1088" t="s">
        <v>3503</v>
      </c>
      <c r="C1088" t="s">
        <v>1953</v>
      </c>
      <c r="D1088" t="s">
        <v>1940</v>
      </c>
      <c r="F1088" s="2">
        <v>119.15</v>
      </c>
    </row>
    <row r="1089" spans="1:6" x14ac:dyDescent="0.25">
      <c r="A1089" t="s">
        <v>676</v>
      </c>
      <c r="B1089" t="s">
        <v>3504</v>
      </c>
      <c r="C1089" t="s">
        <v>1953</v>
      </c>
      <c r="D1089" t="s">
        <v>1954</v>
      </c>
      <c r="E1089" t="s">
        <v>493</v>
      </c>
      <c r="F1089" s="2">
        <v>5.39</v>
      </c>
    </row>
    <row r="1090" spans="1:6" x14ac:dyDescent="0.25">
      <c r="A1090" t="s">
        <v>3505</v>
      </c>
      <c r="B1090" t="s">
        <v>3506</v>
      </c>
      <c r="C1090" t="s">
        <v>1953</v>
      </c>
      <c r="D1090" t="s">
        <v>1940</v>
      </c>
      <c r="F1090" s="2">
        <v>65.53</v>
      </c>
    </row>
    <row r="1091" spans="1:6" x14ac:dyDescent="0.25">
      <c r="A1091" t="s">
        <v>3507</v>
      </c>
      <c r="B1091" t="s">
        <v>3508</v>
      </c>
      <c r="C1091" t="s">
        <v>1953</v>
      </c>
      <c r="D1091" t="s">
        <v>1940</v>
      </c>
      <c r="F1091" s="2">
        <v>109.2</v>
      </c>
    </row>
    <row r="1092" spans="1:6" x14ac:dyDescent="0.25">
      <c r="A1092" t="s">
        <v>3509</v>
      </c>
      <c r="B1092" t="s">
        <v>3510</v>
      </c>
      <c r="C1092" t="s">
        <v>1953</v>
      </c>
      <c r="D1092" t="s">
        <v>1940</v>
      </c>
      <c r="F1092" s="2">
        <v>265.70999999999998</v>
      </c>
    </row>
    <row r="1093" spans="1:6" x14ac:dyDescent="0.25">
      <c r="A1093" t="s">
        <v>3511</v>
      </c>
      <c r="B1093" t="s">
        <v>3512</v>
      </c>
      <c r="C1093" t="s">
        <v>1953</v>
      </c>
      <c r="D1093" t="s">
        <v>1954</v>
      </c>
      <c r="F1093" s="2">
        <v>11.78</v>
      </c>
    </row>
    <row r="1094" spans="1:6" x14ac:dyDescent="0.25">
      <c r="A1094" t="s">
        <v>1186</v>
      </c>
      <c r="B1094" t="s">
        <v>3513</v>
      </c>
      <c r="C1094" t="s">
        <v>1953</v>
      </c>
      <c r="D1094" t="s">
        <v>1954</v>
      </c>
      <c r="E1094" t="s">
        <v>1186</v>
      </c>
      <c r="F1094" s="2">
        <v>166.88</v>
      </c>
    </row>
    <row r="1095" spans="1:6" x14ac:dyDescent="0.25">
      <c r="A1095" t="s">
        <v>1191</v>
      </c>
      <c r="B1095" t="s">
        <v>3514</v>
      </c>
      <c r="C1095" t="s">
        <v>1953</v>
      </c>
      <c r="D1095" t="s">
        <v>1954</v>
      </c>
      <c r="E1095" t="s">
        <v>1186</v>
      </c>
      <c r="F1095" s="2">
        <v>362.77</v>
      </c>
    </row>
    <row r="1096" spans="1:6" x14ac:dyDescent="0.25">
      <c r="A1096" t="s">
        <v>1193</v>
      </c>
      <c r="B1096" t="s">
        <v>3515</v>
      </c>
      <c r="C1096" t="s">
        <v>1953</v>
      </c>
      <c r="D1096" t="s">
        <v>1954</v>
      </c>
      <c r="E1096" t="s">
        <v>1196</v>
      </c>
      <c r="F1096" s="2">
        <v>139.22999999999999</v>
      </c>
    </row>
    <row r="1097" spans="1:6" x14ac:dyDescent="0.25">
      <c r="A1097" t="s">
        <v>1195</v>
      </c>
      <c r="B1097" t="s">
        <v>3516</v>
      </c>
      <c r="C1097" t="s">
        <v>1953</v>
      </c>
      <c r="D1097" t="s">
        <v>1954</v>
      </c>
      <c r="E1097" t="s">
        <v>1196</v>
      </c>
      <c r="F1097" s="2">
        <v>302.68</v>
      </c>
    </row>
    <row r="1098" spans="1:6" x14ac:dyDescent="0.25">
      <c r="A1098" t="s">
        <v>1196</v>
      </c>
      <c r="B1098" t="s">
        <v>3517</v>
      </c>
      <c r="C1098" t="s">
        <v>1953</v>
      </c>
      <c r="D1098" t="s">
        <v>1954</v>
      </c>
      <c r="E1098" t="s">
        <v>1196</v>
      </c>
      <c r="F1098" s="2">
        <v>139.22999999999999</v>
      </c>
    </row>
    <row r="1099" spans="1:6" x14ac:dyDescent="0.25">
      <c r="A1099" t="s">
        <v>1197</v>
      </c>
      <c r="B1099" t="s">
        <v>3518</v>
      </c>
      <c r="C1099" t="s">
        <v>1953</v>
      </c>
      <c r="D1099" t="s">
        <v>1954</v>
      </c>
      <c r="E1099" t="s">
        <v>1196</v>
      </c>
      <c r="F1099" s="2">
        <v>302.68</v>
      </c>
    </row>
    <row r="1100" spans="1:6" x14ac:dyDescent="0.25">
      <c r="A1100" t="s">
        <v>1198</v>
      </c>
      <c r="B1100" t="s">
        <v>3519</v>
      </c>
      <c r="C1100" t="s">
        <v>1953</v>
      </c>
      <c r="D1100" t="s">
        <v>1954</v>
      </c>
      <c r="E1100" t="s">
        <v>1198</v>
      </c>
      <c r="F1100" s="2">
        <v>215.89</v>
      </c>
    </row>
    <row r="1101" spans="1:6" x14ac:dyDescent="0.25">
      <c r="A1101" t="s">
        <v>3520</v>
      </c>
      <c r="B1101" t="s">
        <v>3521</v>
      </c>
      <c r="C1101" t="s">
        <v>1953</v>
      </c>
      <c r="D1101" t="s">
        <v>1954</v>
      </c>
      <c r="E1101" t="s">
        <v>194</v>
      </c>
      <c r="F1101" s="2">
        <v>222.98</v>
      </c>
    </row>
    <row r="1102" spans="1:6" x14ac:dyDescent="0.25">
      <c r="A1102" t="s">
        <v>3522</v>
      </c>
      <c r="B1102" t="s">
        <v>3523</v>
      </c>
      <c r="C1102" t="s">
        <v>1953</v>
      </c>
      <c r="D1102" t="s">
        <v>1954</v>
      </c>
      <c r="E1102" t="s">
        <v>194</v>
      </c>
      <c r="F1102" s="2">
        <v>222.98</v>
      </c>
    </row>
    <row r="1103" spans="1:6" x14ac:dyDescent="0.25">
      <c r="A1103" t="s">
        <v>3524</v>
      </c>
      <c r="B1103" t="s">
        <v>3525</v>
      </c>
      <c r="C1103" t="s">
        <v>1953</v>
      </c>
      <c r="D1103" t="s">
        <v>1940</v>
      </c>
      <c r="F1103" s="2">
        <v>74.540000000000006</v>
      </c>
    </row>
    <row r="1104" spans="1:6" x14ac:dyDescent="0.25">
      <c r="A1104" t="s">
        <v>3526</v>
      </c>
      <c r="B1104" t="s">
        <v>3527</v>
      </c>
      <c r="C1104" t="s">
        <v>1953</v>
      </c>
      <c r="D1104" t="s">
        <v>1940</v>
      </c>
      <c r="E1104" t="s">
        <v>3528</v>
      </c>
      <c r="F1104" s="2">
        <v>97.25</v>
      </c>
    </row>
    <row r="1105" spans="1:6" x14ac:dyDescent="0.25">
      <c r="A1105" t="s">
        <v>3529</v>
      </c>
      <c r="B1105" t="s">
        <v>3530</v>
      </c>
      <c r="C1105" t="s">
        <v>1953</v>
      </c>
      <c r="D1105" t="s">
        <v>1954</v>
      </c>
      <c r="E1105" t="s">
        <v>3528</v>
      </c>
      <c r="F1105" s="2">
        <v>113.57</v>
      </c>
    </row>
    <row r="1106" spans="1:6" x14ac:dyDescent="0.25">
      <c r="A1106" t="s">
        <v>3531</v>
      </c>
      <c r="B1106" t="s">
        <v>3532</v>
      </c>
      <c r="C1106" t="s">
        <v>1953</v>
      </c>
      <c r="D1106" t="s">
        <v>1940</v>
      </c>
      <c r="F1106" s="2">
        <v>2133.6</v>
      </c>
    </row>
    <row r="1107" spans="1:6" x14ac:dyDescent="0.25">
      <c r="A1107" t="s">
        <v>3533</v>
      </c>
      <c r="B1107" t="s">
        <v>3534</v>
      </c>
      <c r="C1107" t="s">
        <v>1953</v>
      </c>
      <c r="D1107" t="s">
        <v>1940</v>
      </c>
      <c r="F1107" s="2">
        <v>109.2</v>
      </c>
    </row>
    <row r="1108" spans="1:6" x14ac:dyDescent="0.25">
      <c r="A1108" t="s">
        <v>3535</v>
      </c>
      <c r="B1108" t="s">
        <v>3536</v>
      </c>
      <c r="C1108" t="s">
        <v>1953</v>
      </c>
      <c r="D1108" t="s">
        <v>1940</v>
      </c>
      <c r="F1108" s="2">
        <v>690.77</v>
      </c>
    </row>
    <row r="1109" spans="1:6" x14ac:dyDescent="0.25">
      <c r="A1109" t="s">
        <v>3537</v>
      </c>
      <c r="B1109" t="s">
        <v>3538</v>
      </c>
      <c r="C1109" t="s">
        <v>1953</v>
      </c>
      <c r="D1109" t="s">
        <v>1954</v>
      </c>
      <c r="F1109" s="2">
        <v>1.25</v>
      </c>
    </row>
    <row r="1110" spans="1:6" x14ac:dyDescent="0.25">
      <c r="A1110" t="s">
        <v>3539</v>
      </c>
      <c r="B1110" t="s">
        <v>3540</v>
      </c>
      <c r="C1110" t="s">
        <v>1953</v>
      </c>
      <c r="D1110" t="s">
        <v>1954</v>
      </c>
      <c r="E1110" t="s">
        <v>1198</v>
      </c>
      <c r="F1110" s="2">
        <v>252.11</v>
      </c>
    </row>
    <row r="1111" spans="1:6" x14ac:dyDescent="0.25">
      <c r="A1111" t="s">
        <v>1199</v>
      </c>
      <c r="B1111" t="s">
        <v>3541</v>
      </c>
      <c r="C1111" t="s">
        <v>1953</v>
      </c>
      <c r="D1111" t="s">
        <v>1954</v>
      </c>
      <c r="E1111" t="s">
        <v>1186</v>
      </c>
      <c r="F1111" s="2">
        <v>630.91</v>
      </c>
    </row>
    <row r="1112" spans="1:6" x14ac:dyDescent="0.25">
      <c r="A1112" t="s">
        <v>1201</v>
      </c>
      <c r="B1112" t="s">
        <v>3542</v>
      </c>
      <c r="C1112" t="s">
        <v>1953</v>
      </c>
      <c r="D1112" t="s">
        <v>1954</v>
      </c>
      <c r="E1112" t="s">
        <v>1196</v>
      </c>
      <c r="F1112" s="2">
        <v>526.4</v>
      </c>
    </row>
    <row r="1113" spans="1:6" x14ac:dyDescent="0.25">
      <c r="A1113" t="s">
        <v>1202</v>
      </c>
      <c r="B1113" t="s">
        <v>3543</v>
      </c>
      <c r="C1113" t="s">
        <v>1953</v>
      </c>
      <c r="D1113" t="s">
        <v>1954</v>
      </c>
      <c r="E1113" t="s">
        <v>1196</v>
      </c>
      <c r="F1113" s="2">
        <v>526.4</v>
      </c>
    </row>
    <row r="1114" spans="1:6" x14ac:dyDescent="0.25">
      <c r="A1114" t="s">
        <v>3544</v>
      </c>
      <c r="B1114" t="s">
        <v>3545</v>
      </c>
      <c r="C1114" t="s">
        <v>1953</v>
      </c>
      <c r="D1114" t="s">
        <v>1954</v>
      </c>
      <c r="E1114" t="s">
        <v>710</v>
      </c>
      <c r="F1114" s="2">
        <v>165.87</v>
      </c>
    </row>
    <row r="1115" spans="1:6" x14ac:dyDescent="0.25">
      <c r="A1115" t="s">
        <v>3546</v>
      </c>
      <c r="B1115" t="s">
        <v>3547</v>
      </c>
      <c r="C1115" t="s">
        <v>1953</v>
      </c>
      <c r="D1115" t="s">
        <v>1954</v>
      </c>
      <c r="E1115" t="s">
        <v>3370</v>
      </c>
      <c r="F1115" s="2">
        <v>82.68</v>
      </c>
    </row>
    <row r="1116" spans="1:6" x14ac:dyDescent="0.25">
      <c r="A1116" t="s">
        <v>3548</v>
      </c>
      <c r="B1116" t="s">
        <v>3549</v>
      </c>
      <c r="C1116" t="s">
        <v>1953</v>
      </c>
      <c r="D1116" t="s">
        <v>1954</v>
      </c>
      <c r="E1116" t="s">
        <v>1198</v>
      </c>
      <c r="F1116" s="2">
        <v>225.77</v>
      </c>
    </row>
    <row r="1117" spans="1:6" x14ac:dyDescent="0.25">
      <c r="A1117" t="s">
        <v>1203</v>
      </c>
      <c r="B1117" t="s">
        <v>3550</v>
      </c>
      <c r="C1117" t="s">
        <v>1953</v>
      </c>
      <c r="D1117" t="s">
        <v>1954</v>
      </c>
      <c r="E1117" t="s">
        <v>1198</v>
      </c>
      <c r="F1117" s="2">
        <v>249.76</v>
      </c>
    </row>
    <row r="1118" spans="1:6" x14ac:dyDescent="0.25">
      <c r="A1118" t="s">
        <v>3551</v>
      </c>
      <c r="B1118" t="s">
        <v>3552</v>
      </c>
      <c r="C1118" t="s">
        <v>1953</v>
      </c>
      <c r="D1118" t="s">
        <v>1940</v>
      </c>
      <c r="F1118" s="2">
        <v>1414.8</v>
      </c>
    </row>
    <row r="1119" spans="1:6" x14ac:dyDescent="0.25">
      <c r="A1119" t="s">
        <v>677</v>
      </c>
      <c r="B1119" t="s">
        <v>3553</v>
      </c>
      <c r="C1119" t="s">
        <v>1953</v>
      </c>
      <c r="D1119" t="s">
        <v>1954</v>
      </c>
      <c r="E1119" t="s">
        <v>493</v>
      </c>
      <c r="F1119" s="2">
        <v>5.39</v>
      </c>
    </row>
    <row r="1120" spans="1:6" x14ac:dyDescent="0.25">
      <c r="A1120" t="s">
        <v>679</v>
      </c>
      <c r="B1120" t="s">
        <v>3554</v>
      </c>
      <c r="C1120" t="s">
        <v>1953</v>
      </c>
      <c r="D1120" t="s">
        <v>1954</v>
      </c>
      <c r="E1120" t="s">
        <v>493</v>
      </c>
      <c r="F1120" s="2">
        <v>5.39</v>
      </c>
    </row>
    <row r="1121" spans="1:6" x14ac:dyDescent="0.25">
      <c r="A1121" t="s">
        <v>680</v>
      </c>
      <c r="B1121" t="s">
        <v>3555</v>
      </c>
      <c r="C1121" t="s">
        <v>1953</v>
      </c>
      <c r="D1121" t="s">
        <v>1954</v>
      </c>
      <c r="E1121" t="s">
        <v>493</v>
      </c>
      <c r="F1121" s="2">
        <v>5.39</v>
      </c>
    </row>
    <row r="1122" spans="1:6" x14ac:dyDescent="0.25">
      <c r="A1122" t="s">
        <v>682</v>
      </c>
      <c r="B1122" t="s">
        <v>3556</v>
      </c>
      <c r="C1122" t="s">
        <v>1953</v>
      </c>
      <c r="D1122" t="s">
        <v>1954</v>
      </c>
      <c r="E1122" t="s">
        <v>493</v>
      </c>
      <c r="F1122" s="2">
        <v>5.39</v>
      </c>
    </row>
    <row r="1123" spans="1:6" x14ac:dyDescent="0.25">
      <c r="A1123" t="s">
        <v>683</v>
      </c>
      <c r="B1123" t="s">
        <v>3557</v>
      </c>
      <c r="C1123" t="s">
        <v>1953</v>
      </c>
      <c r="D1123" t="s">
        <v>1954</v>
      </c>
      <c r="E1123" t="s">
        <v>493</v>
      </c>
      <c r="F1123" s="2">
        <v>5.39</v>
      </c>
    </row>
    <row r="1124" spans="1:6" x14ac:dyDescent="0.25">
      <c r="A1124" t="s">
        <v>3558</v>
      </c>
      <c r="B1124" t="s">
        <v>3559</v>
      </c>
      <c r="C1124" t="s">
        <v>1953</v>
      </c>
      <c r="D1124" t="s">
        <v>1954</v>
      </c>
      <c r="F1124" s="2">
        <v>2.16</v>
      </c>
    </row>
    <row r="1125" spans="1:6" x14ac:dyDescent="0.25">
      <c r="A1125" t="s">
        <v>3560</v>
      </c>
      <c r="B1125" t="s">
        <v>3561</v>
      </c>
      <c r="C1125" t="s">
        <v>1953</v>
      </c>
      <c r="D1125" t="s">
        <v>1954</v>
      </c>
      <c r="F1125" s="2">
        <v>4.45</v>
      </c>
    </row>
    <row r="1126" spans="1:6" x14ac:dyDescent="0.25">
      <c r="A1126" t="s">
        <v>1208</v>
      </c>
      <c r="B1126" t="s">
        <v>3562</v>
      </c>
      <c r="C1126" t="s">
        <v>1953</v>
      </c>
      <c r="D1126" t="s">
        <v>1954</v>
      </c>
      <c r="F1126" s="2">
        <v>47.68</v>
      </c>
    </row>
    <row r="1127" spans="1:6" x14ac:dyDescent="0.25">
      <c r="A1127" t="s">
        <v>3563</v>
      </c>
      <c r="B1127" t="s">
        <v>3564</v>
      </c>
      <c r="C1127" t="s">
        <v>1953</v>
      </c>
      <c r="D1127" t="s">
        <v>1954</v>
      </c>
      <c r="F1127" s="2">
        <v>22086.35</v>
      </c>
    </row>
    <row r="1128" spans="1:6" x14ac:dyDescent="0.25">
      <c r="A1128" t="s">
        <v>3565</v>
      </c>
      <c r="B1128" t="s">
        <v>3566</v>
      </c>
      <c r="C1128" t="s">
        <v>1953</v>
      </c>
      <c r="D1128" t="s">
        <v>1954</v>
      </c>
      <c r="F1128" s="2">
        <v>175.23</v>
      </c>
    </row>
    <row r="1129" spans="1:6" x14ac:dyDescent="0.25">
      <c r="A1129" t="s">
        <v>685</v>
      </c>
      <c r="B1129" t="s">
        <v>3567</v>
      </c>
      <c r="C1129" t="s">
        <v>1953</v>
      </c>
      <c r="D1129" t="s">
        <v>1954</v>
      </c>
      <c r="E1129" t="s">
        <v>493</v>
      </c>
      <c r="F1129" s="2">
        <v>5.39</v>
      </c>
    </row>
    <row r="1130" spans="1:6" x14ac:dyDescent="0.25">
      <c r="A1130" t="s">
        <v>686</v>
      </c>
      <c r="B1130" t="s">
        <v>3568</v>
      </c>
      <c r="C1130" t="s">
        <v>1953</v>
      </c>
      <c r="D1130" t="s">
        <v>1954</v>
      </c>
      <c r="E1130" t="s">
        <v>493</v>
      </c>
      <c r="F1130" s="2">
        <v>5.39</v>
      </c>
    </row>
    <row r="1131" spans="1:6" x14ac:dyDescent="0.25">
      <c r="A1131" t="s">
        <v>688</v>
      </c>
      <c r="B1131" t="s">
        <v>3569</v>
      </c>
      <c r="C1131" t="s">
        <v>1953</v>
      </c>
      <c r="D1131" t="s">
        <v>1954</v>
      </c>
      <c r="E1131" t="s">
        <v>493</v>
      </c>
      <c r="F1131" s="2">
        <v>5.39</v>
      </c>
    </row>
    <row r="1132" spans="1:6" x14ac:dyDescent="0.25">
      <c r="A1132" t="s">
        <v>3570</v>
      </c>
      <c r="B1132" t="s">
        <v>3571</v>
      </c>
      <c r="C1132" t="s">
        <v>1953</v>
      </c>
      <c r="D1132" t="s">
        <v>1940</v>
      </c>
      <c r="F1132" s="2">
        <v>15.69</v>
      </c>
    </row>
    <row r="1133" spans="1:6" x14ac:dyDescent="0.25">
      <c r="A1133" t="s">
        <v>3572</v>
      </c>
      <c r="B1133" t="s">
        <v>3573</v>
      </c>
      <c r="C1133" t="s">
        <v>1953</v>
      </c>
      <c r="D1133" t="s">
        <v>1940</v>
      </c>
      <c r="F1133" s="2">
        <v>690.77</v>
      </c>
    </row>
    <row r="1134" spans="1:6" x14ac:dyDescent="0.25">
      <c r="A1134" t="s">
        <v>972</v>
      </c>
      <c r="B1134" t="s">
        <v>3574</v>
      </c>
      <c r="C1134" t="s">
        <v>1953</v>
      </c>
      <c r="D1134" t="s">
        <v>1954</v>
      </c>
      <c r="E1134" t="s">
        <v>493</v>
      </c>
      <c r="F1134" s="2">
        <v>5.39</v>
      </c>
    </row>
    <row r="1135" spans="1:6" x14ac:dyDescent="0.25">
      <c r="A1135" t="s">
        <v>152</v>
      </c>
      <c r="B1135" t="s">
        <v>3575</v>
      </c>
      <c r="C1135" t="s">
        <v>1953</v>
      </c>
      <c r="D1135" t="s">
        <v>1954</v>
      </c>
      <c r="E1135" t="s">
        <v>2022</v>
      </c>
      <c r="F1135" s="2">
        <v>222.64</v>
      </c>
    </row>
    <row r="1136" spans="1:6" x14ac:dyDescent="0.25">
      <c r="A1136" t="s">
        <v>3576</v>
      </c>
      <c r="B1136" t="s">
        <v>3577</v>
      </c>
      <c r="C1136" t="s">
        <v>1953</v>
      </c>
      <c r="D1136" t="s">
        <v>1940</v>
      </c>
      <c r="F1136" s="2">
        <v>0.95</v>
      </c>
    </row>
    <row r="1137" spans="1:6" x14ac:dyDescent="0.25">
      <c r="A1137" t="s">
        <v>3578</v>
      </c>
      <c r="B1137" t="s">
        <v>3579</v>
      </c>
      <c r="C1137" t="s">
        <v>1953</v>
      </c>
      <c r="D1137" t="s">
        <v>1954</v>
      </c>
      <c r="E1137" t="s">
        <v>199</v>
      </c>
      <c r="F1137" s="2">
        <v>182.32</v>
      </c>
    </row>
    <row r="1138" spans="1:6" x14ac:dyDescent="0.25">
      <c r="A1138" t="s">
        <v>974</v>
      </c>
      <c r="B1138" t="s">
        <v>3580</v>
      </c>
      <c r="C1138" t="s">
        <v>1953</v>
      </c>
      <c r="D1138" t="s">
        <v>1954</v>
      </c>
      <c r="E1138" t="s">
        <v>493</v>
      </c>
      <c r="F1138" s="2">
        <v>5.39</v>
      </c>
    </row>
    <row r="1139" spans="1:6" x14ac:dyDescent="0.25">
      <c r="A1139" t="s">
        <v>975</v>
      </c>
      <c r="B1139" t="s">
        <v>3581</v>
      </c>
      <c r="C1139" t="s">
        <v>1953</v>
      </c>
      <c r="D1139" t="s">
        <v>1954</v>
      </c>
      <c r="E1139" t="s">
        <v>493</v>
      </c>
      <c r="F1139" s="2">
        <v>5.39</v>
      </c>
    </row>
    <row r="1140" spans="1:6" x14ac:dyDescent="0.25">
      <c r="A1140" t="s">
        <v>3582</v>
      </c>
      <c r="B1140" t="s">
        <v>3583</v>
      </c>
      <c r="C1140" t="s">
        <v>1953</v>
      </c>
      <c r="D1140" t="s">
        <v>1954</v>
      </c>
      <c r="E1140" t="s">
        <v>872</v>
      </c>
      <c r="F1140" s="2">
        <v>8.9</v>
      </c>
    </row>
    <row r="1141" spans="1:6" x14ac:dyDescent="0.25">
      <c r="A1141" t="s">
        <v>3584</v>
      </c>
      <c r="B1141" t="s">
        <v>3585</v>
      </c>
      <c r="C1141" t="s">
        <v>1953</v>
      </c>
      <c r="D1141" t="s">
        <v>1954</v>
      </c>
      <c r="E1141" t="s">
        <v>872</v>
      </c>
      <c r="F1141" s="2">
        <v>8.9</v>
      </c>
    </row>
    <row r="1142" spans="1:6" x14ac:dyDescent="0.25">
      <c r="A1142" t="s">
        <v>977</v>
      </c>
      <c r="B1142" t="s">
        <v>3586</v>
      </c>
      <c r="C1142" t="s">
        <v>1953</v>
      </c>
      <c r="D1142" t="s">
        <v>1954</v>
      </c>
      <c r="E1142" t="s">
        <v>493</v>
      </c>
      <c r="F1142" s="2">
        <v>5.39</v>
      </c>
    </row>
    <row r="1143" spans="1:6" x14ac:dyDescent="0.25">
      <c r="A1143" t="s">
        <v>980</v>
      </c>
      <c r="B1143" t="s">
        <v>3587</v>
      </c>
      <c r="C1143" t="s">
        <v>1953</v>
      </c>
      <c r="D1143" t="s">
        <v>1954</v>
      </c>
      <c r="E1143" t="s">
        <v>493</v>
      </c>
      <c r="F1143" s="2">
        <v>5.39</v>
      </c>
    </row>
    <row r="1144" spans="1:6" x14ac:dyDescent="0.25">
      <c r="A1144" t="s">
        <v>3588</v>
      </c>
      <c r="B1144" t="s">
        <v>3589</v>
      </c>
      <c r="C1144" t="s">
        <v>1953</v>
      </c>
      <c r="D1144" t="s">
        <v>1940</v>
      </c>
      <c r="F1144" s="2">
        <v>1963.7</v>
      </c>
    </row>
    <row r="1145" spans="1:6" x14ac:dyDescent="0.25">
      <c r="A1145" t="s">
        <v>3590</v>
      </c>
      <c r="B1145" t="s">
        <v>3591</v>
      </c>
      <c r="C1145" t="s">
        <v>1953</v>
      </c>
      <c r="D1145" t="s">
        <v>1940</v>
      </c>
      <c r="F1145" s="2">
        <v>340.29</v>
      </c>
    </row>
    <row r="1146" spans="1:6" x14ac:dyDescent="0.25">
      <c r="A1146" t="s">
        <v>3592</v>
      </c>
      <c r="B1146" t="s">
        <v>3593</v>
      </c>
      <c r="C1146" t="s">
        <v>1953</v>
      </c>
      <c r="D1146" t="s">
        <v>1940</v>
      </c>
      <c r="F1146" s="2">
        <v>338</v>
      </c>
    </row>
    <row r="1147" spans="1:6" x14ac:dyDescent="0.25">
      <c r="A1147" t="s">
        <v>1043</v>
      </c>
      <c r="B1147" t="s">
        <v>3594</v>
      </c>
      <c r="C1147" t="s">
        <v>1953</v>
      </c>
      <c r="D1147" t="s">
        <v>1954</v>
      </c>
      <c r="E1147" t="s">
        <v>493</v>
      </c>
      <c r="F1147" s="2">
        <v>5.39</v>
      </c>
    </row>
    <row r="1148" spans="1:6" x14ac:dyDescent="0.25">
      <c r="A1148" t="s">
        <v>3595</v>
      </c>
      <c r="B1148" t="s">
        <v>3596</v>
      </c>
      <c r="C1148" t="s">
        <v>1953</v>
      </c>
      <c r="D1148" t="s">
        <v>1954</v>
      </c>
      <c r="E1148" t="s">
        <v>493</v>
      </c>
      <c r="F1148" s="2">
        <v>5.39</v>
      </c>
    </row>
    <row r="1149" spans="1:6" x14ac:dyDescent="0.25">
      <c r="A1149" t="s">
        <v>3597</v>
      </c>
      <c r="B1149" t="s">
        <v>3598</v>
      </c>
      <c r="C1149" t="s">
        <v>1953</v>
      </c>
      <c r="D1149" t="s">
        <v>1940</v>
      </c>
      <c r="F1149" s="2">
        <v>108.45</v>
      </c>
    </row>
    <row r="1150" spans="1:6" x14ac:dyDescent="0.25">
      <c r="A1150" t="s">
        <v>3599</v>
      </c>
      <c r="B1150" t="s">
        <v>3600</v>
      </c>
      <c r="C1150" t="s">
        <v>1953</v>
      </c>
      <c r="D1150" t="s">
        <v>1940</v>
      </c>
      <c r="F1150" s="2">
        <v>49.9</v>
      </c>
    </row>
    <row r="1151" spans="1:6" x14ac:dyDescent="0.25">
      <c r="A1151" t="s">
        <v>3601</v>
      </c>
      <c r="B1151" t="s">
        <v>3602</v>
      </c>
      <c r="C1151" t="s">
        <v>1953</v>
      </c>
      <c r="D1151" t="s">
        <v>1940</v>
      </c>
      <c r="F1151" s="2">
        <v>114.16</v>
      </c>
    </row>
    <row r="1152" spans="1:6" x14ac:dyDescent="0.25">
      <c r="A1152" t="s">
        <v>3603</v>
      </c>
      <c r="B1152" t="s">
        <v>3604</v>
      </c>
      <c r="C1152" t="s">
        <v>1953</v>
      </c>
      <c r="D1152" t="s">
        <v>1940</v>
      </c>
      <c r="F1152" s="2">
        <v>52.52</v>
      </c>
    </row>
    <row r="1153" spans="1:6" x14ac:dyDescent="0.25">
      <c r="A1153" t="s">
        <v>3605</v>
      </c>
      <c r="B1153" t="s">
        <v>3606</v>
      </c>
      <c r="C1153" t="s">
        <v>1953</v>
      </c>
      <c r="D1153" t="s">
        <v>1940</v>
      </c>
      <c r="F1153" s="2">
        <v>137.6</v>
      </c>
    </row>
    <row r="1154" spans="1:6" x14ac:dyDescent="0.25">
      <c r="A1154" t="s">
        <v>1048</v>
      </c>
      <c r="B1154" t="s">
        <v>3607</v>
      </c>
      <c r="C1154" t="s">
        <v>1953</v>
      </c>
      <c r="D1154" t="s">
        <v>1954</v>
      </c>
      <c r="E1154" t="s">
        <v>493</v>
      </c>
      <c r="F1154" s="2">
        <v>5.39</v>
      </c>
    </row>
    <row r="1155" spans="1:6" x14ac:dyDescent="0.25">
      <c r="A1155" t="s">
        <v>1050</v>
      </c>
      <c r="B1155" t="s">
        <v>3608</v>
      </c>
      <c r="C1155" t="s">
        <v>1953</v>
      </c>
      <c r="D1155" t="s">
        <v>1954</v>
      </c>
      <c r="E1155" t="s">
        <v>493</v>
      </c>
      <c r="F1155" s="2">
        <v>5.39</v>
      </c>
    </row>
    <row r="1156" spans="1:6" x14ac:dyDescent="0.25">
      <c r="A1156" t="s">
        <v>3609</v>
      </c>
      <c r="B1156" t="s">
        <v>3610</v>
      </c>
      <c r="C1156" t="s">
        <v>1953</v>
      </c>
      <c r="D1156" t="s">
        <v>1954</v>
      </c>
      <c r="E1156" t="s">
        <v>1003</v>
      </c>
      <c r="F1156" s="2">
        <v>76.319999999999993</v>
      </c>
    </row>
    <row r="1157" spans="1:6" x14ac:dyDescent="0.25">
      <c r="A1157" t="s">
        <v>3611</v>
      </c>
      <c r="B1157" t="s">
        <v>3612</v>
      </c>
      <c r="C1157" t="s">
        <v>1953</v>
      </c>
      <c r="D1157" t="s">
        <v>1954</v>
      </c>
      <c r="E1157" t="s">
        <v>1003</v>
      </c>
      <c r="F1157" s="2">
        <v>76.319999999999993</v>
      </c>
    </row>
    <row r="1158" spans="1:6" x14ac:dyDescent="0.25">
      <c r="A1158" t="s">
        <v>3613</v>
      </c>
      <c r="B1158" t="s">
        <v>3614</v>
      </c>
      <c r="C1158" t="s">
        <v>1953</v>
      </c>
      <c r="D1158" t="s">
        <v>1954</v>
      </c>
      <c r="E1158" t="s">
        <v>1003</v>
      </c>
      <c r="F1158" s="2">
        <v>76.319999999999993</v>
      </c>
    </row>
    <row r="1159" spans="1:6" x14ac:dyDescent="0.25">
      <c r="A1159" t="s">
        <v>3615</v>
      </c>
      <c r="B1159" t="s">
        <v>3616</v>
      </c>
      <c r="C1159" t="s">
        <v>1953</v>
      </c>
      <c r="D1159" t="s">
        <v>1954</v>
      </c>
      <c r="E1159" t="s">
        <v>1003</v>
      </c>
      <c r="F1159" s="2">
        <v>76.319999999999993</v>
      </c>
    </row>
    <row r="1160" spans="1:6" x14ac:dyDescent="0.25">
      <c r="A1160" t="s">
        <v>3617</v>
      </c>
      <c r="B1160" t="s">
        <v>3618</v>
      </c>
      <c r="C1160" t="s">
        <v>1953</v>
      </c>
      <c r="D1160" t="s">
        <v>1954</v>
      </c>
      <c r="E1160" t="s">
        <v>1003</v>
      </c>
      <c r="F1160" s="2">
        <v>81.569999999999993</v>
      </c>
    </row>
    <row r="1161" spans="1:6" x14ac:dyDescent="0.25">
      <c r="A1161" t="s">
        <v>3619</v>
      </c>
      <c r="B1161" t="s">
        <v>3620</v>
      </c>
      <c r="C1161" t="s">
        <v>1953</v>
      </c>
      <c r="D1161" t="s">
        <v>1940</v>
      </c>
      <c r="F1161" s="2">
        <v>70.56</v>
      </c>
    </row>
    <row r="1162" spans="1:6" x14ac:dyDescent="0.25">
      <c r="A1162" t="s">
        <v>3621</v>
      </c>
      <c r="B1162" t="s">
        <v>3622</v>
      </c>
      <c r="C1162" t="s">
        <v>1953</v>
      </c>
      <c r="D1162" t="s">
        <v>1940</v>
      </c>
      <c r="F1162" s="2">
        <v>76.95</v>
      </c>
    </row>
    <row r="1163" spans="1:6" x14ac:dyDescent="0.25">
      <c r="A1163" t="s">
        <v>3623</v>
      </c>
      <c r="B1163" t="s">
        <v>3624</v>
      </c>
      <c r="C1163" t="s">
        <v>1953</v>
      </c>
      <c r="D1163" t="s">
        <v>1954</v>
      </c>
      <c r="E1163" t="s">
        <v>1003</v>
      </c>
      <c r="F1163" s="2">
        <v>81.569999999999993</v>
      </c>
    </row>
    <row r="1164" spans="1:6" x14ac:dyDescent="0.25">
      <c r="A1164" t="s">
        <v>3625</v>
      </c>
      <c r="B1164" t="s">
        <v>3626</v>
      </c>
      <c r="C1164" t="s">
        <v>1953</v>
      </c>
      <c r="D1164" t="s">
        <v>1954</v>
      </c>
      <c r="E1164" t="s">
        <v>1003</v>
      </c>
      <c r="F1164" s="2">
        <v>76.319999999999993</v>
      </c>
    </row>
    <row r="1165" spans="1:6" x14ac:dyDescent="0.25">
      <c r="A1165" t="s">
        <v>3627</v>
      </c>
      <c r="B1165" t="s">
        <v>3628</v>
      </c>
      <c r="C1165" t="s">
        <v>1953</v>
      </c>
      <c r="D1165" t="s">
        <v>1954</v>
      </c>
      <c r="E1165" t="s">
        <v>1003</v>
      </c>
      <c r="F1165" s="2">
        <v>76.319999999999993</v>
      </c>
    </row>
    <row r="1166" spans="1:6" x14ac:dyDescent="0.25">
      <c r="A1166" t="s">
        <v>3629</v>
      </c>
      <c r="B1166" t="s">
        <v>3630</v>
      </c>
      <c r="C1166" t="s">
        <v>1953</v>
      </c>
      <c r="D1166" t="s">
        <v>1954</v>
      </c>
      <c r="E1166" t="s">
        <v>1003</v>
      </c>
      <c r="F1166" s="2">
        <v>76.319999999999993</v>
      </c>
    </row>
    <row r="1167" spans="1:6" x14ac:dyDescent="0.25">
      <c r="A1167" t="s">
        <v>3631</v>
      </c>
      <c r="B1167" t="s">
        <v>3632</v>
      </c>
      <c r="C1167" t="s">
        <v>1953</v>
      </c>
      <c r="D1167" t="s">
        <v>1954</v>
      </c>
      <c r="E1167" t="s">
        <v>78</v>
      </c>
      <c r="F1167" s="2">
        <v>78.739999999999995</v>
      </c>
    </row>
    <row r="1168" spans="1:6" x14ac:dyDescent="0.25">
      <c r="A1168" t="s">
        <v>3633</v>
      </c>
      <c r="B1168" t="s">
        <v>3634</v>
      </c>
      <c r="C1168" t="s">
        <v>1953</v>
      </c>
      <c r="D1168" t="s">
        <v>1954</v>
      </c>
      <c r="E1168" t="s">
        <v>78</v>
      </c>
      <c r="F1168" s="2">
        <v>78.739999999999995</v>
      </c>
    </row>
    <row r="1169" spans="1:6" x14ac:dyDescent="0.25">
      <c r="A1169" t="s">
        <v>3635</v>
      </c>
      <c r="B1169" t="s">
        <v>3636</v>
      </c>
      <c r="C1169" t="s">
        <v>1953</v>
      </c>
      <c r="D1169" t="s">
        <v>1954</v>
      </c>
      <c r="E1169" t="s">
        <v>78</v>
      </c>
      <c r="F1169" s="2">
        <v>78.739999999999995</v>
      </c>
    </row>
    <row r="1170" spans="1:6" x14ac:dyDescent="0.25">
      <c r="A1170" t="s">
        <v>3637</v>
      </c>
      <c r="B1170" t="s">
        <v>3638</v>
      </c>
      <c r="C1170" t="s">
        <v>1953</v>
      </c>
      <c r="D1170" t="s">
        <v>1954</v>
      </c>
      <c r="E1170" t="s">
        <v>78</v>
      </c>
      <c r="F1170" s="2">
        <v>78.739999999999995</v>
      </c>
    </row>
    <row r="1171" spans="1:6" x14ac:dyDescent="0.25">
      <c r="A1171" t="s">
        <v>3639</v>
      </c>
      <c r="B1171" t="s">
        <v>3640</v>
      </c>
      <c r="C1171" t="s">
        <v>1953</v>
      </c>
      <c r="D1171" t="s">
        <v>1954</v>
      </c>
      <c r="E1171" t="s">
        <v>3370</v>
      </c>
      <c r="F1171" s="2">
        <v>82.68</v>
      </c>
    </row>
    <row r="1172" spans="1:6" x14ac:dyDescent="0.25">
      <c r="A1172" t="s">
        <v>1058</v>
      </c>
      <c r="B1172" t="s">
        <v>3641</v>
      </c>
      <c r="C1172" t="s">
        <v>1953</v>
      </c>
      <c r="D1172" t="s">
        <v>1954</v>
      </c>
      <c r="E1172" t="s">
        <v>493</v>
      </c>
      <c r="F1172" s="2">
        <v>5.39</v>
      </c>
    </row>
    <row r="1173" spans="1:6" x14ac:dyDescent="0.25">
      <c r="A1173" t="s">
        <v>3642</v>
      </c>
      <c r="B1173" t="s">
        <v>3643</v>
      </c>
      <c r="C1173" t="s">
        <v>1953</v>
      </c>
      <c r="D1173" t="s">
        <v>1940</v>
      </c>
      <c r="F1173" s="2">
        <v>111.7</v>
      </c>
    </row>
    <row r="1174" spans="1:6" x14ac:dyDescent="0.25">
      <c r="A1174" t="s">
        <v>3644</v>
      </c>
      <c r="B1174" t="s">
        <v>3645</v>
      </c>
      <c r="C1174" t="s">
        <v>1953</v>
      </c>
      <c r="D1174" t="s">
        <v>1940</v>
      </c>
      <c r="F1174" s="2">
        <v>212.01</v>
      </c>
    </row>
    <row r="1175" spans="1:6" x14ac:dyDescent="0.25">
      <c r="A1175" t="s">
        <v>3646</v>
      </c>
      <c r="B1175" t="s">
        <v>3647</v>
      </c>
      <c r="C1175" t="s">
        <v>1953</v>
      </c>
      <c r="D1175" t="s">
        <v>1940</v>
      </c>
      <c r="F1175" s="2">
        <v>869.52</v>
      </c>
    </row>
    <row r="1176" spans="1:6" x14ac:dyDescent="0.25">
      <c r="A1176" t="s">
        <v>3648</v>
      </c>
      <c r="B1176" t="s">
        <v>3649</v>
      </c>
      <c r="C1176" t="s">
        <v>1953</v>
      </c>
      <c r="D1176" t="s">
        <v>1954</v>
      </c>
      <c r="F1176" s="2">
        <v>751.46</v>
      </c>
    </row>
    <row r="1177" spans="1:6" x14ac:dyDescent="0.25">
      <c r="A1177" t="s">
        <v>3650</v>
      </c>
      <c r="B1177" t="s">
        <v>3651</v>
      </c>
      <c r="C1177" t="s">
        <v>1953</v>
      </c>
      <c r="D1177" t="s">
        <v>1940</v>
      </c>
      <c r="F1177" s="2">
        <v>35.020000000000003</v>
      </c>
    </row>
    <row r="1178" spans="1:6" x14ac:dyDescent="0.25">
      <c r="A1178" t="s">
        <v>3652</v>
      </c>
      <c r="B1178" t="s">
        <v>3653</v>
      </c>
      <c r="C1178" t="s">
        <v>1953</v>
      </c>
      <c r="D1178" t="s">
        <v>1954</v>
      </c>
      <c r="F1178" s="2">
        <v>92.22</v>
      </c>
    </row>
    <row r="1179" spans="1:6" x14ac:dyDescent="0.25">
      <c r="A1179" t="s">
        <v>3654</v>
      </c>
      <c r="B1179" t="s">
        <v>3655</v>
      </c>
      <c r="C1179" t="s">
        <v>1953</v>
      </c>
      <c r="D1179" t="s">
        <v>1954</v>
      </c>
      <c r="E1179" t="s">
        <v>3656</v>
      </c>
      <c r="F1179" s="2">
        <v>244.19</v>
      </c>
    </row>
    <row r="1180" spans="1:6" x14ac:dyDescent="0.25">
      <c r="A1180" t="s">
        <v>3657</v>
      </c>
      <c r="B1180" t="s">
        <v>3658</v>
      </c>
      <c r="C1180" t="s">
        <v>1953</v>
      </c>
      <c r="D1180" t="s">
        <v>1940</v>
      </c>
      <c r="E1180" t="s">
        <v>1198</v>
      </c>
      <c r="F1180" s="2">
        <v>239.86</v>
      </c>
    </row>
    <row r="1181" spans="1:6" x14ac:dyDescent="0.25">
      <c r="A1181" t="s">
        <v>3659</v>
      </c>
      <c r="B1181" t="s">
        <v>3660</v>
      </c>
      <c r="C1181" t="s">
        <v>1953</v>
      </c>
      <c r="D1181" t="s">
        <v>1940</v>
      </c>
      <c r="F1181" s="2">
        <v>211.62</v>
      </c>
    </row>
    <row r="1182" spans="1:6" x14ac:dyDescent="0.25">
      <c r="A1182" t="s">
        <v>3661</v>
      </c>
      <c r="B1182" t="s">
        <v>3662</v>
      </c>
      <c r="C1182" t="s">
        <v>1953</v>
      </c>
      <c r="D1182" t="s">
        <v>1940</v>
      </c>
      <c r="F1182" s="2">
        <v>66.41</v>
      </c>
    </row>
    <row r="1183" spans="1:6" x14ac:dyDescent="0.25">
      <c r="A1183" t="s">
        <v>3663</v>
      </c>
      <c r="B1183" t="s">
        <v>3664</v>
      </c>
      <c r="C1183" t="s">
        <v>1953</v>
      </c>
      <c r="D1183" t="s">
        <v>1940</v>
      </c>
      <c r="F1183" s="2">
        <v>19.97</v>
      </c>
    </row>
    <row r="1184" spans="1:6" x14ac:dyDescent="0.25">
      <c r="A1184" t="s">
        <v>3665</v>
      </c>
      <c r="B1184" t="s">
        <v>3666</v>
      </c>
      <c r="C1184" t="s">
        <v>1953</v>
      </c>
      <c r="D1184" t="s">
        <v>1940</v>
      </c>
      <c r="F1184" s="2">
        <v>6.45</v>
      </c>
    </row>
    <row r="1185" spans="1:6" x14ac:dyDescent="0.25">
      <c r="A1185" t="s">
        <v>3667</v>
      </c>
      <c r="B1185" t="s">
        <v>3668</v>
      </c>
      <c r="C1185" t="s">
        <v>1953</v>
      </c>
      <c r="D1185" t="s">
        <v>1940</v>
      </c>
      <c r="F1185" s="2">
        <v>6.45</v>
      </c>
    </row>
    <row r="1186" spans="1:6" x14ac:dyDescent="0.25">
      <c r="A1186" t="s">
        <v>3669</v>
      </c>
      <c r="B1186" t="s">
        <v>3670</v>
      </c>
      <c r="C1186" t="s">
        <v>1953</v>
      </c>
      <c r="D1186" t="s">
        <v>1954</v>
      </c>
      <c r="F1186" s="2">
        <v>0.84</v>
      </c>
    </row>
    <row r="1187" spans="1:6" x14ac:dyDescent="0.25">
      <c r="A1187" t="s">
        <v>3671</v>
      </c>
      <c r="B1187" t="s">
        <v>3672</v>
      </c>
      <c r="C1187" t="s">
        <v>1953</v>
      </c>
      <c r="D1187" t="s">
        <v>1954</v>
      </c>
      <c r="F1187" s="2">
        <v>0.89</v>
      </c>
    </row>
    <row r="1188" spans="1:6" x14ac:dyDescent="0.25">
      <c r="A1188" t="s">
        <v>3673</v>
      </c>
      <c r="B1188" t="s">
        <v>3674</v>
      </c>
      <c r="C1188" t="s">
        <v>1953</v>
      </c>
      <c r="D1188" t="s">
        <v>1954</v>
      </c>
      <c r="F1188" s="2">
        <v>1.25</v>
      </c>
    </row>
    <row r="1189" spans="1:6" x14ac:dyDescent="0.25">
      <c r="A1189" t="s">
        <v>3675</v>
      </c>
      <c r="B1189" t="s">
        <v>3676</v>
      </c>
      <c r="C1189" t="s">
        <v>1953</v>
      </c>
      <c r="D1189" t="s">
        <v>1954</v>
      </c>
      <c r="F1189" s="2">
        <v>1.18</v>
      </c>
    </row>
    <row r="1190" spans="1:6" x14ac:dyDescent="0.25">
      <c r="A1190" t="s">
        <v>3677</v>
      </c>
      <c r="B1190" t="s">
        <v>3678</v>
      </c>
      <c r="C1190" t="s">
        <v>1953</v>
      </c>
      <c r="D1190" t="s">
        <v>1954</v>
      </c>
      <c r="F1190" s="2">
        <v>1.5</v>
      </c>
    </row>
    <row r="1191" spans="1:6" x14ac:dyDescent="0.25">
      <c r="A1191" t="s">
        <v>3679</v>
      </c>
      <c r="B1191" t="s">
        <v>3680</v>
      </c>
      <c r="C1191" t="s">
        <v>1953</v>
      </c>
      <c r="D1191" t="s">
        <v>1940</v>
      </c>
      <c r="F1191" s="2">
        <v>42.02</v>
      </c>
    </row>
    <row r="1192" spans="1:6" x14ac:dyDescent="0.25">
      <c r="A1192" t="s">
        <v>3681</v>
      </c>
      <c r="B1192" t="s">
        <v>3682</v>
      </c>
      <c r="C1192" t="s">
        <v>1953</v>
      </c>
      <c r="D1192" t="s">
        <v>1940</v>
      </c>
      <c r="F1192" s="2">
        <v>44.44</v>
      </c>
    </row>
    <row r="1193" spans="1:6" x14ac:dyDescent="0.25">
      <c r="A1193" t="s">
        <v>3683</v>
      </c>
      <c r="B1193" t="s">
        <v>3684</v>
      </c>
      <c r="C1193" t="s">
        <v>1953</v>
      </c>
      <c r="D1193" t="s">
        <v>1940</v>
      </c>
      <c r="F1193" s="2">
        <v>869.52</v>
      </c>
    </row>
    <row r="1194" spans="1:6" x14ac:dyDescent="0.25">
      <c r="A1194" t="s">
        <v>3685</v>
      </c>
      <c r="B1194" t="s">
        <v>3686</v>
      </c>
      <c r="C1194" t="s">
        <v>1953</v>
      </c>
      <c r="D1194" t="s">
        <v>1940</v>
      </c>
      <c r="F1194" s="2">
        <v>686.12</v>
      </c>
    </row>
    <row r="1195" spans="1:6" x14ac:dyDescent="0.25">
      <c r="A1195" t="s">
        <v>1059</v>
      </c>
      <c r="B1195" t="s">
        <v>3687</v>
      </c>
      <c r="C1195" t="s">
        <v>1953</v>
      </c>
      <c r="D1195" t="s">
        <v>1954</v>
      </c>
      <c r="E1195" t="s">
        <v>493</v>
      </c>
      <c r="F1195" s="2">
        <v>5.39</v>
      </c>
    </row>
    <row r="1196" spans="1:6" x14ac:dyDescent="0.25">
      <c r="A1196" t="s">
        <v>3688</v>
      </c>
      <c r="B1196" t="s">
        <v>3689</v>
      </c>
      <c r="C1196" t="s">
        <v>1953</v>
      </c>
      <c r="D1196" t="s">
        <v>1940</v>
      </c>
      <c r="F1196" s="2">
        <v>112.82</v>
      </c>
    </row>
    <row r="1197" spans="1:6" x14ac:dyDescent="0.25">
      <c r="A1197" t="s">
        <v>3690</v>
      </c>
      <c r="B1197" t="s">
        <v>3691</v>
      </c>
      <c r="C1197" t="s">
        <v>1953</v>
      </c>
      <c r="D1197" t="s">
        <v>1954</v>
      </c>
      <c r="F1197" s="2">
        <v>542.08000000000004</v>
      </c>
    </row>
    <row r="1198" spans="1:6" x14ac:dyDescent="0.25">
      <c r="A1198" t="s">
        <v>3692</v>
      </c>
      <c r="B1198" t="s">
        <v>3693</v>
      </c>
      <c r="C1198" t="s">
        <v>1953</v>
      </c>
      <c r="D1198" t="s">
        <v>1940</v>
      </c>
      <c r="F1198" s="2">
        <v>7.13</v>
      </c>
    </row>
    <row r="1199" spans="1:6" x14ac:dyDescent="0.25">
      <c r="A1199" t="s">
        <v>3694</v>
      </c>
      <c r="B1199" t="s">
        <v>3695</v>
      </c>
      <c r="C1199" t="s">
        <v>1953</v>
      </c>
      <c r="D1199" t="s">
        <v>1940</v>
      </c>
      <c r="F1199" s="2">
        <v>10.24</v>
      </c>
    </row>
    <row r="1200" spans="1:6" x14ac:dyDescent="0.25">
      <c r="A1200" t="s">
        <v>3696</v>
      </c>
      <c r="B1200" t="s">
        <v>3697</v>
      </c>
      <c r="C1200" t="s">
        <v>1953</v>
      </c>
      <c r="D1200" t="s">
        <v>1940</v>
      </c>
      <c r="F1200" s="2">
        <v>19.87</v>
      </c>
    </row>
    <row r="1201" spans="1:6" x14ac:dyDescent="0.25">
      <c r="A1201" t="s">
        <v>3698</v>
      </c>
      <c r="B1201" t="s">
        <v>3699</v>
      </c>
      <c r="C1201" t="s">
        <v>1953</v>
      </c>
      <c r="D1201" t="s">
        <v>1940</v>
      </c>
      <c r="F1201" s="2">
        <v>38.56</v>
      </c>
    </row>
    <row r="1202" spans="1:6" x14ac:dyDescent="0.25">
      <c r="A1202" t="s">
        <v>3700</v>
      </c>
      <c r="B1202" t="s">
        <v>3701</v>
      </c>
      <c r="C1202" t="s">
        <v>1953</v>
      </c>
      <c r="D1202" t="s">
        <v>1940</v>
      </c>
      <c r="F1202" s="2">
        <v>38.56</v>
      </c>
    </row>
    <row r="1203" spans="1:6" x14ac:dyDescent="0.25">
      <c r="A1203" t="s">
        <v>3702</v>
      </c>
      <c r="B1203" t="s">
        <v>3703</v>
      </c>
      <c r="C1203" t="s">
        <v>1953</v>
      </c>
      <c r="D1203" t="s">
        <v>1940</v>
      </c>
      <c r="F1203" s="2">
        <v>38.56</v>
      </c>
    </row>
    <row r="1204" spans="1:6" x14ac:dyDescent="0.25">
      <c r="A1204" t="s">
        <v>3704</v>
      </c>
      <c r="B1204" t="s">
        <v>3705</v>
      </c>
      <c r="C1204" t="s">
        <v>1953</v>
      </c>
      <c r="D1204" t="s">
        <v>1940</v>
      </c>
      <c r="F1204" s="2">
        <v>159.6</v>
      </c>
    </row>
    <row r="1205" spans="1:6" x14ac:dyDescent="0.25">
      <c r="A1205" t="s">
        <v>3706</v>
      </c>
      <c r="B1205" t="s">
        <v>3707</v>
      </c>
      <c r="C1205" t="s">
        <v>1953</v>
      </c>
      <c r="D1205" t="s">
        <v>1940</v>
      </c>
      <c r="F1205" s="2">
        <v>38.56</v>
      </c>
    </row>
    <row r="1206" spans="1:6" x14ac:dyDescent="0.25">
      <c r="A1206" t="s">
        <v>3708</v>
      </c>
      <c r="B1206" t="s">
        <v>3709</v>
      </c>
      <c r="C1206" t="s">
        <v>1953</v>
      </c>
      <c r="D1206" t="s">
        <v>1940</v>
      </c>
      <c r="E1206" t="s">
        <v>3528</v>
      </c>
      <c r="F1206" s="2">
        <v>231.16</v>
      </c>
    </row>
    <row r="1207" spans="1:6" x14ac:dyDescent="0.25">
      <c r="A1207" t="s">
        <v>3710</v>
      </c>
      <c r="B1207" t="s">
        <v>3711</v>
      </c>
      <c r="C1207" t="s">
        <v>1953</v>
      </c>
      <c r="D1207" t="s">
        <v>1940</v>
      </c>
      <c r="E1207" t="s">
        <v>3528</v>
      </c>
      <c r="F1207" s="2">
        <v>231.16</v>
      </c>
    </row>
    <row r="1208" spans="1:6" x14ac:dyDescent="0.25">
      <c r="A1208" t="s">
        <v>1061</v>
      </c>
      <c r="B1208" t="s">
        <v>3712</v>
      </c>
      <c r="C1208" t="s">
        <v>1953</v>
      </c>
      <c r="D1208" t="s">
        <v>1954</v>
      </c>
      <c r="E1208" t="s">
        <v>493</v>
      </c>
      <c r="F1208" s="2">
        <v>5.39</v>
      </c>
    </row>
    <row r="1209" spans="1:6" x14ac:dyDescent="0.25">
      <c r="A1209" t="s">
        <v>3713</v>
      </c>
      <c r="B1209" t="s">
        <v>3714</v>
      </c>
      <c r="C1209" t="s">
        <v>1953</v>
      </c>
      <c r="D1209" t="s">
        <v>1954</v>
      </c>
      <c r="F1209" s="2">
        <v>23.42</v>
      </c>
    </row>
    <row r="1210" spans="1:6" x14ac:dyDescent="0.25">
      <c r="A1210" t="s">
        <v>3715</v>
      </c>
      <c r="B1210" t="s">
        <v>3716</v>
      </c>
      <c r="C1210" t="s">
        <v>1953</v>
      </c>
      <c r="D1210" t="s">
        <v>1940</v>
      </c>
      <c r="F1210" s="2">
        <v>9.1999999999999993</v>
      </c>
    </row>
    <row r="1211" spans="1:6" x14ac:dyDescent="0.25">
      <c r="A1211" t="s">
        <v>3717</v>
      </c>
      <c r="B1211" t="s">
        <v>3718</v>
      </c>
      <c r="C1211" t="s">
        <v>1953</v>
      </c>
      <c r="D1211" t="s">
        <v>1940</v>
      </c>
      <c r="F1211" s="2">
        <v>2.97</v>
      </c>
    </row>
    <row r="1212" spans="1:6" x14ac:dyDescent="0.25">
      <c r="A1212" t="s">
        <v>3719</v>
      </c>
      <c r="B1212" t="s">
        <v>3720</v>
      </c>
      <c r="C1212" t="s">
        <v>1953</v>
      </c>
      <c r="D1212" t="s">
        <v>1954</v>
      </c>
      <c r="E1212" t="s">
        <v>3370</v>
      </c>
      <c r="F1212" s="2">
        <v>82.68</v>
      </c>
    </row>
    <row r="1213" spans="1:6" x14ac:dyDescent="0.25">
      <c r="A1213" t="s">
        <v>3721</v>
      </c>
      <c r="B1213" t="s">
        <v>3722</v>
      </c>
      <c r="C1213" t="s">
        <v>1953</v>
      </c>
      <c r="D1213" t="s">
        <v>1954</v>
      </c>
      <c r="E1213" t="s">
        <v>3370</v>
      </c>
      <c r="F1213" s="2">
        <v>82.68</v>
      </c>
    </row>
    <row r="1214" spans="1:6" x14ac:dyDescent="0.25">
      <c r="A1214" t="s">
        <v>3723</v>
      </c>
      <c r="B1214" t="s">
        <v>3724</v>
      </c>
      <c r="C1214" t="s">
        <v>1953</v>
      </c>
      <c r="D1214" t="s">
        <v>1954</v>
      </c>
      <c r="E1214" t="s">
        <v>3370</v>
      </c>
      <c r="F1214" s="2">
        <v>82.68</v>
      </c>
    </row>
    <row r="1215" spans="1:6" x14ac:dyDescent="0.25">
      <c r="A1215" t="s">
        <v>3725</v>
      </c>
      <c r="B1215" t="s">
        <v>3726</v>
      </c>
      <c r="C1215" t="s">
        <v>1953</v>
      </c>
      <c r="D1215" t="s">
        <v>1940</v>
      </c>
      <c r="F1215" s="2">
        <v>37.82</v>
      </c>
    </row>
    <row r="1216" spans="1:6" x14ac:dyDescent="0.25">
      <c r="A1216" t="s">
        <v>3727</v>
      </c>
      <c r="B1216" t="s">
        <v>3728</v>
      </c>
      <c r="C1216" t="s">
        <v>1953</v>
      </c>
      <c r="D1216" t="s">
        <v>1940</v>
      </c>
      <c r="F1216" s="2">
        <v>26.68</v>
      </c>
    </row>
    <row r="1217" spans="1:6" x14ac:dyDescent="0.25">
      <c r="A1217" t="s">
        <v>3729</v>
      </c>
      <c r="B1217" t="s">
        <v>3730</v>
      </c>
      <c r="C1217" t="s">
        <v>1953</v>
      </c>
      <c r="D1217" t="s">
        <v>1940</v>
      </c>
      <c r="F1217" s="2">
        <v>7.03</v>
      </c>
    </row>
    <row r="1218" spans="1:6" x14ac:dyDescent="0.25">
      <c r="A1218" t="s">
        <v>3731</v>
      </c>
      <c r="B1218" t="s">
        <v>3732</v>
      </c>
      <c r="C1218" t="s">
        <v>1953</v>
      </c>
      <c r="D1218" t="s">
        <v>1954</v>
      </c>
      <c r="E1218" t="s">
        <v>3370</v>
      </c>
      <c r="F1218" s="2">
        <v>82.68</v>
      </c>
    </row>
    <row r="1219" spans="1:6" x14ac:dyDescent="0.25">
      <c r="A1219" t="s">
        <v>3733</v>
      </c>
      <c r="B1219" t="s">
        <v>3734</v>
      </c>
      <c r="C1219" t="s">
        <v>1953</v>
      </c>
      <c r="D1219" t="s">
        <v>1940</v>
      </c>
      <c r="E1219" t="s">
        <v>3735</v>
      </c>
      <c r="F1219" s="2">
        <v>91</v>
      </c>
    </row>
    <row r="1220" spans="1:6" x14ac:dyDescent="0.25">
      <c r="A1220" t="s">
        <v>1064</v>
      </c>
      <c r="B1220" t="s">
        <v>3736</v>
      </c>
      <c r="C1220" t="s">
        <v>1953</v>
      </c>
      <c r="D1220" t="s">
        <v>1954</v>
      </c>
      <c r="E1220" t="s">
        <v>493</v>
      </c>
      <c r="F1220" s="2">
        <v>5.39</v>
      </c>
    </row>
    <row r="1221" spans="1:6" x14ac:dyDescent="0.25">
      <c r="A1221" t="s">
        <v>1209</v>
      </c>
      <c r="B1221" t="s">
        <v>3737</v>
      </c>
      <c r="C1221" t="s">
        <v>1953</v>
      </c>
      <c r="D1221" t="s">
        <v>1940</v>
      </c>
      <c r="E1221" t="s">
        <v>711</v>
      </c>
      <c r="F1221" s="2">
        <v>5.92</v>
      </c>
    </row>
    <row r="1222" spans="1:6" x14ac:dyDescent="0.25">
      <c r="A1222" t="s">
        <v>1211</v>
      </c>
      <c r="B1222" t="s">
        <v>3738</v>
      </c>
      <c r="C1222" t="s">
        <v>1953</v>
      </c>
      <c r="D1222" t="s">
        <v>1954</v>
      </c>
      <c r="E1222" t="s">
        <v>711</v>
      </c>
      <c r="F1222" s="2">
        <v>5.92</v>
      </c>
    </row>
    <row r="1223" spans="1:6" x14ac:dyDescent="0.25">
      <c r="A1223" t="s">
        <v>3739</v>
      </c>
      <c r="B1223" t="s">
        <v>3740</v>
      </c>
      <c r="C1223" t="s">
        <v>1953</v>
      </c>
      <c r="D1223" t="s">
        <v>1940</v>
      </c>
      <c r="F1223" s="2">
        <v>312.35000000000002</v>
      </c>
    </row>
    <row r="1224" spans="1:6" x14ac:dyDescent="0.25">
      <c r="A1224" t="s">
        <v>3741</v>
      </c>
      <c r="B1224" t="s">
        <v>3742</v>
      </c>
      <c r="C1224" t="s">
        <v>1953</v>
      </c>
      <c r="D1224" t="s">
        <v>1940</v>
      </c>
      <c r="F1224" s="2">
        <v>348.59</v>
      </c>
    </row>
    <row r="1225" spans="1:6" x14ac:dyDescent="0.25">
      <c r="A1225" t="s">
        <v>3743</v>
      </c>
      <c r="B1225" t="s">
        <v>3744</v>
      </c>
      <c r="C1225" t="s">
        <v>1953</v>
      </c>
      <c r="D1225" t="s">
        <v>1940</v>
      </c>
      <c r="F1225" s="2">
        <v>42.8</v>
      </c>
    </row>
    <row r="1226" spans="1:6" x14ac:dyDescent="0.25">
      <c r="A1226" t="s">
        <v>3745</v>
      </c>
      <c r="B1226" t="s">
        <v>3746</v>
      </c>
      <c r="C1226" t="s">
        <v>1953</v>
      </c>
      <c r="D1226" t="s">
        <v>1940</v>
      </c>
      <c r="F1226" s="2">
        <v>42.85</v>
      </c>
    </row>
    <row r="1227" spans="1:6" x14ac:dyDescent="0.25">
      <c r="A1227" t="s">
        <v>3747</v>
      </c>
      <c r="B1227" t="s">
        <v>3748</v>
      </c>
      <c r="C1227" t="s">
        <v>1953</v>
      </c>
      <c r="D1227" t="s">
        <v>1940</v>
      </c>
      <c r="F1227" s="2">
        <v>677.01</v>
      </c>
    </row>
    <row r="1228" spans="1:6" x14ac:dyDescent="0.25">
      <c r="A1228" t="s">
        <v>3749</v>
      </c>
      <c r="B1228" t="s">
        <v>3750</v>
      </c>
      <c r="C1228" t="s">
        <v>1953</v>
      </c>
      <c r="D1228" t="s">
        <v>1954</v>
      </c>
      <c r="E1228" t="s">
        <v>194</v>
      </c>
      <c r="F1228" s="2">
        <v>260.45</v>
      </c>
    </row>
    <row r="1229" spans="1:6" x14ac:dyDescent="0.25">
      <c r="A1229" t="s">
        <v>3751</v>
      </c>
      <c r="B1229" t="s">
        <v>3752</v>
      </c>
      <c r="C1229" t="s">
        <v>1953</v>
      </c>
      <c r="D1229" t="s">
        <v>1954</v>
      </c>
      <c r="E1229" t="s">
        <v>194</v>
      </c>
      <c r="F1229" s="2">
        <v>260.45</v>
      </c>
    </row>
    <row r="1230" spans="1:6" x14ac:dyDescent="0.25">
      <c r="A1230" t="s">
        <v>3753</v>
      </c>
      <c r="B1230" t="s">
        <v>3754</v>
      </c>
      <c r="C1230" t="s">
        <v>1953</v>
      </c>
      <c r="D1230" t="s">
        <v>1940</v>
      </c>
      <c r="F1230" s="2">
        <v>1033.25</v>
      </c>
    </row>
    <row r="1231" spans="1:6" x14ac:dyDescent="0.25">
      <c r="A1231" t="s">
        <v>3755</v>
      </c>
      <c r="B1231" t="s">
        <v>3756</v>
      </c>
      <c r="C1231" t="s">
        <v>1953</v>
      </c>
      <c r="D1231" t="s">
        <v>1940</v>
      </c>
      <c r="F1231" s="2">
        <v>24.89</v>
      </c>
    </row>
    <row r="1232" spans="1:6" x14ac:dyDescent="0.25">
      <c r="A1232" t="s">
        <v>3757</v>
      </c>
      <c r="B1232" t="s">
        <v>3758</v>
      </c>
      <c r="C1232" t="s">
        <v>1953</v>
      </c>
      <c r="D1232" t="s">
        <v>1940</v>
      </c>
      <c r="F1232" s="2">
        <v>70.569999999999993</v>
      </c>
    </row>
    <row r="1233" spans="1:6" x14ac:dyDescent="0.25">
      <c r="A1233" t="s">
        <v>3759</v>
      </c>
      <c r="B1233" t="s">
        <v>3760</v>
      </c>
      <c r="C1233" t="s">
        <v>1953</v>
      </c>
      <c r="D1233" t="s">
        <v>1940</v>
      </c>
      <c r="E1233" t="s">
        <v>1198</v>
      </c>
      <c r="F1233" s="2">
        <v>165.47</v>
      </c>
    </row>
    <row r="1234" spans="1:6" x14ac:dyDescent="0.25">
      <c r="A1234" t="s">
        <v>3761</v>
      </c>
      <c r="B1234" t="s">
        <v>3762</v>
      </c>
      <c r="C1234" t="s">
        <v>1953</v>
      </c>
      <c r="D1234" t="s">
        <v>1940</v>
      </c>
      <c r="E1234" t="s">
        <v>194</v>
      </c>
      <c r="F1234" s="2">
        <v>171.22</v>
      </c>
    </row>
    <row r="1235" spans="1:6" x14ac:dyDescent="0.25">
      <c r="A1235" t="s">
        <v>3763</v>
      </c>
      <c r="B1235" t="s">
        <v>3764</v>
      </c>
      <c r="C1235" t="s">
        <v>1953</v>
      </c>
      <c r="D1235" t="s">
        <v>1940</v>
      </c>
      <c r="E1235" t="s">
        <v>194</v>
      </c>
      <c r="F1235" s="2">
        <v>171.22</v>
      </c>
    </row>
    <row r="1236" spans="1:6" x14ac:dyDescent="0.25">
      <c r="A1236" t="s">
        <v>3765</v>
      </c>
      <c r="B1236" t="s">
        <v>3766</v>
      </c>
      <c r="C1236" t="s">
        <v>1953</v>
      </c>
      <c r="D1236" t="s">
        <v>1954</v>
      </c>
      <c r="F1236" s="2">
        <v>88.36</v>
      </c>
    </row>
    <row r="1237" spans="1:6" x14ac:dyDescent="0.25">
      <c r="A1237" t="s">
        <v>1066</v>
      </c>
      <c r="B1237" t="s">
        <v>3767</v>
      </c>
      <c r="C1237" t="s">
        <v>1953</v>
      </c>
      <c r="D1237" t="s">
        <v>1954</v>
      </c>
      <c r="E1237" t="s">
        <v>493</v>
      </c>
      <c r="F1237" s="2">
        <v>5.39</v>
      </c>
    </row>
    <row r="1238" spans="1:6" x14ac:dyDescent="0.25">
      <c r="A1238" t="s">
        <v>3768</v>
      </c>
      <c r="B1238" t="s">
        <v>3769</v>
      </c>
      <c r="C1238" t="s">
        <v>1953</v>
      </c>
      <c r="D1238" t="s">
        <v>1940</v>
      </c>
      <c r="F1238" s="2">
        <v>2133.6</v>
      </c>
    </row>
    <row r="1239" spans="1:6" x14ac:dyDescent="0.25">
      <c r="A1239" t="s">
        <v>3770</v>
      </c>
      <c r="B1239" t="s">
        <v>3771</v>
      </c>
      <c r="C1239" t="s">
        <v>1953</v>
      </c>
      <c r="D1239" t="s">
        <v>1940</v>
      </c>
      <c r="F1239" s="2">
        <v>1123.54</v>
      </c>
    </row>
    <row r="1240" spans="1:6" x14ac:dyDescent="0.25">
      <c r="A1240" t="s">
        <v>3772</v>
      </c>
      <c r="B1240" t="s">
        <v>3773</v>
      </c>
      <c r="C1240" t="s">
        <v>1953</v>
      </c>
      <c r="D1240" t="s">
        <v>1954</v>
      </c>
      <c r="E1240" t="s">
        <v>3528</v>
      </c>
      <c r="F1240" s="2">
        <v>110.87</v>
      </c>
    </row>
    <row r="1241" spans="1:6" x14ac:dyDescent="0.25">
      <c r="A1241" t="s">
        <v>3774</v>
      </c>
      <c r="B1241" t="s">
        <v>3775</v>
      </c>
      <c r="C1241" t="s">
        <v>1953</v>
      </c>
      <c r="D1241" t="s">
        <v>1954</v>
      </c>
      <c r="E1241" t="s">
        <v>3528</v>
      </c>
      <c r="F1241" s="2">
        <v>129.47</v>
      </c>
    </row>
    <row r="1242" spans="1:6" x14ac:dyDescent="0.25">
      <c r="A1242" t="s">
        <v>1067</v>
      </c>
      <c r="B1242" t="s">
        <v>3776</v>
      </c>
      <c r="C1242" t="s">
        <v>1953</v>
      </c>
      <c r="D1242" t="s">
        <v>1954</v>
      </c>
      <c r="E1242" t="s">
        <v>493</v>
      </c>
      <c r="F1242" s="2">
        <v>5.39</v>
      </c>
    </row>
    <row r="1243" spans="1:6" x14ac:dyDescent="0.25">
      <c r="A1243" t="s">
        <v>1069</v>
      </c>
      <c r="B1243" t="s">
        <v>3777</v>
      </c>
      <c r="C1243" t="s">
        <v>1953</v>
      </c>
      <c r="D1243" t="s">
        <v>1954</v>
      </c>
      <c r="E1243" t="s">
        <v>493</v>
      </c>
      <c r="F1243" s="2">
        <v>5.39</v>
      </c>
    </row>
    <row r="1244" spans="1:6" x14ac:dyDescent="0.25">
      <c r="A1244" t="s">
        <v>1070</v>
      </c>
      <c r="B1244" t="s">
        <v>3778</v>
      </c>
      <c r="C1244" t="s">
        <v>1953</v>
      </c>
      <c r="D1244" t="s">
        <v>1954</v>
      </c>
      <c r="E1244" t="s">
        <v>493</v>
      </c>
      <c r="F1244" s="2">
        <v>5.39</v>
      </c>
    </row>
    <row r="1245" spans="1:6" x14ac:dyDescent="0.25">
      <c r="A1245" t="s">
        <v>1072</v>
      </c>
      <c r="B1245" t="s">
        <v>3779</v>
      </c>
      <c r="C1245" t="s">
        <v>1953</v>
      </c>
      <c r="D1245" t="s">
        <v>1954</v>
      </c>
      <c r="E1245" t="s">
        <v>493</v>
      </c>
      <c r="F1245" s="2">
        <v>5.39</v>
      </c>
    </row>
    <row r="1246" spans="1:6" x14ac:dyDescent="0.25">
      <c r="A1246" t="s">
        <v>1073</v>
      </c>
      <c r="B1246" t="s">
        <v>3780</v>
      </c>
      <c r="C1246" t="s">
        <v>1953</v>
      </c>
      <c r="D1246" t="s">
        <v>1954</v>
      </c>
      <c r="E1246" t="s">
        <v>493</v>
      </c>
      <c r="F1246" s="2">
        <v>5.39</v>
      </c>
    </row>
    <row r="1247" spans="1:6" x14ac:dyDescent="0.25">
      <c r="A1247" t="s">
        <v>1075</v>
      </c>
      <c r="B1247" t="s">
        <v>3781</v>
      </c>
      <c r="C1247" t="s">
        <v>1953</v>
      </c>
      <c r="D1247" t="s">
        <v>1954</v>
      </c>
      <c r="E1247" t="s">
        <v>493</v>
      </c>
      <c r="F1247" s="2">
        <v>5.39</v>
      </c>
    </row>
    <row r="1248" spans="1:6" x14ac:dyDescent="0.25">
      <c r="A1248" t="s">
        <v>3782</v>
      </c>
      <c r="B1248" t="s">
        <v>3783</v>
      </c>
      <c r="C1248" t="s">
        <v>1953</v>
      </c>
      <c r="D1248" t="s">
        <v>1940</v>
      </c>
      <c r="F1248" s="2">
        <v>87</v>
      </c>
    </row>
    <row r="1249" spans="1:6" x14ac:dyDescent="0.25">
      <c r="A1249" t="s">
        <v>3784</v>
      </c>
      <c r="B1249" t="s">
        <v>3785</v>
      </c>
      <c r="C1249" t="s">
        <v>1953</v>
      </c>
      <c r="D1249" t="s">
        <v>1940</v>
      </c>
      <c r="F1249" s="2">
        <v>8.9</v>
      </c>
    </row>
    <row r="1250" spans="1:6" x14ac:dyDescent="0.25">
      <c r="A1250" t="s">
        <v>3786</v>
      </c>
      <c r="B1250" t="s">
        <v>3787</v>
      </c>
      <c r="C1250" t="s">
        <v>1953</v>
      </c>
      <c r="D1250" t="s">
        <v>1940</v>
      </c>
      <c r="F1250" s="2">
        <v>112.89</v>
      </c>
    </row>
    <row r="1251" spans="1:6" x14ac:dyDescent="0.25">
      <c r="A1251" t="s">
        <v>1076</v>
      </c>
      <c r="B1251" t="s">
        <v>3788</v>
      </c>
      <c r="C1251" t="s">
        <v>1953</v>
      </c>
      <c r="D1251" t="s">
        <v>1954</v>
      </c>
      <c r="E1251" t="s">
        <v>493</v>
      </c>
      <c r="F1251" s="2">
        <v>5.39</v>
      </c>
    </row>
    <row r="1252" spans="1:6" x14ac:dyDescent="0.25">
      <c r="A1252" t="s">
        <v>1078</v>
      </c>
      <c r="B1252" t="s">
        <v>3789</v>
      </c>
      <c r="C1252" t="s">
        <v>1953</v>
      </c>
      <c r="D1252" t="s">
        <v>1954</v>
      </c>
      <c r="E1252" t="s">
        <v>493</v>
      </c>
      <c r="F1252" s="2">
        <v>5.39</v>
      </c>
    </row>
    <row r="1253" spans="1:6" x14ac:dyDescent="0.25">
      <c r="A1253" t="s">
        <v>1079</v>
      </c>
      <c r="B1253" t="s">
        <v>3790</v>
      </c>
      <c r="C1253" t="s">
        <v>1953</v>
      </c>
      <c r="D1253" t="s">
        <v>1954</v>
      </c>
      <c r="E1253" t="s">
        <v>493</v>
      </c>
      <c r="F1253" s="2">
        <v>5.39</v>
      </c>
    </row>
    <row r="1254" spans="1:6" x14ac:dyDescent="0.25">
      <c r="A1254" t="s">
        <v>1081</v>
      </c>
      <c r="B1254" t="s">
        <v>3791</v>
      </c>
      <c r="C1254" t="s">
        <v>1953</v>
      </c>
      <c r="D1254" t="s">
        <v>1954</v>
      </c>
      <c r="E1254" t="s">
        <v>493</v>
      </c>
      <c r="F1254" s="2">
        <v>5.39</v>
      </c>
    </row>
    <row r="1255" spans="1:6" x14ac:dyDescent="0.25">
      <c r="A1255" t="s">
        <v>3792</v>
      </c>
      <c r="B1255" t="s">
        <v>3793</v>
      </c>
      <c r="C1255" t="s">
        <v>1953</v>
      </c>
      <c r="D1255" t="s">
        <v>1940</v>
      </c>
      <c r="F1255" s="2">
        <v>51.45</v>
      </c>
    </row>
    <row r="1256" spans="1:6" x14ac:dyDescent="0.25">
      <c r="A1256" t="s">
        <v>3794</v>
      </c>
      <c r="B1256" t="s">
        <v>3795</v>
      </c>
      <c r="C1256" t="s">
        <v>1953</v>
      </c>
      <c r="D1256" t="s">
        <v>1940</v>
      </c>
      <c r="F1256" s="2">
        <v>51.45</v>
      </c>
    </row>
    <row r="1257" spans="1:6" x14ac:dyDescent="0.25">
      <c r="A1257" t="s">
        <v>3796</v>
      </c>
      <c r="B1257" t="s">
        <v>3797</v>
      </c>
      <c r="C1257" t="s">
        <v>1953</v>
      </c>
      <c r="D1257" t="s">
        <v>1940</v>
      </c>
      <c r="F1257" s="2">
        <v>251.23</v>
      </c>
    </row>
    <row r="1258" spans="1:6" x14ac:dyDescent="0.25">
      <c r="A1258" t="s">
        <v>3798</v>
      </c>
      <c r="B1258" t="s">
        <v>3799</v>
      </c>
      <c r="C1258" t="s">
        <v>1953</v>
      </c>
      <c r="D1258" t="s">
        <v>1954</v>
      </c>
      <c r="E1258" t="s">
        <v>78</v>
      </c>
      <c r="F1258" s="2">
        <v>66.17</v>
      </c>
    </row>
    <row r="1259" spans="1:6" x14ac:dyDescent="0.25">
      <c r="A1259" t="s">
        <v>3800</v>
      </c>
      <c r="B1259" t="s">
        <v>3801</v>
      </c>
      <c r="C1259" t="s">
        <v>1953</v>
      </c>
      <c r="D1259" t="s">
        <v>1954</v>
      </c>
      <c r="E1259" t="s">
        <v>78</v>
      </c>
      <c r="F1259" s="2">
        <v>66.17</v>
      </c>
    </row>
    <row r="1260" spans="1:6" x14ac:dyDescent="0.25">
      <c r="A1260" t="s">
        <v>3802</v>
      </c>
      <c r="B1260" t="s">
        <v>3803</v>
      </c>
      <c r="C1260" t="s">
        <v>1953</v>
      </c>
      <c r="D1260" t="s">
        <v>1954</v>
      </c>
      <c r="E1260" t="s">
        <v>78</v>
      </c>
      <c r="F1260" s="2">
        <v>66.17</v>
      </c>
    </row>
    <row r="1261" spans="1:6" x14ac:dyDescent="0.25">
      <c r="A1261" t="s">
        <v>3804</v>
      </c>
      <c r="B1261" t="s">
        <v>3805</v>
      </c>
      <c r="C1261" t="s">
        <v>1953</v>
      </c>
      <c r="D1261" t="s">
        <v>1954</v>
      </c>
      <c r="E1261" t="s">
        <v>78</v>
      </c>
      <c r="F1261" s="2">
        <v>66.17</v>
      </c>
    </row>
    <row r="1262" spans="1:6" x14ac:dyDescent="0.25">
      <c r="A1262" t="s">
        <v>1082</v>
      </c>
      <c r="B1262" t="s">
        <v>3806</v>
      </c>
      <c r="C1262" t="s">
        <v>1953</v>
      </c>
      <c r="D1262" t="s">
        <v>1954</v>
      </c>
      <c r="E1262" t="s">
        <v>493</v>
      </c>
      <c r="F1262" s="2">
        <v>5.39</v>
      </c>
    </row>
    <row r="1263" spans="1:6" x14ac:dyDescent="0.25">
      <c r="A1263" t="s">
        <v>1084</v>
      </c>
      <c r="B1263" t="s">
        <v>3807</v>
      </c>
      <c r="C1263" t="s">
        <v>1953</v>
      </c>
      <c r="D1263" t="s">
        <v>1954</v>
      </c>
      <c r="E1263" t="s">
        <v>493</v>
      </c>
      <c r="F1263" s="2">
        <v>5.39</v>
      </c>
    </row>
    <row r="1264" spans="1:6" x14ac:dyDescent="0.25">
      <c r="A1264" t="s">
        <v>1085</v>
      </c>
      <c r="B1264" t="s">
        <v>3808</v>
      </c>
      <c r="C1264" t="s">
        <v>1953</v>
      </c>
      <c r="D1264" t="s">
        <v>1954</v>
      </c>
      <c r="E1264" t="s">
        <v>493</v>
      </c>
      <c r="F1264" s="2">
        <v>5.39</v>
      </c>
    </row>
    <row r="1265" spans="1:6" x14ac:dyDescent="0.25">
      <c r="A1265" t="s">
        <v>3809</v>
      </c>
      <c r="B1265" t="s">
        <v>3810</v>
      </c>
      <c r="C1265" t="s">
        <v>1953</v>
      </c>
      <c r="D1265" t="s">
        <v>1954</v>
      </c>
      <c r="F1265" s="2">
        <v>74.540000000000006</v>
      </c>
    </row>
    <row r="1266" spans="1:6" x14ac:dyDescent="0.25">
      <c r="A1266" t="s">
        <v>1087</v>
      </c>
      <c r="B1266" t="s">
        <v>3811</v>
      </c>
      <c r="C1266" t="s">
        <v>1953</v>
      </c>
      <c r="D1266" t="s">
        <v>1954</v>
      </c>
      <c r="E1266" t="s">
        <v>493</v>
      </c>
      <c r="F1266" s="2">
        <v>5.39</v>
      </c>
    </row>
    <row r="1267" spans="1:6" x14ac:dyDescent="0.25">
      <c r="A1267" t="s">
        <v>1088</v>
      </c>
      <c r="B1267" t="s">
        <v>3812</v>
      </c>
      <c r="C1267" t="s">
        <v>1953</v>
      </c>
      <c r="D1267" t="s">
        <v>1954</v>
      </c>
      <c r="E1267" t="s">
        <v>493</v>
      </c>
      <c r="F1267" s="2">
        <v>5.39</v>
      </c>
    </row>
    <row r="1268" spans="1:6" x14ac:dyDescent="0.25">
      <c r="A1268" t="s">
        <v>3813</v>
      </c>
      <c r="B1268" t="s">
        <v>3814</v>
      </c>
      <c r="C1268" t="s">
        <v>1953</v>
      </c>
      <c r="D1268" t="s">
        <v>1954</v>
      </c>
      <c r="E1268" t="s">
        <v>1198</v>
      </c>
      <c r="F1268" s="2">
        <v>263.64999999999998</v>
      </c>
    </row>
    <row r="1269" spans="1:6" x14ac:dyDescent="0.25">
      <c r="A1269" t="s">
        <v>3815</v>
      </c>
      <c r="B1269" t="s">
        <v>3816</v>
      </c>
      <c r="C1269" t="s">
        <v>1953</v>
      </c>
      <c r="D1269" t="s">
        <v>1954</v>
      </c>
      <c r="E1269" t="s">
        <v>1198</v>
      </c>
      <c r="F1269" s="2">
        <v>173.02</v>
      </c>
    </row>
    <row r="1270" spans="1:6" x14ac:dyDescent="0.25">
      <c r="A1270" t="s">
        <v>3817</v>
      </c>
      <c r="B1270" t="s">
        <v>3818</v>
      </c>
      <c r="C1270" t="s">
        <v>1953</v>
      </c>
      <c r="D1270" t="s">
        <v>1954</v>
      </c>
      <c r="E1270" t="s">
        <v>1198</v>
      </c>
      <c r="F1270" s="2">
        <v>291.67</v>
      </c>
    </row>
    <row r="1271" spans="1:6" x14ac:dyDescent="0.25">
      <c r="A1271" t="s">
        <v>1090</v>
      </c>
      <c r="B1271" t="s">
        <v>3819</v>
      </c>
      <c r="C1271" t="s">
        <v>1953</v>
      </c>
      <c r="D1271" t="s">
        <v>1954</v>
      </c>
      <c r="E1271" t="s">
        <v>493</v>
      </c>
      <c r="F1271" s="2">
        <v>5.39</v>
      </c>
    </row>
    <row r="1272" spans="1:6" x14ac:dyDescent="0.25">
      <c r="A1272" t="s">
        <v>3820</v>
      </c>
      <c r="B1272" t="s">
        <v>3821</v>
      </c>
      <c r="C1272" t="s">
        <v>1953</v>
      </c>
      <c r="D1272" t="s">
        <v>1954</v>
      </c>
      <c r="F1272" s="2">
        <v>1.23</v>
      </c>
    </row>
    <row r="1273" spans="1:6" x14ac:dyDescent="0.25">
      <c r="A1273" t="s">
        <v>3822</v>
      </c>
      <c r="B1273" t="s">
        <v>3823</v>
      </c>
      <c r="C1273" t="s">
        <v>1953</v>
      </c>
      <c r="D1273" t="s">
        <v>1954</v>
      </c>
      <c r="F1273" s="2">
        <v>1.25</v>
      </c>
    </row>
    <row r="1274" spans="1:6" x14ac:dyDescent="0.25">
      <c r="A1274" t="s">
        <v>151</v>
      </c>
      <c r="B1274" t="s">
        <v>3824</v>
      </c>
      <c r="C1274" t="s">
        <v>1953</v>
      </c>
      <c r="D1274" t="s">
        <v>1954</v>
      </c>
      <c r="E1274" t="s">
        <v>2022</v>
      </c>
      <c r="F1274" s="2">
        <v>290.49</v>
      </c>
    </row>
    <row r="1275" spans="1:6" x14ac:dyDescent="0.25">
      <c r="A1275" t="s">
        <v>3825</v>
      </c>
      <c r="B1275" t="s">
        <v>3826</v>
      </c>
      <c r="C1275" t="s">
        <v>1953</v>
      </c>
      <c r="D1275" t="s">
        <v>1954</v>
      </c>
      <c r="E1275" t="s">
        <v>199</v>
      </c>
      <c r="F1275" s="2">
        <v>196.81</v>
      </c>
    </row>
    <row r="1276" spans="1:6" x14ac:dyDescent="0.25">
      <c r="A1276" t="s">
        <v>3827</v>
      </c>
      <c r="B1276" t="s">
        <v>3828</v>
      </c>
      <c r="C1276" t="s">
        <v>1953</v>
      </c>
      <c r="D1276" t="s">
        <v>1954</v>
      </c>
      <c r="E1276" t="s">
        <v>199</v>
      </c>
      <c r="F1276" s="2">
        <v>196.81</v>
      </c>
    </row>
    <row r="1277" spans="1:6" x14ac:dyDescent="0.25">
      <c r="A1277" t="s">
        <v>1091</v>
      </c>
      <c r="B1277" t="s">
        <v>3829</v>
      </c>
      <c r="C1277" t="s">
        <v>1953</v>
      </c>
      <c r="D1277" t="s">
        <v>1954</v>
      </c>
      <c r="E1277" t="s">
        <v>493</v>
      </c>
      <c r="F1277" s="2">
        <v>5.39</v>
      </c>
    </row>
    <row r="1278" spans="1:6" x14ac:dyDescent="0.25">
      <c r="A1278" t="s">
        <v>1093</v>
      </c>
      <c r="B1278" t="s">
        <v>3830</v>
      </c>
      <c r="C1278" t="s">
        <v>1953</v>
      </c>
      <c r="D1278" t="s">
        <v>1954</v>
      </c>
      <c r="E1278" t="s">
        <v>493</v>
      </c>
      <c r="F1278" s="2">
        <v>5.39</v>
      </c>
    </row>
    <row r="1279" spans="1:6" x14ac:dyDescent="0.25">
      <c r="A1279" t="s">
        <v>3831</v>
      </c>
      <c r="B1279" t="s">
        <v>3832</v>
      </c>
      <c r="C1279" t="s">
        <v>1953</v>
      </c>
      <c r="D1279" t="s">
        <v>1940</v>
      </c>
      <c r="F1279" s="2">
        <v>145.56</v>
      </c>
    </row>
    <row r="1280" spans="1:6" x14ac:dyDescent="0.25">
      <c r="A1280" t="s">
        <v>3833</v>
      </c>
      <c r="B1280" t="s">
        <v>3834</v>
      </c>
      <c r="C1280" t="s">
        <v>1953</v>
      </c>
      <c r="D1280" t="s">
        <v>1940</v>
      </c>
      <c r="F1280" s="2">
        <v>33.770000000000003</v>
      </c>
    </row>
    <row r="1281" spans="1:6" x14ac:dyDescent="0.25">
      <c r="A1281" t="s">
        <v>3835</v>
      </c>
      <c r="B1281" t="s">
        <v>3836</v>
      </c>
      <c r="C1281" t="s">
        <v>1953</v>
      </c>
      <c r="D1281" t="s">
        <v>1940</v>
      </c>
      <c r="F1281" s="2">
        <v>45.93</v>
      </c>
    </row>
    <row r="1282" spans="1:6" x14ac:dyDescent="0.25">
      <c r="A1282" t="s">
        <v>3837</v>
      </c>
      <c r="B1282" t="s">
        <v>3838</v>
      </c>
      <c r="C1282" t="s">
        <v>1953</v>
      </c>
      <c r="D1282" t="s">
        <v>1954</v>
      </c>
      <c r="E1282" t="s">
        <v>78</v>
      </c>
      <c r="F1282" s="2">
        <v>78.739999999999995</v>
      </c>
    </row>
    <row r="1283" spans="1:6" x14ac:dyDescent="0.25">
      <c r="A1283" t="s">
        <v>3839</v>
      </c>
      <c r="B1283" t="s">
        <v>3840</v>
      </c>
      <c r="C1283" t="s">
        <v>1953</v>
      </c>
      <c r="D1283" t="s">
        <v>1954</v>
      </c>
      <c r="E1283" t="s">
        <v>78</v>
      </c>
      <c r="F1283" s="2">
        <v>78.739999999999995</v>
      </c>
    </row>
    <row r="1284" spans="1:6" x14ac:dyDescent="0.25">
      <c r="A1284" t="s">
        <v>3841</v>
      </c>
      <c r="B1284" t="s">
        <v>3842</v>
      </c>
      <c r="C1284" t="s">
        <v>1953</v>
      </c>
      <c r="D1284" t="s">
        <v>1954</v>
      </c>
      <c r="E1284" t="s">
        <v>78</v>
      </c>
      <c r="F1284" s="2">
        <v>66.17</v>
      </c>
    </row>
    <row r="1285" spans="1:6" x14ac:dyDescent="0.25">
      <c r="A1285" t="s">
        <v>3843</v>
      </c>
      <c r="B1285" t="s">
        <v>3844</v>
      </c>
      <c r="C1285" t="s">
        <v>1953</v>
      </c>
      <c r="D1285" t="s">
        <v>1954</v>
      </c>
      <c r="F1285" s="2">
        <v>318.16000000000003</v>
      </c>
    </row>
    <row r="1286" spans="1:6" x14ac:dyDescent="0.25">
      <c r="A1286" t="s">
        <v>3845</v>
      </c>
      <c r="B1286" t="s">
        <v>3846</v>
      </c>
      <c r="C1286" t="s">
        <v>1953</v>
      </c>
      <c r="D1286" t="s">
        <v>1940</v>
      </c>
      <c r="F1286" s="2">
        <v>4007.56</v>
      </c>
    </row>
    <row r="1287" spans="1:6" x14ac:dyDescent="0.25">
      <c r="A1287" t="s">
        <v>3847</v>
      </c>
      <c r="B1287" t="s">
        <v>3848</v>
      </c>
      <c r="C1287" t="s">
        <v>1953</v>
      </c>
      <c r="D1287" t="s">
        <v>1940</v>
      </c>
      <c r="F1287" s="2">
        <v>514.72</v>
      </c>
    </row>
    <row r="1288" spans="1:6" x14ac:dyDescent="0.25">
      <c r="A1288" t="s">
        <v>3849</v>
      </c>
      <c r="B1288" t="s">
        <v>3850</v>
      </c>
      <c r="C1288" t="s">
        <v>1953</v>
      </c>
      <c r="D1288" t="s">
        <v>1940</v>
      </c>
      <c r="F1288" s="2">
        <v>23.32</v>
      </c>
    </row>
    <row r="1289" spans="1:6" x14ac:dyDescent="0.25">
      <c r="A1289" t="s">
        <v>3851</v>
      </c>
      <c r="B1289" t="s">
        <v>3852</v>
      </c>
      <c r="C1289" t="s">
        <v>1953</v>
      </c>
      <c r="D1289" t="s">
        <v>1954</v>
      </c>
      <c r="F1289" s="2">
        <v>38.56</v>
      </c>
    </row>
    <row r="1290" spans="1:6" x14ac:dyDescent="0.25">
      <c r="A1290" t="s">
        <v>3853</v>
      </c>
      <c r="B1290" t="s">
        <v>3854</v>
      </c>
      <c r="C1290" t="s">
        <v>1953</v>
      </c>
      <c r="D1290" t="s">
        <v>1940</v>
      </c>
      <c r="F1290" s="2">
        <v>18.82</v>
      </c>
    </row>
    <row r="1291" spans="1:6" x14ac:dyDescent="0.25">
      <c r="A1291" t="s">
        <v>3855</v>
      </c>
      <c r="B1291" t="s">
        <v>3856</v>
      </c>
      <c r="C1291" t="s">
        <v>1953</v>
      </c>
      <c r="D1291" t="s">
        <v>1954</v>
      </c>
      <c r="F1291" s="2">
        <v>214.65</v>
      </c>
    </row>
    <row r="1292" spans="1:6" x14ac:dyDescent="0.25">
      <c r="A1292" t="s">
        <v>1094</v>
      </c>
      <c r="B1292" t="s">
        <v>3857</v>
      </c>
      <c r="C1292" t="s">
        <v>1953</v>
      </c>
      <c r="D1292" t="s">
        <v>1954</v>
      </c>
      <c r="E1292" t="s">
        <v>493</v>
      </c>
      <c r="F1292" s="2">
        <v>5.39</v>
      </c>
    </row>
    <row r="1293" spans="1:6" x14ac:dyDescent="0.25">
      <c r="A1293" t="s">
        <v>1096</v>
      </c>
      <c r="B1293" t="s">
        <v>3858</v>
      </c>
      <c r="C1293" t="s">
        <v>1953</v>
      </c>
      <c r="D1293" t="s">
        <v>1954</v>
      </c>
      <c r="E1293" t="s">
        <v>493</v>
      </c>
      <c r="F1293" s="2">
        <v>5.39</v>
      </c>
    </row>
    <row r="1294" spans="1:6" x14ac:dyDescent="0.25">
      <c r="A1294" t="s">
        <v>1097</v>
      </c>
      <c r="B1294" t="s">
        <v>3859</v>
      </c>
      <c r="C1294" t="s">
        <v>1953</v>
      </c>
      <c r="D1294" t="s">
        <v>1954</v>
      </c>
      <c r="E1294" t="s">
        <v>493</v>
      </c>
      <c r="F1294" s="2">
        <v>5.39</v>
      </c>
    </row>
    <row r="1295" spans="1:6" x14ac:dyDescent="0.25">
      <c r="A1295" t="s">
        <v>3860</v>
      </c>
      <c r="B1295" t="s">
        <v>3861</v>
      </c>
      <c r="C1295" t="s">
        <v>1953</v>
      </c>
      <c r="D1295" t="s">
        <v>1940</v>
      </c>
      <c r="F1295" s="2">
        <v>105.53</v>
      </c>
    </row>
    <row r="1296" spans="1:6" x14ac:dyDescent="0.25">
      <c r="A1296" t="s">
        <v>3862</v>
      </c>
      <c r="B1296" t="s">
        <v>3863</v>
      </c>
      <c r="C1296" t="s">
        <v>1953</v>
      </c>
      <c r="D1296" t="s">
        <v>1954</v>
      </c>
      <c r="F1296" s="2">
        <v>91.99</v>
      </c>
    </row>
    <row r="1297" spans="1:6" x14ac:dyDescent="0.25">
      <c r="A1297" t="s">
        <v>3864</v>
      </c>
      <c r="B1297" t="s">
        <v>3865</v>
      </c>
      <c r="C1297" t="s">
        <v>1953</v>
      </c>
      <c r="D1297" t="s">
        <v>1940</v>
      </c>
      <c r="F1297" s="2">
        <v>66.12</v>
      </c>
    </row>
    <row r="1298" spans="1:6" x14ac:dyDescent="0.25">
      <c r="A1298" t="s">
        <v>3866</v>
      </c>
      <c r="B1298" t="s">
        <v>3867</v>
      </c>
      <c r="C1298" t="s">
        <v>1953</v>
      </c>
      <c r="D1298" t="s">
        <v>1940</v>
      </c>
      <c r="F1298" s="2">
        <v>391.16</v>
      </c>
    </row>
    <row r="1299" spans="1:6" x14ac:dyDescent="0.25">
      <c r="A1299" t="s">
        <v>3868</v>
      </c>
      <c r="B1299" t="s">
        <v>3869</v>
      </c>
      <c r="C1299" t="s">
        <v>1953</v>
      </c>
      <c r="D1299" t="s">
        <v>1954</v>
      </c>
      <c r="E1299" t="s">
        <v>1198</v>
      </c>
      <c r="F1299" s="2">
        <v>191.41</v>
      </c>
    </row>
    <row r="1300" spans="1:6" x14ac:dyDescent="0.25">
      <c r="A1300" t="s">
        <v>3870</v>
      </c>
      <c r="B1300" t="s">
        <v>3871</v>
      </c>
      <c r="C1300" t="s">
        <v>1953</v>
      </c>
      <c r="D1300" t="s">
        <v>1940</v>
      </c>
      <c r="E1300" t="s">
        <v>1198</v>
      </c>
      <c r="F1300" s="2">
        <v>183.84</v>
      </c>
    </row>
    <row r="1301" spans="1:6" x14ac:dyDescent="0.25">
      <c r="A1301" t="s">
        <v>3872</v>
      </c>
      <c r="B1301" t="s">
        <v>3873</v>
      </c>
      <c r="C1301" t="s">
        <v>1953</v>
      </c>
      <c r="D1301" t="s">
        <v>1940</v>
      </c>
      <c r="E1301" t="s">
        <v>1198</v>
      </c>
      <c r="F1301" s="2">
        <v>280.13</v>
      </c>
    </row>
    <row r="1302" spans="1:6" x14ac:dyDescent="0.25">
      <c r="A1302" t="s">
        <v>1099</v>
      </c>
      <c r="B1302" t="s">
        <v>3874</v>
      </c>
      <c r="C1302" t="s">
        <v>1953</v>
      </c>
      <c r="D1302" t="s">
        <v>1954</v>
      </c>
      <c r="E1302" t="s">
        <v>493</v>
      </c>
      <c r="F1302" s="2">
        <v>5.39</v>
      </c>
    </row>
    <row r="1303" spans="1:6" x14ac:dyDescent="0.25">
      <c r="A1303" t="s">
        <v>1100</v>
      </c>
      <c r="B1303" t="s">
        <v>3875</v>
      </c>
      <c r="C1303" t="s">
        <v>1953</v>
      </c>
      <c r="D1303" t="s">
        <v>1954</v>
      </c>
      <c r="E1303" t="s">
        <v>493</v>
      </c>
      <c r="F1303" s="2">
        <v>5.39</v>
      </c>
    </row>
    <row r="1304" spans="1:6" x14ac:dyDescent="0.25">
      <c r="A1304" t="s">
        <v>1102</v>
      </c>
      <c r="B1304" t="s">
        <v>3876</v>
      </c>
      <c r="C1304" t="s">
        <v>1953</v>
      </c>
      <c r="D1304" t="s">
        <v>1954</v>
      </c>
      <c r="E1304" t="s">
        <v>493</v>
      </c>
      <c r="F1304" s="2">
        <v>5.39</v>
      </c>
    </row>
    <row r="1305" spans="1:6" x14ac:dyDescent="0.25">
      <c r="A1305" t="s">
        <v>1103</v>
      </c>
      <c r="B1305" t="s">
        <v>3877</v>
      </c>
      <c r="C1305" t="s">
        <v>1953</v>
      </c>
      <c r="D1305" t="s">
        <v>1954</v>
      </c>
      <c r="E1305" t="s">
        <v>493</v>
      </c>
      <c r="F1305" s="2">
        <v>5.39</v>
      </c>
    </row>
    <row r="1306" spans="1:6" x14ac:dyDescent="0.25">
      <c r="A1306" t="s">
        <v>1105</v>
      </c>
      <c r="B1306" t="s">
        <v>3878</v>
      </c>
      <c r="C1306" t="s">
        <v>1953</v>
      </c>
      <c r="D1306" t="s">
        <v>1954</v>
      </c>
      <c r="E1306" t="s">
        <v>493</v>
      </c>
      <c r="F1306" s="2">
        <v>5.39</v>
      </c>
    </row>
    <row r="1307" spans="1:6" x14ac:dyDescent="0.25">
      <c r="A1307" t="s">
        <v>1106</v>
      </c>
      <c r="B1307" t="s">
        <v>3879</v>
      </c>
      <c r="C1307" t="s">
        <v>1953</v>
      </c>
      <c r="D1307" t="s">
        <v>1954</v>
      </c>
      <c r="E1307" t="s">
        <v>493</v>
      </c>
      <c r="F1307" s="2">
        <v>5.39</v>
      </c>
    </row>
    <row r="1308" spans="1:6" x14ac:dyDescent="0.25">
      <c r="A1308" t="s">
        <v>1108</v>
      </c>
      <c r="B1308" t="s">
        <v>3880</v>
      </c>
      <c r="C1308" t="s">
        <v>1953</v>
      </c>
      <c r="D1308" t="s">
        <v>1954</v>
      </c>
      <c r="E1308" t="s">
        <v>493</v>
      </c>
      <c r="F1308" s="2">
        <v>5.39</v>
      </c>
    </row>
    <row r="1309" spans="1:6" x14ac:dyDescent="0.25">
      <c r="A1309" t="s">
        <v>1109</v>
      </c>
      <c r="B1309" t="s">
        <v>3881</v>
      </c>
      <c r="C1309" t="s">
        <v>1953</v>
      </c>
      <c r="D1309" t="s">
        <v>1954</v>
      </c>
      <c r="E1309" t="s">
        <v>493</v>
      </c>
      <c r="F1309" s="2">
        <v>5.39</v>
      </c>
    </row>
    <row r="1310" spans="1:6" x14ac:dyDescent="0.25">
      <c r="A1310" t="s">
        <v>1111</v>
      </c>
      <c r="B1310" t="s">
        <v>3882</v>
      </c>
      <c r="C1310" t="s">
        <v>1953</v>
      </c>
      <c r="D1310" t="s">
        <v>1954</v>
      </c>
      <c r="E1310" t="s">
        <v>493</v>
      </c>
      <c r="F1310" s="2">
        <v>5.39</v>
      </c>
    </row>
    <row r="1311" spans="1:6" x14ac:dyDescent="0.25">
      <c r="A1311" t="s">
        <v>1112</v>
      </c>
      <c r="B1311" t="s">
        <v>3883</v>
      </c>
      <c r="C1311" t="s">
        <v>1953</v>
      </c>
      <c r="D1311" t="s">
        <v>1954</v>
      </c>
      <c r="E1311" t="s">
        <v>493</v>
      </c>
      <c r="F1311" s="2">
        <v>5.39</v>
      </c>
    </row>
    <row r="1312" spans="1:6" x14ac:dyDescent="0.25">
      <c r="A1312" t="s">
        <v>1114</v>
      </c>
      <c r="B1312" t="s">
        <v>3884</v>
      </c>
      <c r="C1312" t="s">
        <v>1953</v>
      </c>
      <c r="D1312" t="s">
        <v>1954</v>
      </c>
      <c r="E1312" t="s">
        <v>493</v>
      </c>
      <c r="F1312" s="2">
        <v>5.39</v>
      </c>
    </row>
    <row r="1313" spans="1:6" x14ac:dyDescent="0.25">
      <c r="A1313" t="s">
        <v>1115</v>
      </c>
      <c r="B1313" t="s">
        <v>3885</v>
      </c>
      <c r="C1313" t="s">
        <v>1953</v>
      </c>
      <c r="D1313" t="s">
        <v>1954</v>
      </c>
      <c r="E1313" t="s">
        <v>1115</v>
      </c>
      <c r="F1313" s="2">
        <v>6.52</v>
      </c>
    </row>
    <row r="1314" spans="1:6" x14ac:dyDescent="0.25">
      <c r="A1314" t="s">
        <v>1116</v>
      </c>
      <c r="B1314" t="s">
        <v>3886</v>
      </c>
      <c r="C1314" t="s">
        <v>1953</v>
      </c>
      <c r="D1314" t="s">
        <v>1954</v>
      </c>
      <c r="E1314" t="s">
        <v>1115</v>
      </c>
      <c r="F1314" s="2">
        <v>6.52</v>
      </c>
    </row>
    <row r="1315" spans="1:6" x14ac:dyDescent="0.25">
      <c r="A1315" t="s">
        <v>1117</v>
      </c>
      <c r="B1315" t="s">
        <v>3887</v>
      </c>
      <c r="C1315" t="s">
        <v>1953</v>
      </c>
      <c r="D1315" t="s">
        <v>1954</v>
      </c>
      <c r="E1315" t="s">
        <v>1115</v>
      </c>
      <c r="F1315" s="2">
        <v>6.52</v>
      </c>
    </row>
    <row r="1316" spans="1:6" x14ac:dyDescent="0.25">
      <c r="A1316" t="s">
        <v>1118</v>
      </c>
      <c r="B1316" t="s">
        <v>3888</v>
      </c>
      <c r="C1316" t="s">
        <v>1953</v>
      </c>
      <c r="D1316" t="s">
        <v>1954</v>
      </c>
      <c r="E1316" t="s">
        <v>1118</v>
      </c>
      <c r="F1316" s="2">
        <v>6.52</v>
      </c>
    </row>
    <row r="1317" spans="1:6" x14ac:dyDescent="0.25">
      <c r="A1317" t="s">
        <v>3889</v>
      </c>
      <c r="B1317" t="s">
        <v>3890</v>
      </c>
      <c r="C1317" t="s">
        <v>1953</v>
      </c>
      <c r="D1317" t="s">
        <v>1954</v>
      </c>
      <c r="E1317" t="s">
        <v>1118</v>
      </c>
      <c r="F1317" s="2">
        <v>6.52</v>
      </c>
    </row>
    <row r="1318" spans="1:6" x14ac:dyDescent="0.25">
      <c r="A1318" t="s">
        <v>1119</v>
      </c>
      <c r="B1318" t="s">
        <v>3891</v>
      </c>
      <c r="C1318" t="s">
        <v>1953</v>
      </c>
      <c r="D1318" t="s">
        <v>1954</v>
      </c>
      <c r="E1318" t="s">
        <v>1118</v>
      </c>
      <c r="F1318" s="2">
        <v>6.52</v>
      </c>
    </row>
    <row r="1319" spans="1:6" x14ac:dyDescent="0.25">
      <c r="A1319" t="s">
        <v>3892</v>
      </c>
      <c r="B1319" t="s">
        <v>3893</v>
      </c>
      <c r="C1319" t="s">
        <v>1953</v>
      </c>
      <c r="D1319" t="s">
        <v>1954</v>
      </c>
      <c r="E1319" t="s">
        <v>3735</v>
      </c>
      <c r="F1319" s="2">
        <v>6.52</v>
      </c>
    </row>
    <row r="1320" spans="1:6" x14ac:dyDescent="0.25">
      <c r="A1320" t="s">
        <v>3735</v>
      </c>
      <c r="B1320" t="s">
        <v>3894</v>
      </c>
      <c r="C1320" t="s">
        <v>1953</v>
      </c>
      <c r="D1320" t="s">
        <v>1954</v>
      </c>
      <c r="E1320" t="s">
        <v>3735</v>
      </c>
      <c r="F1320" s="2">
        <v>6.52</v>
      </c>
    </row>
    <row r="1321" spans="1:6" x14ac:dyDescent="0.25">
      <c r="A1321" t="s">
        <v>3895</v>
      </c>
      <c r="B1321" t="s">
        <v>3896</v>
      </c>
      <c r="C1321" t="s">
        <v>1953</v>
      </c>
      <c r="D1321" t="s">
        <v>1954</v>
      </c>
      <c r="E1321" t="s">
        <v>3735</v>
      </c>
      <c r="F1321" s="2">
        <v>6.52</v>
      </c>
    </row>
    <row r="1322" spans="1:6" x14ac:dyDescent="0.25">
      <c r="A1322" t="s">
        <v>1120</v>
      </c>
      <c r="B1322" t="s">
        <v>3897</v>
      </c>
      <c r="C1322" t="s">
        <v>1953</v>
      </c>
      <c r="D1322" t="s">
        <v>1954</v>
      </c>
      <c r="E1322" t="s">
        <v>1120</v>
      </c>
      <c r="F1322" s="2">
        <v>6.52</v>
      </c>
    </row>
    <row r="1323" spans="1:6" x14ac:dyDescent="0.25">
      <c r="A1323" t="s">
        <v>1121</v>
      </c>
      <c r="B1323" t="s">
        <v>3898</v>
      </c>
      <c r="C1323" t="s">
        <v>1953</v>
      </c>
      <c r="D1323" t="s">
        <v>1954</v>
      </c>
      <c r="E1323" t="s">
        <v>1120</v>
      </c>
      <c r="F1323" s="2">
        <v>6.52</v>
      </c>
    </row>
    <row r="1324" spans="1:6" x14ac:dyDescent="0.25">
      <c r="A1324" t="s">
        <v>1122</v>
      </c>
      <c r="B1324" t="s">
        <v>3899</v>
      </c>
      <c r="C1324" t="s">
        <v>1953</v>
      </c>
      <c r="D1324" t="s">
        <v>1954</v>
      </c>
      <c r="E1324" t="s">
        <v>1120</v>
      </c>
      <c r="F1324" s="2">
        <v>6.52</v>
      </c>
    </row>
    <row r="1325" spans="1:6" x14ac:dyDescent="0.25">
      <c r="A1325" t="s">
        <v>3900</v>
      </c>
      <c r="B1325" t="s">
        <v>3901</v>
      </c>
      <c r="C1325" t="s">
        <v>1953</v>
      </c>
      <c r="D1325" t="s">
        <v>1954</v>
      </c>
      <c r="E1325" t="s">
        <v>493</v>
      </c>
      <c r="F1325" s="2">
        <v>5.94</v>
      </c>
    </row>
    <row r="1326" spans="1:6" x14ac:dyDescent="0.25">
      <c r="A1326" t="s">
        <v>3902</v>
      </c>
      <c r="B1326" t="s">
        <v>3903</v>
      </c>
      <c r="C1326" t="s">
        <v>1953</v>
      </c>
      <c r="D1326" t="s">
        <v>1954</v>
      </c>
      <c r="E1326" t="s">
        <v>493</v>
      </c>
      <c r="F1326" s="2">
        <v>5.53</v>
      </c>
    </row>
    <row r="1327" spans="1:6" x14ac:dyDescent="0.25">
      <c r="A1327" t="s">
        <v>3904</v>
      </c>
      <c r="B1327" t="s">
        <v>3905</v>
      </c>
      <c r="C1327" t="s">
        <v>1953</v>
      </c>
      <c r="D1327" t="s">
        <v>1954</v>
      </c>
      <c r="E1327" t="s">
        <v>493</v>
      </c>
      <c r="F1327" s="2">
        <v>5.53</v>
      </c>
    </row>
    <row r="1328" spans="1:6" x14ac:dyDescent="0.25">
      <c r="A1328" t="s">
        <v>3906</v>
      </c>
      <c r="B1328" t="s">
        <v>3907</v>
      </c>
      <c r="C1328" t="s">
        <v>1953</v>
      </c>
      <c r="D1328" t="s">
        <v>1954</v>
      </c>
      <c r="E1328" t="s">
        <v>493</v>
      </c>
      <c r="F1328" s="2">
        <v>5.53</v>
      </c>
    </row>
    <row r="1329" spans="1:6" x14ac:dyDescent="0.25">
      <c r="A1329" t="s">
        <v>3908</v>
      </c>
      <c r="B1329" t="s">
        <v>3909</v>
      </c>
      <c r="C1329" t="s">
        <v>1953</v>
      </c>
      <c r="D1329" t="s">
        <v>1954</v>
      </c>
      <c r="E1329" t="s">
        <v>78</v>
      </c>
      <c r="F1329" s="2">
        <v>66.17</v>
      </c>
    </row>
    <row r="1330" spans="1:6" x14ac:dyDescent="0.25">
      <c r="A1330" t="s">
        <v>3910</v>
      </c>
      <c r="B1330" t="s">
        <v>3911</v>
      </c>
      <c r="C1330" t="s">
        <v>1953</v>
      </c>
      <c r="D1330" t="s">
        <v>1940</v>
      </c>
      <c r="F1330" s="2">
        <v>1760.37</v>
      </c>
    </row>
    <row r="1331" spans="1:6" x14ac:dyDescent="0.25">
      <c r="A1331" t="s">
        <v>3912</v>
      </c>
      <c r="B1331" t="s">
        <v>3913</v>
      </c>
      <c r="C1331" t="s">
        <v>1953</v>
      </c>
      <c r="D1331" t="s">
        <v>1940</v>
      </c>
      <c r="F1331" s="2">
        <v>968.31</v>
      </c>
    </row>
    <row r="1332" spans="1:6" x14ac:dyDescent="0.25">
      <c r="A1332" t="s">
        <v>3914</v>
      </c>
      <c r="B1332" t="s">
        <v>3915</v>
      </c>
      <c r="C1332" t="s">
        <v>1953</v>
      </c>
      <c r="D1332" t="s">
        <v>1940</v>
      </c>
      <c r="F1332" s="2">
        <v>1856.25</v>
      </c>
    </row>
    <row r="1333" spans="1:6" x14ac:dyDescent="0.25">
      <c r="A1333" t="s">
        <v>3916</v>
      </c>
      <c r="B1333" t="s">
        <v>3917</v>
      </c>
      <c r="C1333" t="s">
        <v>1953</v>
      </c>
      <c r="D1333" t="s">
        <v>1954</v>
      </c>
      <c r="E1333" t="s">
        <v>493</v>
      </c>
      <c r="F1333" s="2">
        <v>5.53</v>
      </c>
    </row>
    <row r="1334" spans="1:6" x14ac:dyDescent="0.25">
      <c r="A1334" t="s">
        <v>3918</v>
      </c>
      <c r="B1334" t="s">
        <v>3919</v>
      </c>
      <c r="C1334" t="s">
        <v>1953</v>
      </c>
      <c r="D1334" t="s">
        <v>1954</v>
      </c>
      <c r="E1334" t="s">
        <v>20</v>
      </c>
      <c r="F1334" s="2">
        <v>10.99</v>
      </c>
    </row>
    <row r="1335" spans="1:6" x14ac:dyDescent="0.25">
      <c r="A1335" t="s">
        <v>3920</v>
      </c>
      <c r="B1335" t="s">
        <v>3921</v>
      </c>
      <c r="C1335" t="s">
        <v>1953</v>
      </c>
      <c r="D1335" t="s">
        <v>1954</v>
      </c>
      <c r="E1335" t="s">
        <v>20</v>
      </c>
      <c r="F1335" s="2">
        <v>10.99</v>
      </c>
    </row>
    <row r="1336" spans="1:6" x14ac:dyDescent="0.25">
      <c r="A1336" t="s">
        <v>3922</v>
      </c>
      <c r="B1336" t="s">
        <v>3923</v>
      </c>
      <c r="C1336" t="s">
        <v>1953</v>
      </c>
      <c r="D1336" t="s">
        <v>1954</v>
      </c>
      <c r="E1336" t="s">
        <v>20</v>
      </c>
      <c r="F1336" s="2">
        <v>10.99</v>
      </c>
    </row>
    <row r="1337" spans="1:6" x14ac:dyDescent="0.25">
      <c r="A1337" t="s">
        <v>3924</v>
      </c>
      <c r="B1337" t="s">
        <v>3925</v>
      </c>
      <c r="C1337" t="s">
        <v>1953</v>
      </c>
      <c r="D1337" t="s">
        <v>1940</v>
      </c>
      <c r="F1337" s="2">
        <v>206.06</v>
      </c>
    </row>
    <row r="1338" spans="1:6" x14ac:dyDescent="0.25">
      <c r="A1338" t="s">
        <v>3926</v>
      </c>
      <c r="B1338" t="s">
        <v>3927</v>
      </c>
      <c r="C1338" t="s">
        <v>1953</v>
      </c>
      <c r="D1338" t="s">
        <v>1954</v>
      </c>
      <c r="E1338" t="s">
        <v>1196</v>
      </c>
      <c r="F1338" s="2">
        <v>1.52</v>
      </c>
    </row>
    <row r="1339" spans="1:6" x14ac:dyDescent="0.25">
      <c r="A1339" t="s">
        <v>3928</v>
      </c>
      <c r="B1339" t="s">
        <v>3929</v>
      </c>
      <c r="C1339" t="s">
        <v>1953</v>
      </c>
      <c r="D1339" t="s">
        <v>1954</v>
      </c>
      <c r="E1339" t="s">
        <v>1196</v>
      </c>
      <c r="F1339" s="2">
        <v>1.52</v>
      </c>
    </row>
    <row r="1340" spans="1:6" x14ac:dyDescent="0.25">
      <c r="A1340" t="s">
        <v>3930</v>
      </c>
      <c r="B1340" t="s">
        <v>3931</v>
      </c>
      <c r="C1340" t="s">
        <v>1953</v>
      </c>
      <c r="D1340" t="s">
        <v>1954</v>
      </c>
      <c r="E1340" t="s">
        <v>1196</v>
      </c>
      <c r="F1340" s="2">
        <v>2.0099999999999998</v>
      </c>
    </row>
    <row r="1341" spans="1:6" x14ac:dyDescent="0.25">
      <c r="A1341" t="s">
        <v>3932</v>
      </c>
      <c r="B1341" t="s">
        <v>3933</v>
      </c>
      <c r="C1341" t="s">
        <v>1953</v>
      </c>
      <c r="D1341" t="s">
        <v>1954</v>
      </c>
      <c r="E1341" t="s">
        <v>1196</v>
      </c>
      <c r="F1341" s="2">
        <v>107.67</v>
      </c>
    </row>
    <row r="1342" spans="1:6" x14ac:dyDescent="0.25">
      <c r="A1342" t="s">
        <v>3934</v>
      </c>
      <c r="B1342" t="s">
        <v>3935</v>
      </c>
      <c r="C1342" t="s">
        <v>1953</v>
      </c>
      <c r="D1342" t="s">
        <v>1954</v>
      </c>
      <c r="F1342" s="2">
        <v>165.87</v>
      </c>
    </row>
    <row r="1343" spans="1:6" x14ac:dyDescent="0.25">
      <c r="A1343" t="s">
        <v>3936</v>
      </c>
      <c r="B1343" t="s">
        <v>3937</v>
      </c>
      <c r="C1343" t="s">
        <v>1953</v>
      </c>
      <c r="D1343" t="s">
        <v>1940</v>
      </c>
      <c r="F1343" s="2">
        <v>51.46</v>
      </c>
    </row>
    <row r="1344" spans="1:6" x14ac:dyDescent="0.25">
      <c r="A1344" t="s">
        <v>3938</v>
      </c>
      <c r="B1344" t="s">
        <v>3939</v>
      </c>
      <c r="C1344" t="s">
        <v>1953</v>
      </c>
      <c r="D1344" t="s">
        <v>1940</v>
      </c>
      <c r="F1344" s="2">
        <v>109.44</v>
      </c>
    </row>
    <row r="1345" spans="1:6" x14ac:dyDescent="0.25">
      <c r="A1345" t="s">
        <v>3940</v>
      </c>
      <c r="B1345" t="s">
        <v>3941</v>
      </c>
      <c r="C1345" t="s">
        <v>1953</v>
      </c>
      <c r="D1345" t="s">
        <v>1940</v>
      </c>
      <c r="F1345" s="2">
        <v>44.32</v>
      </c>
    </row>
    <row r="1346" spans="1:6" x14ac:dyDescent="0.25">
      <c r="A1346" t="s">
        <v>3942</v>
      </c>
      <c r="B1346" t="s">
        <v>3943</v>
      </c>
      <c r="C1346" t="s">
        <v>1953</v>
      </c>
      <c r="D1346" t="s">
        <v>1954</v>
      </c>
      <c r="E1346" t="s">
        <v>493</v>
      </c>
      <c r="F1346" s="2">
        <v>5.53</v>
      </c>
    </row>
    <row r="1347" spans="1:6" x14ac:dyDescent="0.25">
      <c r="A1347" t="s">
        <v>3944</v>
      </c>
      <c r="B1347" t="s">
        <v>3945</v>
      </c>
      <c r="C1347" t="s">
        <v>1953</v>
      </c>
      <c r="D1347" t="s">
        <v>1954</v>
      </c>
      <c r="E1347" t="s">
        <v>493</v>
      </c>
      <c r="F1347" s="2">
        <v>5.53</v>
      </c>
    </row>
    <row r="1348" spans="1:6" x14ac:dyDescent="0.25">
      <c r="A1348" t="s">
        <v>3946</v>
      </c>
      <c r="B1348" t="s">
        <v>3947</v>
      </c>
      <c r="C1348" t="s">
        <v>1953</v>
      </c>
      <c r="D1348" t="s">
        <v>1954</v>
      </c>
      <c r="F1348" s="2">
        <v>363.57</v>
      </c>
    </row>
    <row r="1349" spans="1:6" x14ac:dyDescent="0.25">
      <c r="A1349" t="s">
        <v>3948</v>
      </c>
      <c r="B1349" t="s">
        <v>3949</v>
      </c>
      <c r="C1349" t="s">
        <v>1953</v>
      </c>
      <c r="D1349" t="s">
        <v>1954</v>
      </c>
      <c r="F1349" s="2">
        <v>691.34</v>
      </c>
    </row>
    <row r="1350" spans="1:6" x14ac:dyDescent="0.25">
      <c r="A1350" t="s">
        <v>3950</v>
      </c>
      <c r="B1350" t="s">
        <v>3951</v>
      </c>
      <c r="C1350" t="s">
        <v>1953</v>
      </c>
      <c r="D1350" t="s">
        <v>1954</v>
      </c>
      <c r="F1350" s="2">
        <v>367.92</v>
      </c>
    </row>
    <row r="1351" spans="1:6" x14ac:dyDescent="0.25">
      <c r="A1351" t="s">
        <v>3952</v>
      </c>
      <c r="B1351" t="s">
        <v>3953</v>
      </c>
      <c r="C1351" t="s">
        <v>1953</v>
      </c>
      <c r="D1351" t="s">
        <v>1940</v>
      </c>
      <c r="F1351" s="2">
        <v>258.57</v>
      </c>
    </row>
    <row r="1352" spans="1:6" x14ac:dyDescent="0.25">
      <c r="A1352" t="s">
        <v>3954</v>
      </c>
      <c r="B1352" t="s">
        <v>3955</v>
      </c>
      <c r="C1352" t="s">
        <v>1953</v>
      </c>
      <c r="D1352" t="s">
        <v>1954</v>
      </c>
      <c r="E1352" t="s">
        <v>493</v>
      </c>
      <c r="F1352" s="2">
        <v>5.53</v>
      </c>
    </row>
    <row r="1353" spans="1:6" x14ac:dyDescent="0.25">
      <c r="A1353" t="s">
        <v>3956</v>
      </c>
      <c r="B1353" t="s">
        <v>3957</v>
      </c>
      <c r="C1353" t="s">
        <v>1953</v>
      </c>
      <c r="D1353" t="s">
        <v>1954</v>
      </c>
      <c r="E1353" t="s">
        <v>493</v>
      </c>
      <c r="F1353" s="2">
        <v>5.53</v>
      </c>
    </row>
    <row r="1354" spans="1:6" x14ac:dyDescent="0.25">
      <c r="A1354" t="s">
        <v>3958</v>
      </c>
      <c r="B1354" t="s">
        <v>3959</v>
      </c>
      <c r="C1354" t="s">
        <v>1953</v>
      </c>
      <c r="D1354" t="s">
        <v>1940</v>
      </c>
      <c r="F1354" s="2">
        <v>1500.8</v>
      </c>
    </row>
    <row r="1355" spans="1:6" x14ac:dyDescent="0.25">
      <c r="A1355" t="s">
        <v>3960</v>
      </c>
      <c r="B1355" t="s">
        <v>3961</v>
      </c>
      <c r="C1355" t="s">
        <v>1953</v>
      </c>
      <c r="D1355" t="s">
        <v>1954</v>
      </c>
      <c r="F1355" s="2">
        <v>54.72</v>
      </c>
    </row>
    <row r="1356" spans="1:6" x14ac:dyDescent="0.25">
      <c r="A1356" t="s">
        <v>3962</v>
      </c>
      <c r="B1356" t="s">
        <v>3963</v>
      </c>
      <c r="C1356" t="s">
        <v>1953</v>
      </c>
      <c r="D1356" t="s">
        <v>1954</v>
      </c>
      <c r="F1356" s="2">
        <v>68.94</v>
      </c>
    </row>
    <row r="1357" spans="1:6" x14ac:dyDescent="0.25">
      <c r="A1357" t="s">
        <v>3964</v>
      </c>
      <c r="B1357" t="s">
        <v>3965</v>
      </c>
      <c r="C1357" t="s">
        <v>1953</v>
      </c>
      <c r="D1357" t="s">
        <v>1954</v>
      </c>
      <c r="F1357" s="2">
        <v>29.57</v>
      </c>
    </row>
    <row r="1358" spans="1:6" x14ac:dyDescent="0.25">
      <c r="A1358" t="s">
        <v>3966</v>
      </c>
      <c r="B1358" t="s">
        <v>3967</v>
      </c>
      <c r="C1358" t="s">
        <v>1953</v>
      </c>
      <c r="D1358" t="s">
        <v>1954</v>
      </c>
      <c r="E1358" t="s">
        <v>199</v>
      </c>
      <c r="F1358" s="2">
        <v>182.34</v>
      </c>
    </row>
    <row r="1359" spans="1:6" x14ac:dyDescent="0.25">
      <c r="A1359" t="s">
        <v>3968</v>
      </c>
      <c r="B1359" t="s">
        <v>3969</v>
      </c>
      <c r="C1359" t="s">
        <v>1953</v>
      </c>
      <c r="D1359" t="s">
        <v>1954</v>
      </c>
      <c r="E1359" t="s">
        <v>199</v>
      </c>
      <c r="F1359" s="2">
        <v>139.65</v>
      </c>
    </row>
    <row r="1360" spans="1:6" x14ac:dyDescent="0.25">
      <c r="A1360" t="s">
        <v>3970</v>
      </c>
      <c r="B1360" t="s">
        <v>3971</v>
      </c>
      <c r="C1360" t="s">
        <v>1953</v>
      </c>
      <c r="D1360" t="s">
        <v>1954</v>
      </c>
      <c r="E1360" t="s">
        <v>199</v>
      </c>
      <c r="F1360" s="2">
        <v>139.65</v>
      </c>
    </row>
    <row r="1361" spans="1:6" x14ac:dyDescent="0.25">
      <c r="A1361" t="s">
        <v>3972</v>
      </c>
      <c r="B1361" t="s">
        <v>3973</v>
      </c>
      <c r="C1361" t="s">
        <v>1953</v>
      </c>
      <c r="D1361" t="s">
        <v>1940</v>
      </c>
      <c r="F1361" s="2">
        <v>136.30000000000001</v>
      </c>
    </row>
    <row r="1362" spans="1:6" x14ac:dyDescent="0.25">
      <c r="A1362" t="s">
        <v>3974</v>
      </c>
      <c r="B1362" t="s">
        <v>3975</v>
      </c>
      <c r="C1362" t="s">
        <v>1953</v>
      </c>
      <c r="D1362" t="s">
        <v>1954</v>
      </c>
      <c r="E1362" t="s">
        <v>3656</v>
      </c>
      <c r="F1362" s="2">
        <v>281.95</v>
      </c>
    </row>
    <row r="1363" spans="1:6" x14ac:dyDescent="0.25">
      <c r="A1363" t="s">
        <v>3976</v>
      </c>
      <c r="B1363" t="s">
        <v>3977</v>
      </c>
      <c r="C1363" t="s">
        <v>1953</v>
      </c>
      <c r="D1363" t="s">
        <v>1954</v>
      </c>
      <c r="E1363" t="s">
        <v>3656</v>
      </c>
      <c r="F1363" s="2">
        <v>312.82</v>
      </c>
    </row>
    <row r="1364" spans="1:6" x14ac:dyDescent="0.25">
      <c r="A1364" t="s">
        <v>3978</v>
      </c>
      <c r="B1364" t="s">
        <v>3979</v>
      </c>
      <c r="C1364" t="s">
        <v>1953</v>
      </c>
      <c r="D1364" t="s">
        <v>1954</v>
      </c>
      <c r="E1364" t="s">
        <v>3656</v>
      </c>
      <c r="F1364" s="2">
        <v>285.52999999999997</v>
      </c>
    </row>
    <row r="1365" spans="1:6" x14ac:dyDescent="0.25">
      <c r="A1365" t="s">
        <v>3980</v>
      </c>
      <c r="B1365" t="s">
        <v>3981</v>
      </c>
      <c r="C1365" t="s">
        <v>1953</v>
      </c>
      <c r="D1365" t="s">
        <v>1940</v>
      </c>
      <c r="F1365" s="2">
        <v>46.27</v>
      </c>
    </row>
    <row r="1366" spans="1:6" x14ac:dyDescent="0.25">
      <c r="A1366" t="s">
        <v>3982</v>
      </c>
      <c r="B1366" t="s">
        <v>3983</v>
      </c>
      <c r="C1366" t="s">
        <v>1953</v>
      </c>
      <c r="D1366" t="s">
        <v>1940</v>
      </c>
      <c r="F1366" s="2">
        <v>77.44</v>
      </c>
    </row>
    <row r="1367" spans="1:6" x14ac:dyDescent="0.25">
      <c r="A1367" t="s">
        <v>3984</v>
      </c>
      <c r="B1367" t="s">
        <v>3985</v>
      </c>
      <c r="C1367" t="s">
        <v>1953</v>
      </c>
      <c r="D1367" t="s">
        <v>1940</v>
      </c>
      <c r="F1367" s="2">
        <v>29.32</v>
      </c>
    </row>
    <row r="1368" spans="1:6" x14ac:dyDescent="0.25">
      <c r="A1368" t="s">
        <v>3986</v>
      </c>
      <c r="B1368" t="s">
        <v>3987</v>
      </c>
      <c r="C1368" t="s">
        <v>1953</v>
      </c>
      <c r="D1368" t="s">
        <v>1940</v>
      </c>
      <c r="F1368" s="2">
        <v>151.21</v>
      </c>
    </row>
    <row r="1369" spans="1:6" x14ac:dyDescent="0.25">
      <c r="A1369" t="s">
        <v>3988</v>
      </c>
      <c r="B1369" t="s">
        <v>3989</v>
      </c>
      <c r="C1369" t="s">
        <v>1953</v>
      </c>
      <c r="D1369" t="s">
        <v>1940</v>
      </c>
      <c r="F1369" s="2">
        <v>29.68</v>
      </c>
    </row>
    <row r="1370" spans="1:6" x14ac:dyDescent="0.25">
      <c r="A1370" t="s">
        <v>3990</v>
      </c>
      <c r="B1370" t="s">
        <v>3991</v>
      </c>
      <c r="C1370" t="s">
        <v>1953</v>
      </c>
      <c r="D1370" t="s">
        <v>1940</v>
      </c>
      <c r="F1370" s="2">
        <v>3.63</v>
      </c>
    </row>
    <row r="1371" spans="1:6" x14ac:dyDescent="0.25">
      <c r="A1371" t="s">
        <v>3992</v>
      </c>
      <c r="B1371" t="s">
        <v>3993</v>
      </c>
      <c r="C1371" t="s">
        <v>1953</v>
      </c>
      <c r="D1371" t="s">
        <v>1940</v>
      </c>
      <c r="F1371" s="2">
        <v>3.21</v>
      </c>
    </row>
    <row r="1372" spans="1:6" x14ac:dyDescent="0.25">
      <c r="A1372" t="s">
        <v>3994</v>
      </c>
      <c r="B1372" t="s">
        <v>3995</v>
      </c>
      <c r="C1372" t="s">
        <v>1953</v>
      </c>
      <c r="D1372" t="s">
        <v>1940</v>
      </c>
      <c r="F1372" s="2">
        <v>1.29</v>
      </c>
    </row>
    <row r="1373" spans="1:6" x14ac:dyDescent="0.25">
      <c r="A1373" t="s">
        <v>3996</v>
      </c>
      <c r="B1373" t="s">
        <v>3997</v>
      </c>
      <c r="C1373" t="s">
        <v>1953</v>
      </c>
      <c r="D1373" t="s">
        <v>1940</v>
      </c>
      <c r="F1373" s="2">
        <v>1.29</v>
      </c>
    </row>
    <row r="1374" spans="1:6" x14ac:dyDescent="0.25">
      <c r="A1374" t="s">
        <v>3998</v>
      </c>
      <c r="B1374" t="s">
        <v>3999</v>
      </c>
      <c r="C1374" t="s">
        <v>1953</v>
      </c>
      <c r="D1374" t="s">
        <v>1954</v>
      </c>
      <c r="F1374" s="2">
        <v>11.18</v>
      </c>
    </row>
    <row r="1375" spans="1:6" x14ac:dyDescent="0.25">
      <c r="A1375" t="s">
        <v>4000</v>
      </c>
      <c r="B1375" t="s">
        <v>4001</v>
      </c>
      <c r="C1375" t="s">
        <v>1953</v>
      </c>
      <c r="D1375" t="s">
        <v>1954</v>
      </c>
      <c r="E1375" t="s">
        <v>493</v>
      </c>
      <c r="F1375" s="2">
        <v>5.94</v>
      </c>
    </row>
    <row r="1376" spans="1:6" x14ac:dyDescent="0.25">
      <c r="A1376" t="s">
        <v>4002</v>
      </c>
      <c r="B1376" t="s">
        <v>4003</v>
      </c>
      <c r="C1376" t="s">
        <v>1953</v>
      </c>
      <c r="D1376" t="s">
        <v>1954</v>
      </c>
      <c r="E1376" t="s">
        <v>493</v>
      </c>
      <c r="F1376" s="2">
        <v>5.94</v>
      </c>
    </row>
    <row r="1377" spans="1:6" x14ac:dyDescent="0.25">
      <c r="A1377" t="s">
        <v>4004</v>
      </c>
      <c r="B1377" t="s">
        <v>4005</v>
      </c>
      <c r="C1377" t="s">
        <v>1953</v>
      </c>
      <c r="D1377" t="s">
        <v>1954</v>
      </c>
      <c r="E1377" t="s">
        <v>1196</v>
      </c>
      <c r="F1377" s="2">
        <v>162.61000000000001</v>
      </c>
    </row>
    <row r="1378" spans="1:6" x14ac:dyDescent="0.25">
      <c r="A1378" t="s">
        <v>4006</v>
      </c>
      <c r="B1378" t="s">
        <v>4007</v>
      </c>
      <c r="C1378" t="s">
        <v>1953</v>
      </c>
      <c r="D1378" t="s">
        <v>1954</v>
      </c>
      <c r="E1378" t="s">
        <v>1196</v>
      </c>
      <c r="F1378" s="2">
        <v>353.49</v>
      </c>
    </row>
    <row r="1379" spans="1:6" x14ac:dyDescent="0.25">
      <c r="A1379" t="s">
        <v>4008</v>
      </c>
      <c r="B1379" t="s">
        <v>4009</v>
      </c>
      <c r="C1379" t="s">
        <v>1953</v>
      </c>
      <c r="D1379" t="s">
        <v>1954</v>
      </c>
      <c r="E1379" t="s">
        <v>1196</v>
      </c>
      <c r="F1379" s="2">
        <v>614.91</v>
      </c>
    </row>
    <row r="1380" spans="1:6" x14ac:dyDescent="0.25">
      <c r="A1380" t="s">
        <v>4010</v>
      </c>
      <c r="B1380" t="s">
        <v>4011</v>
      </c>
      <c r="C1380" t="s">
        <v>1953</v>
      </c>
      <c r="D1380" t="s">
        <v>1954</v>
      </c>
      <c r="E1380" t="s">
        <v>1196</v>
      </c>
      <c r="F1380" s="2">
        <v>162.61000000000001</v>
      </c>
    </row>
    <row r="1381" spans="1:6" x14ac:dyDescent="0.25">
      <c r="A1381" t="s">
        <v>4012</v>
      </c>
      <c r="B1381" t="s">
        <v>4013</v>
      </c>
      <c r="C1381" t="s">
        <v>1953</v>
      </c>
      <c r="D1381" t="s">
        <v>1954</v>
      </c>
      <c r="E1381" t="s">
        <v>1196</v>
      </c>
      <c r="F1381" s="2">
        <v>353.49</v>
      </c>
    </row>
    <row r="1382" spans="1:6" x14ac:dyDescent="0.25">
      <c r="A1382" t="s">
        <v>4014</v>
      </c>
      <c r="B1382" t="s">
        <v>4015</v>
      </c>
      <c r="C1382" t="s">
        <v>1953</v>
      </c>
      <c r="D1382" t="s">
        <v>1954</v>
      </c>
      <c r="E1382" t="s">
        <v>1196</v>
      </c>
      <c r="F1382" s="2">
        <v>614.91</v>
      </c>
    </row>
    <row r="1383" spans="1:6" x14ac:dyDescent="0.25">
      <c r="A1383" t="s">
        <v>4016</v>
      </c>
      <c r="B1383" t="s">
        <v>4017</v>
      </c>
      <c r="C1383" t="s">
        <v>1953</v>
      </c>
      <c r="D1383" t="s">
        <v>1940</v>
      </c>
      <c r="F1383" s="2">
        <v>42.06</v>
      </c>
    </row>
    <row r="1384" spans="1:6" x14ac:dyDescent="0.25">
      <c r="A1384" t="s">
        <v>4018</v>
      </c>
      <c r="B1384" t="s">
        <v>4019</v>
      </c>
      <c r="C1384" t="s">
        <v>1953</v>
      </c>
      <c r="D1384" t="s">
        <v>1940</v>
      </c>
      <c r="F1384" s="2">
        <v>2.78</v>
      </c>
    </row>
    <row r="1385" spans="1:6" x14ac:dyDescent="0.25">
      <c r="A1385" t="s">
        <v>4020</v>
      </c>
      <c r="B1385" t="s">
        <v>4021</v>
      </c>
      <c r="C1385" t="s">
        <v>1953</v>
      </c>
      <c r="D1385" t="s">
        <v>1940</v>
      </c>
      <c r="F1385" s="2">
        <v>97.51</v>
      </c>
    </row>
    <row r="1386" spans="1:6" x14ac:dyDescent="0.25">
      <c r="A1386" t="s">
        <v>4022</v>
      </c>
      <c r="B1386" t="s">
        <v>4023</v>
      </c>
      <c r="C1386" t="s">
        <v>1953</v>
      </c>
      <c r="D1386" t="s">
        <v>1940</v>
      </c>
      <c r="F1386" s="2">
        <v>18.14</v>
      </c>
    </row>
    <row r="1387" spans="1:6" x14ac:dyDescent="0.25">
      <c r="A1387" t="s">
        <v>4024</v>
      </c>
      <c r="B1387" t="s">
        <v>4025</v>
      </c>
      <c r="C1387" t="s">
        <v>1953</v>
      </c>
      <c r="D1387" t="s">
        <v>1954</v>
      </c>
      <c r="F1387" s="2">
        <v>350.4</v>
      </c>
    </row>
    <row r="1388" spans="1:6" x14ac:dyDescent="0.25">
      <c r="A1388" t="s">
        <v>4026</v>
      </c>
      <c r="B1388" t="s">
        <v>4027</v>
      </c>
      <c r="C1388" t="s">
        <v>1953</v>
      </c>
      <c r="D1388" t="s">
        <v>1954</v>
      </c>
      <c r="F1388" s="2">
        <v>388.76</v>
      </c>
    </row>
    <row r="1389" spans="1:6" x14ac:dyDescent="0.25">
      <c r="A1389" t="s">
        <v>4028</v>
      </c>
      <c r="B1389" t="s">
        <v>4029</v>
      </c>
      <c r="C1389" t="s">
        <v>1953</v>
      </c>
      <c r="D1389" t="s">
        <v>1954</v>
      </c>
      <c r="F1389" s="2">
        <v>408.2</v>
      </c>
    </row>
    <row r="1390" spans="1:6" x14ac:dyDescent="0.25">
      <c r="A1390" t="s">
        <v>4030</v>
      </c>
      <c r="B1390" t="s">
        <v>4031</v>
      </c>
      <c r="C1390" t="s">
        <v>1953</v>
      </c>
      <c r="D1390" t="s">
        <v>1954</v>
      </c>
      <c r="F1390" s="2">
        <v>183.97</v>
      </c>
    </row>
    <row r="1391" spans="1:6" x14ac:dyDescent="0.25">
      <c r="A1391" t="s">
        <v>4032</v>
      </c>
      <c r="B1391" t="s">
        <v>4033</v>
      </c>
      <c r="C1391" t="s">
        <v>1953</v>
      </c>
      <c r="D1391" t="s">
        <v>1954</v>
      </c>
      <c r="F1391" s="2">
        <v>175.21</v>
      </c>
    </row>
    <row r="1392" spans="1:6" x14ac:dyDescent="0.25">
      <c r="A1392" t="s">
        <v>4034</v>
      </c>
      <c r="B1392" t="s">
        <v>4035</v>
      </c>
      <c r="C1392" t="s">
        <v>1953</v>
      </c>
      <c r="D1392" t="s">
        <v>1954</v>
      </c>
      <c r="F1392" s="2">
        <v>204.09</v>
      </c>
    </row>
    <row r="1393" spans="1:6" x14ac:dyDescent="0.25">
      <c r="A1393" t="s">
        <v>4036</v>
      </c>
      <c r="B1393" t="s">
        <v>4037</v>
      </c>
      <c r="C1393" t="s">
        <v>1953</v>
      </c>
      <c r="D1393" t="s">
        <v>1954</v>
      </c>
      <c r="F1393" s="2">
        <v>194.37</v>
      </c>
    </row>
    <row r="1394" spans="1:6" x14ac:dyDescent="0.25">
      <c r="A1394" t="s">
        <v>4038</v>
      </c>
      <c r="B1394" t="s">
        <v>4039</v>
      </c>
      <c r="C1394" t="s">
        <v>1953</v>
      </c>
      <c r="D1394" t="s">
        <v>1954</v>
      </c>
      <c r="F1394" s="2">
        <v>47.14</v>
      </c>
    </row>
    <row r="1395" spans="1:6" x14ac:dyDescent="0.25">
      <c r="A1395" t="s">
        <v>4040</v>
      </c>
      <c r="B1395" t="s">
        <v>4041</v>
      </c>
      <c r="C1395" t="s">
        <v>1953</v>
      </c>
      <c r="D1395" t="s">
        <v>1954</v>
      </c>
      <c r="F1395" s="2">
        <v>8.77</v>
      </c>
    </row>
    <row r="1396" spans="1:6" x14ac:dyDescent="0.25">
      <c r="A1396" t="s">
        <v>4042</v>
      </c>
      <c r="B1396" t="s">
        <v>4043</v>
      </c>
      <c r="C1396" t="s">
        <v>1953</v>
      </c>
      <c r="D1396" t="s">
        <v>1954</v>
      </c>
      <c r="F1396" s="2">
        <v>34.21</v>
      </c>
    </row>
    <row r="1397" spans="1:6" x14ac:dyDescent="0.25">
      <c r="A1397" t="s">
        <v>4044</v>
      </c>
      <c r="B1397" t="s">
        <v>4045</v>
      </c>
      <c r="C1397" t="s">
        <v>1953</v>
      </c>
      <c r="D1397" t="s">
        <v>1954</v>
      </c>
      <c r="F1397" s="2">
        <v>6.68</v>
      </c>
    </row>
    <row r="1398" spans="1:6" x14ac:dyDescent="0.25">
      <c r="A1398" t="s">
        <v>4046</v>
      </c>
      <c r="B1398" t="s">
        <v>4047</v>
      </c>
      <c r="C1398" t="s">
        <v>1953</v>
      </c>
      <c r="D1398" t="s">
        <v>1954</v>
      </c>
      <c r="F1398" s="2">
        <v>4.8600000000000003</v>
      </c>
    </row>
    <row r="1399" spans="1:6" x14ac:dyDescent="0.25">
      <c r="A1399" t="s">
        <v>4048</v>
      </c>
      <c r="B1399" t="s">
        <v>4049</v>
      </c>
      <c r="C1399" t="s">
        <v>1953</v>
      </c>
      <c r="D1399" t="s">
        <v>1954</v>
      </c>
      <c r="F1399" s="2">
        <v>16.72</v>
      </c>
    </row>
    <row r="1400" spans="1:6" x14ac:dyDescent="0.25">
      <c r="A1400" t="s">
        <v>4050</v>
      </c>
      <c r="B1400" t="s">
        <v>4051</v>
      </c>
      <c r="C1400" t="s">
        <v>1953</v>
      </c>
      <c r="D1400" t="s">
        <v>1954</v>
      </c>
      <c r="F1400" s="2">
        <v>64.87</v>
      </c>
    </row>
    <row r="1401" spans="1:6" x14ac:dyDescent="0.25">
      <c r="A1401" t="s">
        <v>4052</v>
      </c>
      <c r="B1401" t="s">
        <v>4053</v>
      </c>
      <c r="C1401" t="s">
        <v>1953</v>
      </c>
      <c r="D1401" t="s">
        <v>1954</v>
      </c>
      <c r="F1401" s="2">
        <v>12.26</v>
      </c>
    </row>
    <row r="1402" spans="1:6" x14ac:dyDescent="0.25">
      <c r="A1402" t="s">
        <v>4054</v>
      </c>
      <c r="B1402" t="s">
        <v>4055</v>
      </c>
      <c r="C1402" t="s">
        <v>1953</v>
      </c>
      <c r="D1402" t="s">
        <v>1940</v>
      </c>
      <c r="F1402" s="2">
        <v>48.95</v>
      </c>
    </row>
    <row r="1403" spans="1:6" x14ac:dyDescent="0.25">
      <c r="A1403" t="s">
        <v>4056</v>
      </c>
      <c r="B1403" t="s">
        <v>4057</v>
      </c>
      <c r="C1403" t="s">
        <v>1953</v>
      </c>
      <c r="D1403" t="s">
        <v>1940</v>
      </c>
      <c r="F1403" s="2">
        <v>26.84</v>
      </c>
    </row>
    <row r="1404" spans="1:6" x14ac:dyDescent="0.25">
      <c r="A1404" t="s">
        <v>4058</v>
      </c>
      <c r="B1404" t="s">
        <v>4059</v>
      </c>
      <c r="C1404" t="s">
        <v>1953</v>
      </c>
      <c r="D1404" t="s">
        <v>1940</v>
      </c>
      <c r="F1404" s="2">
        <v>9.83</v>
      </c>
    </row>
    <row r="1405" spans="1:6" x14ac:dyDescent="0.25">
      <c r="A1405" t="s">
        <v>4060</v>
      </c>
      <c r="B1405" t="s">
        <v>4061</v>
      </c>
      <c r="C1405" t="s">
        <v>1953</v>
      </c>
      <c r="D1405" t="s">
        <v>1940</v>
      </c>
      <c r="F1405" s="2">
        <v>8.11</v>
      </c>
    </row>
    <row r="1406" spans="1:6" x14ac:dyDescent="0.25">
      <c r="A1406" t="s">
        <v>4062</v>
      </c>
      <c r="B1406" t="s">
        <v>4063</v>
      </c>
      <c r="C1406" t="s">
        <v>1953</v>
      </c>
      <c r="D1406" t="s">
        <v>1940</v>
      </c>
      <c r="F1406" s="2">
        <v>1799</v>
      </c>
    </row>
    <row r="1407" spans="1:6" x14ac:dyDescent="0.25">
      <c r="A1407" t="s">
        <v>4064</v>
      </c>
      <c r="B1407" t="s">
        <v>4065</v>
      </c>
      <c r="C1407" t="s">
        <v>1953</v>
      </c>
      <c r="D1407" t="s">
        <v>1954</v>
      </c>
      <c r="F1407" s="2">
        <v>19</v>
      </c>
    </row>
    <row r="1408" spans="1:6" x14ac:dyDescent="0.25">
      <c r="A1408" t="s">
        <v>4066</v>
      </c>
      <c r="B1408" t="s">
        <v>4067</v>
      </c>
      <c r="C1408" t="s">
        <v>1953</v>
      </c>
      <c r="D1408" t="s">
        <v>1954</v>
      </c>
      <c r="F1408" s="2">
        <v>19</v>
      </c>
    </row>
    <row r="1409" spans="1:6" x14ac:dyDescent="0.25">
      <c r="A1409" t="s">
        <v>4068</v>
      </c>
      <c r="B1409" t="s">
        <v>4069</v>
      </c>
      <c r="C1409" t="s">
        <v>1953</v>
      </c>
      <c r="D1409" t="s">
        <v>1954</v>
      </c>
      <c r="F1409" s="2">
        <v>19</v>
      </c>
    </row>
    <row r="1410" spans="1:6" x14ac:dyDescent="0.25">
      <c r="A1410" t="s">
        <v>4070</v>
      </c>
      <c r="B1410" t="s">
        <v>4071</v>
      </c>
      <c r="C1410" t="s">
        <v>1953</v>
      </c>
      <c r="D1410" t="s">
        <v>1954</v>
      </c>
      <c r="F1410" s="2">
        <v>19</v>
      </c>
    </row>
    <row r="1411" spans="1:6" x14ac:dyDescent="0.25">
      <c r="A1411" t="s">
        <v>4072</v>
      </c>
      <c r="B1411" t="s">
        <v>4073</v>
      </c>
      <c r="C1411" t="s">
        <v>1953</v>
      </c>
      <c r="D1411" t="s">
        <v>1954</v>
      </c>
      <c r="F1411" s="2">
        <v>102.8</v>
      </c>
    </row>
    <row r="1412" spans="1:6" x14ac:dyDescent="0.25">
      <c r="A1412" t="s">
        <v>4074</v>
      </c>
      <c r="B1412" t="s">
        <v>4075</v>
      </c>
      <c r="C1412" t="s">
        <v>1953</v>
      </c>
      <c r="D1412" t="s">
        <v>1954</v>
      </c>
      <c r="F1412" s="2">
        <v>102.8</v>
      </c>
    </row>
    <row r="1413" spans="1:6" x14ac:dyDescent="0.25">
      <c r="A1413" t="s">
        <v>4076</v>
      </c>
      <c r="B1413" t="s">
        <v>4077</v>
      </c>
      <c r="C1413" t="s">
        <v>1953</v>
      </c>
      <c r="D1413" t="s">
        <v>1954</v>
      </c>
      <c r="F1413" s="2">
        <v>102.8</v>
      </c>
    </row>
    <row r="1414" spans="1:6" x14ac:dyDescent="0.25">
      <c r="A1414" t="s">
        <v>4078</v>
      </c>
      <c r="B1414" t="s">
        <v>4079</v>
      </c>
      <c r="C1414" t="s">
        <v>1953</v>
      </c>
      <c r="D1414" t="s">
        <v>1954</v>
      </c>
      <c r="F1414" s="2">
        <v>2060.6999999999998</v>
      </c>
    </row>
    <row r="1415" spans="1:6" x14ac:dyDescent="0.25">
      <c r="A1415" t="s">
        <v>4080</v>
      </c>
      <c r="B1415" t="s">
        <v>4081</v>
      </c>
      <c r="C1415" t="s">
        <v>1953</v>
      </c>
      <c r="D1415" t="s">
        <v>1954</v>
      </c>
      <c r="F1415" s="2">
        <v>2060.6999999999998</v>
      </c>
    </row>
    <row r="1416" spans="1:6" x14ac:dyDescent="0.25">
      <c r="A1416" t="s">
        <v>4082</v>
      </c>
      <c r="B1416" t="s">
        <v>4083</v>
      </c>
      <c r="C1416" t="s">
        <v>1953</v>
      </c>
      <c r="D1416" t="s">
        <v>1954</v>
      </c>
      <c r="F1416" s="2">
        <v>2060.6999999999998</v>
      </c>
    </row>
    <row r="1417" spans="1:6" x14ac:dyDescent="0.25">
      <c r="A1417" t="s">
        <v>1123</v>
      </c>
      <c r="B1417" t="s">
        <v>4084</v>
      </c>
      <c r="C1417" t="s">
        <v>1953</v>
      </c>
      <c r="D1417" t="s">
        <v>1940</v>
      </c>
      <c r="E1417" t="s">
        <v>390</v>
      </c>
      <c r="F1417" s="2">
        <v>5.67</v>
      </c>
    </row>
    <row r="1418" spans="1:6" x14ac:dyDescent="0.25">
      <c r="A1418" t="s">
        <v>1126</v>
      </c>
      <c r="B1418" t="s">
        <v>4085</v>
      </c>
      <c r="C1418" t="s">
        <v>1953</v>
      </c>
      <c r="D1418" t="s">
        <v>1954</v>
      </c>
      <c r="E1418" t="s">
        <v>390</v>
      </c>
      <c r="F1418" s="2">
        <v>5.67</v>
      </c>
    </row>
    <row r="1419" spans="1:6" x14ac:dyDescent="0.25">
      <c r="A1419" t="s">
        <v>1127</v>
      </c>
      <c r="B1419" t="s">
        <v>4086</v>
      </c>
      <c r="C1419" t="s">
        <v>1953</v>
      </c>
      <c r="D1419" t="s">
        <v>1954</v>
      </c>
      <c r="E1419" t="s">
        <v>390</v>
      </c>
      <c r="F1419" s="2">
        <v>5.51</v>
      </c>
    </row>
    <row r="1420" spans="1:6" x14ac:dyDescent="0.25">
      <c r="A1420" t="s">
        <v>1128</v>
      </c>
      <c r="B1420" t="s">
        <v>4087</v>
      </c>
      <c r="C1420" t="s">
        <v>1953</v>
      </c>
      <c r="D1420" t="s">
        <v>1940</v>
      </c>
      <c r="E1420" t="s">
        <v>1129</v>
      </c>
      <c r="F1420" s="2">
        <v>5.53</v>
      </c>
    </row>
    <row r="1421" spans="1:6" x14ac:dyDescent="0.25">
      <c r="A1421" t="s">
        <v>4088</v>
      </c>
      <c r="B1421" t="s">
        <v>4089</v>
      </c>
      <c r="C1421" t="s">
        <v>1953</v>
      </c>
      <c r="D1421" t="s">
        <v>1954</v>
      </c>
      <c r="F1421" s="2">
        <v>9.8000000000000007</v>
      </c>
    </row>
    <row r="1422" spans="1:6" x14ac:dyDescent="0.25">
      <c r="A1422" t="s">
        <v>4090</v>
      </c>
      <c r="B1422" t="s">
        <v>4091</v>
      </c>
      <c r="C1422" t="s">
        <v>1953</v>
      </c>
      <c r="D1422" t="s">
        <v>1940</v>
      </c>
      <c r="F1422" s="2">
        <v>26.07</v>
      </c>
    </row>
    <row r="1423" spans="1:6" x14ac:dyDescent="0.25">
      <c r="A1423" t="s">
        <v>4092</v>
      </c>
      <c r="B1423" t="s">
        <v>4093</v>
      </c>
      <c r="C1423" t="s">
        <v>1953</v>
      </c>
      <c r="D1423" t="s">
        <v>1940</v>
      </c>
      <c r="F1423" s="2">
        <v>22.68</v>
      </c>
    </row>
    <row r="1424" spans="1:6" x14ac:dyDescent="0.25">
      <c r="A1424" t="s">
        <v>4094</v>
      </c>
      <c r="B1424" t="s">
        <v>4095</v>
      </c>
      <c r="C1424" t="s">
        <v>1953</v>
      </c>
      <c r="D1424" t="s">
        <v>1940</v>
      </c>
      <c r="F1424" s="2">
        <v>10.98</v>
      </c>
    </row>
    <row r="1425" spans="1:6" x14ac:dyDescent="0.25">
      <c r="A1425" t="s">
        <v>4096</v>
      </c>
      <c r="B1425" t="s">
        <v>4097</v>
      </c>
      <c r="C1425" t="s">
        <v>1953</v>
      </c>
      <c r="D1425" t="s">
        <v>1940</v>
      </c>
      <c r="F1425" s="2">
        <v>21.97</v>
      </c>
    </row>
    <row r="1426" spans="1:6" x14ac:dyDescent="0.25">
      <c r="A1426" t="s">
        <v>1129</v>
      </c>
      <c r="B1426" t="s">
        <v>4098</v>
      </c>
      <c r="C1426" t="s">
        <v>1953</v>
      </c>
      <c r="D1426" t="s">
        <v>1954</v>
      </c>
      <c r="E1426" t="s">
        <v>1129</v>
      </c>
      <c r="F1426" s="2">
        <v>5.53</v>
      </c>
    </row>
    <row r="1427" spans="1:6" x14ac:dyDescent="0.25">
      <c r="A1427" t="s">
        <v>4099</v>
      </c>
      <c r="B1427" t="s">
        <v>4100</v>
      </c>
      <c r="C1427" t="s">
        <v>1953</v>
      </c>
      <c r="D1427" t="s">
        <v>1940</v>
      </c>
      <c r="F1427" s="2">
        <v>29.98</v>
      </c>
    </row>
    <row r="1428" spans="1:6" x14ac:dyDescent="0.25">
      <c r="A1428" t="s">
        <v>4101</v>
      </c>
      <c r="B1428" t="s">
        <v>4102</v>
      </c>
      <c r="C1428" t="s">
        <v>1953</v>
      </c>
      <c r="D1428" t="s">
        <v>1940</v>
      </c>
      <c r="F1428" s="2">
        <v>7900</v>
      </c>
    </row>
    <row r="1429" spans="1:6" x14ac:dyDescent="0.25">
      <c r="A1429" t="s">
        <v>4103</v>
      </c>
      <c r="B1429" t="s">
        <v>4104</v>
      </c>
      <c r="C1429" t="s">
        <v>1953</v>
      </c>
      <c r="D1429" t="s">
        <v>1940</v>
      </c>
      <c r="F1429" s="2">
        <v>2010.25</v>
      </c>
    </row>
    <row r="1430" spans="1:6" x14ac:dyDescent="0.25">
      <c r="A1430" t="s">
        <v>4105</v>
      </c>
      <c r="B1430" t="s">
        <v>4106</v>
      </c>
      <c r="C1430" t="s">
        <v>1953</v>
      </c>
      <c r="D1430" t="s">
        <v>1940</v>
      </c>
      <c r="F1430" s="2">
        <v>5933.77</v>
      </c>
    </row>
    <row r="1431" spans="1:6" x14ac:dyDescent="0.25">
      <c r="A1431" t="s">
        <v>4107</v>
      </c>
      <c r="B1431" t="s">
        <v>4108</v>
      </c>
      <c r="C1431" t="s">
        <v>1953</v>
      </c>
      <c r="D1431" t="s">
        <v>1940</v>
      </c>
      <c r="F1431" s="2">
        <v>1001.89</v>
      </c>
    </row>
    <row r="1432" spans="1:6" x14ac:dyDescent="0.25">
      <c r="A1432" t="s">
        <v>4109</v>
      </c>
      <c r="B1432" t="s">
        <v>4110</v>
      </c>
      <c r="C1432" t="s">
        <v>1953</v>
      </c>
      <c r="D1432" t="s">
        <v>1954</v>
      </c>
      <c r="E1432" t="s">
        <v>493</v>
      </c>
      <c r="F1432" s="2">
        <v>5.53</v>
      </c>
    </row>
    <row r="1433" spans="1:6" x14ac:dyDescent="0.25">
      <c r="A1433" t="s">
        <v>4111</v>
      </c>
      <c r="B1433" t="s">
        <v>4112</v>
      </c>
      <c r="C1433" t="s">
        <v>1953</v>
      </c>
      <c r="D1433" t="s">
        <v>1954</v>
      </c>
      <c r="E1433" t="s">
        <v>493</v>
      </c>
      <c r="F1433" s="2">
        <v>5.53</v>
      </c>
    </row>
    <row r="1434" spans="1:6" x14ac:dyDescent="0.25">
      <c r="A1434" t="s">
        <v>4113</v>
      </c>
      <c r="B1434" t="s">
        <v>4114</v>
      </c>
      <c r="C1434" t="s">
        <v>1953</v>
      </c>
      <c r="D1434" t="s">
        <v>1954</v>
      </c>
      <c r="E1434" t="s">
        <v>1129</v>
      </c>
      <c r="F1434" s="2">
        <v>5.53</v>
      </c>
    </row>
    <row r="1435" spans="1:6" x14ac:dyDescent="0.25">
      <c r="A1435" t="s">
        <v>4115</v>
      </c>
      <c r="B1435" t="s">
        <v>4116</v>
      </c>
      <c r="C1435" t="s">
        <v>1953</v>
      </c>
      <c r="D1435" t="s">
        <v>1954</v>
      </c>
      <c r="F1435" s="2">
        <v>422.15</v>
      </c>
    </row>
    <row r="1436" spans="1:6" x14ac:dyDescent="0.25">
      <c r="A1436" t="s">
        <v>4117</v>
      </c>
      <c r="B1436" t="s">
        <v>4118</v>
      </c>
      <c r="C1436" t="s">
        <v>1953</v>
      </c>
      <c r="D1436" t="s">
        <v>1940</v>
      </c>
      <c r="F1436" s="2">
        <v>1015.74</v>
      </c>
    </row>
    <row r="1437" spans="1:6" x14ac:dyDescent="0.25">
      <c r="A1437" t="s">
        <v>4119</v>
      </c>
      <c r="B1437" t="s">
        <v>4120</v>
      </c>
      <c r="C1437" t="s">
        <v>1953</v>
      </c>
      <c r="D1437" t="s">
        <v>1940</v>
      </c>
      <c r="F1437" s="2">
        <v>115.75</v>
      </c>
    </row>
    <row r="1438" spans="1:6" x14ac:dyDescent="0.25">
      <c r="A1438" t="s">
        <v>4121</v>
      </c>
      <c r="B1438" t="s">
        <v>4122</v>
      </c>
      <c r="C1438" t="s">
        <v>1953</v>
      </c>
      <c r="D1438" t="s">
        <v>1940</v>
      </c>
      <c r="F1438" s="2">
        <v>149.62</v>
      </c>
    </row>
    <row r="1439" spans="1:6" x14ac:dyDescent="0.25">
      <c r="A1439" t="s">
        <v>4123</v>
      </c>
      <c r="B1439" t="s">
        <v>4124</v>
      </c>
      <c r="C1439" t="s">
        <v>1953</v>
      </c>
      <c r="D1439" t="s">
        <v>1940</v>
      </c>
      <c r="F1439" s="2">
        <v>165.99</v>
      </c>
    </row>
    <row r="1440" spans="1:6" x14ac:dyDescent="0.25">
      <c r="A1440" t="s">
        <v>4125</v>
      </c>
      <c r="B1440" t="s">
        <v>4126</v>
      </c>
      <c r="C1440" t="s">
        <v>1953</v>
      </c>
      <c r="D1440" t="s">
        <v>1940</v>
      </c>
      <c r="F1440" s="2">
        <v>76.239999999999995</v>
      </c>
    </row>
    <row r="1441" spans="1:6" x14ac:dyDescent="0.25">
      <c r="A1441" t="s">
        <v>4127</v>
      </c>
      <c r="B1441" t="s">
        <v>4128</v>
      </c>
      <c r="C1441" t="s">
        <v>1953</v>
      </c>
      <c r="D1441" t="s">
        <v>1940</v>
      </c>
      <c r="F1441" s="2">
        <v>0.74</v>
      </c>
    </row>
    <row r="1442" spans="1:6" x14ac:dyDescent="0.25">
      <c r="A1442" t="s">
        <v>4129</v>
      </c>
      <c r="B1442" t="s">
        <v>4130</v>
      </c>
      <c r="C1442" t="s">
        <v>1953</v>
      </c>
      <c r="D1442" t="s">
        <v>1940</v>
      </c>
      <c r="F1442" s="2">
        <v>41.19</v>
      </c>
    </row>
    <row r="1443" spans="1:6" x14ac:dyDescent="0.25">
      <c r="A1443" t="s">
        <v>4131</v>
      </c>
      <c r="B1443" t="s">
        <v>4132</v>
      </c>
      <c r="C1443" t="s">
        <v>1953</v>
      </c>
      <c r="D1443" t="s">
        <v>1940</v>
      </c>
      <c r="F1443" s="2">
        <v>280.43</v>
      </c>
    </row>
    <row r="1444" spans="1:6" x14ac:dyDescent="0.25">
      <c r="A1444" t="s">
        <v>4133</v>
      </c>
      <c r="B1444" t="s">
        <v>4134</v>
      </c>
      <c r="C1444" t="s">
        <v>1953</v>
      </c>
      <c r="D1444" t="s">
        <v>1940</v>
      </c>
      <c r="E1444" t="s">
        <v>3735</v>
      </c>
      <c r="F1444" s="2">
        <v>66.56</v>
      </c>
    </row>
    <row r="1445" spans="1:6" x14ac:dyDescent="0.25">
      <c r="A1445" t="s">
        <v>4135</v>
      </c>
      <c r="B1445" t="s">
        <v>4136</v>
      </c>
      <c r="C1445" t="s">
        <v>1953</v>
      </c>
      <c r="D1445" t="s">
        <v>1954</v>
      </c>
      <c r="F1445" s="2">
        <v>531.95000000000005</v>
      </c>
    </row>
    <row r="1446" spans="1:6" x14ac:dyDescent="0.25">
      <c r="A1446" t="s">
        <v>1132</v>
      </c>
      <c r="B1446" t="s">
        <v>4137</v>
      </c>
      <c r="C1446" t="s">
        <v>1953</v>
      </c>
      <c r="D1446" t="s">
        <v>1954</v>
      </c>
      <c r="E1446" t="s">
        <v>1129</v>
      </c>
      <c r="F1446" s="2">
        <v>5.53</v>
      </c>
    </row>
    <row r="1447" spans="1:6" x14ac:dyDescent="0.25">
      <c r="A1447" t="s">
        <v>4138</v>
      </c>
      <c r="B1447" t="s">
        <v>4139</v>
      </c>
      <c r="C1447" t="s">
        <v>1953</v>
      </c>
      <c r="D1447" t="s">
        <v>1940</v>
      </c>
      <c r="F1447" s="2">
        <v>9.09</v>
      </c>
    </row>
    <row r="1448" spans="1:6" x14ac:dyDescent="0.25">
      <c r="A1448" t="s">
        <v>4140</v>
      </c>
      <c r="B1448" t="s">
        <v>4141</v>
      </c>
      <c r="C1448" t="s">
        <v>1953</v>
      </c>
      <c r="D1448" t="s">
        <v>1940</v>
      </c>
      <c r="F1448" s="2">
        <v>82.45</v>
      </c>
    </row>
    <row r="1449" spans="1:6" x14ac:dyDescent="0.25">
      <c r="A1449" t="s">
        <v>4142</v>
      </c>
      <c r="B1449" t="s">
        <v>4143</v>
      </c>
      <c r="C1449" t="s">
        <v>1953</v>
      </c>
      <c r="D1449" t="s">
        <v>1940</v>
      </c>
      <c r="F1449" s="2">
        <v>68.94</v>
      </c>
    </row>
    <row r="1450" spans="1:6" x14ac:dyDescent="0.25">
      <c r="A1450" t="s">
        <v>4144</v>
      </c>
      <c r="B1450" t="s">
        <v>4145</v>
      </c>
      <c r="C1450" t="s">
        <v>1953</v>
      </c>
      <c r="D1450" t="s">
        <v>1940</v>
      </c>
      <c r="F1450" s="2">
        <v>17.09</v>
      </c>
    </row>
    <row r="1451" spans="1:6" x14ac:dyDescent="0.25">
      <c r="A1451" t="s">
        <v>4146</v>
      </c>
      <c r="B1451" t="s">
        <v>4147</v>
      </c>
      <c r="C1451" t="s">
        <v>1953</v>
      </c>
      <c r="D1451" t="s">
        <v>1940</v>
      </c>
      <c r="F1451" s="2">
        <v>88.49</v>
      </c>
    </row>
    <row r="1452" spans="1:6" x14ac:dyDescent="0.25">
      <c r="A1452" t="s">
        <v>4148</v>
      </c>
      <c r="B1452" t="s">
        <v>4149</v>
      </c>
      <c r="C1452" t="s">
        <v>1953</v>
      </c>
      <c r="D1452" t="s">
        <v>1954</v>
      </c>
      <c r="E1452" t="s">
        <v>1129</v>
      </c>
      <c r="F1452" s="2">
        <v>5.94</v>
      </c>
    </row>
    <row r="1453" spans="1:6" x14ac:dyDescent="0.25">
      <c r="A1453" t="s">
        <v>1134</v>
      </c>
      <c r="B1453" t="s">
        <v>4150</v>
      </c>
      <c r="C1453" t="s">
        <v>1953</v>
      </c>
      <c r="D1453" t="s">
        <v>1954</v>
      </c>
      <c r="E1453" t="s">
        <v>1129</v>
      </c>
      <c r="F1453" s="2">
        <v>5.53</v>
      </c>
    </row>
    <row r="1454" spans="1:6" x14ac:dyDescent="0.25">
      <c r="A1454" t="s">
        <v>1136</v>
      </c>
      <c r="B1454" t="s">
        <v>4151</v>
      </c>
      <c r="C1454" t="s">
        <v>1953</v>
      </c>
      <c r="D1454" t="s">
        <v>1954</v>
      </c>
      <c r="E1454" t="s">
        <v>1129</v>
      </c>
      <c r="F1454" s="2">
        <v>5.39</v>
      </c>
    </row>
    <row r="1455" spans="1:6" x14ac:dyDescent="0.25">
      <c r="A1455" t="s">
        <v>1137</v>
      </c>
      <c r="B1455" t="s">
        <v>4152</v>
      </c>
      <c r="C1455" t="s">
        <v>1953</v>
      </c>
      <c r="D1455" t="s">
        <v>1954</v>
      </c>
      <c r="E1455" t="s">
        <v>1129</v>
      </c>
      <c r="F1455" s="2">
        <v>5.94</v>
      </c>
    </row>
    <row r="1456" spans="1:6" x14ac:dyDescent="0.25">
      <c r="A1456" t="s">
        <v>4153</v>
      </c>
      <c r="B1456" t="s">
        <v>4154</v>
      </c>
      <c r="C1456" t="s">
        <v>1953</v>
      </c>
      <c r="D1456" t="s">
        <v>1940</v>
      </c>
      <c r="F1456" s="2">
        <v>418.95</v>
      </c>
    </row>
    <row r="1457" spans="1:6" x14ac:dyDescent="0.25">
      <c r="A1457" t="s">
        <v>4155</v>
      </c>
      <c r="B1457" t="s">
        <v>4156</v>
      </c>
      <c r="C1457" t="s">
        <v>1953</v>
      </c>
      <c r="D1457" t="s">
        <v>1940</v>
      </c>
      <c r="F1457" s="2">
        <v>620.53</v>
      </c>
    </row>
    <row r="1458" spans="1:6" x14ac:dyDescent="0.25">
      <c r="A1458" t="s">
        <v>4157</v>
      </c>
      <c r="B1458" t="s">
        <v>4158</v>
      </c>
      <c r="C1458" t="s">
        <v>1953</v>
      </c>
      <c r="D1458" t="s">
        <v>1940</v>
      </c>
      <c r="F1458" s="2">
        <v>211.62</v>
      </c>
    </row>
    <row r="1459" spans="1:6" x14ac:dyDescent="0.25">
      <c r="A1459" t="s">
        <v>4159</v>
      </c>
      <c r="B1459" t="s">
        <v>4160</v>
      </c>
      <c r="C1459" t="s">
        <v>1953</v>
      </c>
      <c r="D1459" t="s">
        <v>1940</v>
      </c>
      <c r="F1459" s="2">
        <v>12.8</v>
      </c>
    </row>
    <row r="1460" spans="1:6" x14ac:dyDescent="0.25">
      <c r="A1460" t="s">
        <v>4161</v>
      </c>
      <c r="B1460" t="s">
        <v>4162</v>
      </c>
      <c r="C1460" t="s">
        <v>1953</v>
      </c>
      <c r="D1460" t="s">
        <v>1940</v>
      </c>
      <c r="E1460" t="s">
        <v>3528</v>
      </c>
      <c r="F1460" s="2">
        <v>249.53</v>
      </c>
    </row>
    <row r="1461" spans="1:6" x14ac:dyDescent="0.25">
      <c r="A1461" t="s">
        <v>4163</v>
      </c>
      <c r="B1461" t="s">
        <v>4164</v>
      </c>
      <c r="C1461" t="s">
        <v>1953</v>
      </c>
      <c r="D1461" t="s">
        <v>1940</v>
      </c>
      <c r="E1461" t="s">
        <v>3528</v>
      </c>
      <c r="F1461" s="2">
        <v>291.55</v>
      </c>
    </row>
    <row r="1462" spans="1:6" x14ac:dyDescent="0.25">
      <c r="A1462" t="s">
        <v>4165</v>
      </c>
      <c r="B1462" t="s">
        <v>4166</v>
      </c>
      <c r="C1462" t="s">
        <v>1953</v>
      </c>
      <c r="D1462" t="s">
        <v>1940</v>
      </c>
      <c r="F1462" s="2">
        <v>1516.84</v>
      </c>
    </row>
    <row r="1463" spans="1:6" x14ac:dyDescent="0.25">
      <c r="A1463" t="s">
        <v>4167</v>
      </c>
      <c r="B1463" t="s">
        <v>4168</v>
      </c>
      <c r="C1463" t="s">
        <v>1953</v>
      </c>
      <c r="D1463" t="s">
        <v>1954</v>
      </c>
      <c r="E1463" t="s">
        <v>1129</v>
      </c>
      <c r="F1463" s="2">
        <v>5.94</v>
      </c>
    </row>
    <row r="1464" spans="1:6" x14ac:dyDescent="0.25">
      <c r="A1464" t="s">
        <v>4169</v>
      </c>
      <c r="B1464" t="s">
        <v>4170</v>
      </c>
      <c r="C1464" t="s">
        <v>1953</v>
      </c>
      <c r="D1464" t="s">
        <v>1954</v>
      </c>
      <c r="E1464" t="s">
        <v>4171</v>
      </c>
      <c r="F1464" s="2">
        <v>3.12</v>
      </c>
    </row>
    <row r="1465" spans="1:6" x14ac:dyDescent="0.25">
      <c r="A1465" t="s">
        <v>4172</v>
      </c>
      <c r="B1465" t="s">
        <v>4173</v>
      </c>
      <c r="C1465" t="s">
        <v>1953</v>
      </c>
      <c r="D1465" t="s">
        <v>1954</v>
      </c>
      <c r="E1465" t="s">
        <v>1129</v>
      </c>
      <c r="F1465" s="2">
        <v>5.94</v>
      </c>
    </row>
    <row r="1466" spans="1:6" x14ac:dyDescent="0.25">
      <c r="A1466" t="s">
        <v>4174</v>
      </c>
      <c r="B1466" t="s">
        <v>4175</v>
      </c>
      <c r="C1466" t="s">
        <v>1953</v>
      </c>
      <c r="D1466" t="s">
        <v>1954</v>
      </c>
      <c r="E1466" t="s">
        <v>493</v>
      </c>
      <c r="F1466" s="2">
        <v>5.94</v>
      </c>
    </row>
    <row r="1467" spans="1:6" x14ac:dyDescent="0.25">
      <c r="A1467" t="s">
        <v>4176</v>
      </c>
      <c r="B1467" t="s">
        <v>4177</v>
      </c>
      <c r="C1467" t="s">
        <v>1953</v>
      </c>
      <c r="D1467" t="s">
        <v>1954</v>
      </c>
      <c r="E1467" t="s">
        <v>493</v>
      </c>
      <c r="F1467" s="2">
        <v>5.94</v>
      </c>
    </row>
    <row r="1468" spans="1:6" x14ac:dyDescent="0.25">
      <c r="A1468" t="s">
        <v>4178</v>
      </c>
      <c r="B1468" t="s">
        <v>4179</v>
      </c>
      <c r="C1468" t="s">
        <v>1953</v>
      </c>
      <c r="D1468" t="s">
        <v>1954</v>
      </c>
      <c r="E1468" t="s">
        <v>493</v>
      </c>
      <c r="F1468" s="2">
        <v>5.94</v>
      </c>
    </row>
    <row r="1469" spans="1:6" x14ac:dyDescent="0.25">
      <c r="A1469" t="s">
        <v>4180</v>
      </c>
      <c r="B1469" t="s">
        <v>4181</v>
      </c>
      <c r="C1469" t="s">
        <v>1953</v>
      </c>
      <c r="D1469" t="s">
        <v>1954</v>
      </c>
      <c r="E1469" t="s">
        <v>493</v>
      </c>
      <c r="F1469" s="2">
        <v>5.94</v>
      </c>
    </row>
    <row r="1470" spans="1:6" x14ac:dyDescent="0.25">
      <c r="A1470" t="s">
        <v>4182</v>
      </c>
      <c r="B1470" t="s">
        <v>4183</v>
      </c>
      <c r="C1470" t="s">
        <v>1953</v>
      </c>
      <c r="D1470" t="s">
        <v>1954</v>
      </c>
      <c r="E1470" t="s">
        <v>493</v>
      </c>
      <c r="F1470" s="2">
        <v>5.94</v>
      </c>
    </row>
    <row r="1471" spans="1:6" x14ac:dyDescent="0.25">
      <c r="A1471" t="s">
        <v>4184</v>
      </c>
      <c r="B1471" t="s">
        <v>4185</v>
      </c>
      <c r="C1471" t="s">
        <v>1953</v>
      </c>
      <c r="D1471" t="s">
        <v>1954</v>
      </c>
      <c r="E1471" t="s">
        <v>493</v>
      </c>
      <c r="F1471" s="2">
        <v>5.94</v>
      </c>
    </row>
    <row r="1472" spans="1:6" x14ac:dyDescent="0.25">
      <c r="A1472" t="s">
        <v>4186</v>
      </c>
      <c r="B1472" t="s">
        <v>4187</v>
      </c>
      <c r="C1472" t="s">
        <v>1953</v>
      </c>
      <c r="D1472" t="s">
        <v>1954</v>
      </c>
      <c r="E1472" t="s">
        <v>1129</v>
      </c>
      <c r="F1472" s="2">
        <v>5.94</v>
      </c>
    </row>
    <row r="1473" spans="1:6" x14ac:dyDescent="0.25">
      <c r="A1473" t="s">
        <v>1138</v>
      </c>
      <c r="B1473" t="s">
        <v>4188</v>
      </c>
      <c r="C1473" t="s">
        <v>1953</v>
      </c>
      <c r="D1473" t="s">
        <v>1954</v>
      </c>
      <c r="E1473" t="s">
        <v>1129</v>
      </c>
      <c r="F1473" s="2">
        <v>5.94</v>
      </c>
    </row>
    <row r="1474" spans="1:6" x14ac:dyDescent="0.25">
      <c r="A1474" t="s">
        <v>4189</v>
      </c>
      <c r="B1474" t="s">
        <v>4190</v>
      </c>
      <c r="C1474" t="s">
        <v>1953</v>
      </c>
      <c r="D1474" t="s">
        <v>1954</v>
      </c>
      <c r="E1474" t="s">
        <v>1129</v>
      </c>
      <c r="F1474" s="2">
        <v>5.94</v>
      </c>
    </row>
    <row r="1475" spans="1:6" x14ac:dyDescent="0.25">
      <c r="A1475" t="s">
        <v>1140</v>
      </c>
      <c r="B1475" t="s">
        <v>4191</v>
      </c>
      <c r="C1475" t="s">
        <v>1953</v>
      </c>
      <c r="D1475" t="s">
        <v>1954</v>
      </c>
      <c r="E1475" t="s">
        <v>1129</v>
      </c>
      <c r="F1475" s="2">
        <v>5.94</v>
      </c>
    </row>
    <row r="1476" spans="1:6" x14ac:dyDescent="0.25">
      <c r="A1476" t="s">
        <v>4192</v>
      </c>
      <c r="B1476" t="s">
        <v>4193</v>
      </c>
      <c r="C1476" t="s">
        <v>1953</v>
      </c>
      <c r="D1476" t="s">
        <v>1954</v>
      </c>
      <c r="E1476" t="s">
        <v>1129</v>
      </c>
      <c r="F1476" s="2">
        <v>5.94</v>
      </c>
    </row>
    <row r="1477" spans="1:6" x14ac:dyDescent="0.25">
      <c r="A1477" t="s">
        <v>1142</v>
      </c>
      <c r="B1477" t="s">
        <v>4194</v>
      </c>
      <c r="C1477" t="s">
        <v>1953</v>
      </c>
      <c r="D1477" t="s">
        <v>1954</v>
      </c>
      <c r="E1477" t="s">
        <v>1129</v>
      </c>
      <c r="F1477" s="2">
        <v>5.94</v>
      </c>
    </row>
    <row r="1478" spans="1:6" x14ac:dyDescent="0.25">
      <c r="A1478" t="s">
        <v>4195</v>
      </c>
      <c r="B1478" t="s">
        <v>4196</v>
      </c>
      <c r="C1478" t="s">
        <v>1953</v>
      </c>
      <c r="D1478" t="s">
        <v>1940</v>
      </c>
      <c r="E1478" t="s">
        <v>1129</v>
      </c>
      <c r="F1478" s="2">
        <v>5.94</v>
      </c>
    </row>
    <row r="1479" spans="1:6" x14ac:dyDescent="0.25">
      <c r="A1479" t="s">
        <v>1144</v>
      </c>
      <c r="B1479" t="s">
        <v>4197</v>
      </c>
      <c r="C1479" t="s">
        <v>1953</v>
      </c>
      <c r="D1479" t="s">
        <v>1940</v>
      </c>
      <c r="E1479" t="s">
        <v>1129</v>
      </c>
      <c r="F1479" s="2">
        <v>5.94</v>
      </c>
    </row>
    <row r="1480" spans="1:6" x14ac:dyDescent="0.25">
      <c r="A1480" t="s">
        <v>4198</v>
      </c>
      <c r="B1480" t="s">
        <v>4199</v>
      </c>
      <c r="C1480" t="s">
        <v>1953</v>
      </c>
      <c r="D1480" t="s">
        <v>1954</v>
      </c>
      <c r="E1480" t="s">
        <v>1129</v>
      </c>
      <c r="F1480" s="2">
        <v>5.94</v>
      </c>
    </row>
    <row r="1481" spans="1:6" x14ac:dyDescent="0.25">
      <c r="A1481" t="s">
        <v>1145</v>
      </c>
      <c r="B1481" t="s">
        <v>4200</v>
      </c>
      <c r="C1481" t="s">
        <v>1953</v>
      </c>
      <c r="D1481" t="s">
        <v>1954</v>
      </c>
      <c r="E1481" t="s">
        <v>1129</v>
      </c>
      <c r="F1481" s="2">
        <v>5.94</v>
      </c>
    </row>
    <row r="1482" spans="1:6" x14ac:dyDescent="0.25">
      <c r="A1482" t="s">
        <v>1147</v>
      </c>
      <c r="B1482" t="s">
        <v>4201</v>
      </c>
      <c r="C1482" t="s">
        <v>1953</v>
      </c>
      <c r="D1482" t="s">
        <v>1954</v>
      </c>
      <c r="E1482" t="s">
        <v>1129</v>
      </c>
      <c r="F1482" s="2">
        <v>5.94</v>
      </c>
    </row>
    <row r="1483" spans="1:6" x14ac:dyDescent="0.25">
      <c r="A1483" t="s">
        <v>4202</v>
      </c>
      <c r="B1483" t="s">
        <v>4203</v>
      </c>
      <c r="C1483" t="s">
        <v>1953</v>
      </c>
      <c r="D1483" t="s">
        <v>1940</v>
      </c>
      <c r="F1483" s="2">
        <v>1378.94</v>
      </c>
    </row>
    <row r="1484" spans="1:6" x14ac:dyDescent="0.25">
      <c r="A1484" t="s">
        <v>4204</v>
      </c>
      <c r="B1484" t="s">
        <v>4205</v>
      </c>
      <c r="C1484" t="s">
        <v>1953</v>
      </c>
      <c r="D1484" t="s">
        <v>1940</v>
      </c>
      <c r="F1484" s="2">
        <v>1667.04</v>
      </c>
    </row>
    <row r="1485" spans="1:6" x14ac:dyDescent="0.25">
      <c r="A1485" t="s">
        <v>4206</v>
      </c>
      <c r="B1485" t="s">
        <v>4207</v>
      </c>
      <c r="C1485" t="s">
        <v>1953</v>
      </c>
      <c r="D1485" t="s">
        <v>1940</v>
      </c>
      <c r="F1485" s="2">
        <v>1841.88</v>
      </c>
    </row>
    <row r="1486" spans="1:6" x14ac:dyDescent="0.25">
      <c r="A1486" t="s">
        <v>4208</v>
      </c>
      <c r="B1486" t="s">
        <v>4209</v>
      </c>
      <c r="C1486" t="s">
        <v>1953</v>
      </c>
      <c r="D1486" t="s">
        <v>1940</v>
      </c>
      <c r="F1486" s="2">
        <v>2042.56</v>
      </c>
    </row>
    <row r="1487" spans="1:6" x14ac:dyDescent="0.25">
      <c r="A1487" t="s">
        <v>4210</v>
      </c>
      <c r="B1487" t="s">
        <v>4211</v>
      </c>
      <c r="C1487" t="s">
        <v>1953</v>
      </c>
      <c r="D1487" t="s">
        <v>1940</v>
      </c>
      <c r="F1487" s="2">
        <v>2381.14</v>
      </c>
    </row>
    <row r="1488" spans="1:6" x14ac:dyDescent="0.25">
      <c r="A1488" t="s">
        <v>4212</v>
      </c>
      <c r="B1488" t="s">
        <v>4213</v>
      </c>
      <c r="C1488" t="s">
        <v>1953</v>
      </c>
      <c r="D1488" t="s">
        <v>1940</v>
      </c>
      <c r="F1488" s="2">
        <v>86.67</v>
      </c>
    </row>
    <row r="1489" spans="1:6" x14ac:dyDescent="0.25">
      <c r="A1489" t="s">
        <v>4214</v>
      </c>
      <c r="B1489" t="s">
        <v>4215</v>
      </c>
      <c r="C1489" t="s">
        <v>1953</v>
      </c>
      <c r="D1489" t="s">
        <v>1954</v>
      </c>
      <c r="F1489" s="2">
        <v>608.71</v>
      </c>
    </row>
    <row r="1490" spans="1:6" x14ac:dyDescent="0.25">
      <c r="A1490" t="s">
        <v>4216</v>
      </c>
      <c r="B1490" t="s">
        <v>4217</v>
      </c>
      <c r="C1490" t="s">
        <v>1953</v>
      </c>
      <c r="D1490" t="s">
        <v>1940</v>
      </c>
      <c r="F1490" s="2">
        <v>17.440000000000001</v>
      </c>
    </row>
    <row r="1491" spans="1:6" x14ac:dyDescent="0.25">
      <c r="A1491" t="s">
        <v>4218</v>
      </c>
      <c r="B1491" t="s">
        <v>4219</v>
      </c>
      <c r="C1491" t="s">
        <v>1953</v>
      </c>
      <c r="D1491" t="s">
        <v>1940</v>
      </c>
      <c r="F1491" s="2">
        <v>12.33</v>
      </c>
    </row>
    <row r="1492" spans="1:6" x14ac:dyDescent="0.25">
      <c r="A1492" t="s">
        <v>4220</v>
      </c>
      <c r="B1492" t="s">
        <v>4221</v>
      </c>
      <c r="C1492" t="s">
        <v>1953</v>
      </c>
      <c r="D1492" t="s">
        <v>1954</v>
      </c>
      <c r="E1492" t="s">
        <v>710</v>
      </c>
      <c r="F1492" s="2">
        <v>167.78</v>
      </c>
    </row>
    <row r="1493" spans="1:6" x14ac:dyDescent="0.25">
      <c r="A1493" t="s">
        <v>4222</v>
      </c>
      <c r="B1493" t="s">
        <v>4223</v>
      </c>
      <c r="C1493" t="s">
        <v>1953</v>
      </c>
      <c r="D1493" t="s">
        <v>1940</v>
      </c>
      <c r="E1493" t="s">
        <v>3735</v>
      </c>
      <c r="F1493" s="2">
        <v>101.46</v>
      </c>
    </row>
    <row r="1494" spans="1:6" x14ac:dyDescent="0.25">
      <c r="A1494" t="s">
        <v>4224</v>
      </c>
      <c r="B1494" t="s">
        <v>4225</v>
      </c>
      <c r="C1494" t="s">
        <v>1953</v>
      </c>
      <c r="D1494" t="s">
        <v>1940</v>
      </c>
      <c r="E1494" t="s">
        <v>3735</v>
      </c>
      <c r="F1494" s="2">
        <v>192.87</v>
      </c>
    </row>
    <row r="1495" spans="1:6" x14ac:dyDescent="0.25">
      <c r="A1495" t="s">
        <v>1148</v>
      </c>
      <c r="B1495" t="s">
        <v>4226</v>
      </c>
      <c r="C1495" t="s">
        <v>1953</v>
      </c>
      <c r="D1495" t="s">
        <v>1954</v>
      </c>
      <c r="E1495" t="s">
        <v>1129</v>
      </c>
      <c r="F1495" s="2">
        <v>5.94</v>
      </c>
    </row>
    <row r="1496" spans="1:6" x14ac:dyDescent="0.25">
      <c r="A1496" t="s">
        <v>4227</v>
      </c>
      <c r="B1496" t="s">
        <v>4228</v>
      </c>
      <c r="C1496" t="s">
        <v>1953</v>
      </c>
      <c r="D1496" t="s">
        <v>1940</v>
      </c>
      <c r="F1496" s="2">
        <v>147.09</v>
      </c>
    </row>
    <row r="1497" spans="1:6" x14ac:dyDescent="0.25">
      <c r="A1497" t="s">
        <v>4229</v>
      </c>
      <c r="B1497" t="s">
        <v>4230</v>
      </c>
      <c r="C1497" t="s">
        <v>1953</v>
      </c>
      <c r="D1497" t="s">
        <v>1940</v>
      </c>
      <c r="F1497" s="2">
        <v>147.09</v>
      </c>
    </row>
    <row r="1498" spans="1:6" x14ac:dyDescent="0.25">
      <c r="A1498" t="s">
        <v>4231</v>
      </c>
      <c r="B1498" t="s">
        <v>4232</v>
      </c>
      <c r="C1498" t="s">
        <v>1953</v>
      </c>
      <c r="D1498" t="s">
        <v>1940</v>
      </c>
      <c r="F1498" s="2">
        <v>604.79999999999995</v>
      </c>
    </row>
    <row r="1499" spans="1:6" x14ac:dyDescent="0.25">
      <c r="A1499" t="s">
        <v>4233</v>
      </c>
      <c r="B1499" t="s">
        <v>4234</v>
      </c>
      <c r="C1499" t="s">
        <v>1953</v>
      </c>
      <c r="D1499" t="s">
        <v>1940</v>
      </c>
      <c r="F1499" s="2">
        <v>79.39</v>
      </c>
    </row>
    <row r="1500" spans="1:6" x14ac:dyDescent="0.25">
      <c r="A1500" t="s">
        <v>4235</v>
      </c>
      <c r="B1500" t="s">
        <v>4236</v>
      </c>
      <c r="C1500" t="s">
        <v>1953</v>
      </c>
      <c r="D1500" t="s">
        <v>1940</v>
      </c>
      <c r="F1500" s="2">
        <v>6.56</v>
      </c>
    </row>
    <row r="1501" spans="1:6" x14ac:dyDescent="0.25">
      <c r="A1501" t="s">
        <v>4237</v>
      </c>
      <c r="B1501" t="s">
        <v>4238</v>
      </c>
      <c r="C1501" t="s">
        <v>1953</v>
      </c>
      <c r="D1501" t="s">
        <v>1940</v>
      </c>
      <c r="F1501" s="2">
        <v>340.29</v>
      </c>
    </row>
    <row r="1502" spans="1:6" x14ac:dyDescent="0.25">
      <c r="A1502" t="s">
        <v>4239</v>
      </c>
      <c r="B1502" t="s">
        <v>4240</v>
      </c>
      <c r="C1502" t="s">
        <v>1953</v>
      </c>
      <c r="D1502" t="s">
        <v>1940</v>
      </c>
      <c r="F1502" s="2">
        <v>312.35000000000002</v>
      </c>
    </row>
    <row r="1503" spans="1:6" x14ac:dyDescent="0.25">
      <c r="A1503" t="s">
        <v>4241</v>
      </c>
      <c r="B1503" t="s">
        <v>4242</v>
      </c>
      <c r="C1503" t="s">
        <v>1953</v>
      </c>
      <c r="D1503" t="s">
        <v>1954</v>
      </c>
      <c r="F1503" s="2">
        <v>15.57</v>
      </c>
    </row>
    <row r="1504" spans="1:6" x14ac:dyDescent="0.25">
      <c r="A1504" t="s">
        <v>4243</v>
      </c>
      <c r="B1504" t="s">
        <v>4244</v>
      </c>
      <c r="C1504" t="s">
        <v>1953</v>
      </c>
      <c r="D1504" t="s">
        <v>1940</v>
      </c>
      <c r="F1504" s="2">
        <v>40.07</v>
      </c>
    </row>
    <row r="1505" spans="1:6" x14ac:dyDescent="0.25">
      <c r="A1505" t="s">
        <v>4245</v>
      </c>
      <c r="B1505" t="s">
        <v>4246</v>
      </c>
      <c r="C1505" t="s">
        <v>1953</v>
      </c>
      <c r="D1505" t="s">
        <v>1954</v>
      </c>
      <c r="E1505" t="s">
        <v>1129</v>
      </c>
      <c r="F1505" s="2">
        <v>5.94</v>
      </c>
    </row>
    <row r="1506" spans="1:6" x14ac:dyDescent="0.25">
      <c r="A1506" t="s">
        <v>1150</v>
      </c>
      <c r="B1506" t="s">
        <v>4247</v>
      </c>
      <c r="C1506" t="s">
        <v>1953</v>
      </c>
      <c r="D1506" t="s">
        <v>1954</v>
      </c>
      <c r="E1506" t="s">
        <v>1129</v>
      </c>
      <c r="F1506" s="2">
        <v>5.94</v>
      </c>
    </row>
    <row r="1507" spans="1:6" x14ac:dyDescent="0.25">
      <c r="A1507" t="s">
        <v>4248</v>
      </c>
      <c r="B1507" t="s">
        <v>4249</v>
      </c>
      <c r="C1507" t="s">
        <v>1953</v>
      </c>
      <c r="D1507" t="s">
        <v>1940</v>
      </c>
      <c r="E1507" t="s">
        <v>1129</v>
      </c>
      <c r="F1507" s="2">
        <v>5.94</v>
      </c>
    </row>
    <row r="1508" spans="1:6" x14ac:dyDescent="0.25">
      <c r="A1508" t="s">
        <v>1152</v>
      </c>
      <c r="B1508" t="s">
        <v>4250</v>
      </c>
      <c r="C1508" t="s">
        <v>1953</v>
      </c>
      <c r="D1508" t="s">
        <v>1940</v>
      </c>
      <c r="E1508" t="s">
        <v>1129</v>
      </c>
      <c r="F1508" s="2">
        <v>5.94</v>
      </c>
    </row>
    <row r="1509" spans="1:6" x14ac:dyDescent="0.25">
      <c r="A1509" t="s">
        <v>4251</v>
      </c>
      <c r="B1509" t="s">
        <v>4252</v>
      </c>
      <c r="C1509" t="s">
        <v>1953</v>
      </c>
      <c r="D1509" t="s">
        <v>1954</v>
      </c>
      <c r="E1509" t="s">
        <v>1129</v>
      </c>
      <c r="F1509" s="2">
        <v>5.94</v>
      </c>
    </row>
    <row r="1510" spans="1:6" x14ac:dyDescent="0.25">
      <c r="A1510" t="s">
        <v>1153</v>
      </c>
      <c r="B1510" t="s">
        <v>4253</v>
      </c>
      <c r="C1510" t="s">
        <v>1953</v>
      </c>
      <c r="D1510" t="s">
        <v>1954</v>
      </c>
      <c r="E1510" t="s">
        <v>1129</v>
      </c>
      <c r="F1510" s="2">
        <v>5.94</v>
      </c>
    </row>
    <row r="1511" spans="1:6" x14ac:dyDescent="0.25">
      <c r="A1511" t="s">
        <v>4254</v>
      </c>
      <c r="B1511" t="s">
        <v>4255</v>
      </c>
      <c r="C1511" t="s">
        <v>1953</v>
      </c>
      <c r="D1511" t="s">
        <v>1954</v>
      </c>
      <c r="E1511" t="s">
        <v>187</v>
      </c>
      <c r="F1511" s="2">
        <v>89.55</v>
      </c>
    </row>
    <row r="1512" spans="1:6" x14ac:dyDescent="0.25">
      <c r="A1512" t="s">
        <v>4256</v>
      </c>
      <c r="B1512" t="s">
        <v>4257</v>
      </c>
      <c r="C1512" t="s">
        <v>1953</v>
      </c>
      <c r="D1512" t="s">
        <v>1954</v>
      </c>
      <c r="E1512" t="s">
        <v>187</v>
      </c>
      <c r="F1512" s="2">
        <v>89.55</v>
      </c>
    </row>
    <row r="1513" spans="1:6" x14ac:dyDescent="0.25">
      <c r="A1513" t="s">
        <v>4258</v>
      </c>
      <c r="B1513" t="s">
        <v>4259</v>
      </c>
      <c r="C1513" t="s">
        <v>1953</v>
      </c>
      <c r="D1513" t="s">
        <v>1940</v>
      </c>
      <c r="F1513" s="2">
        <v>119.86</v>
      </c>
    </row>
    <row r="1514" spans="1:6" x14ac:dyDescent="0.25">
      <c r="A1514" t="s">
        <v>4260</v>
      </c>
      <c r="B1514" t="s">
        <v>4261</v>
      </c>
      <c r="C1514" t="s">
        <v>1953</v>
      </c>
      <c r="D1514" t="s">
        <v>1940</v>
      </c>
      <c r="F1514" s="2">
        <v>578.20000000000005</v>
      </c>
    </row>
    <row r="1515" spans="1:6" x14ac:dyDescent="0.25">
      <c r="A1515" t="s">
        <v>4262</v>
      </c>
      <c r="B1515" t="s">
        <v>4263</v>
      </c>
      <c r="C1515" t="s">
        <v>1953</v>
      </c>
      <c r="D1515" t="s">
        <v>1954</v>
      </c>
      <c r="E1515" t="s">
        <v>1186</v>
      </c>
      <c r="F1515" s="2">
        <v>736.85</v>
      </c>
    </row>
    <row r="1516" spans="1:6" x14ac:dyDescent="0.25">
      <c r="A1516" t="s">
        <v>4264</v>
      </c>
      <c r="B1516" t="s">
        <v>4265</v>
      </c>
      <c r="C1516" t="s">
        <v>1953</v>
      </c>
      <c r="D1516" t="s">
        <v>1954</v>
      </c>
      <c r="E1516" t="s">
        <v>1186</v>
      </c>
      <c r="F1516" s="2">
        <v>423.68</v>
      </c>
    </row>
    <row r="1517" spans="1:6" x14ac:dyDescent="0.25">
      <c r="A1517" t="s">
        <v>4266</v>
      </c>
      <c r="B1517" t="s">
        <v>4267</v>
      </c>
      <c r="C1517" t="s">
        <v>1953</v>
      </c>
      <c r="D1517" t="s">
        <v>1954</v>
      </c>
      <c r="E1517" t="s">
        <v>1186</v>
      </c>
      <c r="F1517" s="2">
        <v>194.89</v>
      </c>
    </row>
    <row r="1518" spans="1:6" x14ac:dyDescent="0.25">
      <c r="A1518" t="s">
        <v>4268</v>
      </c>
      <c r="B1518" t="s">
        <v>4269</v>
      </c>
      <c r="C1518" t="s">
        <v>1953</v>
      </c>
      <c r="D1518" t="s">
        <v>1940</v>
      </c>
      <c r="F1518" s="2">
        <v>79.319999999999993</v>
      </c>
    </row>
    <row r="1519" spans="1:6" x14ac:dyDescent="0.25">
      <c r="A1519" t="s">
        <v>4270</v>
      </c>
      <c r="B1519" t="s">
        <v>4271</v>
      </c>
      <c r="C1519" t="s">
        <v>1953</v>
      </c>
      <c r="D1519" t="s">
        <v>1940</v>
      </c>
      <c r="F1519" s="2">
        <v>155.13</v>
      </c>
    </row>
    <row r="1520" spans="1:6" x14ac:dyDescent="0.25">
      <c r="A1520" t="s">
        <v>4272</v>
      </c>
      <c r="B1520" t="s">
        <v>4273</v>
      </c>
      <c r="C1520" t="s">
        <v>1953</v>
      </c>
      <c r="D1520" t="s">
        <v>1940</v>
      </c>
      <c r="F1520" s="2">
        <v>308.49</v>
      </c>
    </row>
    <row r="1521" spans="1:6" x14ac:dyDescent="0.25">
      <c r="A1521" t="s">
        <v>4274</v>
      </c>
      <c r="B1521" t="s">
        <v>4275</v>
      </c>
      <c r="C1521" t="s">
        <v>1953</v>
      </c>
      <c r="D1521" t="s">
        <v>1940</v>
      </c>
      <c r="E1521" t="s">
        <v>1129</v>
      </c>
      <c r="F1521" s="2">
        <v>5.94</v>
      </c>
    </row>
    <row r="1522" spans="1:6" x14ac:dyDescent="0.25">
      <c r="A1522" t="s">
        <v>1155</v>
      </c>
      <c r="B1522" t="s">
        <v>4276</v>
      </c>
      <c r="C1522" t="s">
        <v>1953</v>
      </c>
      <c r="D1522" t="s">
        <v>1940</v>
      </c>
      <c r="E1522" t="s">
        <v>1129</v>
      </c>
      <c r="F1522" s="2">
        <v>5.94</v>
      </c>
    </row>
    <row r="1523" spans="1:6" x14ac:dyDescent="0.25">
      <c r="A1523" t="s">
        <v>4277</v>
      </c>
      <c r="B1523" t="s">
        <v>4278</v>
      </c>
      <c r="C1523" t="s">
        <v>1953</v>
      </c>
      <c r="D1523" t="s">
        <v>1954</v>
      </c>
      <c r="F1523" s="2">
        <v>270.55</v>
      </c>
    </row>
    <row r="1524" spans="1:6" x14ac:dyDescent="0.25">
      <c r="A1524" t="s">
        <v>4279</v>
      </c>
      <c r="B1524" t="s">
        <v>4280</v>
      </c>
      <c r="C1524" t="s">
        <v>1953</v>
      </c>
      <c r="D1524" t="s">
        <v>1940</v>
      </c>
      <c r="F1524" s="2">
        <v>109.3</v>
      </c>
    </row>
    <row r="1525" spans="1:6" x14ac:dyDescent="0.25">
      <c r="A1525" t="s">
        <v>4281</v>
      </c>
      <c r="B1525" t="s">
        <v>4282</v>
      </c>
      <c r="C1525" t="s">
        <v>1953</v>
      </c>
      <c r="D1525" t="s">
        <v>1940</v>
      </c>
      <c r="F1525" s="2">
        <v>162.18</v>
      </c>
    </row>
    <row r="1526" spans="1:6" x14ac:dyDescent="0.25">
      <c r="A1526" t="s">
        <v>4283</v>
      </c>
      <c r="B1526" t="s">
        <v>4284</v>
      </c>
      <c r="C1526" t="s">
        <v>1953</v>
      </c>
      <c r="D1526" t="s">
        <v>1940</v>
      </c>
      <c r="F1526" s="2">
        <v>319.06</v>
      </c>
    </row>
    <row r="1527" spans="1:6" x14ac:dyDescent="0.25">
      <c r="A1527" t="s">
        <v>4285</v>
      </c>
      <c r="B1527" t="s">
        <v>4286</v>
      </c>
      <c r="C1527" t="s">
        <v>1953</v>
      </c>
      <c r="D1527" t="s">
        <v>1940</v>
      </c>
      <c r="F1527" s="2">
        <v>638.13</v>
      </c>
    </row>
    <row r="1528" spans="1:6" x14ac:dyDescent="0.25">
      <c r="A1528" t="s">
        <v>4287</v>
      </c>
      <c r="B1528" t="s">
        <v>4288</v>
      </c>
      <c r="C1528" t="s">
        <v>1953</v>
      </c>
      <c r="D1528" t="s">
        <v>1940</v>
      </c>
      <c r="F1528" s="2">
        <v>91.67</v>
      </c>
    </row>
    <row r="1529" spans="1:6" x14ac:dyDescent="0.25">
      <c r="A1529" t="s">
        <v>4289</v>
      </c>
      <c r="B1529" t="s">
        <v>4290</v>
      </c>
      <c r="C1529" t="s">
        <v>1953</v>
      </c>
      <c r="D1529" t="s">
        <v>1940</v>
      </c>
      <c r="F1529" s="2">
        <v>148.08000000000001</v>
      </c>
    </row>
    <row r="1530" spans="1:6" x14ac:dyDescent="0.25">
      <c r="A1530" t="s">
        <v>4291</v>
      </c>
      <c r="B1530" t="s">
        <v>4292</v>
      </c>
      <c r="C1530" t="s">
        <v>1953</v>
      </c>
      <c r="D1530" t="s">
        <v>1940</v>
      </c>
      <c r="F1530" s="2">
        <v>264.41000000000003</v>
      </c>
    </row>
    <row r="1531" spans="1:6" x14ac:dyDescent="0.25">
      <c r="A1531" t="s">
        <v>4293</v>
      </c>
      <c r="B1531" t="s">
        <v>4294</v>
      </c>
      <c r="C1531" t="s">
        <v>1953</v>
      </c>
      <c r="D1531" t="s">
        <v>1940</v>
      </c>
      <c r="F1531" s="2">
        <v>616.97</v>
      </c>
    </row>
    <row r="1532" spans="1:6" x14ac:dyDescent="0.25">
      <c r="A1532" t="s">
        <v>4295</v>
      </c>
      <c r="B1532" t="s">
        <v>4296</v>
      </c>
      <c r="C1532" t="s">
        <v>1953</v>
      </c>
      <c r="D1532" t="s">
        <v>1940</v>
      </c>
      <c r="E1532" t="s">
        <v>3735</v>
      </c>
      <c r="F1532" s="2">
        <v>45.83</v>
      </c>
    </row>
    <row r="1533" spans="1:6" x14ac:dyDescent="0.25">
      <c r="A1533" t="s">
        <v>4297</v>
      </c>
      <c r="B1533" t="s">
        <v>4298</v>
      </c>
      <c r="C1533" t="s">
        <v>1953</v>
      </c>
      <c r="D1533" t="s">
        <v>1940</v>
      </c>
      <c r="E1533" t="s">
        <v>3735</v>
      </c>
      <c r="F1533" s="2">
        <v>88.6</v>
      </c>
    </row>
    <row r="1534" spans="1:6" x14ac:dyDescent="0.25">
      <c r="A1534" t="s">
        <v>4299</v>
      </c>
      <c r="B1534" t="s">
        <v>4300</v>
      </c>
      <c r="C1534" t="s">
        <v>1953</v>
      </c>
      <c r="D1534" t="s">
        <v>1940</v>
      </c>
      <c r="E1534" t="s">
        <v>3735</v>
      </c>
      <c r="F1534" s="2">
        <v>157.93</v>
      </c>
    </row>
    <row r="1535" spans="1:6" x14ac:dyDescent="0.25">
      <c r="A1535" t="s">
        <v>4301</v>
      </c>
      <c r="B1535" t="s">
        <v>4302</v>
      </c>
      <c r="C1535" t="s">
        <v>1953</v>
      </c>
      <c r="D1535" t="s">
        <v>1940</v>
      </c>
      <c r="E1535" t="s">
        <v>3735</v>
      </c>
      <c r="F1535" s="2">
        <v>335.12</v>
      </c>
    </row>
    <row r="1536" spans="1:6" x14ac:dyDescent="0.25">
      <c r="A1536" t="s">
        <v>4303</v>
      </c>
      <c r="B1536" t="s">
        <v>4304</v>
      </c>
      <c r="C1536" t="s">
        <v>1953</v>
      </c>
      <c r="D1536" t="s">
        <v>1954</v>
      </c>
      <c r="E1536" t="s">
        <v>1129</v>
      </c>
      <c r="F1536" s="2">
        <v>5.94</v>
      </c>
    </row>
    <row r="1537" spans="1:6" x14ac:dyDescent="0.25">
      <c r="A1537" t="s">
        <v>4305</v>
      </c>
      <c r="B1537" t="s">
        <v>4306</v>
      </c>
      <c r="C1537" t="s">
        <v>1953</v>
      </c>
      <c r="D1537" t="s">
        <v>1940</v>
      </c>
      <c r="F1537" s="2">
        <v>11.09</v>
      </c>
    </row>
    <row r="1538" spans="1:6" x14ac:dyDescent="0.25">
      <c r="A1538" t="s">
        <v>4307</v>
      </c>
      <c r="B1538" t="s">
        <v>4308</v>
      </c>
      <c r="C1538" t="s">
        <v>1953</v>
      </c>
      <c r="D1538" t="s">
        <v>1954</v>
      </c>
      <c r="F1538" s="2">
        <v>659.17</v>
      </c>
    </row>
    <row r="1539" spans="1:6" x14ac:dyDescent="0.25">
      <c r="A1539" t="s">
        <v>4309</v>
      </c>
      <c r="B1539" t="s">
        <v>4310</v>
      </c>
      <c r="C1539" t="s">
        <v>1953</v>
      </c>
      <c r="D1539" t="s">
        <v>1954</v>
      </c>
      <c r="F1539" s="2">
        <v>731.26</v>
      </c>
    </row>
    <row r="1540" spans="1:6" x14ac:dyDescent="0.25">
      <c r="A1540" t="s">
        <v>4311</v>
      </c>
      <c r="B1540" t="s">
        <v>4312</v>
      </c>
      <c r="C1540" t="s">
        <v>1953</v>
      </c>
      <c r="D1540" t="s">
        <v>1954</v>
      </c>
      <c r="F1540" s="2">
        <v>234.77</v>
      </c>
    </row>
    <row r="1541" spans="1:6" x14ac:dyDescent="0.25">
      <c r="A1541" t="s">
        <v>4313</v>
      </c>
      <c r="B1541" t="s">
        <v>4314</v>
      </c>
      <c r="C1541" t="s">
        <v>1953</v>
      </c>
      <c r="D1541" t="s">
        <v>1940</v>
      </c>
      <c r="F1541" s="2">
        <v>279.06</v>
      </c>
    </row>
    <row r="1542" spans="1:6" x14ac:dyDescent="0.25">
      <c r="A1542" t="s">
        <v>4315</v>
      </c>
      <c r="B1542" t="s">
        <v>4316</v>
      </c>
      <c r="C1542" t="s">
        <v>1953</v>
      </c>
      <c r="D1542" t="s">
        <v>1940</v>
      </c>
      <c r="F1542" s="2">
        <v>199.45</v>
      </c>
    </row>
    <row r="1543" spans="1:6" x14ac:dyDescent="0.25">
      <c r="A1543" t="s">
        <v>4317</v>
      </c>
      <c r="B1543" t="s">
        <v>4318</v>
      </c>
      <c r="C1543" t="s">
        <v>1953</v>
      </c>
      <c r="D1543" t="s">
        <v>1940</v>
      </c>
      <c r="F1543" s="2">
        <v>327.27</v>
      </c>
    </row>
    <row r="1544" spans="1:6" x14ac:dyDescent="0.25">
      <c r="A1544" t="s">
        <v>4319</v>
      </c>
      <c r="B1544" t="s">
        <v>4320</v>
      </c>
      <c r="C1544" t="s">
        <v>1953</v>
      </c>
      <c r="D1544" t="s">
        <v>1940</v>
      </c>
      <c r="F1544" s="2">
        <v>381.24</v>
      </c>
    </row>
    <row r="1545" spans="1:6" x14ac:dyDescent="0.25">
      <c r="A1545" t="s">
        <v>4321</v>
      </c>
      <c r="B1545" t="s">
        <v>4322</v>
      </c>
      <c r="C1545" t="s">
        <v>1953</v>
      </c>
      <c r="D1545" t="s">
        <v>1940</v>
      </c>
      <c r="F1545" s="2">
        <v>327.27</v>
      </c>
    </row>
    <row r="1546" spans="1:6" x14ac:dyDescent="0.25">
      <c r="A1546" t="s">
        <v>4323</v>
      </c>
      <c r="B1546" t="s">
        <v>4324</v>
      </c>
      <c r="C1546" t="s">
        <v>1953</v>
      </c>
      <c r="D1546" t="s">
        <v>1940</v>
      </c>
      <c r="F1546" s="2">
        <v>16.649999999999999</v>
      </c>
    </row>
    <row r="1547" spans="1:6" x14ac:dyDescent="0.25">
      <c r="A1547" t="s">
        <v>4325</v>
      </c>
      <c r="B1547" t="s">
        <v>4326</v>
      </c>
      <c r="C1547" t="s">
        <v>1953</v>
      </c>
      <c r="D1547" t="s">
        <v>1940</v>
      </c>
      <c r="F1547" s="2">
        <v>5.33</v>
      </c>
    </row>
    <row r="1548" spans="1:6" x14ac:dyDescent="0.25">
      <c r="A1548" t="s">
        <v>4327</v>
      </c>
      <c r="B1548" t="s">
        <v>4328</v>
      </c>
      <c r="C1548" t="s">
        <v>1953</v>
      </c>
      <c r="D1548" t="s">
        <v>1940</v>
      </c>
      <c r="F1548" s="2">
        <v>3.48</v>
      </c>
    </row>
    <row r="1549" spans="1:6" x14ac:dyDescent="0.25">
      <c r="A1549" t="s">
        <v>1156</v>
      </c>
      <c r="B1549" t="s">
        <v>4329</v>
      </c>
      <c r="C1549" t="s">
        <v>1953</v>
      </c>
      <c r="D1549" t="s">
        <v>1954</v>
      </c>
      <c r="E1549" t="s">
        <v>1129</v>
      </c>
      <c r="F1549" s="2">
        <v>5.94</v>
      </c>
    </row>
    <row r="1550" spans="1:6" x14ac:dyDescent="0.25">
      <c r="A1550" t="s">
        <v>4330</v>
      </c>
      <c r="B1550" t="s">
        <v>4331</v>
      </c>
      <c r="C1550" t="s">
        <v>1953</v>
      </c>
      <c r="D1550" t="s">
        <v>1954</v>
      </c>
      <c r="E1550" t="s">
        <v>1129</v>
      </c>
      <c r="F1550" s="2">
        <v>5.94</v>
      </c>
    </row>
    <row r="1551" spans="1:6" x14ac:dyDescent="0.25">
      <c r="A1551" t="s">
        <v>1157</v>
      </c>
      <c r="B1551" t="s">
        <v>4332</v>
      </c>
      <c r="C1551" t="s">
        <v>1953</v>
      </c>
      <c r="D1551" t="s">
        <v>1954</v>
      </c>
      <c r="E1551" t="s">
        <v>1129</v>
      </c>
      <c r="F1551" s="2">
        <v>5.94</v>
      </c>
    </row>
    <row r="1552" spans="1:6" x14ac:dyDescent="0.25">
      <c r="A1552" t="s">
        <v>4333</v>
      </c>
      <c r="B1552" t="s">
        <v>4334</v>
      </c>
      <c r="C1552" t="s">
        <v>1953</v>
      </c>
      <c r="D1552" t="s">
        <v>1954</v>
      </c>
      <c r="E1552" t="s">
        <v>1129</v>
      </c>
      <c r="F1552" s="2">
        <v>5.94</v>
      </c>
    </row>
    <row r="1553" spans="1:6" x14ac:dyDescent="0.25">
      <c r="A1553" t="s">
        <v>1159</v>
      </c>
      <c r="B1553" t="s">
        <v>4335</v>
      </c>
      <c r="C1553" t="s">
        <v>1953</v>
      </c>
      <c r="D1553" t="s">
        <v>1954</v>
      </c>
      <c r="E1553" t="s">
        <v>1129</v>
      </c>
      <c r="F1553" s="2">
        <v>5.94</v>
      </c>
    </row>
    <row r="1554" spans="1:6" x14ac:dyDescent="0.25">
      <c r="A1554" t="s">
        <v>4336</v>
      </c>
      <c r="B1554" t="s">
        <v>4337</v>
      </c>
      <c r="C1554" t="s">
        <v>1953</v>
      </c>
      <c r="D1554" t="s">
        <v>1954</v>
      </c>
      <c r="E1554" t="s">
        <v>1129</v>
      </c>
      <c r="F1554" s="2">
        <v>5.94</v>
      </c>
    </row>
    <row r="1555" spans="1:6" x14ac:dyDescent="0.25">
      <c r="A1555" t="s">
        <v>4338</v>
      </c>
      <c r="B1555" t="s">
        <v>4339</v>
      </c>
      <c r="C1555" t="s">
        <v>1953</v>
      </c>
      <c r="D1555" t="s">
        <v>1940</v>
      </c>
      <c r="F1555" s="2">
        <v>116.96</v>
      </c>
    </row>
    <row r="1556" spans="1:6" x14ac:dyDescent="0.25">
      <c r="A1556" t="s">
        <v>4340</v>
      </c>
      <c r="B1556" t="s">
        <v>4341</v>
      </c>
      <c r="C1556" t="s">
        <v>1953</v>
      </c>
      <c r="D1556" t="s">
        <v>1940</v>
      </c>
      <c r="F1556" s="2">
        <v>103.18</v>
      </c>
    </row>
    <row r="1557" spans="1:6" x14ac:dyDescent="0.25">
      <c r="A1557" t="s">
        <v>4342</v>
      </c>
      <c r="B1557" t="s">
        <v>4343</v>
      </c>
      <c r="C1557" t="s">
        <v>1953</v>
      </c>
      <c r="D1557" t="s">
        <v>1940</v>
      </c>
      <c r="F1557" s="2">
        <v>93.81</v>
      </c>
    </row>
    <row r="1558" spans="1:6" x14ac:dyDescent="0.25">
      <c r="A1558" t="s">
        <v>4344</v>
      </c>
      <c r="B1558" t="s">
        <v>4345</v>
      </c>
      <c r="C1558" t="s">
        <v>1953</v>
      </c>
      <c r="D1558" t="s">
        <v>1940</v>
      </c>
      <c r="F1558" s="2">
        <v>54.44</v>
      </c>
    </row>
    <row r="1559" spans="1:6" x14ac:dyDescent="0.25">
      <c r="A1559" t="s">
        <v>4346</v>
      </c>
      <c r="B1559" t="s">
        <v>4347</v>
      </c>
      <c r="C1559" t="s">
        <v>1953</v>
      </c>
      <c r="D1559" t="s">
        <v>1940</v>
      </c>
      <c r="F1559" s="2">
        <v>5.96</v>
      </c>
    </row>
    <row r="1560" spans="1:6" x14ac:dyDescent="0.25">
      <c r="A1560" t="s">
        <v>4348</v>
      </c>
      <c r="B1560" t="s">
        <v>4349</v>
      </c>
      <c r="C1560" t="s">
        <v>1953</v>
      </c>
      <c r="D1560" t="s">
        <v>1940</v>
      </c>
      <c r="F1560" s="2">
        <v>14.9</v>
      </c>
    </row>
    <row r="1561" spans="1:6" x14ac:dyDescent="0.25">
      <c r="A1561" t="s">
        <v>4350</v>
      </c>
      <c r="B1561" t="s">
        <v>4351</v>
      </c>
      <c r="C1561" t="s">
        <v>1953</v>
      </c>
      <c r="D1561" t="s">
        <v>1940</v>
      </c>
      <c r="F1561" s="2">
        <v>175.32</v>
      </c>
    </row>
    <row r="1562" spans="1:6" x14ac:dyDescent="0.25">
      <c r="A1562" t="s">
        <v>4352</v>
      </c>
      <c r="B1562" t="s">
        <v>4353</v>
      </c>
      <c r="C1562" t="s">
        <v>1953</v>
      </c>
      <c r="D1562" t="s">
        <v>1940</v>
      </c>
      <c r="F1562" s="2">
        <v>175.32</v>
      </c>
    </row>
    <row r="1563" spans="1:6" x14ac:dyDescent="0.25">
      <c r="A1563" t="s">
        <v>4354</v>
      </c>
      <c r="B1563" t="s">
        <v>4355</v>
      </c>
      <c r="C1563" t="s">
        <v>1953</v>
      </c>
      <c r="D1563" t="s">
        <v>1940</v>
      </c>
      <c r="F1563" s="2">
        <v>10.96</v>
      </c>
    </row>
    <row r="1564" spans="1:6" x14ac:dyDescent="0.25">
      <c r="A1564" t="s">
        <v>4356</v>
      </c>
      <c r="B1564" t="s">
        <v>4357</v>
      </c>
      <c r="C1564" t="s">
        <v>1953</v>
      </c>
      <c r="D1564" t="s">
        <v>1940</v>
      </c>
      <c r="F1564" s="2">
        <v>599.5</v>
      </c>
    </row>
    <row r="1565" spans="1:6" x14ac:dyDescent="0.25">
      <c r="A1565" t="s">
        <v>4358</v>
      </c>
      <c r="B1565" t="s">
        <v>4359</v>
      </c>
      <c r="C1565" t="s">
        <v>1953</v>
      </c>
      <c r="D1565" t="s">
        <v>1940</v>
      </c>
      <c r="F1565" s="2">
        <v>147.09</v>
      </c>
    </row>
    <row r="1566" spans="1:6" x14ac:dyDescent="0.25">
      <c r="A1566" t="s">
        <v>4360</v>
      </c>
      <c r="B1566" t="s">
        <v>4361</v>
      </c>
      <c r="C1566" t="s">
        <v>1953</v>
      </c>
      <c r="D1566" t="s">
        <v>1940</v>
      </c>
      <c r="F1566" s="2">
        <v>6.58</v>
      </c>
    </row>
    <row r="1567" spans="1:6" x14ac:dyDescent="0.25">
      <c r="A1567" t="s">
        <v>4362</v>
      </c>
      <c r="B1567" t="s">
        <v>4363</v>
      </c>
      <c r="C1567" t="s">
        <v>1953</v>
      </c>
      <c r="D1567" t="s">
        <v>1940</v>
      </c>
      <c r="F1567" s="2">
        <v>7.41</v>
      </c>
    </row>
    <row r="1568" spans="1:6" x14ac:dyDescent="0.25">
      <c r="A1568" t="s">
        <v>4364</v>
      </c>
      <c r="B1568" t="s">
        <v>4365</v>
      </c>
      <c r="C1568" t="s">
        <v>1953</v>
      </c>
      <c r="D1568" t="s">
        <v>1940</v>
      </c>
      <c r="F1568" s="2">
        <v>11.15</v>
      </c>
    </row>
    <row r="1569" spans="1:6" x14ac:dyDescent="0.25">
      <c r="A1569" t="s">
        <v>4366</v>
      </c>
      <c r="B1569" t="s">
        <v>4367</v>
      </c>
      <c r="C1569" t="s">
        <v>1953</v>
      </c>
      <c r="D1569" t="s">
        <v>1954</v>
      </c>
      <c r="E1569" t="s">
        <v>3370</v>
      </c>
      <c r="F1569" s="2">
        <v>153.69999999999999</v>
      </c>
    </row>
    <row r="1570" spans="1:6" x14ac:dyDescent="0.25">
      <c r="A1570" t="s">
        <v>4368</v>
      </c>
      <c r="B1570" t="s">
        <v>4369</v>
      </c>
      <c r="C1570" t="s">
        <v>1953</v>
      </c>
      <c r="D1570" t="s">
        <v>1954</v>
      </c>
      <c r="E1570" t="s">
        <v>3370</v>
      </c>
      <c r="F1570" s="2">
        <v>153.69999999999999</v>
      </c>
    </row>
    <row r="1571" spans="1:6" x14ac:dyDescent="0.25">
      <c r="A1571" t="s">
        <v>4370</v>
      </c>
      <c r="B1571" t="s">
        <v>4371</v>
      </c>
      <c r="C1571" t="s">
        <v>1953</v>
      </c>
      <c r="D1571" t="s">
        <v>1954</v>
      </c>
      <c r="E1571" t="s">
        <v>3370</v>
      </c>
      <c r="F1571" s="2">
        <v>153.69999999999999</v>
      </c>
    </row>
    <row r="1572" spans="1:6" x14ac:dyDescent="0.25">
      <c r="A1572" t="s">
        <v>4372</v>
      </c>
      <c r="B1572" t="s">
        <v>4373</v>
      </c>
      <c r="C1572" t="s">
        <v>1953</v>
      </c>
      <c r="D1572" t="s">
        <v>1954</v>
      </c>
      <c r="E1572" t="s">
        <v>3370</v>
      </c>
      <c r="F1572" s="2">
        <v>153.69999999999999</v>
      </c>
    </row>
    <row r="1573" spans="1:6" x14ac:dyDescent="0.25">
      <c r="A1573" t="s">
        <v>4374</v>
      </c>
      <c r="B1573" t="s">
        <v>4375</v>
      </c>
      <c r="C1573" t="s">
        <v>1953</v>
      </c>
      <c r="D1573" t="s">
        <v>1954</v>
      </c>
      <c r="E1573" t="s">
        <v>3370</v>
      </c>
      <c r="F1573" s="2">
        <v>153.69999999999999</v>
      </c>
    </row>
    <row r="1574" spans="1:6" x14ac:dyDescent="0.25">
      <c r="A1574" t="s">
        <v>4376</v>
      </c>
      <c r="B1574" t="s">
        <v>4377</v>
      </c>
      <c r="C1574" t="s">
        <v>1953</v>
      </c>
      <c r="D1574" t="s">
        <v>1954</v>
      </c>
      <c r="F1574" s="2">
        <v>735.35</v>
      </c>
    </row>
    <row r="1575" spans="1:6" x14ac:dyDescent="0.25">
      <c r="A1575" t="s">
        <v>4378</v>
      </c>
      <c r="B1575" t="s">
        <v>4379</v>
      </c>
      <c r="C1575" t="s">
        <v>1953</v>
      </c>
      <c r="D1575" t="s">
        <v>1940</v>
      </c>
      <c r="E1575" t="s">
        <v>3735</v>
      </c>
      <c r="F1575" s="2">
        <v>125.19</v>
      </c>
    </row>
    <row r="1576" spans="1:6" x14ac:dyDescent="0.25">
      <c r="A1576" t="s">
        <v>1161</v>
      </c>
      <c r="B1576" t="s">
        <v>4380</v>
      </c>
      <c r="C1576" t="s">
        <v>1953</v>
      </c>
      <c r="D1576" t="s">
        <v>1954</v>
      </c>
      <c r="E1576" t="s">
        <v>1129</v>
      </c>
      <c r="F1576" s="2">
        <v>5.94</v>
      </c>
    </row>
    <row r="1577" spans="1:6" x14ac:dyDescent="0.25">
      <c r="A1577" t="s">
        <v>4381</v>
      </c>
      <c r="B1577" t="s">
        <v>4382</v>
      </c>
      <c r="C1577" t="s">
        <v>1953</v>
      </c>
      <c r="D1577" t="s">
        <v>1954</v>
      </c>
      <c r="E1577" t="s">
        <v>493</v>
      </c>
      <c r="F1577" s="2">
        <v>5.94</v>
      </c>
    </row>
    <row r="1578" spans="1:6" x14ac:dyDescent="0.25">
      <c r="A1578" t="s">
        <v>4383</v>
      </c>
      <c r="B1578" t="s">
        <v>4384</v>
      </c>
      <c r="C1578" t="s">
        <v>1953</v>
      </c>
      <c r="D1578" t="s">
        <v>1954</v>
      </c>
      <c r="E1578" t="s">
        <v>493</v>
      </c>
      <c r="F1578" s="2">
        <v>5.94</v>
      </c>
    </row>
    <row r="1579" spans="1:6" x14ac:dyDescent="0.25">
      <c r="A1579" t="s">
        <v>4385</v>
      </c>
      <c r="B1579" t="s">
        <v>4386</v>
      </c>
      <c r="C1579" t="s">
        <v>1953</v>
      </c>
      <c r="D1579" t="s">
        <v>1940</v>
      </c>
      <c r="F1579" s="2">
        <v>11.26</v>
      </c>
    </row>
    <row r="1580" spans="1:6" x14ac:dyDescent="0.25">
      <c r="A1580" t="s">
        <v>4387</v>
      </c>
      <c r="B1580" t="s">
        <v>4388</v>
      </c>
      <c r="C1580" t="s">
        <v>1953</v>
      </c>
      <c r="D1580" t="s">
        <v>1940</v>
      </c>
      <c r="F1580" s="2">
        <v>11.26</v>
      </c>
    </row>
    <row r="1581" spans="1:6" x14ac:dyDescent="0.25">
      <c r="A1581" t="s">
        <v>4389</v>
      </c>
      <c r="B1581" t="s">
        <v>4390</v>
      </c>
      <c r="C1581" t="s">
        <v>1953</v>
      </c>
      <c r="D1581" t="s">
        <v>1940</v>
      </c>
      <c r="F1581" s="2">
        <v>10.97</v>
      </c>
    </row>
    <row r="1582" spans="1:6" x14ac:dyDescent="0.25">
      <c r="A1582" t="s">
        <v>4391</v>
      </c>
      <c r="B1582" t="s">
        <v>4392</v>
      </c>
      <c r="C1582" t="s">
        <v>1953</v>
      </c>
      <c r="D1582" t="s">
        <v>1954</v>
      </c>
      <c r="E1582" t="s">
        <v>1129</v>
      </c>
      <c r="F1582" s="2">
        <v>5.94</v>
      </c>
    </row>
    <row r="1583" spans="1:6" x14ac:dyDescent="0.25">
      <c r="A1583" t="s">
        <v>1163</v>
      </c>
      <c r="B1583" t="s">
        <v>4393</v>
      </c>
      <c r="C1583" t="s">
        <v>1953</v>
      </c>
      <c r="D1583" t="s">
        <v>1954</v>
      </c>
      <c r="E1583" t="s">
        <v>1129</v>
      </c>
      <c r="F1583" s="2">
        <v>5.94</v>
      </c>
    </row>
    <row r="1584" spans="1:6" x14ac:dyDescent="0.25">
      <c r="A1584" t="s">
        <v>4394</v>
      </c>
      <c r="B1584" t="s">
        <v>4395</v>
      </c>
      <c r="C1584" t="s">
        <v>1953</v>
      </c>
      <c r="D1584" t="s">
        <v>1940</v>
      </c>
      <c r="F1584" s="2">
        <v>277.42</v>
      </c>
    </row>
    <row r="1585" spans="1:6" x14ac:dyDescent="0.25">
      <c r="A1585" t="s">
        <v>4396</v>
      </c>
      <c r="B1585" t="s">
        <v>4397</v>
      </c>
      <c r="C1585" t="s">
        <v>1953</v>
      </c>
      <c r="D1585" t="s">
        <v>1940</v>
      </c>
      <c r="F1585" s="2">
        <v>149.84</v>
      </c>
    </row>
    <row r="1586" spans="1:6" x14ac:dyDescent="0.25">
      <c r="A1586" t="s">
        <v>4398</v>
      </c>
      <c r="B1586" t="s">
        <v>4399</v>
      </c>
      <c r="C1586" t="s">
        <v>1953</v>
      </c>
      <c r="D1586" t="s">
        <v>1954</v>
      </c>
      <c r="F1586" s="2">
        <v>48.6</v>
      </c>
    </row>
    <row r="1587" spans="1:6" x14ac:dyDescent="0.25">
      <c r="A1587" t="s">
        <v>4400</v>
      </c>
      <c r="B1587" t="s">
        <v>4401</v>
      </c>
      <c r="C1587" t="s">
        <v>1953</v>
      </c>
      <c r="D1587" t="s">
        <v>1954</v>
      </c>
      <c r="F1587" s="2">
        <v>338.58</v>
      </c>
    </row>
    <row r="1588" spans="1:6" x14ac:dyDescent="0.25">
      <c r="A1588" t="s">
        <v>4402</v>
      </c>
      <c r="B1588" t="s">
        <v>4403</v>
      </c>
      <c r="C1588" t="s">
        <v>1953</v>
      </c>
      <c r="D1588" t="s">
        <v>1954</v>
      </c>
      <c r="F1588" s="2">
        <v>1165.31</v>
      </c>
    </row>
    <row r="1589" spans="1:6" x14ac:dyDescent="0.25">
      <c r="A1589" t="s">
        <v>4404</v>
      </c>
      <c r="B1589" t="s">
        <v>4405</v>
      </c>
      <c r="C1589" t="s">
        <v>1953</v>
      </c>
      <c r="D1589" t="s">
        <v>1954</v>
      </c>
      <c r="F1589" s="2">
        <v>625.05999999999995</v>
      </c>
    </row>
    <row r="1590" spans="1:6" x14ac:dyDescent="0.25">
      <c r="A1590" t="s">
        <v>4406</v>
      </c>
      <c r="B1590" t="s">
        <v>4407</v>
      </c>
      <c r="C1590" t="s">
        <v>1953</v>
      </c>
      <c r="D1590" t="s">
        <v>1954</v>
      </c>
      <c r="F1590" s="2">
        <v>695.5</v>
      </c>
    </row>
    <row r="1591" spans="1:6" x14ac:dyDescent="0.25">
      <c r="A1591" t="s">
        <v>4408</v>
      </c>
      <c r="B1591" t="s">
        <v>4409</v>
      </c>
      <c r="C1591" t="s">
        <v>1953</v>
      </c>
      <c r="D1591" t="s">
        <v>1954</v>
      </c>
      <c r="F1591" s="2">
        <v>537.89</v>
      </c>
    </row>
    <row r="1592" spans="1:6" x14ac:dyDescent="0.25">
      <c r="A1592" t="s">
        <v>4410</v>
      </c>
      <c r="B1592" t="s">
        <v>4411</v>
      </c>
      <c r="C1592" t="s">
        <v>1953</v>
      </c>
      <c r="D1592" t="s">
        <v>1954</v>
      </c>
      <c r="F1592" s="2">
        <v>302.26</v>
      </c>
    </row>
    <row r="1593" spans="1:6" x14ac:dyDescent="0.25">
      <c r="A1593" t="s">
        <v>4412</v>
      </c>
      <c r="B1593" t="s">
        <v>4413</v>
      </c>
      <c r="C1593" t="s">
        <v>1953</v>
      </c>
      <c r="D1593" t="s">
        <v>1954</v>
      </c>
      <c r="F1593" s="2">
        <v>552.41</v>
      </c>
    </row>
    <row r="1594" spans="1:6" x14ac:dyDescent="0.25">
      <c r="A1594" t="s">
        <v>4414</v>
      </c>
      <c r="B1594" t="s">
        <v>4415</v>
      </c>
      <c r="C1594" t="s">
        <v>1953</v>
      </c>
      <c r="D1594" t="s">
        <v>1954</v>
      </c>
      <c r="F1594" s="2">
        <v>1023.67</v>
      </c>
    </row>
    <row r="1595" spans="1:6" x14ac:dyDescent="0.25">
      <c r="A1595" t="s">
        <v>4416</v>
      </c>
      <c r="B1595" t="s">
        <v>4417</v>
      </c>
      <c r="C1595" t="s">
        <v>1953</v>
      </c>
      <c r="D1595" t="s">
        <v>1954</v>
      </c>
      <c r="F1595" s="2">
        <v>613.94000000000005</v>
      </c>
    </row>
    <row r="1596" spans="1:6" x14ac:dyDescent="0.25">
      <c r="A1596" t="s">
        <v>4418</v>
      </c>
      <c r="B1596" t="s">
        <v>4419</v>
      </c>
      <c r="C1596" t="s">
        <v>1953</v>
      </c>
      <c r="D1596" t="s">
        <v>1954</v>
      </c>
      <c r="F1596" s="2">
        <v>608.71</v>
      </c>
    </row>
    <row r="1597" spans="1:6" x14ac:dyDescent="0.25">
      <c r="A1597" t="s">
        <v>4420</v>
      </c>
      <c r="B1597" t="s">
        <v>4421</v>
      </c>
      <c r="C1597" t="s">
        <v>1953</v>
      </c>
      <c r="D1597" t="s">
        <v>1954</v>
      </c>
      <c r="F1597" s="2">
        <v>338.58</v>
      </c>
    </row>
    <row r="1598" spans="1:6" x14ac:dyDescent="0.25">
      <c r="A1598" t="s">
        <v>4422</v>
      </c>
      <c r="B1598" t="s">
        <v>4423</v>
      </c>
      <c r="C1598" t="s">
        <v>1953</v>
      </c>
      <c r="D1598" t="s">
        <v>1954</v>
      </c>
      <c r="F1598" s="2">
        <v>1165.31</v>
      </c>
    </row>
    <row r="1599" spans="1:6" x14ac:dyDescent="0.25">
      <c r="A1599" t="s">
        <v>4424</v>
      </c>
      <c r="B1599" t="s">
        <v>4425</v>
      </c>
      <c r="C1599" t="s">
        <v>1953</v>
      </c>
      <c r="D1599" t="s">
        <v>1954</v>
      </c>
      <c r="F1599" s="2">
        <v>625.05999999999995</v>
      </c>
    </row>
    <row r="1600" spans="1:6" x14ac:dyDescent="0.25">
      <c r="A1600" t="s">
        <v>4426</v>
      </c>
      <c r="B1600" t="s">
        <v>4427</v>
      </c>
      <c r="C1600" t="s">
        <v>1953</v>
      </c>
      <c r="D1600" t="s">
        <v>1954</v>
      </c>
      <c r="F1600" s="2">
        <v>695.5</v>
      </c>
    </row>
    <row r="1601" spans="1:6" x14ac:dyDescent="0.25">
      <c r="A1601" t="s">
        <v>4428</v>
      </c>
      <c r="B1601" t="s">
        <v>4429</v>
      </c>
      <c r="C1601" t="s">
        <v>1953</v>
      </c>
      <c r="D1601" t="s">
        <v>1954</v>
      </c>
      <c r="F1601" s="2">
        <v>608.71</v>
      </c>
    </row>
    <row r="1602" spans="1:6" x14ac:dyDescent="0.25">
      <c r="A1602" t="s">
        <v>4430</v>
      </c>
      <c r="B1602" t="s">
        <v>4431</v>
      </c>
      <c r="C1602" t="s">
        <v>1953</v>
      </c>
      <c r="D1602" t="s">
        <v>1954</v>
      </c>
      <c r="F1602" s="2">
        <v>338.58</v>
      </c>
    </row>
    <row r="1603" spans="1:6" x14ac:dyDescent="0.25">
      <c r="A1603" t="s">
        <v>4432</v>
      </c>
      <c r="B1603" t="s">
        <v>4433</v>
      </c>
      <c r="C1603" t="s">
        <v>1953</v>
      </c>
      <c r="D1603" t="s">
        <v>1954</v>
      </c>
      <c r="F1603" s="2">
        <v>1165.31</v>
      </c>
    </row>
    <row r="1604" spans="1:6" x14ac:dyDescent="0.25">
      <c r="A1604" t="s">
        <v>4434</v>
      </c>
      <c r="B1604" t="s">
        <v>4435</v>
      </c>
      <c r="C1604" t="s">
        <v>1953</v>
      </c>
      <c r="D1604" t="s">
        <v>1954</v>
      </c>
      <c r="F1604" s="2">
        <v>625.05999999999995</v>
      </c>
    </row>
    <row r="1605" spans="1:6" x14ac:dyDescent="0.25">
      <c r="A1605" t="s">
        <v>4436</v>
      </c>
      <c r="B1605" t="s">
        <v>4437</v>
      </c>
      <c r="C1605" t="s">
        <v>1953</v>
      </c>
      <c r="D1605" t="s">
        <v>1954</v>
      </c>
      <c r="F1605" s="2">
        <v>330.42</v>
      </c>
    </row>
    <row r="1606" spans="1:6" x14ac:dyDescent="0.25">
      <c r="A1606" t="s">
        <v>4438</v>
      </c>
      <c r="B1606" t="s">
        <v>4439</v>
      </c>
      <c r="C1606" t="s">
        <v>1953</v>
      </c>
      <c r="D1606" t="s">
        <v>1954</v>
      </c>
      <c r="F1606" s="2">
        <v>592.38</v>
      </c>
    </row>
    <row r="1607" spans="1:6" x14ac:dyDescent="0.25">
      <c r="A1607" t="s">
        <v>4440</v>
      </c>
      <c r="B1607" t="s">
        <v>4441</v>
      </c>
      <c r="C1607" t="s">
        <v>1953</v>
      </c>
      <c r="D1607" t="s">
        <v>1954</v>
      </c>
      <c r="F1607" s="2">
        <v>1132.6199999999999</v>
      </c>
    </row>
    <row r="1608" spans="1:6" x14ac:dyDescent="0.25">
      <c r="A1608" t="s">
        <v>4442</v>
      </c>
      <c r="B1608" t="s">
        <v>4443</v>
      </c>
      <c r="C1608" t="s">
        <v>1953</v>
      </c>
      <c r="D1608" t="s">
        <v>1954</v>
      </c>
      <c r="F1608" s="2">
        <v>608.71</v>
      </c>
    </row>
    <row r="1609" spans="1:6" x14ac:dyDescent="0.25">
      <c r="A1609" t="s">
        <v>4444</v>
      </c>
      <c r="B1609" t="s">
        <v>4445</v>
      </c>
      <c r="C1609" t="s">
        <v>1953</v>
      </c>
      <c r="D1609" t="s">
        <v>1954</v>
      </c>
      <c r="F1609" s="2">
        <v>330.42</v>
      </c>
    </row>
    <row r="1610" spans="1:6" x14ac:dyDescent="0.25">
      <c r="A1610" t="s">
        <v>4446</v>
      </c>
      <c r="B1610" t="s">
        <v>4447</v>
      </c>
      <c r="C1610" t="s">
        <v>1953</v>
      </c>
      <c r="D1610" t="s">
        <v>1954</v>
      </c>
      <c r="F1610" s="2">
        <v>592.38</v>
      </c>
    </row>
    <row r="1611" spans="1:6" x14ac:dyDescent="0.25">
      <c r="A1611" t="s">
        <v>4448</v>
      </c>
      <c r="B1611" t="s">
        <v>4449</v>
      </c>
      <c r="C1611" t="s">
        <v>1953</v>
      </c>
      <c r="D1611" t="s">
        <v>1954</v>
      </c>
      <c r="F1611" s="2">
        <v>1132.6199999999999</v>
      </c>
    </row>
    <row r="1612" spans="1:6" x14ac:dyDescent="0.25">
      <c r="A1612" t="s">
        <v>4450</v>
      </c>
      <c r="B1612" t="s">
        <v>4451</v>
      </c>
      <c r="C1612" t="s">
        <v>1953</v>
      </c>
      <c r="D1612" t="s">
        <v>1954</v>
      </c>
      <c r="F1612" s="2">
        <v>608.71</v>
      </c>
    </row>
    <row r="1613" spans="1:6" x14ac:dyDescent="0.25">
      <c r="A1613" t="s">
        <v>4452</v>
      </c>
      <c r="B1613" t="s">
        <v>4453</v>
      </c>
      <c r="C1613" t="s">
        <v>1953</v>
      </c>
      <c r="D1613" t="s">
        <v>1954</v>
      </c>
      <c r="F1613" s="2">
        <v>330.42</v>
      </c>
    </row>
    <row r="1614" spans="1:6" x14ac:dyDescent="0.25">
      <c r="A1614" t="s">
        <v>4454</v>
      </c>
      <c r="B1614" t="s">
        <v>4455</v>
      </c>
      <c r="C1614" t="s">
        <v>1953</v>
      </c>
      <c r="D1614" t="s">
        <v>1954</v>
      </c>
      <c r="F1614" s="2">
        <v>592.38</v>
      </c>
    </row>
    <row r="1615" spans="1:6" x14ac:dyDescent="0.25">
      <c r="A1615" t="s">
        <v>4456</v>
      </c>
      <c r="B1615" t="s">
        <v>4457</v>
      </c>
      <c r="C1615" t="s">
        <v>1953</v>
      </c>
      <c r="D1615" t="s">
        <v>1954</v>
      </c>
      <c r="F1615" s="2">
        <v>1132.6199999999999</v>
      </c>
    </row>
    <row r="1616" spans="1:6" x14ac:dyDescent="0.25">
      <c r="A1616" t="s">
        <v>4458</v>
      </c>
      <c r="B1616" t="s">
        <v>4459</v>
      </c>
      <c r="C1616" t="s">
        <v>1953</v>
      </c>
      <c r="D1616" t="s">
        <v>1954</v>
      </c>
      <c r="F1616" s="2">
        <v>608.71</v>
      </c>
    </row>
    <row r="1617" spans="1:6" x14ac:dyDescent="0.25">
      <c r="A1617" t="s">
        <v>4460</v>
      </c>
      <c r="B1617" t="s">
        <v>4461</v>
      </c>
      <c r="C1617" t="s">
        <v>1953</v>
      </c>
      <c r="D1617" t="s">
        <v>1954</v>
      </c>
      <c r="F1617" s="2">
        <v>338.58</v>
      </c>
    </row>
    <row r="1618" spans="1:6" x14ac:dyDescent="0.25">
      <c r="A1618" t="s">
        <v>4462</v>
      </c>
      <c r="B1618" t="s">
        <v>4463</v>
      </c>
      <c r="C1618" t="s">
        <v>1953</v>
      </c>
      <c r="D1618" t="s">
        <v>1954</v>
      </c>
      <c r="F1618" s="2">
        <v>608.71</v>
      </c>
    </row>
    <row r="1619" spans="1:6" x14ac:dyDescent="0.25">
      <c r="A1619" t="s">
        <v>4464</v>
      </c>
      <c r="B1619" t="s">
        <v>4465</v>
      </c>
      <c r="C1619" t="s">
        <v>1953</v>
      </c>
      <c r="D1619" t="s">
        <v>1954</v>
      </c>
      <c r="F1619" s="2">
        <v>363.56</v>
      </c>
    </row>
    <row r="1620" spans="1:6" x14ac:dyDescent="0.25">
      <c r="A1620" t="s">
        <v>4466</v>
      </c>
      <c r="B1620" t="s">
        <v>4467</v>
      </c>
      <c r="C1620" t="s">
        <v>1953</v>
      </c>
      <c r="D1620" t="s">
        <v>1954</v>
      </c>
      <c r="F1620" s="2">
        <v>1223.44</v>
      </c>
    </row>
    <row r="1621" spans="1:6" x14ac:dyDescent="0.25">
      <c r="A1621" t="s">
        <v>4468</v>
      </c>
      <c r="B1621" t="s">
        <v>4469</v>
      </c>
      <c r="C1621" t="s">
        <v>1953</v>
      </c>
      <c r="D1621" t="s">
        <v>1954</v>
      </c>
      <c r="F1621" s="2">
        <v>637.76</v>
      </c>
    </row>
    <row r="1622" spans="1:6" x14ac:dyDescent="0.25">
      <c r="A1622" t="s">
        <v>4470</v>
      </c>
      <c r="B1622" t="s">
        <v>4471</v>
      </c>
      <c r="C1622" t="s">
        <v>1953</v>
      </c>
      <c r="D1622" t="s">
        <v>1954</v>
      </c>
      <c r="F1622" s="2">
        <v>1223.44</v>
      </c>
    </row>
    <row r="1623" spans="1:6" x14ac:dyDescent="0.25">
      <c r="A1623" t="s">
        <v>4472</v>
      </c>
      <c r="B1623" t="s">
        <v>4473</v>
      </c>
      <c r="C1623" t="s">
        <v>1953</v>
      </c>
      <c r="D1623" t="s">
        <v>1954</v>
      </c>
      <c r="F1623" s="2">
        <v>637.76</v>
      </c>
    </row>
    <row r="1624" spans="1:6" x14ac:dyDescent="0.25">
      <c r="A1624" t="s">
        <v>4474</v>
      </c>
      <c r="B1624" t="s">
        <v>4475</v>
      </c>
      <c r="C1624" t="s">
        <v>1953</v>
      </c>
      <c r="D1624" t="s">
        <v>1954</v>
      </c>
      <c r="F1624" s="2">
        <v>674.99</v>
      </c>
    </row>
    <row r="1625" spans="1:6" x14ac:dyDescent="0.25">
      <c r="A1625" t="s">
        <v>4476</v>
      </c>
      <c r="B1625" t="s">
        <v>4477</v>
      </c>
      <c r="C1625" t="s">
        <v>1953</v>
      </c>
      <c r="D1625" t="s">
        <v>1954</v>
      </c>
      <c r="F1625" s="2">
        <v>354.47</v>
      </c>
    </row>
    <row r="1626" spans="1:6" x14ac:dyDescent="0.25">
      <c r="A1626" t="s">
        <v>4478</v>
      </c>
      <c r="B1626" t="s">
        <v>4479</v>
      </c>
      <c r="C1626" t="s">
        <v>1953</v>
      </c>
      <c r="D1626" t="s">
        <v>1954</v>
      </c>
      <c r="F1626" s="2">
        <v>1223.44</v>
      </c>
    </row>
    <row r="1627" spans="1:6" x14ac:dyDescent="0.25">
      <c r="A1627" t="s">
        <v>4480</v>
      </c>
      <c r="B1627" t="s">
        <v>4481</v>
      </c>
      <c r="C1627" t="s">
        <v>1953</v>
      </c>
      <c r="D1627" t="s">
        <v>1954</v>
      </c>
      <c r="F1627" s="2">
        <v>637.76</v>
      </c>
    </row>
    <row r="1628" spans="1:6" x14ac:dyDescent="0.25">
      <c r="A1628" t="s">
        <v>4482</v>
      </c>
      <c r="B1628" t="s">
        <v>4483</v>
      </c>
      <c r="C1628" t="s">
        <v>1953</v>
      </c>
      <c r="D1628" t="s">
        <v>1954</v>
      </c>
      <c r="F1628" s="2">
        <v>656.83</v>
      </c>
    </row>
    <row r="1629" spans="1:6" x14ac:dyDescent="0.25">
      <c r="A1629" t="s">
        <v>4484</v>
      </c>
      <c r="B1629" t="s">
        <v>4485</v>
      </c>
      <c r="C1629" t="s">
        <v>1953</v>
      </c>
      <c r="D1629" t="s">
        <v>1954</v>
      </c>
      <c r="F1629" s="2">
        <v>354.47</v>
      </c>
    </row>
    <row r="1630" spans="1:6" x14ac:dyDescent="0.25">
      <c r="A1630" t="s">
        <v>4486</v>
      </c>
      <c r="B1630" t="s">
        <v>4487</v>
      </c>
      <c r="C1630" t="s">
        <v>1953</v>
      </c>
      <c r="D1630" t="s">
        <v>1954</v>
      </c>
      <c r="F1630" s="2">
        <v>637.76</v>
      </c>
    </row>
    <row r="1631" spans="1:6" x14ac:dyDescent="0.25">
      <c r="A1631" t="s">
        <v>4488</v>
      </c>
      <c r="B1631" t="s">
        <v>4489</v>
      </c>
      <c r="C1631" t="s">
        <v>1953</v>
      </c>
      <c r="D1631" t="s">
        <v>1954</v>
      </c>
      <c r="F1631" s="2">
        <v>656.83</v>
      </c>
    </row>
    <row r="1632" spans="1:6" x14ac:dyDescent="0.25">
      <c r="A1632" t="s">
        <v>4490</v>
      </c>
      <c r="B1632" t="s">
        <v>4491</v>
      </c>
      <c r="C1632" t="s">
        <v>1953</v>
      </c>
      <c r="D1632" t="s">
        <v>1954</v>
      </c>
      <c r="F1632" s="2">
        <v>1223.44</v>
      </c>
    </row>
    <row r="1633" spans="1:6" x14ac:dyDescent="0.25">
      <c r="A1633" t="s">
        <v>4492</v>
      </c>
      <c r="B1633" t="s">
        <v>4493</v>
      </c>
      <c r="C1633" t="s">
        <v>1953</v>
      </c>
      <c r="D1633" t="s">
        <v>1954</v>
      </c>
      <c r="F1633" s="2">
        <v>354.47</v>
      </c>
    </row>
    <row r="1634" spans="1:6" x14ac:dyDescent="0.25">
      <c r="A1634" t="s">
        <v>4494</v>
      </c>
      <c r="B1634" t="s">
        <v>4495</v>
      </c>
      <c r="C1634" t="s">
        <v>1953</v>
      </c>
      <c r="D1634" t="s">
        <v>1954</v>
      </c>
      <c r="F1634" s="2">
        <v>637.76</v>
      </c>
    </row>
    <row r="1635" spans="1:6" x14ac:dyDescent="0.25">
      <c r="A1635" t="s">
        <v>4496</v>
      </c>
      <c r="B1635" t="s">
        <v>4497</v>
      </c>
      <c r="C1635" t="s">
        <v>1953</v>
      </c>
      <c r="D1635" t="s">
        <v>1954</v>
      </c>
      <c r="F1635" s="2">
        <v>656.83</v>
      </c>
    </row>
    <row r="1636" spans="1:6" x14ac:dyDescent="0.25">
      <c r="A1636" t="s">
        <v>4498</v>
      </c>
      <c r="B1636" t="s">
        <v>4499</v>
      </c>
      <c r="C1636" t="s">
        <v>1953</v>
      </c>
      <c r="D1636" t="s">
        <v>1954</v>
      </c>
      <c r="F1636" s="2">
        <v>1223.44</v>
      </c>
    </row>
    <row r="1637" spans="1:6" x14ac:dyDescent="0.25">
      <c r="A1637" t="s">
        <v>4500</v>
      </c>
      <c r="B1637" t="s">
        <v>4501</v>
      </c>
      <c r="C1637" t="s">
        <v>1953</v>
      </c>
      <c r="D1637" t="s">
        <v>1954</v>
      </c>
      <c r="F1637" s="2">
        <v>363.56</v>
      </c>
    </row>
    <row r="1638" spans="1:6" x14ac:dyDescent="0.25">
      <c r="A1638" t="s">
        <v>4502</v>
      </c>
      <c r="B1638" t="s">
        <v>4503</v>
      </c>
      <c r="C1638" t="s">
        <v>1953</v>
      </c>
      <c r="D1638" t="s">
        <v>1954</v>
      </c>
      <c r="F1638" s="2">
        <v>338.58</v>
      </c>
    </row>
    <row r="1639" spans="1:6" x14ac:dyDescent="0.25">
      <c r="A1639" t="s">
        <v>4504</v>
      </c>
      <c r="B1639" t="s">
        <v>4505</v>
      </c>
      <c r="C1639" t="s">
        <v>1953</v>
      </c>
      <c r="D1639" t="s">
        <v>1954</v>
      </c>
      <c r="F1639" s="2">
        <v>625.05999999999995</v>
      </c>
    </row>
    <row r="1640" spans="1:6" x14ac:dyDescent="0.25">
      <c r="A1640" t="s">
        <v>4506</v>
      </c>
      <c r="B1640" t="s">
        <v>4507</v>
      </c>
      <c r="C1640" t="s">
        <v>1953</v>
      </c>
      <c r="D1640" t="s">
        <v>1954</v>
      </c>
      <c r="F1640" s="2">
        <v>363.56</v>
      </c>
    </row>
    <row r="1641" spans="1:6" x14ac:dyDescent="0.25">
      <c r="A1641" t="s">
        <v>4508</v>
      </c>
      <c r="B1641" t="s">
        <v>4509</v>
      </c>
      <c r="C1641" t="s">
        <v>1953</v>
      </c>
      <c r="D1641" t="s">
        <v>1954</v>
      </c>
      <c r="F1641" s="2">
        <v>363.56</v>
      </c>
    </row>
    <row r="1642" spans="1:6" x14ac:dyDescent="0.25">
      <c r="A1642" t="s">
        <v>4510</v>
      </c>
      <c r="B1642" t="s">
        <v>4511</v>
      </c>
      <c r="C1642" t="s">
        <v>1953</v>
      </c>
      <c r="D1642" t="s">
        <v>1954</v>
      </c>
      <c r="F1642" s="2">
        <v>363.56</v>
      </c>
    </row>
    <row r="1643" spans="1:6" x14ac:dyDescent="0.25">
      <c r="A1643" t="s">
        <v>4512</v>
      </c>
      <c r="B1643" t="s">
        <v>4513</v>
      </c>
      <c r="C1643" t="s">
        <v>1953</v>
      </c>
      <c r="D1643" t="s">
        <v>1954</v>
      </c>
      <c r="F1643" s="2">
        <v>338.58</v>
      </c>
    </row>
    <row r="1644" spans="1:6" x14ac:dyDescent="0.25">
      <c r="A1644" t="s">
        <v>4514</v>
      </c>
      <c r="B1644" t="s">
        <v>4515</v>
      </c>
      <c r="C1644" t="s">
        <v>1953</v>
      </c>
      <c r="D1644" t="s">
        <v>1954</v>
      </c>
      <c r="F1644" s="2">
        <v>592.38</v>
      </c>
    </row>
    <row r="1645" spans="1:6" x14ac:dyDescent="0.25">
      <c r="A1645" t="s">
        <v>4516</v>
      </c>
      <c r="B1645" t="s">
        <v>4517</v>
      </c>
      <c r="C1645" t="s">
        <v>1953</v>
      </c>
      <c r="D1645" t="s">
        <v>1954</v>
      </c>
      <c r="F1645" s="2">
        <v>637.76</v>
      </c>
    </row>
    <row r="1646" spans="1:6" x14ac:dyDescent="0.25">
      <c r="A1646" t="s">
        <v>4518</v>
      </c>
      <c r="B1646" t="s">
        <v>4519</v>
      </c>
      <c r="C1646" t="s">
        <v>1953</v>
      </c>
      <c r="D1646" t="s">
        <v>1954</v>
      </c>
      <c r="F1646" s="2">
        <v>363.56</v>
      </c>
    </row>
    <row r="1647" spans="1:6" x14ac:dyDescent="0.25">
      <c r="A1647" t="s">
        <v>4520</v>
      </c>
      <c r="B1647" t="s">
        <v>4521</v>
      </c>
      <c r="C1647" t="s">
        <v>1953</v>
      </c>
      <c r="D1647" t="s">
        <v>1954</v>
      </c>
      <c r="F1647" s="2">
        <v>637.76</v>
      </c>
    </row>
    <row r="1648" spans="1:6" x14ac:dyDescent="0.25">
      <c r="A1648" t="s">
        <v>4522</v>
      </c>
      <c r="B1648" t="s">
        <v>4523</v>
      </c>
      <c r="C1648" t="s">
        <v>1953</v>
      </c>
      <c r="D1648" t="s">
        <v>1954</v>
      </c>
      <c r="F1648" s="2">
        <v>637.76</v>
      </c>
    </row>
    <row r="1649" spans="1:6" x14ac:dyDescent="0.25">
      <c r="A1649" t="s">
        <v>4524</v>
      </c>
      <c r="B1649" t="s">
        <v>4525</v>
      </c>
      <c r="C1649" t="s">
        <v>1953</v>
      </c>
      <c r="D1649" t="s">
        <v>1954</v>
      </c>
      <c r="F1649" s="2">
        <v>338.58</v>
      </c>
    </row>
    <row r="1650" spans="1:6" x14ac:dyDescent="0.25">
      <c r="A1650" t="s">
        <v>4526</v>
      </c>
      <c r="B1650" t="s">
        <v>4527</v>
      </c>
      <c r="C1650" t="s">
        <v>1953</v>
      </c>
      <c r="D1650" t="s">
        <v>1954</v>
      </c>
      <c r="F1650" s="2">
        <v>1010.95</v>
      </c>
    </row>
    <row r="1651" spans="1:6" x14ac:dyDescent="0.25">
      <c r="A1651" t="s">
        <v>4528</v>
      </c>
      <c r="B1651" t="s">
        <v>4529</v>
      </c>
      <c r="C1651" t="s">
        <v>1953</v>
      </c>
      <c r="D1651" t="s">
        <v>1954</v>
      </c>
      <c r="F1651" s="2">
        <v>3613.12</v>
      </c>
    </row>
    <row r="1652" spans="1:6" x14ac:dyDescent="0.25">
      <c r="A1652" t="s">
        <v>4530</v>
      </c>
      <c r="B1652" t="s">
        <v>4531</v>
      </c>
      <c r="C1652" t="s">
        <v>1953</v>
      </c>
      <c r="D1652" t="s">
        <v>1954</v>
      </c>
      <c r="E1652" t="s">
        <v>1013</v>
      </c>
      <c r="F1652" s="2">
        <v>108.12</v>
      </c>
    </row>
    <row r="1653" spans="1:6" x14ac:dyDescent="0.25">
      <c r="A1653" t="s">
        <v>4532</v>
      </c>
      <c r="B1653" t="s">
        <v>4533</v>
      </c>
      <c r="C1653" t="s">
        <v>1953</v>
      </c>
      <c r="D1653" t="s">
        <v>1954</v>
      </c>
      <c r="E1653" t="s">
        <v>1013</v>
      </c>
      <c r="F1653" s="2">
        <v>108.12</v>
      </c>
    </row>
    <row r="1654" spans="1:6" x14ac:dyDescent="0.25">
      <c r="A1654" t="s">
        <v>4534</v>
      </c>
      <c r="B1654" t="s">
        <v>4535</v>
      </c>
      <c r="C1654" t="s">
        <v>1953</v>
      </c>
      <c r="D1654" t="s">
        <v>1954</v>
      </c>
      <c r="E1654" t="s">
        <v>1013</v>
      </c>
      <c r="F1654" s="2">
        <v>108.12</v>
      </c>
    </row>
    <row r="1655" spans="1:6" x14ac:dyDescent="0.25">
      <c r="A1655" t="s">
        <v>4536</v>
      </c>
      <c r="B1655" t="s">
        <v>4537</v>
      </c>
      <c r="C1655" t="s">
        <v>1953</v>
      </c>
      <c r="D1655" t="s">
        <v>1940</v>
      </c>
      <c r="F1655" s="2">
        <v>320.58999999999997</v>
      </c>
    </row>
    <row r="1656" spans="1:6" x14ac:dyDescent="0.25">
      <c r="A1656" t="s">
        <v>4538</v>
      </c>
      <c r="B1656" t="s">
        <v>4539</v>
      </c>
      <c r="C1656" t="s">
        <v>1953</v>
      </c>
      <c r="D1656" t="s">
        <v>1954</v>
      </c>
      <c r="E1656" t="s">
        <v>169</v>
      </c>
      <c r="F1656" s="2">
        <v>167.32</v>
      </c>
    </row>
    <row r="1657" spans="1:6" x14ac:dyDescent="0.25">
      <c r="A1657" t="s">
        <v>4540</v>
      </c>
      <c r="B1657" t="s">
        <v>4541</v>
      </c>
      <c r="C1657" t="s">
        <v>1953</v>
      </c>
      <c r="D1657" t="s">
        <v>1954</v>
      </c>
      <c r="F1657" s="2">
        <v>67.34</v>
      </c>
    </row>
    <row r="1658" spans="1:6" x14ac:dyDescent="0.25">
      <c r="A1658" t="s">
        <v>4542</v>
      </c>
      <c r="B1658" t="s">
        <v>4543</v>
      </c>
      <c r="C1658" t="s">
        <v>1953</v>
      </c>
      <c r="D1658" t="s">
        <v>1954</v>
      </c>
      <c r="E1658" t="s">
        <v>2022</v>
      </c>
      <c r="F1658" s="2">
        <v>209.29</v>
      </c>
    </row>
    <row r="1659" spans="1:6" x14ac:dyDescent="0.25">
      <c r="A1659" t="s">
        <v>4544</v>
      </c>
      <c r="B1659" t="s">
        <v>4545</v>
      </c>
      <c r="C1659" t="s">
        <v>1953</v>
      </c>
      <c r="D1659" t="s">
        <v>1954</v>
      </c>
      <c r="E1659" t="s">
        <v>708</v>
      </c>
      <c r="F1659" s="2">
        <v>134.66999999999999</v>
      </c>
    </row>
    <row r="1660" spans="1:6" x14ac:dyDescent="0.25">
      <c r="A1660" t="s">
        <v>4546</v>
      </c>
      <c r="B1660" t="s">
        <v>4547</v>
      </c>
      <c r="C1660" t="s">
        <v>1953</v>
      </c>
      <c r="D1660" t="s">
        <v>1954</v>
      </c>
      <c r="F1660" s="2">
        <v>684.43</v>
      </c>
    </row>
    <row r="1661" spans="1:6" x14ac:dyDescent="0.25">
      <c r="A1661" t="s">
        <v>4548</v>
      </c>
      <c r="B1661" t="s">
        <v>4549</v>
      </c>
      <c r="C1661" t="s">
        <v>1953</v>
      </c>
      <c r="D1661" t="s">
        <v>1954</v>
      </c>
      <c r="E1661" t="s">
        <v>131</v>
      </c>
      <c r="F1661" s="2">
        <v>86.81</v>
      </c>
    </row>
    <row r="1662" spans="1:6" x14ac:dyDescent="0.25">
      <c r="A1662" t="s">
        <v>4550</v>
      </c>
      <c r="B1662" t="s">
        <v>4551</v>
      </c>
      <c r="C1662" t="s">
        <v>1953</v>
      </c>
      <c r="D1662" t="s">
        <v>1954</v>
      </c>
      <c r="E1662" t="s">
        <v>131</v>
      </c>
      <c r="F1662" s="2">
        <v>109.76</v>
      </c>
    </row>
    <row r="1663" spans="1:6" x14ac:dyDescent="0.25">
      <c r="A1663" t="s">
        <v>4552</v>
      </c>
      <c r="B1663" t="s">
        <v>4553</v>
      </c>
      <c r="C1663" t="s">
        <v>1953</v>
      </c>
      <c r="D1663" t="s">
        <v>1954</v>
      </c>
      <c r="E1663" t="s">
        <v>131</v>
      </c>
      <c r="F1663" s="2">
        <v>128.18</v>
      </c>
    </row>
    <row r="1664" spans="1:6" x14ac:dyDescent="0.25">
      <c r="A1664" t="s">
        <v>4554</v>
      </c>
      <c r="B1664" t="s">
        <v>4555</v>
      </c>
      <c r="C1664" t="s">
        <v>1953</v>
      </c>
      <c r="D1664" t="s">
        <v>1940</v>
      </c>
      <c r="F1664" s="2">
        <v>153.77000000000001</v>
      </c>
    </row>
    <row r="1665" spans="1:6" x14ac:dyDescent="0.25">
      <c r="A1665" t="s">
        <v>4556</v>
      </c>
      <c r="B1665" t="s">
        <v>4557</v>
      </c>
      <c r="C1665" t="s">
        <v>1953</v>
      </c>
      <c r="D1665" t="s">
        <v>1954</v>
      </c>
      <c r="E1665" t="s">
        <v>1129</v>
      </c>
      <c r="F1665" s="2">
        <v>5.94</v>
      </c>
    </row>
    <row r="1666" spans="1:6" x14ac:dyDescent="0.25">
      <c r="A1666" t="s">
        <v>4558</v>
      </c>
      <c r="B1666" t="s">
        <v>4559</v>
      </c>
      <c r="C1666" t="s">
        <v>1953</v>
      </c>
      <c r="D1666" t="s">
        <v>1954</v>
      </c>
      <c r="F1666" s="2">
        <v>145008</v>
      </c>
    </row>
    <row r="1667" spans="1:6" x14ac:dyDescent="0.25">
      <c r="A1667" t="s">
        <v>1165</v>
      </c>
      <c r="B1667" t="s">
        <v>4560</v>
      </c>
      <c r="C1667" t="s">
        <v>1953</v>
      </c>
      <c r="D1667" t="s">
        <v>1954</v>
      </c>
      <c r="E1667" t="s">
        <v>1129</v>
      </c>
      <c r="F1667" s="2">
        <v>5.94</v>
      </c>
    </row>
    <row r="1668" spans="1:6" x14ac:dyDescent="0.25">
      <c r="A1668" t="s">
        <v>4561</v>
      </c>
      <c r="B1668" t="s">
        <v>4562</v>
      </c>
      <c r="C1668" t="s">
        <v>1953</v>
      </c>
      <c r="D1668" t="s">
        <v>1940</v>
      </c>
      <c r="F1668" s="2">
        <v>19.28</v>
      </c>
    </row>
    <row r="1669" spans="1:6" x14ac:dyDescent="0.25">
      <c r="A1669" t="s">
        <v>4563</v>
      </c>
      <c r="B1669" t="s">
        <v>4564</v>
      </c>
      <c r="C1669" t="s">
        <v>1953</v>
      </c>
      <c r="D1669" t="s">
        <v>1940</v>
      </c>
      <c r="F1669" s="2">
        <v>32.32</v>
      </c>
    </row>
    <row r="1670" spans="1:6" x14ac:dyDescent="0.25">
      <c r="A1670" t="s">
        <v>4565</v>
      </c>
      <c r="B1670" t="s">
        <v>4566</v>
      </c>
      <c r="C1670" t="s">
        <v>1953</v>
      </c>
      <c r="D1670" t="s">
        <v>1940</v>
      </c>
      <c r="F1670" s="2">
        <v>19.28</v>
      </c>
    </row>
    <row r="1671" spans="1:6" x14ac:dyDescent="0.25">
      <c r="A1671" t="s">
        <v>4567</v>
      </c>
      <c r="B1671" t="s">
        <v>4568</v>
      </c>
      <c r="C1671" t="s">
        <v>1953</v>
      </c>
      <c r="D1671" t="s">
        <v>1940</v>
      </c>
      <c r="F1671" s="2">
        <v>15.48</v>
      </c>
    </row>
    <row r="1672" spans="1:6" x14ac:dyDescent="0.25">
      <c r="A1672" t="s">
        <v>4569</v>
      </c>
      <c r="B1672" t="s">
        <v>4570</v>
      </c>
      <c r="C1672" t="s">
        <v>1953</v>
      </c>
      <c r="D1672" t="s">
        <v>1940</v>
      </c>
      <c r="F1672" s="2">
        <v>12.15</v>
      </c>
    </row>
    <row r="1673" spans="1:6" x14ac:dyDescent="0.25">
      <c r="A1673" t="s">
        <v>4571</v>
      </c>
      <c r="B1673" t="s">
        <v>4572</v>
      </c>
      <c r="C1673" t="s">
        <v>1953</v>
      </c>
      <c r="D1673" t="s">
        <v>1940</v>
      </c>
      <c r="F1673" s="2">
        <v>31.42</v>
      </c>
    </row>
    <row r="1674" spans="1:6" x14ac:dyDescent="0.25">
      <c r="A1674" t="s">
        <v>4573</v>
      </c>
      <c r="B1674" t="s">
        <v>4574</v>
      </c>
      <c r="C1674" t="s">
        <v>1953</v>
      </c>
      <c r="D1674" t="s">
        <v>1940</v>
      </c>
      <c r="F1674" s="2">
        <v>1.92</v>
      </c>
    </row>
    <row r="1675" spans="1:6" x14ac:dyDescent="0.25">
      <c r="A1675" t="s">
        <v>4575</v>
      </c>
      <c r="B1675" t="s">
        <v>4576</v>
      </c>
      <c r="C1675" t="s">
        <v>1953</v>
      </c>
      <c r="D1675" t="s">
        <v>1940</v>
      </c>
      <c r="F1675" s="2">
        <v>184.54</v>
      </c>
    </row>
    <row r="1676" spans="1:6" x14ac:dyDescent="0.25">
      <c r="A1676" t="s">
        <v>4577</v>
      </c>
      <c r="B1676" t="s">
        <v>4578</v>
      </c>
      <c r="C1676" t="s">
        <v>1953</v>
      </c>
      <c r="D1676" t="s">
        <v>1954</v>
      </c>
      <c r="F1676" s="2">
        <v>241.59</v>
      </c>
    </row>
    <row r="1677" spans="1:6" x14ac:dyDescent="0.25">
      <c r="A1677" t="s">
        <v>4579</v>
      </c>
      <c r="B1677" t="s">
        <v>4580</v>
      </c>
      <c r="C1677" t="s">
        <v>1953</v>
      </c>
      <c r="D1677" t="s">
        <v>1940</v>
      </c>
      <c r="F1677" s="2">
        <v>623.38</v>
      </c>
    </row>
    <row r="1678" spans="1:6" x14ac:dyDescent="0.25">
      <c r="A1678" t="s">
        <v>4581</v>
      </c>
      <c r="B1678" t="s">
        <v>4582</v>
      </c>
      <c r="C1678" t="s">
        <v>1953</v>
      </c>
      <c r="D1678" t="s">
        <v>1940</v>
      </c>
      <c r="F1678" s="2">
        <v>92.12</v>
      </c>
    </row>
    <row r="1679" spans="1:6" x14ac:dyDescent="0.25">
      <c r="A1679" t="s">
        <v>4583</v>
      </c>
      <c r="B1679" t="s">
        <v>4584</v>
      </c>
      <c r="C1679" t="s">
        <v>1953</v>
      </c>
      <c r="D1679" t="s">
        <v>1940</v>
      </c>
      <c r="F1679" s="2">
        <v>691.63</v>
      </c>
    </row>
    <row r="1680" spans="1:6" x14ac:dyDescent="0.25">
      <c r="A1680" t="s">
        <v>4585</v>
      </c>
      <c r="B1680" t="s">
        <v>4586</v>
      </c>
      <c r="C1680" t="s">
        <v>1953</v>
      </c>
      <c r="D1680" t="s">
        <v>1940</v>
      </c>
      <c r="F1680" s="2">
        <v>92.12</v>
      </c>
    </row>
    <row r="1681" spans="1:6" x14ac:dyDescent="0.25">
      <c r="A1681" t="s">
        <v>4587</v>
      </c>
      <c r="B1681" t="s">
        <v>4588</v>
      </c>
      <c r="C1681" t="s">
        <v>1953</v>
      </c>
      <c r="D1681" t="s">
        <v>1940</v>
      </c>
      <c r="F1681" s="2">
        <v>114.4</v>
      </c>
    </row>
    <row r="1682" spans="1:6" x14ac:dyDescent="0.25">
      <c r="A1682" t="s">
        <v>4589</v>
      </c>
      <c r="B1682" t="s">
        <v>4590</v>
      </c>
      <c r="C1682" t="s">
        <v>1953</v>
      </c>
      <c r="D1682" t="s">
        <v>1940</v>
      </c>
      <c r="F1682" s="2">
        <v>114.4</v>
      </c>
    </row>
    <row r="1683" spans="1:6" x14ac:dyDescent="0.25">
      <c r="A1683" t="s">
        <v>4591</v>
      </c>
      <c r="B1683" t="s">
        <v>4592</v>
      </c>
      <c r="C1683" t="s">
        <v>1953</v>
      </c>
      <c r="D1683" t="s">
        <v>1940</v>
      </c>
      <c r="F1683" s="2">
        <v>188.69</v>
      </c>
    </row>
    <row r="1684" spans="1:6" x14ac:dyDescent="0.25">
      <c r="A1684" t="s">
        <v>4593</v>
      </c>
      <c r="B1684" t="s">
        <v>4594</v>
      </c>
      <c r="C1684" t="s">
        <v>1953</v>
      </c>
      <c r="D1684" t="s">
        <v>1940</v>
      </c>
      <c r="F1684" s="2">
        <v>881.06</v>
      </c>
    </row>
    <row r="1685" spans="1:6" x14ac:dyDescent="0.25">
      <c r="A1685" t="s">
        <v>4595</v>
      </c>
      <c r="B1685" t="s">
        <v>4596</v>
      </c>
      <c r="C1685" t="s">
        <v>1953</v>
      </c>
      <c r="D1685" t="s">
        <v>1954</v>
      </c>
      <c r="E1685" t="s">
        <v>3370</v>
      </c>
      <c r="F1685" s="2">
        <v>93.28</v>
      </c>
    </row>
    <row r="1686" spans="1:6" x14ac:dyDescent="0.25">
      <c r="A1686" t="s">
        <v>4597</v>
      </c>
      <c r="B1686" t="s">
        <v>4598</v>
      </c>
      <c r="C1686" t="s">
        <v>1953</v>
      </c>
      <c r="D1686" t="s">
        <v>1940</v>
      </c>
      <c r="E1686" t="s">
        <v>2022</v>
      </c>
      <c r="F1686" s="2">
        <v>100.22</v>
      </c>
    </row>
    <row r="1687" spans="1:6" x14ac:dyDescent="0.25">
      <c r="A1687" t="s">
        <v>4599</v>
      </c>
      <c r="B1687" t="s">
        <v>4600</v>
      </c>
      <c r="C1687" t="s">
        <v>1953</v>
      </c>
      <c r="D1687" t="s">
        <v>1940</v>
      </c>
      <c r="F1687" s="2">
        <v>237.72</v>
      </c>
    </row>
    <row r="1688" spans="1:6" x14ac:dyDescent="0.25">
      <c r="A1688" t="s">
        <v>4601</v>
      </c>
      <c r="B1688" t="s">
        <v>4602</v>
      </c>
      <c r="C1688" t="s">
        <v>1953</v>
      </c>
      <c r="D1688" t="s">
        <v>1940</v>
      </c>
      <c r="F1688" s="2">
        <v>17.489999999999998</v>
      </c>
    </row>
    <row r="1689" spans="1:6" x14ac:dyDescent="0.25">
      <c r="A1689" t="s">
        <v>4603</v>
      </c>
      <c r="B1689" t="s">
        <v>4604</v>
      </c>
      <c r="C1689" t="s">
        <v>1953</v>
      </c>
      <c r="D1689" t="s">
        <v>1940</v>
      </c>
      <c r="F1689" s="2">
        <v>16.77</v>
      </c>
    </row>
    <row r="1690" spans="1:6" x14ac:dyDescent="0.25">
      <c r="A1690" t="s">
        <v>4605</v>
      </c>
      <c r="B1690" t="s">
        <v>4606</v>
      </c>
      <c r="C1690" t="s">
        <v>1953</v>
      </c>
      <c r="D1690" t="s">
        <v>1940</v>
      </c>
      <c r="F1690" s="2">
        <v>21.39</v>
      </c>
    </row>
    <row r="1691" spans="1:6" x14ac:dyDescent="0.25">
      <c r="A1691" t="s">
        <v>4607</v>
      </c>
      <c r="B1691" t="s">
        <v>4608</v>
      </c>
      <c r="C1691" t="s">
        <v>1953</v>
      </c>
      <c r="D1691" t="s">
        <v>1940</v>
      </c>
      <c r="F1691" s="2">
        <v>160.94999999999999</v>
      </c>
    </row>
    <row r="1692" spans="1:6" x14ac:dyDescent="0.25">
      <c r="A1692" t="s">
        <v>1265</v>
      </c>
      <c r="B1692" t="s">
        <v>4609</v>
      </c>
      <c r="C1692" t="s">
        <v>1953</v>
      </c>
      <c r="D1692" t="s">
        <v>1954</v>
      </c>
      <c r="E1692" t="s">
        <v>711</v>
      </c>
      <c r="F1692" s="2">
        <v>5.92</v>
      </c>
    </row>
    <row r="1693" spans="1:6" x14ac:dyDescent="0.25">
      <c r="A1693" t="s">
        <v>4610</v>
      </c>
      <c r="B1693" t="s">
        <v>4611</v>
      </c>
      <c r="C1693" t="s">
        <v>1953</v>
      </c>
      <c r="D1693" t="s">
        <v>1954</v>
      </c>
      <c r="E1693" t="s">
        <v>493</v>
      </c>
      <c r="F1693" s="2">
        <v>5.94</v>
      </c>
    </row>
    <row r="1694" spans="1:6" x14ac:dyDescent="0.25">
      <c r="A1694" t="s">
        <v>4612</v>
      </c>
      <c r="B1694" t="s">
        <v>4613</v>
      </c>
      <c r="C1694" t="s">
        <v>1953</v>
      </c>
      <c r="D1694" t="s">
        <v>1954</v>
      </c>
      <c r="E1694" t="s">
        <v>493</v>
      </c>
      <c r="F1694" s="2">
        <v>5.94</v>
      </c>
    </row>
    <row r="1695" spans="1:6" x14ac:dyDescent="0.25">
      <c r="A1695" t="s">
        <v>4614</v>
      </c>
      <c r="B1695" t="s">
        <v>4615</v>
      </c>
      <c r="C1695" t="s">
        <v>1953</v>
      </c>
      <c r="D1695" t="s">
        <v>1954</v>
      </c>
      <c r="E1695" t="s">
        <v>1129</v>
      </c>
      <c r="F1695" s="2">
        <v>5.94</v>
      </c>
    </row>
    <row r="1696" spans="1:6" x14ac:dyDescent="0.25">
      <c r="A1696" t="s">
        <v>1167</v>
      </c>
      <c r="B1696" t="s">
        <v>4616</v>
      </c>
      <c r="C1696" t="s">
        <v>1953</v>
      </c>
      <c r="D1696" t="s">
        <v>1954</v>
      </c>
      <c r="E1696" t="s">
        <v>1129</v>
      </c>
      <c r="F1696" s="2">
        <v>5.94</v>
      </c>
    </row>
    <row r="1697" spans="1:6" x14ac:dyDescent="0.25">
      <c r="A1697" t="s">
        <v>4617</v>
      </c>
      <c r="B1697" t="s">
        <v>4618</v>
      </c>
      <c r="C1697" t="s">
        <v>1953</v>
      </c>
      <c r="D1697" t="s">
        <v>1954</v>
      </c>
      <c r="E1697" t="s">
        <v>493</v>
      </c>
      <c r="F1697" s="2">
        <v>5.94</v>
      </c>
    </row>
    <row r="1698" spans="1:6" x14ac:dyDescent="0.25">
      <c r="A1698" t="s">
        <v>4619</v>
      </c>
      <c r="B1698" t="s">
        <v>4620</v>
      </c>
      <c r="C1698" t="s">
        <v>1953</v>
      </c>
      <c r="D1698" t="s">
        <v>1954</v>
      </c>
      <c r="E1698" t="s">
        <v>493</v>
      </c>
      <c r="F1698" s="2">
        <v>5.94</v>
      </c>
    </row>
    <row r="1699" spans="1:6" x14ac:dyDescent="0.25">
      <c r="A1699" t="s">
        <v>4621</v>
      </c>
      <c r="B1699" t="s">
        <v>4622</v>
      </c>
      <c r="C1699" t="s">
        <v>1953</v>
      </c>
      <c r="D1699" t="s">
        <v>1954</v>
      </c>
      <c r="E1699" t="s">
        <v>1129</v>
      </c>
      <c r="F1699" s="2">
        <v>5.94</v>
      </c>
    </row>
    <row r="1700" spans="1:6" x14ac:dyDescent="0.25">
      <c r="A1700" t="s">
        <v>4623</v>
      </c>
      <c r="B1700" t="s">
        <v>4624</v>
      </c>
      <c r="C1700" t="s">
        <v>1953</v>
      </c>
      <c r="D1700" t="s">
        <v>1940</v>
      </c>
      <c r="F1700" s="2">
        <v>78.22</v>
      </c>
    </row>
    <row r="1701" spans="1:6" x14ac:dyDescent="0.25">
      <c r="A1701" t="s">
        <v>4625</v>
      </c>
      <c r="B1701" t="s">
        <v>4626</v>
      </c>
      <c r="C1701" t="s">
        <v>1953</v>
      </c>
      <c r="D1701" t="s">
        <v>1940</v>
      </c>
      <c r="F1701" s="2">
        <v>78.22</v>
      </c>
    </row>
    <row r="1702" spans="1:6" x14ac:dyDescent="0.25">
      <c r="A1702" t="s">
        <v>4627</v>
      </c>
      <c r="B1702" t="s">
        <v>4628</v>
      </c>
      <c r="C1702" t="s">
        <v>1953</v>
      </c>
      <c r="D1702" t="s">
        <v>1940</v>
      </c>
      <c r="F1702" s="2">
        <v>78.22</v>
      </c>
    </row>
    <row r="1703" spans="1:6" x14ac:dyDescent="0.25">
      <c r="A1703" t="s">
        <v>4629</v>
      </c>
      <c r="B1703" t="s">
        <v>4630</v>
      </c>
      <c r="C1703" t="s">
        <v>1953</v>
      </c>
      <c r="D1703" t="s">
        <v>1940</v>
      </c>
      <c r="F1703" s="2">
        <v>78.22</v>
      </c>
    </row>
    <row r="1704" spans="1:6" x14ac:dyDescent="0.25">
      <c r="A1704" t="s">
        <v>4631</v>
      </c>
      <c r="B1704" t="s">
        <v>4632</v>
      </c>
      <c r="C1704" t="s">
        <v>1953</v>
      </c>
      <c r="D1704" t="s">
        <v>1954</v>
      </c>
      <c r="F1704" s="2">
        <v>14488.72</v>
      </c>
    </row>
    <row r="1705" spans="1:6" x14ac:dyDescent="0.25">
      <c r="A1705" t="s">
        <v>4633</v>
      </c>
      <c r="B1705" t="s">
        <v>4634</v>
      </c>
      <c r="C1705" t="s">
        <v>1953</v>
      </c>
      <c r="D1705" t="s">
        <v>1954</v>
      </c>
      <c r="F1705" s="2">
        <v>5214.4799999999996</v>
      </c>
    </row>
    <row r="1706" spans="1:6" x14ac:dyDescent="0.25">
      <c r="A1706" t="s">
        <v>4635</v>
      </c>
      <c r="B1706" t="s">
        <v>4636</v>
      </c>
      <c r="C1706" t="s">
        <v>1953</v>
      </c>
      <c r="D1706" t="s">
        <v>1954</v>
      </c>
      <c r="E1706" t="s">
        <v>3370</v>
      </c>
      <c r="F1706" s="2">
        <v>104.94</v>
      </c>
    </row>
    <row r="1707" spans="1:6" x14ac:dyDescent="0.25">
      <c r="A1707" t="s">
        <v>4637</v>
      </c>
      <c r="B1707" t="s">
        <v>4638</v>
      </c>
      <c r="C1707" t="s">
        <v>1953</v>
      </c>
      <c r="D1707" t="s">
        <v>1954</v>
      </c>
      <c r="E1707" t="s">
        <v>707</v>
      </c>
      <c r="F1707" s="2">
        <v>88.82</v>
      </c>
    </row>
    <row r="1708" spans="1:6" x14ac:dyDescent="0.25">
      <c r="A1708" t="s">
        <v>4639</v>
      </c>
      <c r="B1708" t="s">
        <v>4640</v>
      </c>
      <c r="C1708" t="s">
        <v>1953</v>
      </c>
      <c r="D1708" t="s">
        <v>1954</v>
      </c>
      <c r="E1708" t="s">
        <v>710</v>
      </c>
      <c r="F1708" s="2">
        <v>110.95</v>
      </c>
    </row>
    <row r="1709" spans="1:6" x14ac:dyDescent="0.25">
      <c r="A1709" t="s">
        <v>4641</v>
      </c>
      <c r="B1709" t="s">
        <v>4642</v>
      </c>
      <c r="C1709" t="s">
        <v>1953</v>
      </c>
      <c r="D1709" t="s">
        <v>1940</v>
      </c>
      <c r="F1709" s="2">
        <v>11.22</v>
      </c>
    </row>
    <row r="1710" spans="1:6" x14ac:dyDescent="0.25">
      <c r="A1710" t="s">
        <v>4643</v>
      </c>
      <c r="B1710" t="s">
        <v>4644</v>
      </c>
      <c r="C1710" t="s">
        <v>1953</v>
      </c>
      <c r="D1710" t="s">
        <v>1940</v>
      </c>
      <c r="F1710" s="2">
        <v>22.45</v>
      </c>
    </row>
    <row r="1711" spans="1:6" x14ac:dyDescent="0.25">
      <c r="A1711" t="s">
        <v>4645</v>
      </c>
      <c r="B1711" t="s">
        <v>4646</v>
      </c>
      <c r="C1711" t="s">
        <v>1953</v>
      </c>
      <c r="D1711" t="s">
        <v>1940</v>
      </c>
      <c r="F1711" s="2">
        <v>9.93</v>
      </c>
    </row>
    <row r="1712" spans="1:6" x14ac:dyDescent="0.25">
      <c r="A1712" t="s">
        <v>4647</v>
      </c>
      <c r="B1712" t="s">
        <v>4648</v>
      </c>
      <c r="C1712" t="s">
        <v>1953</v>
      </c>
      <c r="D1712" t="s">
        <v>1940</v>
      </c>
      <c r="F1712" s="2">
        <v>19.86</v>
      </c>
    </row>
    <row r="1713" spans="1:6" x14ac:dyDescent="0.25">
      <c r="A1713" t="s">
        <v>4649</v>
      </c>
      <c r="B1713" t="s">
        <v>4650</v>
      </c>
      <c r="C1713" t="s">
        <v>1953</v>
      </c>
      <c r="D1713" t="s">
        <v>1940</v>
      </c>
      <c r="F1713" s="2">
        <v>11.22</v>
      </c>
    </row>
    <row r="1714" spans="1:6" x14ac:dyDescent="0.25">
      <c r="A1714" t="s">
        <v>4651</v>
      </c>
      <c r="B1714" t="s">
        <v>4652</v>
      </c>
      <c r="C1714" t="s">
        <v>1953</v>
      </c>
      <c r="D1714" t="s">
        <v>1940</v>
      </c>
      <c r="F1714" s="2">
        <v>22.45</v>
      </c>
    </row>
    <row r="1715" spans="1:6" x14ac:dyDescent="0.25">
      <c r="A1715" t="s">
        <v>4653</v>
      </c>
      <c r="B1715" t="s">
        <v>4654</v>
      </c>
      <c r="C1715" t="s">
        <v>1953</v>
      </c>
      <c r="D1715" t="s">
        <v>1940</v>
      </c>
      <c r="F1715" s="2">
        <v>9.93</v>
      </c>
    </row>
    <row r="1716" spans="1:6" x14ac:dyDescent="0.25">
      <c r="A1716" t="s">
        <v>4655</v>
      </c>
      <c r="B1716" t="s">
        <v>4656</v>
      </c>
      <c r="C1716" t="s">
        <v>1953</v>
      </c>
      <c r="D1716" t="s">
        <v>1940</v>
      </c>
      <c r="F1716" s="2">
        <v>4.26</v>
      </c>
    </row>
    <row r="1717" spans="1:6" x14ac:dyDescent="0.25">
      <c r="A1717" t="s">
        <v>4657</v>
      </c>
      <c r="B1717" t="s">
        <v>4658</v>
      </c>
      <c r="C1717" t="s">
        <v>1953</v>
      </c>
      <c r="D1717" t="s">
        <v>1940</v>
      </c>
      <c r="F1717" s="2">
        <v>19.86</v>
      </c>
    </row>
    <row r="1718" spans="1:6" x14ac:dyDescent="0.25">
      <c r="A1718" t="s">
        <v>150</v>
      </c>
      <c r="B1718" t="s">
        <v>4659</v>
      </c>
      <c r="C1718" t="s">
        <v>1953</v>
      </c>
      <c r="D1718" t="s">
        <v>1954</v>
      </c>
      <c r="E1718" t="s">
        <v>2022</v>
      </c>
      <c r="F1718" s="2">
        <v>339.27</v>
      </c>
    </row>
    <row r="1719" spans="1:6" x14ac:dyDescent="0.25">
      <c r="A1719" t="s">
        <v>4660</v>
      </c>
      <c r="B1719" t="s">
        <v>4661</v>
      </c>
      <c r="C1719" t="s">
        <v>1953</v>
      </c>
      <c r="D1719" t="s">
        <v>1954</v>
      </c>
      <c r="E1719" t="s">
        <v>1129</v>
      </c>
      <c r="F1719" s="2">
        <v>5.94</v>
      </c>
    </row>
    <row r="1720" spans="1:6" x14ac:dyDescent="0.25">
      <c r="A1720" t="s">
        <v>4662</v>
      </c>
      <c r="B1720" t="s">
        <v>4663</v>
      </c>
      <c r="C1720" t="s">
        <v>1953</v>
      </c>
      <c r="D1720" t="s">
        <v>1940</v>
      </c>
      <c r="F1720" s="2">
        <v>340.29</v>
      </c>
    </row>
    <row r="1721" spans="1:6" x14ac:dyDescent="0.25">
      <c r="A1721" t="s">
        <v>4664</v>
      </c>
      <c r="B1721" t="s">
        <v>4665</v>
      </c>
      <c r="C1721" t="s">
        <v>1953</v>
      </c>
      <c r="D1721" t="s">
        <v>1940</v>
      </c>
      <c r="F1721" s="2">
        <v>211.62</v>
      </c>
    </row>
    <row r="1722" spans="1:6" x14ac:dyDescent="0.25">
      <c r="A1722" t="s">
        <v>4666</v>
      </c>
      <c r="B1722" t="s">
        <v>4667</v>
      </c>
      <c r="C1722" t="s">
        <v>1953</v>
      </c>
      <c r="D1722" t="s">
        <v>1940</v>
      </c>
      <c r="F1722" s="2">
        <v>141.43</v>
      </c>
    </row>
    <row r="1723" spans="1:6" x14ac:dyDescent="0.25">
      <c r="A1723" t="s">
        <v>4668</v>
      </c>
      <c r="B1723" t="s">
        <v>4669</v>
      </c>
      <c r="C1723" t="s">
        <v>1953</v>
      </c>
      <c r="D1723" t="s">
        <v>1940</v>
      </c>
      <c r="F1723" s="2">
        <v>115.43</v>
      </c>
    </row>
    <row r="1724" spans="1:6" x14ac:dyDescent="0.25">
      <c r="A1724" t="s">
        <v>4670</v>
      </c>
      <c r="B1724" t="s">
        <v>4671</v>
      </c>
      <c r="C1724" t="s">
        <v>1953</v>
      </c>
      <c r="D1724" t="s">
        <v>1940</v>
      </c>
      <c r="F1724" s="2">
        <v>32.07</v>
      </c>
    </row>
    <row r="1725" spans="1:6" x14ac:dyDescent="0.25">
      <c r="A1725" t="s">
        <v>4672</v>
      </c>
      <c r="B1725" t="s">
        <v>4673</v>
      </c>
      <c r="C1725" t="s">
        <v>1953</v>
      </c>
      <c r="D1725" t="s">
        <v>1940</v>
      </c>
      <c r="F1725" s="2">
        <v>32.07</v>
      </c>
    </row>
    <row r="1726" spans="1:6" x14ac:dyDescent="0.25">
      <c r="A1726" t="s">
        <v>4674</v>
      </c>
      <c r="B1726" t="s">
        <v>4675</v>
      </c>
      <c r="C1726" t="s">
        <v>1953</v>
      </c>
      <c r="D1726" t="s">
        <v>1940</v>
      </c>
      <c r="F1726" s="2">
        <v>32.07</v>
      </c>
    </row>
    <row r="1727" spans="1:6" x14ac:dyDescent="0.25">
      <c r="A1727" t="s">
        <v>4676</v>
      </c>
      <c r="B1727" t="s">
        <v>4677</v>
      </c>
      <c r="C1727" t="s">
        <v>1953</v>
      </c>
      <c r="D1727" t="s">
        <v>1940</v>
      </c>
      <c r="F1727" s="2">
        <v>32.07</v>
      </c>
    </row>
    <row r="1728" spans="1:6" x14ac:dyDescent="0.25">
      <c r="A1728" t="s">
        <v>4678</v>
      </c>
      <c r="B1728" t="s">
        <v>4679</v>
      </c>
      <c r="C1728" t="s">
        <v>1953</v>
      </c>
      <c r="D1728" t="s">
        <v>1940</v>
      </c>
      <c r="F1728" s="2">
        <v>38.47</v>
      </c>
    </row>
    <row r="1729" spans="1:6" x14ac:dyDescent="0.25">
      <c r="A1729" t="s">
        <v>4680</v>
      </c>
      <c r="B1729" t="s">
        <v>4681</v>
      </c>
      <c r="C1729" t="s">
        <v>1953</v>
      </c>
      <c r="D1729" t="s">
        <v>1940</v>
      </c>
      <c r="F1729" s="2">
        <v>57.7</v>
      </c>
    </row>
    <row r="1730" spans="1:6" x14ac:dyDescent="0.25">
      <c r="A1730" t="s">
        <v>4682</v>
      </c>
      <c r="B1730" t="s">
        <v>4683</v>
      </c>
      <c r="C1730" t="s">
        <v>1953</v>
      </c>
      <c r="D1730" t="s">
        <v>1940</v>
      </c>
      <c r="F1730" s="2">
        <v>51.3</v>
      </c>
    </row>
    <row r="1731" spans="1:6" x14ac:dyDescent="0.25">
      <c r="A1731" t="s">
        <v>4684</v>
      </c>
      <c r="B1731" t="s">
        <v>4685</v>
      </c>
      <c r="C1731" t="s">
        <v>1953</v>
      </c>
      <c r="D1731" t="s">
        <v>1940</v>
      </c>
      <c r="F1731" s="2">
        <v>51.3</v>
      </c>
    </row>
    <row r="1732" spans="1:6" x14ac:dyDescent="0.25">
      <c r="A1732" t="s">
        <v>4686</v>
      </c>
      <c r="B1732" t="s">
        <v>4687</v>
      </c>
      <c r="C1732" t="s">
        <v>1953</v>
      </c>
      <c r="D1732" t="s">
        <v>1940</v>
      </c>
      <c r="F1732" s="2">
        <v>51.3</v>
      </c>
    </row>
    <row r="1733" spans="1:6" x14ac:dyDescent="0.25">
      <c r="A1733" t="s">
        <v>4688</v>
      </c>
      <c r="B1733" t="s">
        <v>4689</v>
      </c>
      <c r="C1733" t="s">
        <v>1953</v>
      </c>
      <c r="D1733" t="s">
        <v>1940</v>
      </c>
      <c r="F1733" s="2">
        <v>215.46</v>
      </c>
    </row>
    <row r="1734" spans="1:6" x14ac:dyDescent="0.25">
      <c r="A1734" t="s">
        <v>4690</v>
      </c>
      <c r="B1734" t="s">
        <v>4691</v>
      </c>
      <c r="C1734" t="s">
        <v>1953</v>
      </c>
      <c r="D1734" t="s">
        <v>1940</v>
      </c>
      <c r="F1734" s="2">
        <v>427</v>
      </c>
    </row>
    <row r="1735" spans="1:6" x14ac:dyDescent="0.25">
      <c r="A1735" t="s">
        <v>4692</v>
      </c>
      <c r="B1735" t="s">
        <v>4693</v>
      </c>
      <c r="C1735" t="s">
        <v>1953</v>
      </c>
      <c r="D1735" t="s">
        <v>1954</v>
      </c>
      <c r="F1735" s="2">
        <v>124.15</v>
      </c>
    </row>
    <row r="1736" spans="1:6" x14ac:dyDescent="0.25">
      <c r="A1736" t="s">
        <v>4694</v>
      </c>
      <c r="B1736" t="s">
        <v>4695</v>
      </c>
      <c r="C1736" t="s">
        <v>1953</v>
      </c>
      <c r="D1736" t="s">
        <v>1940</v>
      </c>
      <c r="F1736" s="2">
        <v>4.5599999999999996</v>
      </c>
    </row>
    <row r="1737" spans="1:6" x14ac:dyDescent="0.25">
      <c r="A1737" t="s">
        <v>4696</v>
      </c>
      <c r="B1737" t="s">
        <v>4697</v>
      </c>
      <c r="C1737" t="s">
        <v>1953</v>
      </c>
      <c r="D1737" t="s">
        <v>1954</v>
      </c>
      <c r="E1737" t="s">
        <v>3370</v>
      </c>
      <c r="F1737" s="2">
        <v>93.28</v>
      </c>
    </row>
    <row r="1738" spans="1:6" x14ac:dyDescent="0.25">
      <c r="A1738" t="s">
        <v>4698</v>
      </c>
      <c r="B1738" t="s">
        <v>4699</v>
      </c>
      <c r="C1738" t="s">
        <v>1953</v>
      </c>
      <c r="D1738" t="s">
        <v>1954</v>
      </c>
      <c r="E1738" t="s">
        <v>710</v>
      </c>
      <c r="F1738" s="2">
        <v>167.78</v>
      </c>
    </row>
    <row r="1739" spans="1:6" x14ac:dyDescent="0.25">
      <c r="A1739" t="s">
        <v>4700</v>
      </c>
      <c r="B1739" t="s">
        <v>4701</v>
      </c>
      <c r="C1739" t="s">
        <v>1953</v>
      </c>
      <c r="D1739" t="s">
        <v>1954</v>
      </c>
      <c r="E1739" t="s">
        <v>908</v>
      </c>
      <c r="F1739" s="2">
        <v>7.85</v>
      </c>
    </row>
    <row r="1740" spans="1:6" x14ac:dyDescent="0.25">
      <c r="A1740" t="s">
        <v>4702</v>
      </c>
      <c r="B1740" t="s">
        <v>4703</v>
      </c>
      <c r="C1740" t="s">
        <v>1953</v>
      </c>
      <c r="D1740" t="s">
        <v>1954</v>
      </c>
      <c r="E1740" t="s">
        <v>707</v>
      </c>
      <c r="F1740" s="2">
        <v>167.78</v>
      </c>
    </row>
    <row r="1741" spans="1:6" x14ac:dyDescent="0.25">
      <c r="A1741" t="s">
        <v>4704</v>
      </c>
      <c r="B1741" t="s">
        <v>4705</v>
      </c>
      <c r="C1741" t="s">
        <v>1953</v>
      </c>
      <c r="D1741" t="s">
        <v>1954</v>
      </c>
      <c r="E1741" t="s">
        <v>493</v>
      </c>
      <c r="F1741" s="2">
        <v>5.94</v>
      </c>
    </row>
    <row r="1742" spans="1:6" x14ac:dyDescent="0.25">
      <c r="A1742" t="s">
        <v>4706</v>
      </c>
      <c r="B1742" t="s">
        <v>4707</v>
      </c>
      <c r="C1742" t="s">
        <v>1953</v>
      </c>
      <c r="D1742" t="s">
        <v>1954</v>
      </c>
      <c r="E1742" t="s">
        <v>493</v>
      </c>
      <c r="F1742" s="2">
        <v>5.94</v>
      </c>
    </row>
    <row r="1743" spans="1:6" x14ac:dyDescent="0.25">
      <c r="A1743" t="s">
        <v>4708</v>
      </c>
      <c r="B1743" t="s">
        <v>4709</v>
      </c>
      <c r="C1743" t="s">
        <v>1953</v>
      </c>
      <c r="D1743" t="s">
        <v>1954</v>
      </c>
      <c r="E1743" t="s">
        <v>493</v>
      </c>
      <c r="F1743" s="2">
        <v>5.94</v>
      </c>
    </row>
    <row r="1744" spans="1:6" x14ac:dyDescent="0.25">
      <c r="A1744" t="s">
        <v>4710</v>
      </c>
      <c r="B1744" t="s">
        <v>4711</v>
      </c>
      <c r="C1744" t="s">
        <v>1953</v>
      </c>
      <c r="D1744" t="s">
        <v>1954</v>
      </c>
      <c r="E1744" t="s">
        <v>1129</v>
      </c>
      <c r="F1744" s="2">
        <v>5.94</v>
      </c>
    </row>
    <row r="1745" spans="1:6" x14ac:dyDescent="0.25">
      <c r="A1745" t="s">
        <v>1169</v>
      </c>
      <c r="B1745" t="s">
        <v>4712</v>
      </c>
      <c r="C1745" t="s">
        <v>1953</v>
      </c>
      <c r="D1745" t="s">
        <v>1954</v>
      </c>
      <c r="E1745" t="s">
        <v>1129</v>
      </c>
      <c r="F1745" s="2">
        <v>5.94</v>
      </c>
    </row>
    <row r="1746" spans="1:6" x14ac:dyDescent="0.25">
      <c r="A1746" t="s">
        <v>1171</v>
      </c>
      <c r="B1746" t="s">
        <v>4713</v>
      </c>
      <c r="C1746" t="s">
        <v>1953</v>
      </c>
      <c r="D1746" t="s">
        <v>1940</v>
      </c>
      <c r="E1746" t="s">
        <v>1171</v>
      </c>
      <c r="F1746" s="2">
        <v>7.07</v>
      </c>
    </row>
    <row r="1747" spans="1:6" x14ac:dyDescent="0.25">
      <c r="A1747" t="s">
        <v>1172</v>
      </c>
      <c r="B1747" t="s">
        <v>4714</v>
      </c>
      <c r="C1747" t="s">
        <v>1953</v>
      </c>
      <c r="D1747" t="s">
        <v>1954</v>
      </c>
      <c r="E1747" t="s">
        <v>1171</v>
      </c>
      <c r="F1747" s="2">
        <v>7.07</v>
      </c>
    </row>
    <row r="1748" spans="1:6" x14ac:dyDescent="0.25">
      <c r="A1748" t="s">
        <v>1173</v>
      </c>
      <c r="B1748" t="s">
        <v>4715</v>
      </c>
      <c r="C1748" t="s">
        <v>1953</v>
      </c>
      <c r="D1748" t="s">
        <v>1954</v>
      </c>
      <c r="E1748" t="s">
        <v>1171</v>
      </c>
      <c r="F1748" s="2">
        <v>7.07</v>
      </c>
    </row>
    <row r="1749" spans="1:6" x14ac:dyDescent="0.25">
      <c r="A1749" t="s">
        <v>1174</v>
      </c>
      <c r="B1749" t="s">
        <v>4716</v>
      </c>
      <c r="C1749" t="s">
        <v>1953</v>
      </c>
      <c r="D1749" t="s">
        <v>1940</v>
      </c>
      <c r="E1749" t="s">
        <v>1174</v>
      </c>
      <c r="F1749" s="2">
        <v>7.07</v>
      </c>
    </row>
    <row r="1750" spans="1:6" x14ac:dyDescent="0.25">
      <c r="A1750" t="s">
        <v>4717</v>
      </c>
      <c r="B1750" t="s">
        <v>4718</v>
      </c>
      <c r="C1750" t="s">
        <v>1953</v>
      </c>
      <c r="D1750" t="s">
        <v>1954</v>
      </c>
      <c r="E1750" t="s">
        <v>711</v>
      </c>
      <c r="F1750" s="2">
        <v>5.92</v>
      </c>
    </row>
    <row r="1751" spans="1:6" x14ac:dyDescent="0.25">
      <c r="A1751" t="s">
        <v>4719</v>
      </c>
      <c r="B1751" t="s">
        <v>4720</v>
      </c>
      <c r="C1751" t="s">
        <v>1953</v>
      </c>
      <c r="D1751" t="s">
        <v>1954</v>
      </c>
      <c r="E1751" t="s">
        <v>711</v>
      </c>
      <c r="F1751" s="2">
        <v>5.92</v>
      </c>
    </row>
    <row r="1752" spans="1:6" x14ac:dyDescent="0.25">
      <c r="A1752" t="s">
        <v>4721</v>
      </c>
      <c r="B1752" t="s">
        <v>4722</v>
      </c>
      <c r="C1752" t="s">
        <v>1953</v>
      </c>
      <c r="D1752" t="s">
        <v>1954</v>
      </c>
      <c r="E1752" t="s">
        <v>711</v>
      </c>
      <c r="F1752" s="2">
        <v>5.92</v>
      </c>
    </row>
    <row r="1753" spans="1:6" x14ac:dyDescent="0.25">
      <c r="A1753" t="s">
        <v>4723</v>
      </c>
      <c r="B1753" t="s">
        <v>4724</v>
      </c>
      <c r="C1753" t="s">
        <v>1953</v>
      </c>
      <c r="D1753" t="s">
        <v>1954</v>
      </c>
      <c r="E1753" t="s">
        <v>711</v>
      </c>
      <c r="F1753" s="2">
        <v>5.92</v>
      </c>
    </row>
    <row r="1754" spans="1:6" x14ac:dyDescent="0.25">
      <c r="A1754" t="s">
        <v>4725</v>
      </c>
      <c r="B1754" t="s">
        <v>4726</v>
      </c>
      <c r="C1754" t="s">
        <v>1953</v>
      </c>
      <c r="D1754" t="s">
        <v>1954</v>
      </c>
      <c r="E1754" t="s">
        <v>711</v>
      </c>
      <c r="F1754" s="2">
        <v>5.92</v>
      </c>
    </row>
    <row r="1755" spans="1:6" x14ac:dyDescent="0.25">
      <c r="A1755" t="s">
        <v>1175</v>
      </c>
      <c r="B1755" t="s">
        <v>4727</v>
      </c>
      <c r="C1755" t="s">
        <v>1953</v>
      </c>
      <c r="D1755" t="s">
        <v>1954</v>
      </c>
      <c r="E1755" t="s">
        <v>1174</v>
      </c>
      <c r="F1755" s="2">
        <v>7.07</v>
      </c>
    </row>
    <row r="1756" spans="1:6" x14ac:dyDescent="0.25">
      <c r="A1756" t="s">
        <v>4728</v>
      </c>
      <c r="B1756" t="s">
        <v>4729</v>
      </c>
      <c r="C1756" t="s">
        <v>1953</v>
      </c>
      <c r="D1756" t="s">
        <v>1954</v>
      </c>
      <c r="E1756" t="s">
        <v>707</v>
      </c>
      <c r="F1756" s="2">
        <v>110.95</v>
      </c>
    </row>
    <row r="1757" spans="1:6" x14ac:dyDescent="0.25">
      <c r="A1757" t="s">
        <v>4730</v>
      </c>
      <c r="B1757" t="s">
        <v>4731</v>
      </c>
      <c r="C1757" t="s">
        <v>1953</v>
      </c>
      <c r="D1757" t="s">
        <v>1954</v>
      </c>
      <c r="F1757" s="2">
        <v>112.38</v>
      </c>
    </row>
    <row r="1758" spans="1:6" x14ac:dyDescent="0.25">
      <c r="A1758" t="s">
        <v>4732</v>
      </c>
      <c r="B1758" t="s">
        <v>4733</v>
      </c>
      <c r="C1758" t="s">
        <v>1953</v>
      </c>
      <c r="D1758" t="s">
        <v>1940</v>
      </c>
      <c r="F1758" s="2">
        <v>1532.16</v>
      </c>
    </row>
    <row r="1759" spans="1:6" x14ac:dyDescent="0.25">
      <c r="A1759" t="s">
        <v>4734</v>
      </c>
      <c r="B1759" t="s">
        <v>4735</v>
      </c>
      <c r="C1759" t="s">
        <v>1953</v>
      </c>
      <c r="D1759" t="s">
        <v>1940</v>
      </c>
      <c r="F1759" s="2">
        <v>182.51</v>
      </c>
    </row>
    <row r="1760" spans="1:6" x14ac:dyDescent="0.25">
      <c r="A1760" t="s">
        <v>1178</v>
      </c>
      <c r="B1760" t="s">
        <v>4736</v>
      </c>
      <c r="C1760" t="s">
        <v>1953</v>
      </c>
      <c r="D1760" t="s">
        <v>1954</v>
      </c>
      <c r="E1760" t="s">
        <v>1174</v>
      </c>
      <c r="F1760" s="2">
        <v>7.07</v>
      </c>
    </row>
    <row r="1761" spans="1:6" x14ac:dyDescent="0.25">
      <c r="A1761" t="s">
        <v>4737</v>
      </c>
      <c r="B1761" t="s">
        <v>4738</v>
      </c>
      <c r="C1761" t="s">
        <v>1953</v>
      </c>
      <c r="D1761" t="s">
        <v>1940</v>
      </c>
      <c r="F1761" s="2">
        <v>71.430000000000007</v>
      </c>
    </row>
    <row r="1762" spans="1:6" x14ac:dyDescent="0.25">
      <c r="A1762" t="s">
        <v>4739</v>
      </c>
      <c r="B1762" t="s">
        <v>4740</v>
      </c>
      <c r="C1762" t="s">
        <v>1953</v>
      </c>
      <c r="D1762" t="s">
        <v>1940</v>
      </c>
      <c r="F1762" s="2">
        <v>82.86</v>
      </c>
    </row>
    <row r="1763" spans="1:6" x14ac:dyDescent="0.25">
      <c r="A1763" t="s">
        <v>4741</v>
      </c>
      <c r="B1763" t="s">
        <v>4742</v>
      </c>
      <c r="C1763" t="s">
        <v>1953</v>
      </c>
      <c r="D1763" t="s">
        <v>1954</v>
      </c>
      <c r="E1763" t="s">
        <v>4741</v>
      </c>
      <c r="F1763" s="2">
        <v>7.07</v>
      </c>
    </row>
    <row r="1764" spans="1:6" x14ac:dyDescent="0.25">
      <c r="A1764" t="s">
        <v>4743</v>
      </c>
      <c r="B1764" t="s">
        <v>4744</v>
      </c>
      <c r="C1764" t="s">
        <v>1953</v>
      </c>
      <c r="D1764" t="s">
        <v>1954</v>
      </c>
      <c r="E1764" t="s">
        <v>4741</v>
      </c>
      <c r="F1764" s="2">
        <v>7.07</v>
      </c>
    </row>
    <row r="1765" spans="1:6" x14ac:dyDescent="0.25">
      <c r="A1765" t="s">
        <v>4745</v>
      </c>
      <c r="B1765" t="s">
        <v>4746</v>
      </c>
      <c r="C1765" t="s">
        <v>1953</v>
      </c>
      <c r="D1765" t="s">
        <v>1940</v>
      </c>
      <c r="F1765" s="2">
        <v>31.29</v>
      </c>
    </row>
    <row r="1766" spans="1:6" x14ac:dyDescent="0.25">
      <c r="A1766" t="s">
        <v>1179</v>
      </c>
      <c r="B1766" t="s">
        <v>4747</v>
      </c>
      <c r="C1766" t="s">
        <v>1953</v>
      </c>
      <c r="D1766" t="s">
        <v>1940</v>
      </c>
      <c r="E1766" t="s">
        <v>1179</v>
      </c>
      <c r="F1766" s="2">
        <v>7.07</v>
      </c>
    </row>
    <row r="1767" spans="1:6" x14ac:dyDescent="0.25">
      <c r="A1767" t="s">
        <v>1180</v>
      </c>
      <c r="B1767" t="s">
        <v>4748</v>
      </c>
      <c r="C1767" t="s">
        <v>1953</v>
      </c>
      <c r="D1767" t="s">
        <v>1954</v>
      </c>
      <c r="E1767" t="s">
        <v>1179</v>
      </c>
      <c r="F1767" s="2">
        <v>7.07</v>
      </c>
    </row>
    <row r="1768" spans="1:6" x14ac:dyDescent="0.25">
      <c r="A1768" t="s">
        <v>4749</v>
      </c>
      <c r="B1768" t="s">
        <v>4750</v>
      </c>
      <c r="C1768" t="s">
        <v>1953</v>
      </c>
      <c r="D1768" t="s">
        <v>1954</v>
      </c>
      <c r="E1768" t="s">
        <v>1179</v>
      </c>
      <c r="F1768" s="2">
        <v>7.07</v>
      </c>
    </row>
    <row r="1769" spans="1:6" x14ac:dyDescent="0.25">
      <c r="A1769" t="s">
        <v>4751</v>
      </c>
      <c r="B1769" t="s">
        <v>4752</v>
      </c>
      <c r="C1769" t="s">
        <v>1953</v>
      </c>
      <c r="D1769" t="s">
        <v>1940</v>
      </c>
      <c r="F1769" s="2">
        <v>10.210000000000001</v>
      </c>
    </row>
    <row r="1770" spans="1:6" x14ac:dyDescent="0.25">
      <c r="A1770" t="s">
        <v>4753</v>
      </c>
      <c r="B1770" t="s">
        <v>4754</v>
      </c>
      <c r="C1770" t="s">
        <v>1953</v>
      </c>
      <c r="D1770" t="s">
        <v>1940</v>
      </c>
      <c r="F1770" s="2">
        <v>10.210000000000001</v>
      </c>
    </row>
    <row r="1771" spans="1:6" x14ac:dyDescent="0.25">
      <c r="A1771" t="s">
        <v>4755</v>
      </c>
      <c r="B1771" t="s">
        <v>4756</v>
      </c>
      <c r="C1771" t="s">
        <v>1953</v>
      </c>
      <c r="D1771" t="s">
        <v>1940</v>
      </c>
      <c r="F1771" s="2">
        <v>10.210000000000001</v>
      </c>
    </row>
    <row r="1772" spans="1:6" x14ac:dyDescent="0.25">
      <c r="A1772" t="s">
        <v>4757</v>
      </c>
      <c r="B1772" t="s">
        <v>4758</v>
      </c>
      <c r="C1772" t="s">
        <v>1953</v>
      </c>
      <c r="D1772" t="s">
        <v>1940</v>
      </c>
      <c r="F1772" s="2">
        <v>10.210000000000001</v>
      </c>
    </row>
    <row r="1773" spans="1:6" x14ac:dyDescent="0.25">
      <c r="A1773" t="s">
        <v>4759</v>
      </c>
      <c r="B1773" t="s">
        <v>4760</v>
      </c>
      <c r="C1773" t="s">
        <v>1953</v>
      </c>
      <c r="D1773" t="s">
        <v>1954</v>
      </c>
      <c r="E1773" t="s">
        <v>1181</v>
      </c>
      <c r="F1773" s="2">
        <v>6.28</v>
      </c>
    </row>
    <row r="1774" spans="1:6" x14ac:dyDescent="0.25">
      <c r="A1774" t="s">
        <v>1181</v>
      </c>
      <c r="B1774" t="s">
        <v>4761</v>
      </c>
      <c r="C1774" t="s">
        <v>1953</v>
      </c>
      <c r="D1774" t="s">
        <v>1954</v>
      </c>
      <c r="E1774" t="s">
        <v>1181</v>
      </c>
      <c r="F1774" s="2">
        <v>6.28</v>
      </c>
    </row>
    <row r="1775" spans="1:6" x14ac:dyDescent="0.25">
      <c r="A1775" t="s">
        <v>4762</v>
      </c>
      <c r="B1775" t="s">
        <v>4763</v>
      </c>
      <c r="C1775" t="s">
        <v>1953</v>
      </c>
      <c r="D1775" t="s">
        <v>1954</v>
      </c>
      <c r="E1775" t="s">
        <v>1181</v>
      </c>
      <c r="F1775" s="2">
        <v>6.28</v>
      </c>
    </row>
    <row r="1776" spans="1:6" x14ac:dyDescent="0.25">
      <c r="A1776" t="s">
        <v>1184</v>
      </c>
      <c r="B1776" t="s">
        <v>4764</v>
      </c>
      <c r="C1776" t="s">
        <v>1953</v>
      </c>
      <c r="D1776" t="s">
        <v>1954</v>
      </c>
      <c r="E1776" t="s">
        <v>1181</v>
      </c>
      <c r="F1776" s="2">
        <v>6.28</v>
      </c>
    </row>
    <row r="1777" spans="1:6" x14ac:dyDescent="0.25">
      <c r="A1777" t="s">
        <v>4765</v>
      </c>
      <c r="B1777" t="s">
        <v>4766</v>
      </c>
      <c r="C1777" t="s">
        <v>1953</v>
      </c>
      <c r="D1777" t="s">
        <v>1954</v>
      </c>
      <c r="E1777" t="s">
        <v>1181</v>
      </c>
      <c r="F1777" s="2">
        <v>6.28</v>
      </c>
    </row>
    <row r="1778" spans="1:6" x14ac:dyDescent="0.25">
      <c r="A1778" t="s">
        <v>1204</v>
      </c>
      <c r="B1778" t="s">
        <v>4767</v>
      </c>
      <c r="C1778" t="s">
        <v>1953</v>
      </c>
      <c r="D1778" t="s">
        <v>1954</v>
      </c>
      <c r="E1778" t="s">
        <v>1181</v>
      </c>
      <c r="F1778" s="2">
        <v>6.28</v>
      </c>
    </row>
    <row r="1779" spans="1:6" x14ac:dyDescent="0.25">
      <c r="A1779" t="s">
        <v>4768</v>
      </c>
      <c r="B1779" t="s">
        <v>4769</v>
      </c>
      <c r="C1779" t="s">
        <v>1953</v>
      </c>
      <c r="D1779" t="s">
        <v>1954</v>
      </c>
      <c r="E1779" t="s">
        <v>1181</v>
      </c>
      <c r="F1779" s="2">
        <v>6.28</v>
      </c>
    </row>
    <row r="1780" spans="1:6" x14ac:dyDescent="0.25">
      <c r="A1780" t="s">
        <v>1206</v>
      </c>
      <c r="B1780" t="s">
        <v>4770</v>
      </c>
      <c r="C1780" t="s">
        <v>1953</v>
      </c>
      <c r="D1780" t="s">
        <v>1954</v>
      </c>
      <c r="E1780" t="s">
        <v>1181</v>
      </c>
      <c r="F1780" s="2">
        <v>6.28</v>
      </c>
    </row>
    <row r="1781" spans="1:6" x14ac:dyDescent="0.25">
      <c r="A1781" t="s">
        <v>4771</v>
      </c>
      <c r="B1781" t="s">
        <v>4772</v>
      </c>
      <c r="C1781" t="s">
        <v>1953</v>
      </c>
      <c r="D1781" t="s">
        <v>1954</v>
      </c>
      <c r="E1781" t="s">
        <v>1181</v>
      </c>
      <c r="F1781" s="2">
        <v>6.28</v>
      </c>
    </row>
    <row r="1782" spans="1:6" x14ac:dyDescent="0.25">
      <c r="A1782" t="s">
        <v>1213</v>
      </c>
      <c r="B1782" t="s">
        <v>4773</v>
      </c>
      <c r="C1782" t="s">
        <v>1953</v>
      </c>
      <c r="D1782" t="s">
        <v>1954</v>
      </c>
      <c r="E1782" t="s">
        <v>1181</v>
      </c>
      <c r="F1782" s="2">
        <v>6.28</v>
      </c>
    </row>
    <row r="1783" spans="1:6" x14ac:dyDescent="0.25">
      <c r="A1783" t="s">
        <v>4774</v>
      </c>
      <c r="B1783" t="s">
        <v>4775</v>
      </c>
      <c r="C1783" t="s">
        <v>1953</v>
      </c>
      <c r="D1783" t="s">
        <v>1954</v>
      </c>
      <c r="E1783" t="s">
        <v>1181</v>
      </c>
      <c r="F1783" s="2">
        <v>6.28</v>
      </c>
    </row>
    <row r="1784" spans="1:6" x14ac:dyDescent="0.25">
      <c r="A1784" t="s">
        <v>1215</v>
      </c>
      <c r="B1784" t="s">
        <v>4776</v>
      </c>
      <c r="C1784" t="s">
        <v>1953</v>
      </c>
      <c r="D1784" t="s">
        <v>1954</v>
      </c>
      <c r="E1784" t="s">
        <v>1181</v>
      </c>
      <c r="F1784" s="2">
        <v>6.28</v>
      </c>
    </row>
    <row r="1785" spans="1:6" x14ac:dyDescent="0.25">
      <c r="A1785" t="s">
        <v>4777</v>
      </c>
      <c r="B1785" t="s">
        <v>4778</v>
      </c>
      <c r="C1785" t="s">
        <v>1953</v>
      </c>
      <c r="D1785" t="s">
        <v>1954</v>
      </c>
      <c r="E1785" t="s">
        <v>1181</v>
      </c>
      <c r="F1785" s="2">
        <v>6.28</v>
      </c>
    </row>
    <row r="1786" spans="1:6" x14ac:dyDescent="0.25">
      <c r="A1786" t="s">
        <v>1217</v>
      </c>
      <c r="B1786" t="s">
        <v>4779</v>
      </c>
      <c r="C1786" t="s">
        <v>1953</v>
      </c>
      <c r="D1786" t="s">
        <v>1954</v>
      </c>
      <c r="E1786" t="s">
        <v>1181</v>
      </c>
      <c r="F1786" s="2">
        <v>6.28</v>
      </c>
    </row>
    <row r="1787" spans="1:6" x14ac:dyDescent="0.25">
      <c r="A1787" t="s">
        <v>4780</v>
      </c>
      <c r="B1787" t="s">
        <v>4781</v>
      </c>
      <c r="C1787" t="s">
        <v>1953</v>
      </c>
      <c r="D1787" t="s">
        <v>1954</v>
      </c>
      <c r="E1787" t="s">
        <v>1181</v>
      </c>
      <c r="F1787" s="2">
        <v>6.28</v>
      </c>
    </row>
    <row r="1788" spans="1:6" x14ac:dyDescent="0.25">
      <c r="A1788" t="s">
        <v>1219</v>
      </c>
      <c r="B1788" t="s">
        <v>4782</v>
      </c>
      <c r="C1788" t="s">
        <v>1953</v>
      </c>
      <c r="D1788" t="s">
        <v>1954</v>
      </c>
      <c r="E1788" t="s">
        <v>1181</v>
      </c>
      <c r="F1788" s="2">
        <v>6.28</v>
      </c>
    </row>
    <row r="1789" spans="1:6" x14ac:dyDescent="0.25">
      <c r="A1789" t="s">
        <v>1221</v>
      </c>
      <c r="B1789" t="s">
        <v>4783</v>
      </c>
      <c r="C1789" t="s">
        <v>1953</v>
      </c>
      <c r="D1789" t="s">
        <v>1954</v>
      </c>
      <c r="E1789" t="s">
        <v>1181</v>
      </c>
      <c r="F1789" s="2">
        <v>6.28</v>
      </c>
    </row>
    <row r="1790" spans="1:6" x14ac:dyDescent="0.25">
      <c r="A1790" t="s">
        <v>4784</v>
      </c>
      <c r="B1790" t="s">
        <v>4785</v>
      </c>
      <c r="C1790" t="s">
        <v>1953</v>
      </c>
      <c r="D1790" t="s">
        <v>1954</v>
      </c>
      <c r="E1790" t="s">
        <v>1181</v>
      </c>
      <c r="F1790" s="2">
        <v>6.28</v>
      </c>
    </row>
    <row r="1791" spans="1:6" x14ac:dyDescent="0.25">
      <c r="A1791" t="s">
        <v>1223</v>
      </c>
      <c r="B1791" t="s">
        <v>4786</v>
      </c>
      <c r="C1791" t="s">
        <v>1953</v>
      </c>
      <c r="D1791" t="s">
        <v>1954</v>
      </c>
      <c r="E1791" t="s">
        <v>1181</v>
      </c>
      <c r="F1791" s="2">
        <v>6.28</v>
      </c>
    </row>
    <row r="1792" spans="1:6" x14ac:dyDescent="0.25">
      <c r="A1792" t="s">
        <v>4787</v>
      </c>
      <c r="B1792" t="s">
        <v>4788</v>
      </c>
      <c r="C1792" t="s">
        <v>1953</v>
      </c>
      <c r="D1792" t="s">
        <v>1954</v>
      </c>
      <c r="E1792" t="s">
        <v>1181</v>
      </c>
      <c r="F1792" s="2">
        <v>6.28</v>
      </c>
    </row>
    <row r="1793" spans="1:6" x14ac:dyDescent="0.25">
      <c r="A1793" t="s">
        <v>4789</v>
      </c>
      <c r="B1793" t="s">
        <v>4790</v>
      </c>
      <c r="C1793" t="s">
        <v>1953</v>
      </c>
      <c r="D1793" t="s">
        <v>1940</v>
      </c>
      <c r="F1793" s="2">
        <v>7.24</v>
      </c>
    </row>
    <row r="1794" spans="1:6" x14ac:dyDescent="0.25">
      <c r="A1794" t="s">
        <v>4791</v>
      </c>
      <c r="B1794" t="s">
        <v>4792</v>
      </c>
      <c r="C1794" t="s">
        <v>1953</v>
      </c>
      <c r="D1794" t="s">
        <v>1940</v>
      </c>
      <c r="F1794" s="2">
        <v>21.63</v>
      </c>
    </row>
    <row r="1795" spans="1:6" x14ac:dyDescent="0.25">
      <c r="A1795" t="s">
        <v>4793</v>
      </c>
      <c r="B1795" t="s">
        <v>4794</v>
      </c>
      <c r="C1795" t="s">
        <v>1953</v>
      </c>
      <c r="D1795" t="s">
        <v>1940</v>
      </c>
      <c r="F1795" s="2">
        <v>22.43</v>
      </c>
    </row>
    <row r="1796" spans="1:6" x14ac:dyDescent="0.25">
      <c r="A1796" t="s">
        <v>4795</v>
      </c>
      <c r="B1796" t="s">
        <v>4796</v>
      </c>
      <c r="C1796" t="s">
        <v>1953</v>
      </c>
      <c r="D1796" t="s">
        <v>1940</v>
      </c>
      <c r="F1796" s="2">
        <v>37.1</v>
      </c>
    </row>
    <row r="1797" spans="1:6" x14ac:dyDescent="0.25">
      <c r="A1797" t="s">
        <v>1225</v>
      </c>
      <c r="B1797" t="s">
        <v>4797</v>
      </c>
      <c r="C1797" t="s">
        <v>1953</v>
      </c>
      <c r="D1797" t="s">
        <v>1954</v>
      </c>
      <c r="E1797" t="s">
        <v>1181</v>
      </c>
      <c r="F1797" s="2">
        <v>6.28</v>
      </c>
    </row>
    <row r="1798" spans="1:6" x14ac:dyDescent="0.25">
      <c r="A1798" t="s">
        <v>4798</v>
      </c>
      <c r="B1798" t="s">
        <v>4799</v>
      </c>
      <c r="C1798" t="s">
        <v>1953</v>
      </c>
      <c r="D1798" t="s">
        <v>1954</v>
      </c>
      <c r="E1798" t="s">
        <v>1181</v>
      </c>
      <c r="F1798" s="2">
        <v>6.28</v>
      </c>
    </row>
    <row r="1799" spans="1:6" x14ac:dyDescent="0.25">
      <c r="A1799" t="s">
        <v>1227</v>
      </c>
      <c r="B1799" t="s">
        <v>4800</v>
      </c>
      <c r="C1799" t="s">
        <v>1953</v>
      </c>
      <c r="D1799" t="s">
        <v>1954</v>
      </c>
      <c r="E1799" t="s">
        <v>1181</v>
      </c>
      <c r="F1799" s="2">
        <v>6.28</v>
      </c>
    </row>
    <row r="1800" spans="1:6" x14ac:dyDescent="0.25">
      <c r="A1800" t="s">
        <v>4801</v>
      </c>
      <c r="B1800" t="s">
        <v>4802</v>
      </c>
      <c r="C1800" t="s">
        <v>1953</v>
      </c>
      <c r="D1800" t="s">
        <v>1940</v>
      </c>
      <c r="F1800" s="2">
        <v>31.29</v>
      </c>
    </row>
    <row r="1801" spans="1:6" x14ac:dyDescent="0.25">
      <c r="A1801" t="s">
        <v>4803</v>
      </c>
      <c r="B1801" t="s">
        <v>4804</v>
      </c>
      <c r="C1801" t="s">
        <v>1953</v>
      </c>
      <c r="D1801" t="s">
        <v>1954</v>
      </c>
      <c r="E1801" t="s">
        <v>1181</v>
      </c>
      <c r="F1801" s="2">
        <v>6.28</v>
      </c>
    </row>
    <row r="1802" spans="1:6" x14ac:dyDescent="0.25">
      <c r="A1802" t="s">
        <v>1229</v>
      </c>
      <c r="B1802" t="s">
        <v>4805</v>
      </c>
      <c r="C1802" t="s">
        <v>1953</v>
      </c>
      <c r="D1802" t="s">
        <v>1954</v>
      </c>
      <c r="E1802" t="s">
        <v>1181</v>
      </c>
      <c r="F1802" s="2">
        <v>6.28</v>
      </c>
    </row>
    <row r="1803" spans="1:6" x14ac:dyDescent="0.25">
      <c r="A1803" t="s">
        <v>4806</v>
      </c>
      <c r="B1803" t="s">
        <v>4807</v>
      </c>
      <c r="C1803" t="s">
        <v>1953</v>
      </c>
      <c r="D1803" t="s">
        <v>1954</v>
      </c>
      <c r="E1803" t="s">
        <v>1181</v>
      </c>
      <c r="F1803" s="2">
        <v>6.28</v>
      </c>
    </row>
    <row r="1804" spans="1:6" x14ac:dyDescent="0.25">
      <c r="A1804" t="s">
        <v>4808</v>
      </c>
      <c r="B1804" t="s">
        <v>4809</v>
      </c>
      <c r="C1804" t="s">
        <v>1953</v>
      </c>
      <c r="D1804" t="s">
        <v>1940</v>
      </c>
      <c r="F1804" s="2">
        <v>17.61</v>
      </c>
    </row>
    <row r="1805" spans="1:6" x14ac:dyDescent="0.25">
      <c r="A1805" t="s">
        <v>4810</v>
      </c>
      <c r="B1805" t="s">
        <v>4811</v>
      </c>
      <c r="C1805" t="s">
        <v>1953</v>
      </c>
      <c r="D1805" t="s">
        <v>1940</v>
      </c>
      <c r="F1805" s="2">
        <v>11.79</v>
      </c>
    </row>
    <row r="1806" spans="1:6" x14ac:dyDescent="0.25">
      <c r="A1806" t="s">
        <v>4812</v>
      </c>
      <c r="B1806" t="s">
        <v>4813</v>
      </c>
      <c r="C1806" t="s">
        <v>1953</v>
      </c>
      <c r="D1806" t="s">
        <v>1940</v>
      </c>
      <c r="F1806" s="2">
        <v>52.14</v>
      </c>
    </row>
    <row r="1807" spans="1:6" x14ac:dyDescent="0.25">
      <c r="A1807" t="s">
        <v>4814</v>
      </c>
      <c r="B1807" t="s">
        <v>4815</v>
      </c>
      <c r="C1807" t="s">
        <v>1953</v>
      </c>
      <c r="D1807" t="s">
        <v>1940</v>
      </c>
      <c r="F1807" s="2">
        <v>57.86</v>
      </c>
    </row>
    <row r="1808" spans="1:6" x14ac:dyDescent="0.25">
      <c r="A1808" t="s">
        <v>4816</v>
      </c>
      <c r="B1808" t="s">
        <v>4817</v>
      </c>
      <c r="C1808" t="s">
        <v>1953</v>
      </c>
      <c r="D1808" t="s">
        <v>1940</v>
      </c>
      <c r="F1808" s="2">
        <v>106.43</v>
      </c>
    </row>
    <row r="1809" spans="1:6" x14ac:dyDescent="0.25">
      <c r="A1809" t="s">
        <v>4818</v>
      </c>
      <c r="B1809" t="s">
        <v>4819</v>
      </c>
      <c r="C1809" t="s">
        <v>1953</v>
      </c>
      <c r="D1809" t="s">
        <v>1940</v>
      </c>
      <c r="F1809" s="2">
        <v>57.86</v>
      </c>
    </row>
    <row r="1810" spans="1:6" x14ac:dyDescent="0.25">
      <c r="A1810" t="s">
        <v>4820</v>
      </c>
      <c r="B1810" t="s">
        <v>4821</v>
      </c>
      <c r="C1810" t="s">
        <v>1953</v>
      </c>
      <c r="D1810" t="s">
        <v>1940</v>
      </c>
      <c r="F1810" s="2">
        <v>52.14</v>
      </c>
    </row>
    <row r="1811" spans="1:6" x14ac:dyDescent="0.25">
      <c r="A1811" t="s">
        <v>4822</v>
      </c>
      <c r="B1811" t="s">
        <v>4823</v>
      </c>
      <c r="C1811" t="s">
        <v>1953</v>
      </c>
      <c r="D1811" t="s">
        <v>1940</v>
      </c>
      <c r="F1811" s="2">
        <v>13</v>
      </c>
    </row>
    <row r="1812" spans="1:6" x14ac:dyDescent="0.25">
      <c r="A1812" t="s">
        <v>1231</v>
      </c>
      <c r="B1812" t="s">
        <v>4824</v>
      </c>
      <c r="C1812" t="s">
        <v>1953</v>
      </c>
      <c r="D1812" t="s">
        <v>1954</v>
      </c>
      <c r="E1812" t="s">
        <v>1181</v>
      </c>
      <c r="F1812" s="2">
        <v>6.28</v>
      </c>
    </row>
    <row r="1813" spans="1:6" x14ac:dyDescent="0.25">
      <c r="A1813" t="s">
        <v>4825</v>
      </c>
      <c r="B1813" t="s">
        <v>4826</v>
      </c>
      <c r="C1813" t="s">
        <v>1953</v>
      </c>
      <c r="D1813" t="s">
        <v>1954</v>
      </c>
      <c r="E1813" t="s">
        <v>1181</v>
      </c>
      <c r="F1813" s="2">
        <v>6.28</v>
      </c>
    </row>
    <row r="1814" spans="1:6" x14ac:dyDescent="0.25">
      <c r="A1814" t="s">
        <v>1233</v>
      </c>
      <c r="B1814" t="s">
        <v>4827</v>
      </c>
      <c r="C1814" t="s">
        <v>1953</v>
      </c>
      <c r="D1814" t="s">
        <v>1954</v>
      </c>
      <c r="E1814" t="s">
        <v>1181</v>
      </c>
      <c r="F1814" s="2">
        <v>6.28</v>
      </c>
    </row>
    <row r="1815" spans="1:6" x14ac:dyDescent="0.25">
      <c r="A1815" t="s">
        <v>4828</v>
      </c>
      <c r="B1815" t="s">
        <v>4829</v>
      </c>
      <c r="C1815" t="s">
        <v>1953</v>
      </c>
      <c r="D1815" t="s">
        <v>1954</v>
      </c>
      <c r="E1815" t="s">
        <v>1181</v>
      </c>
      <c r="F1815" s="2">
        <v>6.28</v>
      </c>
    </row>
    <row r="1816" spans="1:6" x14ac:dyDescent="0.25">
      <c r="A1816" t="s">
        <v>1235</v>
      </c>
      <c r="B1816" t="s">
        <v>4830</v>
      </c>
      <c r="C1816" t="s">
        <v>1953</v>
      </c>
      <c r="D1816" t="s">
        <v>1954</v>
      </c>
      <c r="E1816" t="s">
        <v>1181</v>
      </c>
      <c r="F1816" s="2">
        <v>6.28</v>
      </c>
    </row>
    <row r="1817" spans="1:6" x14ac:dyDescent="0.25">
      <c r="A1817" t="s">
        <v>4831</v>
      </c>
      <c r="B1817" t="s">
        <v>4832</v>
      </c>
      <c r="C1817" t="s">
        <v>1953</v>
      </c>
      <c r="D1817" t="s">
        <v>1954</v>
      </c>
      <c r="E1817" t="s">
        <v>1181</v>
      </c>
      <c r="F1817" s="2">
        <v>6.28</v>
      </c>
    </row>
    <row r="1818" spans="1:6" x14ac:dyDescent="0.25">
      <c r="A1818" t="s">
        <v>1237</v>
      </c>
      <c r="B1818" t="s">
        <v>4833</v>
      </c>
      <c r="C1818" t="s">
        <v>1953</v>
      </c>
      <c r="D1818" t="s">
        <v>1954</v>
      </c>
      <c r="E1818" t="s">
        <v>1181</v>
      </c>
      <c r="F1818" s="2">
        <v>6.28</v>
      </c>
    </row>
    <row r="1819" spans="1:6" x14ac:dyDescent="0.25">
      <c r="A1819" t="s">
        <v>4834</v>
      </c>
      <c r="B1819" t="s">
        <v>4835</v>
      </c>
      <c r="C1819" t="s">
        <v>1953</v>
      </c>
      <c r="D1819" t="s">
        <v>1954</v>
      </c>
      <c r="E1819" t="s">
        <v>267</v>
      </c>
      <c r="F1819" s="2">
        <v>6.28</v>
      </c>
    </row>
    <row r="1820" spans="1:6" x14ac:dyDescent="0.25">
      <c r="A1820" t="s">
        <v>1239</v>
      </c>
      <c r="B1820" t="s">
        <v>4836</v>
      </c>
      <c r="C1820" t="s">
        <v>1953</v>
      </c>
      <c r="D1820" t="s">
        <v>1954</v>
      </c>
      <c r="E1820" t="s">
        <v>1181</v>
      </c>
      <c r="F1820" s="2">
        <v>6.28</v>
      </c>
    </row>
    <row r="1821" spans="1:6" x14ac:dyDescent="0.25">
      <c r="A1821" t="s">
        <v>4837</v>
      </c>
      <c r="B1821" t="s">
        <v>4838</v>
      </c>
      <c r="C1821" t="s">
        <v>1953</v>
      </c>
      <c r="D1821" t="s">
        <v>1954</v>
      </c>
      <c r="E1821" t="s">
        <v>1181</v>
      </c>
      <c r="F1821" s="2">
        <v>6.28</v>
      </c>
    </row>
    <row r="1822" spans="1:6" x14ac:dyDescent="0.25">
      <c r="A1822" t="s">
        <v>1241</v>
      </c>
      <c r="B1822" t="s">
        <v>4839</v>
      </c>
      <c r="C1822" t="s">
        <v>1953</v>
      </c>
      <c r="D1822" t="s">
        <v>1954</v>
      </c>
      <c r="E1822" t="s">
        <v>1181</v>
      </c>
      <c r="F1822" s="2">
        <v>6.28</v>
      </c>
    </row>
    <row r="1823" spans="1:6" x14ac:dyDescent="0.25">
      <c r="A1823" t="s">
        <v>4840</v>
      </c>
      <c r="B1823" t="s">
        <v>4841</v>
      </c>
      <c r="C1823" t="s">
        <v>1953</v>
      </c>
      <c r="D1823" t="s">
        <v>1954</v>
      </c>
      <c r="E1823" t="s">
        <v>1181</v>
      </c>
      <c r="F1823" s="2">
        <v>6.28</v>
      </c>
    </row>
    <row r="1824" spans="1:6" x14ac:dyDescent="0.25">
      <c r="A1824" t="s">
        <v>1243</v>
      </c>
      <c r="B1824" t="s">
        <v>4842</v>
      </c>
      <c r="C1824" t="s">
        <v>1953</v>
      </c>
      <c r="D1824" t="s">
        <v>1954</v>
      </c>
      <c r="E1824" t="s">
        <v>1181</v>
      </c>
      <c r="F1824" s="2">
        <v>6.28</v>
      </c>
    </row>
    <row r="1825" spans="1:6" x14ac:dyDescent="0.25">
      <c r="A1825" t="s">
        <v>4843</v>
      </c>
      <c r="B1825" t="s">
        <v>4844</v>
      </c>
      <c r="C1825" t="s">
        <v>1953</v>
      </c>
      <c r="D1825" t="s">
        <v>1954</v>
      </c>
      <c r="E1825" t="s">
        <v>1181</v>
      </c>
      <c r="F1825" s="2">
        <v>6.28</v>
      </c>
    </row>
    <row r="1826" spans="1:6" x14ac:dyDescent="0.25">
      <c r="A1826" t="s">
        <v>1245</v>
      </c>
      <c r="B1826" t="s">
        <v>4845</v>
      </c>
      <c r="C1826" t="s">
        <v>1953</v>
      </c>
      <c r="D1826" t="s">
        <v>1954</v>
      </c>
      <c r="E1826" t="s">
        <v>1181</v>
      </c>
      <c r="F1826" s="2">
        <v>6.28</v>
      </c>
    </row>
    <row r="1827" spans="1:6" x14ac:dyDescent="0.25">
      <c r="A1827" t="s">
        <v>4846</v>
      </c>
      <c r="B1827" t="s">
        <v>4847</v>
      </c>
      <c r="C1827" t="s">
        <v>1953</v>
      </c>
      <c r="D1827" t="s">
        <v>1954</v>
      </c>
      <c r="E1827" t="s">
        <v>1181</v>
      </c>
      <c r="F1827" s="2">
        <v>6.28</v>
      </c>
    </row>
    <row r="1828" spans="1:6" x14ac:dyDescent="0.25">
      <c r="A1828" t="s">
        <v>1247</v>
      </c>
      <c r="B1828" t="s">
        <v>4848</v>
      </c>
      <c r="C1828" t="s">
        <v>1953</v>
      </c>
      <c r="D1828" t="s">
        <v>1954</v>
      </c>
      <c r="E1828" t="s">
        <v>1181</v>
      </c>
      <c r="F1828" s="2">
        <v>6.28</v>
      </c>
    </row>
    <row r="1829" spans="1:6" x14ac:dyDescent="0.25">
      <c r="A1829" t="s">
        <v>4849</v>
      </c>
      <c r="B1829" t="s">
        <v>4850</v>
      </c>
      <c r="C1829" t="s">
        <v>1953</v>
      </c>
      <c r="D1829" t="s">
        <v>1954</v>
      </c>
      <c r="E1829" t="s">
        <v>1181</v>
      </c>
      <c r="F1829" s="2">
        <v>6.28</v>
      </c>
    </row>
    <row r="1830" spans="1:6" x14ac:dyDescent="0.25">
      <c r="A1830" t="s">
        <v>1249</v>
      </c>
      <c r="B1830" t="s">
        <v>4851</v>
      </c>
      <c r="C1830" t="s">
        <v>1953</v>
      </c>
      <c r="D1830" t="s">
        <v>1954</v>
      </c>
      <c r="E1830" t="s">
        <v>1181</v>
      </c>
      <c r="F1830" s="2">
        <v>6.28</v>
      </c>
    </row>
    <row r="1831" spans="1:6" x14ac:dyDescent="0.25">
      <c r="A1831" t="s">
        <v>4852</v>
      </c>
      <c r="B1831" t="s">
        <v>4853</v>
      </c>
      <c r="C1831" t="s">
        <v>1953</v>
      </c>
      <c r="D1831" t="s">
        <v>1954</v>
      </c>
      <c r="E1831" t="s">
        <v>1181</v>
      </c>
      <c r="F1831" s="2">
        <v>6.28</v>
      </c>
    </row>
    <row r="1832" spans="1:6" x14ac:dyDescent="0.25">
      <c r="A1832" t="s">
        <v>1251</v>
      </c>
      <c r="B1832" t="s">
        <v>4854</v>
      </c>
      <c r="C1832" t="s">
        <v>1953</v>
      </c>
      <c r="D1832" t="s">
        <v>1954</v>
      </c>
      <c r="E1832" t="s">
        <v>1181</v>
      </c>
      <c r="F1832" s="2">
        <v>6.28</v>
      </c>
    </row>
    <row r="1833" spans="1:6" x14ac:dyDescent="0.25">
      <c r="A1833" t="s">
        <v>4855</v>
      </c>
      <c r="B1833" t="s">
        <v>4856</v>
      </c>
      <c r="C1833" t="s">
        <v>1953</v>
      </c>
      <c r="D1833" t="s">
        <v>1954</v>
      </c>
      <c r="E1833" t="s">
        <v>1181</v>
      </c>
      <c r="F1833" s="2">
        <v>6.28</v>
      </c>
    </row>
    <row r="1834" spans="1:6" x14ac:dyDescent="0.25">
      <c r="A1834" t="s">
        <v>1253</v>
      </c>
      <c r="B1834" t="s">
        <v>4857</v>
      </c>
      <c r="C1834" t="s">
        <v>1953</v>
      </c>
      <c r="D1834" t="s">
        <v>1954</v>
      </c>
      <c r="E1834" t="s">
        <v>1181</v>
      </c>
      <c r="F1834" s="2">
        <v>6.28</v>
      </c>
    </row>
    <row r="1835" spans="1:6" x14ac:dyDescent="0.25">
      <c r="A1835" t="s">
        <v>4858</v>
      </c>
      <c r="B1835" t="s">
        <v>4859</v>
      </c>
      <c r="C1835" t="s">
        <v>1953</v>
      </c>
      <c r="D1835" t="s">
        <v>1954</v>
      </c>
      <c r="E1835" t="s">
        <v>1181</v>
      </c>
      <c r="F1835" s="2">
        <v>6.28</v>
      </c>
    </row>
    <row r="1836" spans="1:6" x14ac:dyDescent="0.25">
      <c r="A1836" t="s">
        <v>1255</v>
      </c>
      <c r="B1836" t="s">
        <v>4860</v>
      </c>
      <c r="C1836" t="s">
        <v>1953</v>
      </c>
      <c r="D1836" t="s">
        <v>1954</v>
      </c>
      <c r="E1836" t="s">
        <v>1181</v>
      </c>
      <c r="F1836" s="2">
        <v>6.28</v>
      </c>
    </row>
    <row r="1837" spans="1:6" x14ac:dyDescent="0.25">
      <c r="A1837" t="s">
        <v>4861</v>
      </c>
      <c r="B1837" t="s">
        <v>4862</v>
      </c>
      <c r="C1837" t="s">
        <v>1953</v>
      </c>
      <c r="D1837" t="s">
        <v>1954</v>
      </c>
      <c r="E1837" t="s">
        <v>1181</v>
      </c>
      <c r="F1837" s="2">
        <v>6.28</v>
      </c>
    </row>
    <row r="1838" spans="1:6" x14ac:dyDescent="0.25">
      <c r="A1838" t="s">
        <v>1257</v>
      </c>
      <c r="B1838" t="s">
        <v>4863</v>
      </c>
      <c r="C1838" t="s">
        <v>1953</v>
      </c>
      <c r="D1838" t="s">
        <v>1954</v>
      </c>
      <c r="E1838" t="s">
        <v>1181</v>
      </c>
      <c r="F1838" s="2">
        <v>6.28</v>
      </c>
    </row>
    <row r="1839" spans="1:6" x14ac:dyDescent="0.25">
      <c r="A1839" t="s">
        <v>4864</v>
      </c>
      <c r="B1839" t="s">
        <v>4865</v>
      </c>
      <c r="C1839" t="s">
        <v>1953</v>
      </c>
      <c r="D1839" t="s">
        <v>1954</v>
      </c>
      <c r="E1839" t="s">
        <v>1181</v>
      </c>
      <c r="F1839" s="2">
        <v>6.28</v>
      </c>
    </row>
    <row r="1840" spans="1:6" x14ac:dyDescent="0.25">
      <c r="A1840" t="s">
        <v>1259</v>
      </c>
      <c r="B1840" t="s">
        <v>4866</v>
      </c>
      <c r="C1840" t="s">
        <v>1953</v>
      </c>
      <c r="D1840" t="s">
        <v>1954</v>
      </c>
      <c r="E1840" t="s">
        <v>1181</v>
      </c>
      <c r="F1840" s="2">
        <v>6.28</v>
      </c>
    </row>
    <row r="1841" spans="1:6" x14ac:dyDescent="0.25">
      <c r="A1841" t="s">
        <v>4867</v>
      </c>
      <c r="B1841" t="s">
        <v>4868</v>
      </c>
      <c r="C1841" t="s">
        <v>1953</v>
      </c>
      <c r="D1841" t="s">
        <v>1954</v>
      </c>
      <c r="E1841" t="s">
        <v>1181</v>
      </c>
      <c r="F1841" s="2">
        <v>6.28</v>
      </c>
    </row>
    <row r="1842" spans="1:6" x14ac:dyDescent="0.25">
      <c r="A1842" t="s">
        <v>1261</v>
      </c>
      <c r="B1842" t="s">
        <v>4869</v>
      </c>
      <c r="C1842" t="s">
        <v>1953</v>
      </c>
      <c r="D1842" t="s">
        <v>1954</v>
      </c>
      <c r="E1842" t="s">
        <v>1181</v>
      </c>
      <c r="F1842" s="2">
        <v>6.28</v>
      </c>
    </row>
    <row r="1843" spans="1:6" x14ac:dyDescent="0.25">
      <c r="A1843" t="s">
        <v>4870</v>
      </c>
      <c r="B1843" t="s">
        <v>4871</v>
      </c>
      <c r="C1843" t="s">
        <v>1953</v>
      </c>
      <c r="D1843" t="s">
        <v>1954</v>
      </c>
      <c r="E1843" t="s">
        <v>1181</v>
      </c>
      <c r="F1843" s="2">
        <v>6.28</v>
      </c>
    </row>
    <row r="1844" spans="1:6" x14ac:dyDescent="0.25">
      <c r="A1844" t="s">
        <v>1263</v>
      </c>
      <c r="B1844" t="s">
        <v>4872</v>
      </c>
      <c r="C1844" t="s">
        <v>1953</v>
      </c>
      <c r="D1844" t="s">
        <v>1954</v>
      </c>
      <c r="E1844" t="s">
        <v>1181</v>
      </c>
      <c r="F1844" s="2">
        <v>6.28</v>
      </c>
    </row>
    <row r="1845" spans="1:6" x14ac:dyDescent="0.25">
      <c r="A1845" t="s">
        <v>4873</v>
      </c>
      <c r="B1845" t="s">
        <v>4874</v>
      </c>
      <c r="C1845" t="s">
        <v>1953</v>
      </c>
      <c r="D1845" t="s">
        <v>1954</v>
      </c>
      <c r="E1845" t="s">
        <v>1181</v>
      </c>
      <c r="F1845" s="2">
        <v>6.28</v>
      </c>
    </row>
    <row r="1846" spans="1:6" x14ac:dyDescent="0.25">
      <c r="A1846" t="s">
        <v>1267</v>
      </c>
      <c r="B1846" t="s">
        <v>4875</v>
      </c>
      <c r="C1846" t="s">
        <v>1953</v>
      </c>
      <c r="D1846" t="s">
        <v>1954</v>
      </c>
      <c r="E1846" t="s">
        <v>1181</v>
      </c>
      <c r="F1846" s="2">
        <v>6.28</v>
      </c>
    </row>
    <row r="1847" spans="1:6" x14ac:dyDescent="0.25">
      <c r="A1847" t="s">
        <v>4876</v>
      </c>
      <c r="B1847" t="s">
        <v>4877</v>
      </c>
      <c r="C1847" t="s">
        <v>1953</v>
      </c>
      <c r="D1847" t="s">
        <v>1954</v>
      </c>
      <c r="E1847" t="s">
        <v>1181</v>
      </c>
      <c r="F1847" s="2">
        <v>6.28</v>
      </c>
    </row>
    <row r="1848" spans="1:6" x14ac:dyDescent="0.25">
      <c r="A1848" t="s">
        <v>1269</v>
      </c>
      <c r="B1848" t="s">
        <v>4878</v>
      </c>
      <c r="C1848" t="s">
        <v>1953</v>
      </c>
      <c r="D1848" t="s">
        <v>1954</v>
      </c>
      <c r="E1848" t="s">
        <v>1181</v>
      </c>
      <c r="F1848" s="2">
        <v>6.28</v>
      </c>
    </row>
    <row r="1849" spans="1:6" x14ac:dyDescent="0.25">
      <c r="A1849" t="s">
        <v>4879</v>
      </c>
      <c r="B1849" t="s">
        <v>4880</v>
      </c>
      <c r="C1849" t="s">
        <v>1953</v>
      </c>
      <c r="D1849" t="s">
        <v>1954</v>
      </c>
      <c r="E1849" t="s">
        <v>1181</v>
      </c>
      <c r="F1849" s="2">
        <v>6.28</v>
      </c>
    </row>
    <row r="1850" spans="1:6" x14ac:dyDescent="0.25">
      <c r="A1850" t="s">
        <v>1271</v>
      </c>
      <c r="B1850" t="s">
        <v>4881</v>
      </c>
      <c r="C1850" t="s">
        <v>1953</v>
      </c>
      <c r="D1850" t="s">
        <v>1954</v>
      </c>
      <c r="E1850" t="s">
        <v>1181</v>
      </c>
      <c r="F1850" s="2">
        <v>6.28</v>
      </c>
    </row>
    <row r="1851" spans="1:6" x14ac:dyDescent="0.25">
      <c r="A1851" t="s">
        <v>4882</v>
      </c>
      <c r="B1851" t="s">
        <v>4883</v>
      </c>
      <c r="C1851" t="s">
        <v>1953</v>
      </c>
      <c r="D1851" t="s">
        <v>1954</v>
      </c>
      <c r="E1851" t="s">
        <v>1181</v>
      </c>
      <c r="F1851" s="2">
        <v>6.28</v>
      </c>
    </row>
    <row r="1852" spans="1:6" x14ac:dyDescent="0.25">
      <c r="A1852" t="s">
        <v>1273</v>
      </c>
      <c r="B1852" t="s">
        <v>4884</v>
      </c>
      <c r="C1852" t="s">
        <v>1953</v>
      </c>
      <c r="D1852" t="s">
        <v>1954</v>
      </c>
      <c r="E1852" t="s">
        <v>1181</v>
      </c>
      <c r="F1852" s="2">
        <v>6.28</v>
      </c>
    </row>
    <row r="1853" spans="1:6" x14ac:dyDescent="0.25">
      <c r="A1853" t="s">
        <v>4885</v>
      </c>
      <c r="B1853" t="s">
        <v>4886</v>
      </c>
      <c r="C1853" t="s">
        <v>1953</v>
      </c>
      <c r="D1853" t="s">
        <v>1954</v>
      </c>
      <c r="E1853" t="s">
        <v>1181</v>
      </c>
      <c r="F1853" s="2">
        <v>6.28</v>
      </c>
    </row>
    <row r="1854" spans="1:6" x14ac:dyDescent="0.25">
      <c r="A1854" t="s">
        <v>1275</v>
      </c>
      <c r="B1854" t="s">
        <v>4887</v>
      </c>
      <c r="C1854" t="s">
        <v>1953</v>
      </c>
      <c r="D1854" t="s">
        <v>1954</v>
      </c>
      <c r="E1854" t="s">
        <v>1181</v>
      </c>
      <c r="F1854" s="2">
        <v>6.28</v>
      </c>
    </row>
    <row r="1855" spans="1:6" x14ac:dyDescent="0.25">
      <c r="A1855" t="s">
        <v>4888</v>
      </c>
      <c r="B1855" t="s">
        <v>4889</v>
      </c>
      <c r="C1855" t="s">
        <v>1953</v>
      </c>
      <c r="D1855" t="s">
        <v>1954</v>
      </c>
      <c r="E1855" t="s">
        <v>4890</v>
      </c>
      <c r="F1855" s="2">
        <v>12.06</v>
      </c>
    </row>
    <row r="1856" spans="1:6" x14ac:dyDescent="0.25">
      <c r="A1856" t="s">
        <v>4891</v>
      </c>
      <c r="B1856" t="s">
        <v>4892</v>
      </c>
      <c r="C1856" t="s">
        <v>1953</v>
      </c>
      <c r="D1856" t="s">
        <v>1954</v>
      </c>
      <c r="E1856" t="s">
        <v>4890</v>
      </c>
      <c r="F1856" s="2">
        <v>12.06</v>
      </c>
    </row>
    <row r="1857" spans="1:6" x14ac:dyDescent="0.25">
      <c r="A1857" t="s">
        <v>4890</v>
      </c>
      <c r="B1857" t="s">
        <v>4893</v>
      </c>
      <c r="C1857" t="s">
        <v>1953</v>
      </c>
      <c r="D1857" t="s">
        <v>1954</v>
      </c>
      <c r="E1857" t="s">
        <v>4890</v>
      </c>
      <c r="F1857" s="2">
        <v>12.06</v>
      </c>
    </row>
    <row r="1858" spans="1:6" x14ac:dyDescent="0.25">
      <c r="A1858" t="s">
        <v>4894</v>
      </c>
      <c r="B1858" t="s">
        <v>4895</v>
      </c>
      <c r="C1858" t="s">
        <v>1953</v>
      </c>
      <c r="D1858" t="s">
        <v>1954</v>
      </c>
      <c r="E1858" t="s">
        <v>4890</v>
      </c>
      <c r="F1858" s="2">
        <v>12.06</v>
      </c>
    </row>
    <row r="1859" spans="1:6" x14ac:dyDescent="0.25">
      <c r="A1859" t="s">
        <v>4896</v>
      </c>
      <c r="B1859" t="s">
        <v>4897</v>
      </c>
      <c r="C1859" t="s">
        <v>1953</v>
      </c>
      <c r="D1859" t="s">
        <v>1954</v>
      </c>
      <c r="E1859" t="s">
        <v>4890</v>
      </c>
      <c r="F1859" s="2">
        <v>12.06</v>
      </c>
    </row>
    <row r="1860" spans="1:6" x14ac:dyDescent="0.25">
      <c r="A1860" t="s">
        <v>4898</v>
      </c>
      <c r="B1860" t="s">
        <v>4899</v>
      </c>
      <c r="C1860" t="s">
        <v>1953</v>
      </c>
      <c r="D1860" t="s">
        <v>1940</v>
      </c>
      <c r="F1860" s="2">
        <v>3.28</v>
      </c>
    </row>
    <row r="1861" spans="1:6" x14ac:dyDescent="0.25">
      <c r="A1861" t="s">
        <v>1277</v>
      </c>
      <c r="B1861" t="s">
        <v>4900</v>
      </c>
      <c r="C1861" t="s">
        <v>1953</v>
      </c>
      <c r="D1861" t="s">
        <v>1954</v>
      </c>
      <c r="E1861" t="s">
        <v>1277</v>
      </c>
      <c r="F1861" s="2">
        <v>7.1</v>
      </c>
    </row>
    <row r="1862" spans="1:6" x14ac:dyDescent="0.25">
      <c r="A1862" t="s">
        <v>1280</v>
      </c>
      <c r="B1862" t="s">
        <v>4901</v>
      </c>
      <c r="C1862" t="s">
        <v>1953</v>
      </c>
      <c r="D1862" t="s">
        <v>1954</v>
      </c>
      <c r="E1862" t="s">
        <v>1277</v>
      </c>
      <c r="F1862" s="2">
        <v>7.1</v>
      </c>
    </row>
    <row r="1863" spans="1:6" x14ac:dyDescent="0.25">
      <c r="A1863" t="s">
        <v>1282</v>
      </c>
      <c r="B1863" t="s">
        <v>4902</v>
      </c>
      <c r="C1863" t="s">
        <v>1953</v>
      </c>
      <c r="D1863" t="s">
        <v>1954</v>
      </c>
      <c r="E1863" t="s">
        <v>1277</v>
      </c>
      <c r="F1863" s="2">
        <v>7.1</v>
      </c>
    </row>
    <row r="1864" spans="1:6" x14ac:dyDescent="0.25">
      <c r="A1864" t="s">
        <v>1284</v>
      </c>
      <c r="B1864" t="s">
        <v>4903</v>
      </c>
      <c r="C1864" t="s">
        <v>1953</v>
      </c>
      <c r="D1864" t="s">
        <v>1954</v>
      </c>
      <c r="E1864" t="s">
        <v>1277</v>
      </c>
      <c r="F1864" s="2">
        <v>7.1</v>
      </c>
    </row>
    <row r="1865" spans="1:6" x14ac:dyDescent="0.25">
      <c r="A1865" t="s">
        <v>1286</v>
      </c>
      <c r="B1865" t="s">
        <v>4904</v>
      </c>
      <c r="C1865" t="s">
        <v>1953</v>
      </c>
      <c r="D1865" t="s">
        <v>1954</v>
      </c>
      <c r="E1865" t="s">
        <v>1277</v>
      </c>
      <c r="F1865" s="2">
        <v>7.1</v>
      </c>
    </row>
    <row r="1866" spans="1:6" x14ac:dyDescent="0.25">
      <c r="A1866" t="s">
        <v>1288</v>
      </c>
      <c r="B1866" t="s">
        <v>4905</v>
      </c>
      <c r="C1866" t="s">
        <v>1953</v>
      </c>
      <c r="D1866" t="s">
        <v>1954</v>
      </c>
      <c r="E1866" t="s">
        <v>1277</v>
      </c>
      <c r="F1866" s="2">
        <v>7.1</v>
      </c>
    </row>
    <row r="1867" spans="1:6" x14ac:dyDescent="0.25">
      <c r="A1867" t="s">
        <v>1290</v>
      </c>
      <c r="B1867" t="s">
        <v>4906</v>
      </c>
      <c r="C1867" t="s">
        <v>1953</v>
      </c>
      <c r="D1867" t="s">
        <v>1954</v>
      </c>
      <c r="E1867" t="s">
        <v>1277</v>
      </c>
      <c r="F1867" s="2">
        <v>7.1</v>
      </c>
    </row>
    <row r="1868" spans="1:6" x14ac:dyDescent="0.25">
      <c r="A1868" t="s">
        <v>1292</v>
      </c>
      <c r="B1868" t="s">
        <v>4907</v>
      </c>
      <c r="C1868" t="s">
        <v>1953</v>
      </c>
      <c r="D1868" t="s">
        <v>1954</v>
      </c>
      <c r="E1868" t="s">
        <v>1277</v>
      </c>
      <c r="F1868" s="2">
        <v>7.1</v>
      </c>
    </row>
    <row r="1869" spans="1:6" x14ac:dyDescent="0.25">
      <c r="A1869" t="s">
        <v>1294</v>
      </c>
      <c r="B1869" t="s">
        <v>4908</v>
      </c>
      <c r="C1869" t="s">
        <v>1953</v>
      </c>
      <c r="D1869" t="s">
        <v>1954</v>
      </c>
      <c r="E1869" t="s">
        <v>1277</v>
      </c>
      <c r="F1869" s="2">
        <v>7.1</v>
      </c>
    </row>
    <row r="1870" spans="1:6" x14ac:dyDescent="0.25">
      <c r="A1870" t="s">
        <v>1296</v>
      </c>
      <c r="B1870" t="s">
        <v>4909</v>
      </c>
      <c r="C1870" t="s">
        <v>1953</v>
      </c>
      <c r="D1870" t="s">
        <v>1954</v>
      </c>
      <c r="E1870" t="s">
        <v>1277</v>
      </c>
      <c r="F1870" s="2">
        <v>7.1</v>
      </c>
    </row>
    <row r="1871" spans="1:6" x14ac:dyDescent="0.25">
      <c r="A1871" t="s">
        <v>1298</v>
      </c>
      <c r="B1871" t="s">
        <v>4910</v>
      </c>
      <c r="C1871" t="s">
        <v>1953</v>
      </c>
      <c r="D1871" t="s">
        <v>1954</v>
      </c>
      <c r="E1871" t="s">
        <v>1277</v>
      </c>
      <c r="F1871" s="2">
        <v>7.1</v>
      </c>
    </row>
    <row r="1872" spans="1:6" x14ac:dyDescent="0.25">
      <c r="A1872" t="s">
        <v>1300</v>
      </c>
      <c r="B1872" t="s">
        <v>4911</v>
      </c>
      <c r="C1872" t="s">
        <v>1953</v>
      </c>
      <c r="D1872" t="s">
        <v>1954</v>
      </c>
      <c r="E1872" t="s">
        <v>1277</v>
      </c>
      <c r="F1872" s="2">
        <v>7.1</v>
      </c>
    </row>
    <row r="1873" spans="1:6" x14ac:dyDescent="0.25">
      <c r="A1873" t="s">
        <v>1302</v>
      </c>
      <c r="B1873" t="s">
        <v>4912</v>
      </c>
      <c r="C1873" t="s">
        <v>1953</v>
      </c>
      <c r="D1873" t="s">
        <v>1954</v>
      </c>
      <c r="E1873" t="s">
        <v>1277</v>
      </c>
      <c r="F1873" s="2">
        <v>7.1</v>
      </c>
    </row>
    <row r="1874" spans="1:6" x14ac:dyDescent="0.25">
      <c r="A1874" t="s">
        <v>1304</v>
      </c>
      <c r="B1874" t="s">
        <v>4913</v>
      </c>
      <c r="C1874" t="s">
        <v>1953</v>
      </c>
      <c r="D1874" t="s">
        <v>1954</v>
      </c>
      <c r="E1874" t="s">
        <v>1277</v>
      </c>
      <c r="F1874" s="2">
        <v>7.1</v>
      </c>
    </row>
    <row r="1875" spans="1:6" x14ac:dyDescent="0.25">
      <c r="A1875" t="s">
        <v>4914</v>
      </c>
      <c r="B1875" t="s">
        <v>4915</v>
      </c>
      <c r="C1875" t="s">
        <v>1953</v>
      </c>
      <c r="D1875" t="s">
        <v>1940</v>
      </c>
      <c r="F1875" s="2">
        <v>78.819999999999993</v>
      </c>
    </row>
    <row r="1876" spans="1:6" x14ac:dyDescent="0.25">
      <c r="A1876" t="s">
        <v>4916</v>
      </c>
      <c r="B1876" t="s">
        <v>4917</v>
      </c>
      <c r="C1876" t="s">
        <v>1953</v>
      </c>
      <c r="D1876" t="s">
        <v>1940</v>
      </c>
      <c r="F1876" s="2">
        <v>78.819999999999993</v>
      </c>
    </row>
    <row r="1877" spans="1:6" x14ac:dyDescent="0.25">
      <c r="A1877" t="s">
        <v>4918</v>
      </c>
      <c r="B1877" t="s">
        <v>4919</v>
      </c>
      <c r="C1877" t="s">
        <v>1953</v>
      </c>
      <c r="D1877" t="s">
        <v>1940</v>
      </c>
      <c r="F1877" s="2">
        <v>78.819999999999993</v>
      </c>
    </row>
    <row r="1878" spans="1:6" x14ac:dyDescent="0.25">
      <c r="A1878" t="s">
        <v>4920</v>
      </c>
      <c r="B1878" t="s">
        <v>4921</v>
      </c>
      <c r="C1878" t="s">
        <v>1953</v>
      </c>
      <c r="D1878" t="s">
        <v>1940</v>
      </c>
      <c r="F1878" s="2">
        <v>85.99</v>
      </c>
    </row>
    <row r="1879" spans="1:6" x14ac:dyDescent="0.25">
      <c r="A1879" t="s">
        <v>4922</v>
      </c>
      <c r="B1879" t="s">
        <v>4923</v>
      </c>
      <c r="C1879" t="s">
        <v>1953</v>
      </c>
      <c r="D1879" t="s">
        <v>1940</v>
      </c>
      <c r="F1879" s="2">
        <v>85.99</v>
      </c>
    </row>
    <row r="1880" spans="1:6" x14ac:dyDescent="0.25">
      <c r="A1880" t="s">
        <v>1306</v>
      </c>
      <c r="B1880" t="s">
        <v>4924</v>
      </c>
      <c r="C1880" t="s">
        <v>1953</v>
      </c>
      <c r="D1880" t="s">
        <v>1954</v>
      </c>
      <c r="E1880" t="s">
        <v>1277</v>
      </c>
      <c r="F1880" s="2">
        <v>7.1</v>
      </c>
    </row>
    <row r="1881" spans="1:6" x14ac:dyDescent="0.25">
      <c r="A1881" t="s">
        <v>4925</v>
      </c>
      <c r="B1881" t="s">
        <v>4926</v>
      </c>
      <c r="C1881" t="s">
        <v>1953</v>
      </c>
      <c r="D1881" t="s">
        <v>1940</v>
      </c>
      <c r="F1881" s="2">
        <v>85.99</v>
      </c>
    </row>
    <row r="1882" spans="1:6" x14ac:dyDescent="0.25">
      <c r="A1882" t="s">
        <v>4927</v>
      </c>
      <c r="B1882" t="s">
        <v>4928</v>
      </c>
      <c r="C1882" t="s">
        <v>1953</v>
      </c>
      <c r="D1882" t="s">
        <v>1940</v>
      </c>
      <c r="F1882" s="2">
        <v>1504.55</v>
      </c>
    </row>
    <row r="1883" spans="1:6" x14ac:dyDescent="0.25">
      <c r="A1883" t="s">
        <v>4929</v>
      </c>
      <c r="B1883" t="s">
        <v>4930</v>
      </c>
      <c r="C1883" t="s">
        <v>1953</v>
      </c>
      <c r="D1883" t="s">
        <v>1940</v>
      </c>
      <c r="F1883" s="2">
        <v>1504.55</v>
      </c>
    </row>
    <row r="1884" spans="1:6" x14ac:dyDescent="0.25">
      <c r="A1884" t="s">
        <v>4931</v>
      </c>
      <c r="B1884" t="s">
        <v>4932</v>
      </c>
      <c r="C1884" t="s">
        <v>1953</v>
      </c>
      <c r="D1884" t="s">
        <v>1940</v>
      </c>
      <c r="F1884" s="2">
        <v>2787.54</v>
      </c>
    </row>
    <row r="1885" spans="1:6" x14ac:dyDescent="0.25">
      <c r="A1885" t="s">
        <v>4933</v>
      </c>
      <c r="B1885" t="s">
        <v>4934</v>
      </c>
      <c r="C1885" t="s">
        <v>1953</v>
      </c>
      <c r="D1885" t="s">
        <v>1940</v>
      </c>
      <c r="F1885" s="2">
        <v>2787.54</v>
      </c>
    </row>
    <row r="1886" spans="1:6" x14ac:dyDescent="0.25">
      <c r="A1886" t="s">
        <v>1308</v>
      </c>
      <c r="B1886" t="s">
        <v>4935</v>
      </c>
      <c r="C1886" t="s">
        <v>1953</v>
      </c>
      <c r="D1886" t="s">
        <v>1954</v>
      </c>
      <c r="E1886" t="s">
        <v>1277</v>
      </c>
      <c r="F1886" s="2">
        <v>7.1</v>
      </c>
    </row>
    <row r="1887" spans="1:6" x14ac:dyDescent="0.25">
      <c r="A1887" t="s">
        <v>4936</v>
      </c>
      <c r="B1887" t="s">
        <v>4937</v>
      </c>
      <c r="C1887" t="s">
        <v>1953</v>
      </c>
      <c r="D1887" t="s">
        <v>1940</v>
      </c>
      <c r="F1887" s="2">
        <v>3198.82</v>
      </c>
    </row>
    <row r="1888" spans="1:6" x14ac:dyDescent="0.25">
      <c r="A1888" t="s">
        <v>4938</v>
      </c>
      <c r="B1888" t="s">
        <v>4939</v>
      </c>
      <c r="C1888" t="s">
        <v>1953</v>
      </c>
      <c r="D1888" t="s">
        <v>1940</v>
      </c>
      <c r="F1888" s="2">
        <v>718.2</v>
      </c>
    </row>
    <row r="1889" spans="1:6" x14ac:dyDescent="0.25">
      <c r="A1889" t="s">
        <v>4940</v>
      </c>
      <c r="B1889" t="s">
        <v>4941</v>
      </c>
      <c r="C1889" t="s">
        <v>1953</v>
      </c>
      <c r="D1889" t="s">
        <v>1940</v>
      </c>
      <c r="F1889" s="2">
        <v>3810.45</v>
      </c>
    </row>
    <row r="1890" spans="1:6" x14ac:dyDescent="0.25">
      <c r="A1890" t="s">
        <v>4942</v>
      </c>
      <c r="B1890" t="s">
        <v>4943</v>
      </c>
      <c r="C1890" t="s">
        <v>1953</v>
      </c>
      <c r="D1890" t="s">
        <v>1940</v>
      </c>
      <c r="F1890" s="2">
        <v>3177.98</v>
      </c>
    </row>
    <row r="1891" spans="1:6" x14ac:dyDescent="0.25">
      <c r="A1891" t="s">
        <v>4944</v>
      </c>
      <c r="B1891" t="s">
        <v>4945</v>
      </c>
      <c r="C1891" t="s">
        <v>1953</v>
      </c>
      <c r="D1891" t="s">
        <v>1940</v>
      </c>
      <c r="F1891" s="2">
        <v>3177.98</v>
      </c>
    </row>
    <row r="1892" spans="1:6" x14ac:dyDescent="0.25">
      <c r="A1892" t="s">
        <v>4946</v>
      </c>
      <c r="B1892" t="s">
        <v>4947</v>
      </c>
      <c r="C1892" t="s">
        <v>1953</v>
      </c>
      <c r="D1892" t="s">
        <v>1940</v>
      </c>
      <c r="F1892" s="2">
        <v>3.7</v>
      </c>
    </row>
    <row r="1893" spans="1:6" x14ac:dyDescent="0.25">
      <c r="A1893" t="s">
        <v>4948</v>
      </c>
      <c r="B1893" t="s">
        <v>4949</v>
      </c>
      <c r="C1893" t="s">
        <v>1953</v>
      </c>
      <c r="D1893" t="s">
        <v>1940</v>
      </c>
      <c r="F1893" s="2">
        <v>107.86</v>
      </c>
    </row>
    <row r="1894" spans="1:6" x14ac:dyDescent="0.25">
      <c r="A1894" t="s">
        <v>4950</v>
      </c>
      <c r="B1894" t="s">
        <v>4951</v>
      </c>
      <c r="C1894" t="s">
        <v>1953</v>
      </c>
      <c r="D1894" t="s">
        <v>1954</v>
      </c>
      <c r="F1894" s="2">
        <v>39075.85</v>
      </c>
    </row>
    <row r="1895" spans="1:6" x14ac:dyDescent="0.25">
      <c r="A1895" t="s">
        <v>4952</v>
      </c>
      <c r="B1895" t="s">
        <v>4953</v>
      </c>
      <c r="C1895" t="s">
        <v>1953</v>
      </c>
      <c r="D1895" t="s">
        <v>1954</v>
      </c>
      <c r="F1895" s="2">
        <v>39075.85</v>
      </c>
    </row>
    <row r="1896" spans="1:6" x14ac:dyDescent="0.25">
      <c r="A1896" t="s">
        <v>1310</v>
      </c>
      <c r="B1896" t="s">
        <v>4954</v>
      </c>
      <c r="C1896" t="s">
        <v>1953</v>
      </c>
      <c r="D1896" t="s">
        <v>1954</v>
      </c>
      <c r="E1896" t="s">
        <v>1277</v>
      </c>
      <c r="F1896" s="2">
        <v>7.1</v>
      </c>
    </row>
    <row r="1897" spans="1:6" x14ac:dyDescent="0.25">
      <c r="A1897" t="s">
        <v>1312</v>
      </c>
      <c r="B1897" t="s">
        <v>4955</v>
      </c>
      <c r="C1897" t="s">
        <v>1953</v>
      </c>
      <c r="D1897" t="s">
        <v>1954</v>
      </c>
      <c r="E1897" t="s">
        <v>1277</v>
      </c>
      <c r="F1897" s="2">
        <v>7.1</v>
      </c>
    </row>
    <row r="1898" spans="1:6" x14ac:dyDescent="0.25">
      <c r="A1898" t="s">
        <v>1314</v>
      </c>
      <c r="B1898" t="s">
        <v>4956</v>
      </c>
      <c r="C1898" t="s">
        <v>1953</v>
      </c>
      <c r="D1898" t="s">
        <v>1954</v>
      </c>
      <c r="E1898" t="s">
        <v>1277</v>
      </c>
      <c r="F1898" s="2">
        <v>7.1</v>
      </c>
    </row>
    <row r="1899" spans="1:6" x14ac:dyDescent="0.25">
      <c r="A1899" t="s">
        <v>1316</v>
      </c>
      <c r="B1899" t="s">
        <v>4957</v>
      </c>
      <c r="C1899" t="s">
        <v>1953</v>
      </c>
      <c r="D1899" t="s">
        <v>1954</v>
      </c>
      <c r="E1899" t="s">
        <v>1277</v>
      </c>
      <c r="F1899" s="2">
        <v>7.1</v>
      </c>
    </row>
    <row r="1900" spans="1:6" x14ac:dyDescent="0.25">
      <c r="A1900" t="s">
        <v>4958</v>
      </c>
      <c r="B1900" t="s">
        <v>4959</v>
      </c>
      <c r="C1900" t="s">
        <v>1953</v>
      </c>
      <c r="D1900" t="s">
        <v>1954</v>
      </c>
      <c r="E1900" t="s">
        <v>1277</v>
      </c>
      <c r="F1900" s="2">
        <v>7.83</v>
      </c>
    </row>
    <row r="1901" spans="1:6" x14ac:dyDescent="0.25">
      <c r="A1901" t="s">
        <v>1318</v>
      </c>
      <c r="B1901" t="s">
        <v>4960</v>
      </c>
      <c r="C1901" t="s">
        <v>1953</v>
      </c>
      <c r="D1901" t="s">
        <v>1954</v>
      </c>
      <c r="E1901" t="s">
        <v>1373</v>
      </c>
      <c r="F1901" s="2">
        <v>5.86</v>
      </c>
    </row>
    <row r="1902" spans="1:6" x14ac:dyDescent="0.25">
      <c r="A1902" t="s">
        <v>1323</v>
      </c>
      <c r="B1902" t="s">
        <v>4961</v>
      </c>
      <c r="C1902" t="s">
        <v>1953</v>
      </c>
      <c r="D1902" t="s">
        <v>1954</v>
      </c>
      <c r="E1902" t="s">
        <v>1373</v>
      </c>
      <c r="F1902" s="2">
        <v>5.86</v>
      </c>
    </row>
    <row r="1903" spans="1:6" x14ac:dyDescent="0.25">
      <c r="A1903" t="s">
        <v>1324</v>
      </c>
      <c r="B1903" t="s">
        <v>4962</v>
      </c>
      <c r="C1903" t="s">
        <v>1953</v>
      </c>
      <c r="D1903" t="s">
        <v>1954</v>
      </c>
      <c r="E1903" t="s">
        <v>1349</v>
      </c>
      <c r="F1903" s="2">
        <v>5.86</v>
      </c>
    </row>
    <row r="1904" spans="1:6" x14ac:dyDescent="0.25">
      <c r="A1904" t="s">
        <v>4963</v>
      </c>
      <c r="B1904" t="s">
        <v>4964</v>
      </c>
      <c r="C1904" t="s">
        <v>1953</v>
      </c>
      <c r="D1904" t="s">
        <v>1940</v>
      </c>
      <c r="F1904" s="2">
        <v>147.09</v>
      </c>
    </row>
    <row r="1905" spans="1:6" x14ac:dyDescent="0.25">
      <c r="A1905" t="s">
        <v>4965</v>
      </c>
      <c r="B1905" t="s">
        <v>4966</v>
      </c>
      <c r="C1905" t="s">
        <v>1953</v>
      </c>
      <c r="D1905" t="s">
        <v>1940</v>
      </c>
      <c r="F1905" s="2">
        <v>223.68</v>
      </c>
    </row>
    <row r="1906" spans="1:6" x14ac:dyDescent="0.25">
      <c r="A1906" t="s">
        <v>4967</v>
      </c>
      <c r="B1906" t="s">
        <v>4968</v>
      </c>
      <c r="C1906" t="s">
        <v>1953</v>
      </c>
      <c r="D1906" t="s">
        <v>1940</v>
      </c>
      <c r="F1906" s="2">
        <v>251.77</v>
      </c>
    </row>
    <row r="1907" spans="1:6" x14ac:dyDescent="0.25">
      <c r="A1907" t="s">
        <v>1327</v>
      </c>
      <c r="B1907" t="s">
        <v>4969</v>
      </c>
      <c r="C1907" t="s">
        <v>1953</v>
      </c>
      <c r="D1907" t="s">
        <v>1954</v>
      </c>
      <c r="E1907" t="s">
        <v>1349</v>
      </c>
      <c r="F1907" s="2">
        <v>5.86</v>
      </c>
    </row>
    <row r="1908" spans="1:6" x14ac:dyDescent="0.25">
      <c r="A1908" t="s">
        <v>4970</v>
      </c>
      <c r="B1908" t="s">
        <v>4971</v>
      </c>
      <c r="C1908" t="s">
        <v>1953</v>
      </c>
      <c r="D1908" t="s">
        <v>1954</v>
      </c>
      <c r="E1908" t="s">
        <v>1373</v>
      </c>
      <c r="F1908" s="2">
        <v>5.86</v>
      </c>
    </row>
    <row r="1909" spans="1:6" x14ac:dyDescent="0.25">
      <c r="A1909" t="s">
        <v>1329</v>
      </c>
      <c r="B1909" t="s">
        <v>4972</v>
      </c>
      <c r="C1909" t="s">
        <v>1953</v>
      </c>
      <c r="D1909" t="s">
        <v>1954</v>
      </c>
      <c r="E1909" t="s">
        <v>1373</v>
      </c>
      <c r="F1909" s="2">
        <v>5.86</v>
      </c>
    </row>
    <row r="1910" spans="1:6" x14ac:dyDescent="0.25">
      <c r="A1910" t="s">
        <v>1331</v>
      </c>
      <c r="B1910" t="s">
        <v>4973</v>
      </c>
      <c r="C1910" t="s">
        <v>1953</v>
      </c>
      <c r="D1910" t="s">
        <v>1954</v>
      </c>
      <c r="E1910" t="s">
        <v>1373</v>
      </c>
      <c r="F1910" s="2">
        <v>5.3</v>
      </c>
    </row>
    <row r="1911" spans="1:6" x14ac:dyDescent="0.25">
      <c r="A1911" t="s">
        <v>1333</v>
      </c>
      <c r="B1911" t="s">
        <v>4974</v>
      </c>
      <c r="C1911" t="s">
        <v>1953</v>
      </c>
      <c r="D1911" t="s">
        <v>1954</v>
      </c>
      <c r="E1911" t="s">
        <v>1373</v>
      </c>
      <c r="F1911" s="2">
        <v>5.3</v>
      </c>
    </row>
    <row r="1912" spans="1:6" x14ac:dyDescent="0.25">
      <c r="A1912" t="s">
        <v>4975</v>
      </c>
      <c r="B1912" t="s">
        <v>4976</v>
      </c>
      <c r="C1912" t="s">
        <v>1953</v>
      </c>
      <c r="D1912" t="s">
        <v>1940</v>
      </c>
      <c r="F1912" s="2">
        <v>85.71</v>
      </c>
    </row>
    <row r="1913" spans="1:6" x14ac:dyDescent="0.25">
      <c r="A1913" t="s">
        <v>1334</v>
      </c>
      <c r="B1913" t="s">
        <v>4977</v>
      </c>
      <c r="C1913" t="s">
        <v>1953</v>
      </c>
      <c r="D1913" t="s">
        <v>1954</v>
      </c>
      <c r="E1913" t="s">
        <v>1373</v>
      </c>
      <c r="F1913" s="2">
        <v>5.86</v>
      </c>
    </row>
    <row r="1914" spans="1:6" x14ac:dyDescent="0.25">
      <c r="A1914" t="s">
        <v>4978</v>
      </c>
      <c r="B1914" t="s">
        <v>4979</v>
      </c>
      <c r="C1914" t="s">
        <v>1953</v>
      </c>
      <c r="D1914" t="s">
        <v>1940</v>
      </c>
      <c r="F1914" s="2">
        <v>259.88</v>
      </c>
    </row>
    <row r="1915" spans="1:6" x14ac:dyDescent="0.25">
      <c r="A1915" t="s">
        <v>4980</v>
      </c>
      <c r="B1915" t="s">
        <v>4981</v>
      </c>
      <c r="C1915" t="s">
        <v>1953</v>
      </c>
      <c r="D1915" t="s">
        <v>1940</v>
      </c>
      <c r="F1915" s="2">
        <v>101.16</v>
      </c>
    </row>
    <row r="1916" spans="1:6" x14ac:dyDescent="0.25">
      <c r="A1916" t="s">
        <v>4982</v>
      </c>
      <c r="B1916" t="s">
        <v>4983</v>
      </c>
      <c r="C1916" t="s">
        <v>1953</v>
      </c>
      <c r="D1916" t="s">
        <v>1954</v>
      </c>
      <c r="F1916" s="2">
        <v>24047.16</v>
      </c>
    </row>
    <row r="1917" spans="1:6" x14ac:dyDescent="0.25">
      <c r="A1917" t="s">
        <v>4984</v>
      </c>
      <c r="B1917" t="s">
        <v>4985</v>
      </c>
      <c r="C1917" t="s">
        <v>1953</v>
      </c>
      <c r="D1917" t="s">
        <v>1940</v>
      </c>
      <c r="F1917" s="2">
        <v>356.05</v>
      </c>
    </row>
    <row r="1918" spans="1:6" x14ac:dyDescent="0.25">
      <c r="A1918" t="s">
        <v>4986</v>
      </c>
      <c r="B1918" t="s">
        <v>4987</v>
      </c>
      <c r="C1918" t="s">
        <v>1953</v>
      </c>
      <c r="D1918" t="s">
        <v>1940</v>
      </c>
      <c r="F1918" s="2">
        <v>185421</v>
      </c>
    </row>
    <row r="1919" spans="1:6" x14ac:dyDescent="0.25">
      <c r="A1919" t="s">
        <v>4988</v>
      </c>
      <c r="B1919" t="s">
        <v>4989</v>
      </c>
      <c r="C1919" t="s">
        <v>1953</v>
      </c>
      <c r="D1919" t="s">
        <v>1940</v>
      </c>
      <c r="F1919" s="2">
        <v>73866.3</v>
      </c>
    </row>
    <row r="1920" spans="1:6" x14ac:dyDescent="0.25">
      <c r="A1920" t="s">
        <v>4990</v>
      </c>
      <c r="B1920" t="s">
        <v>4991</v>
      </c>
      <c r="C1920" t="s">
        <v>1953</v>
      </c>
      <c r="D1920" t="s">
        <v>1954</v>
      </c>
      <c r="E1920" t="s">
        <v>3370</v>
      </c>
      <c r="F1920" s="2">
        <v>93.28</v>
      </c>
    </row>
    <row r="1921" spans="1:6" x14ac:dyDescent="0.25">
      <c r="A1921" t="s">
        <v>4992</v>
      </c>
      <c r="B1921" t="s">
        <v>4993</v>
      </c>
      <c r="C1921" t="s">
        <v>1953</v>
      </c>
      <c r="D1921" t="s">
        <v>1954</v>
      </c>
      <c r="E1921" t="s">
        <v>2022</v>
      </c>
      <c r="F1921" s="2">
        <v>99.87</v>
      </c>
    </row>
    <row r="1922" spans="1:6" x14ac:dyDescent="0.25">
      <c r="A1922" t="s">
        <v>1336</v>
      </c>
      <c r="B1922" t="s">
        <v>4994</v>
      </c>
      <c r="C1922" t="s">
        <v>1953</v>
      </c>
      <c r="D1922" t="s">
        <v>1954</v>
      </c>
      <c r="E1922" t="s">
        <v>1373</v>
      </c>
      <c r="F1922" s="2">
        <v>5.86</v>
      </c>
    </row>
    <row r="1923" spans="1:6" x14ac:dyDescent="0.25">
      <c r="A1923" t="s">
        <v>4995</v>
      </c>
      <c r="B1923" t="s">
        <v>4996</v>
      </c>
      <c r="C1923" t="s">
        <v>1953</v>
      </c>
      <c r="D1923" t="s">
        <v>1940</v>
      </c>
      <c r="F1923" s="2">
        <v>903.14</v>
      </c>
    </row>
    <row r="1924" spans="1:6" x14ac:dyDescent="0.25">
      <c r="A1924" t="s">
        <v>4997</v>
      </c>
      <c r="B1924" t="s">
        <v>4998</v>
      </c>
      <c r="C1924" t="s">
        <v>1953</v>
      </c>
      <c r="D1924" t="s">
        <v>1940</v>
      </c>
      <c r="F1924" s="2">
        <v>90.31</v>
      </c>
    </row>
    <row r="1925" spans="1:6" x14ac:dyDescent="0.25">
      <c r="A1925" t="s">
        <v>4999</v>
      </c>
      <c r="B1925" t="s">
        <v>5000</v>
      </c>
      <c r="C1925" t="s">
        <v>1953</v>
      </c>
      <c r="D1925" t="s">
        <v>1940</v>
      </c>
      <c r="F1925" s="2">
        <v>2254.44</v>
      </c>
    </row>
    <row r="1926" spans="1:6" x14ac:dyDescent="0.25">
      <c r="A1926" t="s">
        <v>1337</v>
      </c>
      <c r="B1926" t="s">
        <v>5001</v>
      </c>
      <c r="C1926" t="s">
        <v>1953</v>
      </c>
      <c r="D1926" t="s">
        <v>1954</v>
      </c>
      <c r="E1926" t="s">
        <v>1373</v>
      </c>
      <c r="F1926" s="2">
        <v>5.86</v>
      </c>
    </row>
    <row r="1927" spans="1:6" x14ac:dyDescent="0.25">
      <c r="A1927" t="s">
        <v>5002</v>
      </c>
      <c r="B1927" t="s">
        <v>5003</v>
      </c>
      <c r="C1927" t="s">
        <v>1953</v>
      </c>
      <c r="D1927" t="s">
        <v>1940</v>
      </c>
      <c r="F1927" s="2">
        <v>57.5</v>
      </c>
    </row>
    <row r="1928" spans="1:6" x14ac:dyDescent="0.25">
      <c r="A1928" t="s">
        <v>5004</v>
      </c>
      <c r="B1928" t="s">
        <v>5005</v>
      </c>
      <c r="C1928" t="s">
        <v>1953</v>
      </c>
      <c r="D1928" t="s">
        <v>1940</v>
      </c>
      <c r="F1928" s="2">
        <v>1437.14</v>
      </c>
    </row>
    <row r="1929" spans="1:6" x14ac:dyDescent="0.25">
      <c r="A1929" t="s">
        <v>5006</v>
      </c>
      <c r="B1929" t="s">
        <v>5007</v>
      </c>
      <c r="C1929" t="s">
        <v>1953</v>
      </c>
      <c r="D1929" t="s">
        <v>1940</v>
      </c>
      <c r="F1929" s="2">
        <v>122.05</v>
      </c>
    </row>
    <row r="1930" spans="1:6" x14ac:dyDescent="0.25">
      <c r="A1930" t="s">
        <v>1339</v>
      </c>
      <c r="B1930" t="s">
        <v>5008</v>
      </c>
      <c r="C1930" t="s">
        <v>1953</v>
      </c>
      <c r="D1930" t="s">
        <v>1954</v>
      </c>
      <c r="E1930" t="s">
        <v>1373</v>
      </c>
      <c r="F1930" s="2">
        <v>5.86</v>
      </c>
    </row>
    <row r="1931" spans="1:6" x14ac:dyDescent="0.25">
      <c r="A1931" t="s">
        <v>1340</v>
      </c>
      <c r="B1931" t="s">
        <v>5009</v>
      </c>
      <c r="C1931" t="s">
        <v>1953</v>
      </c>
      <c r="D1931" t="s">
        <v>1954</v>
      </c>
      <c r="E1931" t="s">
        <v>1349</v>
      </c>
      <c r="F1931" s="2">
        <v>5.86</v>
      </c>
    </row>
    <row r="1932" spans="1:6" x14ac:dyDescent="0.25">
      <c r="A1932" t="s">
        <v>5010</v>
      </c>
      <c r="B1932" t="s">
        <v>5011</v>
      </c>
      <c r="C1932" t="s">
        <v>1953</v>
      </c>
      <c r="D1932" t="s">
        <v>1940</v>
      </c>
      <c r="F1932" s="2">
        <v>38.869999999999997</v>
      </c>
    </row>
    <row r="1933" spans="1:6" x14ac:dyDescent="0.25">
      <c r="A1933" t="s">
        <v>5012</v>
      </c>
      <c r="B1933" t="s">
        <v>5013</v>
      </c>
      <c r="C1933" t="s">
        <v>1953</v>
      </c>
      <c r="D1933" t="s">
        <v>1940</v>
      </c>
      <c r="F1933" s="2">
        <v>33.74</v>
      </c>
    </row>
    <row r="1934" spans="1:6" x14ac:dyDescent="0.25">
      <c r="A1934" t="s">
        <v>5014</v>
      </c>
      <c r="B1934" t="s">
        <v>5015</v>
      </c>
      <c r="C1934" t="s">
        <v>1953</v>
      </c>
      <c r="D1934" t="s">
        <v>1940</v>
      </c>
      <c r="F1934" s="2">
        <v>108.15</v>
      </c>
    </row>
    <row r="1935" spans="1:6" x14ac:dyDescent="0.25">
      <c r="A1935" t="s">
        <v>5016</v>
      </c>
      <c r="B1935" t="s">
        <v>5017</v>
      </c>
      <c r="C1935" t="s">
        <v>1953</v>
      </c>
      <c r="D1935" t="s">
        <v>1940</v>
      </c>
      <c r="F1935" s="2">
        <v>14.3</v>
      </c>
    </row>
    <row r="1936" spans="1:6" x14ac:dyDescent="0.25">
      <c r="A1936" t="s">
        <v>5018</v>
      </c>
      <c r="B1936" t="s">
        <v>5019</v>
      </c>
      <c r="C1936" t="s">
        <v>1953</v>
      </c>
      <c r="D1936" t="s">
        <v>1940</v>
      </c>
      <c r="F1936" s="2">
        <v>4.05</v>
      </c>
    </row>
    <row r="1937" spans="1:6" x14ac:dyDescent="0.25">
      <c r="A1937" t="s">
        <v>5020</v>
      </c>
      <c r="B1937" t="s">
        <v>5021</v>
      </c>
      <c r="C1937" t="s">
        <v>1953</v>
      </c>
      <c r="D1937" t="s">
        <v>1940</v>
      </c>
      <c r="F1937" s="2">
        <v>10.87</v>
      </c>
    </row>
    <row r="1938" spans="1:6" x14ac:dyDescent="0.25">
      <c r="A1938" t="s">
        <v>5022</v>
      </c>
      <c r="B1938" t="s">
        <v>5023</v>
      </c>
      <c r="C1938" t="s">
        <v>1953</v>
      </c>
      <c r="D1938" t="s">
        <v>1940</v>
      </c>
      <c r="F1938" s="2">
        <v>22.74</v>
      </c>
    </row>
    <row r="1939" spans="1:6" x14ac:dyDescent="0.25">
      <c r="A1939" t="s">
        <v>5024</v>
      </c>
      <c r="B1939" t="s">
        <v>5025</v>
      </c>
      <c r="C1939" t="s">
        <v>1953</v>
      </c>
      <c r="D1939" t="s">
        <v>1940</v>
      </c>
      <c r="F1939" s="2">
        <v>11.4</v>
      </c>
    </row>
    <row r="1940" spans="1:6" x14ac:dyDescent="0.25">
      <c r="A1940" t="s">
        <v>5026</v>
      </c>
      <c r="B1940" t="s">
        <v>5027</v>
      </c>
      <c r="C1940" t="s">
        <v>1953</v>
      </c>
      <c r="D1940" t="s">
        <v>1940</v>
      </c>
      <c r="F1940" s="2">
        <v>15.91</v>
      </c>
    </row>
    <row r="1941" spans="1:6" x14ac:dyDescent="0.25">
      <c r="A1941" t="s">
        <v>5028</v>
      </c>
      <c r="B1941" t="s">
        <v>5029</v>
      </c>
      <c r="C1941" t="s">
        <v>1953</v>
      </c>
      <c r="D1941" t="s">
        <v>1954</v>
      </c>
      <c r="E1941" t="s">
        <v>1349</v>
      </c>
      <c r="F1941" s="2">
        <v>5.86</v>
      </c>
    </row>
    <row r="1942" spans="1:6" x14ac:dyDescent="0.25">
      <c r="A1942" t="s">
        <v>5030</v>
      </c>
      <c r="B1942" t="s">
        <v>5031</v>
      </c>
      <c r="C1942" t="s">
        <v>1953</v>
      </c>
      <c r="D1942" t="s">
        <v>1940</v>
      </c>
      <c r="F1942" s="2">
        <v>97.2</v>
      </c>
    </row>
    <row r="1943" spans="1:6" x14ac:dyDescent="0.25">
      <c r="A1943" t="s">
        <v>5032</v>
      </c>
      <c r="B1943" t="s">
        <v>5033</v>
      </c>
      <c r="C1943" t="s">
        <v>1953</v>
      </c>
      <c r="D1943" t="s">
        <v>1940</v>
      </c>
      <c r="F1943" s="2">
        <v>391.16</v>
      </c>
    </row>
    <row r="1944" spans="1:6" x14ac:dyDescent="0.25">
      <c r="A1944" t="s">
        <v>5034</v>
      </c>
      <c r="B1944" t="s">
        <v>5035</v>
      </c>
      <c r="C1944" t="s">
        <v>1953</v>
      </c>
      <c r="D1944" t="s">
        <v>1940</v>
      </c>
      <c r="F1944" s="2">
        <v>3.87</v>
      </c>
    </row>
    <row r="1945" spans="1:6" x14ac:dyDescent="0.25">
      <c r="A1945" t="s">
        <v>5036</v>
      </c>
      <c r="B1945" t="s">
        <v>5037</v>
      </c>
      <c r="C1945" t="s">
        <v>1953</v>
      </c>
      <c r="D1945" t="s">
        <v>1940</v>
      </c>
      <c r="F1945" s="2">
        <v>1178.19</v>
      </c>
    </row>
    <row r="1946" spans="1:6" x14ac:dyDescent="0.25">
      <c r="A1946" t="s">
        <v>5038</v>
      </c>
      <c r="B1946" t="s">
        <v>5039</v>
      </c>
      <c r="C1946" t="s">
        <v>1953</v>
      </c>
      <c r="D1946" t="s">
        <v>1940</v>
      </c>
      <c r="F1946" s="2">
        <v>9.3800000000000008</v>
      </c>
    </row>
    <row r="1947" spans="1:6" x14ac:dyDescent="0.25">
      <c r="A1947" t="s">
        <v>5040</v>
      </c>
      <c r="B1947" t="s">
        <v>5041</v>
      </c>
      <c r="C1947" t="s">
        <v>1953</v>
      </c>
      <c r="D1947" t="s">
        <v>1954</v>
      </c>
      <c r="E1947" t="s">
        <v>3370</v>
      </c>
      <c r="F1947" s="2">
        <v>93.28</v>
      </c>
    </row>
    <row r="1948" spans="1:6" x14ac:dyDescent="0.25">
      <c r="A1948" t="s">
        <v>5042</v>
      </c>
      <c r="B1948" t="s">
        <v>5043</v>
      </c>
      <c r="C1948" t="s">
        <v>1953</v>
      </c>
      <c r="D1948" t="s">
        <v>1954</v>
      </c>
      <c r="E1948" t="s">
        <v>3370</v>
      </c>
      <c r="F1948" s="2">
        <v>93.28</v>
      </c>
    </row>
    <row r="1949" spans="1:6" x14ac:dyDescent="0.25">
      <c r="A1949" t="s">
        <v>5044</v>
      </c>
      <c r="B1949" t="s">
        <v>5045</v>
      </c>
      <c r="C1949" t="s">
        <v>1953</v>
      </c>
      <c r="D1949" t="s">
        <v>1954</v>
      </c>
      <c r="E1949" t="s">
        <v>3370</v>
      </c>
      <c r="F1949" s="2">
        <v>93.28</v>
      </c>
    </row>
    <row r="1950" spans="1:6" x14ac:dyDescent="0.25">
      <c r="A1950" t="s">
        <v>1342</v>
      </c>
      <c r="B1950" t="s">
        <v>5046</v>
      </c>
      <c r="C1950" t="s">
        <v>1953</v>
      </c>
      <c r="D1950" t="s">
        <v>1954</v>
      </c>
      <c r="E1950" t="s">
        <v>1349</v>
      </c>
      <c r="F1950" s="2">
        <v>5.86</v>
      </c>
    </row>
    <row r="1951" spans="1:6" x14ac:dyDescent="0.25">
      <c r="A1951" t="s">
        <v>1344</v>
      </c>
      <c r="B1951" t="s">
        <v>5047</v>
      </c>
      <c r="C1951" t="s">
        <v>1953</v>
      </c>
      <c r="D1951" t="s">
        <v>1954</v>
      </c>
      <c r="E1951" t="s">
        <v>1349</v>
      </c>
      <c r="F1951" s="2">
        <v>5.86</v>
      </c>
    </row>
    <row r="1952" spans="1:6" x14ac:dyDescent="0.25">
      <c r="A1952" t="s">
        <v>5048</v>
      </c>
      <c r="B1952" t="s">
        <v>5049</v>
      </c>
      <c r="C1952" t="s">
        <v>1953</v>
      </c>
      <c r="D1952" t="s">
        <v>1954</v>
      </c>
      <c r="F1952" s="2">
        <v>104.55</v>
      </c>
    </row>
    <row r="1953" spans="1:6" x14ac:dyDescent="0.25">
      <c r="A1953" t="s">
        <v>1345</v>
      </c>
      <c r="B1953" t="s">
        <v>5050</v>
      </c>
      <c r="C1953" t="s">
        <v>1953</v>
      </c>
      <c r="D1953" t="s">
        <v>1954</v>
      </c>
      <c r="E1953" t="s">
        <v>1349</v>
      </c>
      <c r="F1953" s="2">
        <v>5.86</v>
      </c>
    </row>
    <row r="1954" spans="1:6" x14ac:dyDescent="0.25">
      <c r="A1954" t="s">
        <v>1347</v>
      </c>
      <c r="B1954" t="s">
        <v>5051</v>
      </c>
      <c r="C1954" t="s">
        <v>1953</v>
      </c>
      <c r="D1954" t="s">
        <v>1954</v>
      </c>
      <c r="E1954" t="s">
        <v>1349</v>
      </c>
      <c r="F1954" s="2">
        <v>5.86</v>
      </c>
    </row>
    <row r="1955" spans="1:6" x14ac:dyDescent="0.25">
      <c r="A1955" t="s">
        <v>5052</v>
      </c>
      <c r="B1955" t="s">
        <v>5053</v>
      </c>
      <c r="C1955" t="s">
        <v>1953</v>
      </c>
      <c r="D1955" t="s">
        <v>1940</v>
      </c>
      <c r="F1955" s="2">
        <v>58.87</v>
      </c>
    </row>
    <row r="1956" spans="1:6" x14ac:dyDescent="0.25">
      <c r="A1956" t="s">
        <v>5054</v>
      </c>
      <c r="B1956" t="s">
        <v>5055</v>
      </c>
      <c r="C1956" t="s">
        <v>1953</v>
      </c>
      <c r="D1956" t="s">
        <v>1954</v>
      </c>
      <c r="F1956" s="2">
        <v>14023.8</v>
      </c>
    </row>
    <row r="1957" spans="1:6" x14ac:dyDescent="0.25">
      <c r="A1957" t="s">
        <v>1348</v>
      </c>
      <c r="B1957" t="s">
        <v>5056</v>
      </c>
      <c r="C1957" t="s">
        <v>1953</v>
      </c>
      <c r="D1957" t="s">
        <v>1954</v>
      </c>
      <c r="E1957" t="s">
        <v>1349</v>
      </c>
      <c r="F1957" s="2">
        <v>5.3</v>
      </c>
    </row>
    <row r="1958" spans="1:6" x14ac:dyDescent="0.25">
      <c r="A1958" t="s">
        <v>5057</v>
      </c>
      <c r="B1958" t="s">
        <v>5058</v>
      </c>
      <c r="C1958" t="s">
        <v>1953</v>
      </c>
      <c r="D1958" t="s">
        <v>1940</v>
      </c>
      <c r="F1958" s="2">
        <v>625.4</v>
      </c>
    </row>
    <row r="1959" spans="1:6" x14ac:dyDescent="0.25">
      <c r="A1959" t="s">
        <v>1349</v>
      </c>
      <c r="B1959" t="s">
        <v>5059</v>
      </c>
      <c r="C1959" t="s">
        <v>1953</v>
      </c>
      <c r="D1959" t="s">
        <v>1954</v>
      </c>
      <c r="E1959" t="s">
        <v>1349</v>
      </c>
      <c r="F1959" s="2">
        <v>5.3</v>
      </c>
    </row>
    <row r="1960" spans="1:6" x14ac:dyDescent="0.25">
      <c r="A1960" t="s">
        <v>5060</v>
      </c>
      <c r="B1960" t="s">
        <v>5061</v>
      </c>
      <c r="C1960" t="s">
        <v>1953</v>
      </c>
      <c r="D1960" t="s">
        <v>1940</v>
      </c>
      <c r="F1960" s="2">
        <v>15.06</v>
      </c>
    </row>
    <row r="1961" spans="1:6" x14ac:dyDescent="0.25">
      <c r="A1961" t="s">
        <v>5062</v>
      </c>
      <c r="B1961" t="s">
        <v>5063</v>
      </c>
      <c r="C1961" t="s">
        <v>1953</v>
      </c>
      <c r="D1961" t="s">
        <v>1940</v>
      </c>
      <c r="F1961" s="2">
        <v>1425.95</v>
      </c>
    </row>
    <row r="1962" spans="1:6" x14ac:dyDescent="0.25">
      <c r="A1962" t="s">
        <v>1351</v>
      </c>
      <c r="B1962" t="s">
        <v>5064</v>
      </c>
      <c r="C1962" t="s">
        <v>1953</v>
      </c>
      <c r="D1962" t="s">
        <v>1954</v>
      </c>
      <c r="E1962" t="s">
        <v>1373</v>
      </c>
      <c r="F1962" s="2">
        <v>5.86</v>
      </c>
    </row>
    <row r="1963" spans="1:6" x14ac:dyDescent="0.25">
      <c r="A1963" t="s">
        <v>1353</v>
      </c>
      <c r="B1963" t="s">
        <v>5065</v>
      </c>
      <c r="C1963" t="s">
        <v>1953</v>
      </c>
      <c r="D1963" t="s">
        <v>1954</v>
      </c>
      <c r="E1963" t="s">
        <v>1373</v>
      </c>
      <c r="F1963" s="2">
        <v>5.86</v>
      </c>
    </row>
    <row r="1964" spans="1:6" x14ac:dyDescent="0.25">
      <c r="A1964" t="s">
        <v>5066</v>
      </c>
      <c r="B1964" t="s">
        <v>5067</v>
      </c>
      <c r="C1964" t="s">
        <v>1953</v>
      </c>
      <c r="D1964" t="s">
        <v>1940</v>
      </c>
      <c r="F1964" s="2">
        <v>11.16</v>
      </c>
    </row>
    <row r="1965" spans="1:6" x14ac:dyDescent="0.25">
      <c r="A1965" t="s">
        <v>5068</v>
      </c>
      <c r="B1965" t="s">
        <v>5069</v>
      </c>
      <c r="C1965" t="s">
        <v>1953</v>
      </c>
      <c r="D1965" t="s">
        <v>1940</v>
      </c>
      <c r="F1965" s="2">
        <v>14.42</v>
      </c>
    </row>
    <row r="1966" spans="1:6" x14ac:dyDescent="0.25">
      <c r="A1966" t="s">
        <v>5070</v>
      </c>
      <c r="B1966" t="s">
        <v>5071</v>
      </c>
      <c r="C1966" t="s">
        <v>1953</v>
      </c>
      <c r="D1966" t="s">
        <v>1940</v>
      </c>
      <c r="F1966" s="2">
        <v>38.93</v>
      </c>
    </row>
    <row r="1967" spans="1:6" x14ac:dyDescent="0.25">
      <c r="A1967" t="s">
        <v>5072</v>
      </c>
      <c r="B1967" t="s">
        <v>5073</v>
      </c>
      <c r="C1967" t="s">
        <v>1953</v>
      </c>
      <c r="D1967" t="s">
        <v>1940</v>
      </c>
      <c r="F1967" s="2">
        <v>45</v>
      </c>
    </row>
    <row r="1968" spans="1:6" x14ac:dyDescent="0.25">
      <c r="A1968" t="s">
        <v>1354</v>
      </c>
      <c r="B1968" t="s">
        <v>5074</v>
      </c>
      <c r="C1968" t="s">
        <v>1953</v>
      </c>
      <c r="D1968" t="s">
        <v>1954</v>
      </c>
      <c r="E1968" t="s">
        <v>1349</v>
      </c>
      <c r="F1968" s="2">
        <v>5.3</v>
      </c>
    </row>
    <row r="1969" spans="1:6" x14ac:dyDescent="0.25">
      <c r="A1969" t="s">
        <v>5075</v>
      </c>
      <c r="B1969" t="s">
        <v>5076</v>
      </c>
      <c r="C1969" t="s">
        <v>1953</v>
      </c>
      <c r="D1969" t="s">
        <v>1940</v>
      </c>
      <c r="F1969" s="2">
        <v>9.15</v>
      </c>
    </row>
    <row r="1970" spans="1:6" x14ac:dyDescent="0.25">
      <c r="A1970" t="s">
        <v>5077</v>
      </c>
      <c r="B1970" t="s">
        <v>5078</v>
      </c>
      <c r="C1970" t="s">
        <v>1953</v>
      </c>
      <c r="D1970" t="s">
        <v>1940</v>
      </c>
      <c r="F1970" s="2">
        <v>3.86</v>
      </c>
    </row>
    <row r="1971" spans="1:6" x14ac:dyDescent="0.25">
      <c r="A1971" t="s">
        <v>5079</v>
      </c>
      <c r="B1971" t="s">
        <v>5080</v>
      </c>
      <c r="C1971" t="s">
        <v>1953</v>
      </c>
      <c r="D1971" t="s">
        <v>1940</v>
      </c>
      <c r="F1971" s="2">
        <v>175</v>
      </c>
    </row>
    <row r="1972" spans="1:6" x14ac:dyDescent="0.25">
      <c r="A1972" t="s">
        <v>5081</v>
      </c>
      <c r="B1972" t="s">
        <v>5082</v>
      </c>
      <c r="C1972" t="s">
        <v>1953</v>
      </c>
      <c r="D1972" t="s">
        <v>1940</v>
      </c>
      <c r="F1972" s="2">
        <v>7557.8</v>
      </c>
    </row>
    <row r="1973" spans="1:6" x14ac:dyDescent="0.25">
      <c r="A1973" t="s">
        <v>5083</v>
      </c>
      <c r="B1973" t="s">
        <v>5084</v>
      </c>
      <c r="C1973" t="s">
        <v>1953</v>
      </c>
      <c r="D1973" t="s">
        <v>1940</v>
      </c>
      <c r="F1973" s="2">
        <v>397.5</v>
      </c>
    </row>
    <row r="1974" spans="1:6" x14ac:dyDescent="0.25">
      <c r="A1974" t="s">
        <v>5085</v>
      </c>
      <c r="B1974" t="s">
        <v>5086</v>
      </c>
      <c r="C1974" t="s">
        <v>1953</v>
      </c>
      <c r="D1974" t="s">
        <v>1940</v>
      </c>
      <c r="F1974" s="2">
        <v>316.94</v>
      </c>
    </row>
    <row r="1975" spans="1:6" x14ac:dyDescent="0.25">
      <c r="A1975" t="s">
        <v>5087</v>
      </c>
      <c r="B1975" t="s">
        <v>5088</v>
      </c>
      <c r="C1975" t="s">
        <v>1953</v>
      </c>
      <c r="D1975" t="s">
        <v>1954</v>
      </c>
      <c r="F1975" s="2">
        <v>4234.7</v>
      </c>
    </row>
    <row r="1976" spans="1:6" x14ac:dyDescent="0.25">
      <c r="A1976" t="s">
        <v>5089</v>
      </c>
      <c r="B1976" t="s">
        <v>5090</v>
      </c>
      <c r="C1976" t="s">
        <v>1953</v>
      </c>
      <c r="D1976" t="s">
        <v>1940</v>
      </c>
      <c r="F1976" s="2">
        <v>329.71</v>
      </c>
    </row>
    <row r="1977" spans="1:6" x14ac:dyDescent="0.25">
      <c r="A1977" t="s">
        <v>5091</v>
      </c>
      <c r="B1977" t="s">
        <v>5092</v>
      </c>
      <c r="C1977" t="s">
        <v>1953</v>
      </c>
      <c r="D1977" t="s">
        <v>1940</v>
      </c>
      <c r="F1977" s="2">
        <v>164.85</v>
      </c>
    </row>
    <row r="1978" spans="1:6" x14ac:dyDescent="0.25">
      <c r="A1978" t="s">
        <v>5093</v>
      </c>
      <c r="B1978" t="s">
        <v>5094</v>
      </c>
      <c r="C1978" t="s">
        <v>1953</v>
      </c>
      <c r="D1978" t="s">
        <v>1954</v>
      </c>
      <c r="E1978" t="s">
        <v>267</v>
      </c>
      <c r="F1978" s="2">
        <v>2.2200000000000002</v>
      </c>
    </row>
    <row r="1979" spans="1:6" x14ac:dyDescent="0.25">
      <c r="A1979" t="s">
        <v>1355</v>
      </c>
      <c r="B1979" t="s">
        <v>5095</v>
      </c>
      <c r="C1979" t="s">
        <v>1953</v>
      </c>
      <c r="D1979" t="s">
        <v>1954</v>
      </c>
      <c r="E1979" t="s">
        <v>1349</v>
      </c>
      <c r="F1979" s="2">
        <v>5.3</v>
      </c>
    </row>
    <row r="1980" spans="1:6" x14ac:dyDescent="0.25">
      <c r="A1980" t="s">
        <v>5096</v>
      </c>
      <c r="B1980" t="s">
        <v>5097</v>
      </c>
      <c r="C1980" t="s">
        <v>1953</v>
      </c>
      <c r="D1980" t="s">
        <v>1940</v>
      </c>
      <c r="F1980" s="2">
        <v>9.86</v>
      </c>
    </row>
    <row r="1981" spans="1:6" x14ac:dyDescent="0.25">
      <c r="A1981" t="s">
        <v>5098</v>
      </c>
      <c r="B1981" t="s">
        <v>5099</v>
      </c>
      <c r="C1981" t="s">
        <v>1953</v>
      </c>
      <c r="D1981" t="s">
        <v>1954</v>
      </c>
      <c r="E1981" t="s">
        <v>1196</v>
      </c>
      <c r="F1981" s="2">
        <v>2.0099999999999998</v>
      </c>
    </row>
    <row r="1982" spans="1:6" x14ac:dyDescent="0.25">
      <c r="A1982" t="s">
        <v>5100</v>
      </c>
      <c r="B1982" t="s">
        <v>5101</v>
      </c>
      <c r="C1982" t="s">
        <v>1953</v>
      </c>
      <c r="D1982" t="s">
        <v>1940</v>
      </c>
      <c r="F1982" s="2">
        <v>185</v>
      </c>
    </row>
    <row r="1983" spans="1:6" x14ac:dyDescent="0.25">
      <c r="A1983" t="s">
        <v>5102</v>
      </c>
      <c r="B1983" t="s">
        <v>5103</v>
      </c>
      <c r="C1983" t="s">
        <v>1953</v>
      </c>
      <c r="D1983" t="s">
        <v>1940</v>
      </c>
      <c r="F1983" s="2">
        <v>338.57</v>
      </c>
    </row>
    <row r="1984" spans="1:6" x14ac:dyDescent="0.25">
      <c r="A1984" t="s">
        <v>5104</v>
      </c>
      <c r="B1984" t="s">
        <v>5105</v>
      </c>
      <c r="C1984" t="s">
        <v>1953</v>
      </c>
      <c r="D1984" t="s">
        <v>1940</v>
      </c>
      <c r="F1984" s="2">
        <v>194.29</v>
      </c>
    </row>
    <row r="1985" spans="1:6" x14ac:dyDescent="0.25">
      <c r="A1985" t="s">
        <v>5106</v>
      </c>
      <c r="B1985" t="s">
        <v>5107</v>
      </c>
      <c r="C1985" t="s">
        <v>1953</v>
      </c>
      <c r="D1985" t="s">
        <v>1940</v>
      </c>
      <c r="F1985" s="2">
        <v>528.57000000000005</v>
      </c>
    </row>
    <row r="1986" spans="1:6" x14ac:dyDescent="0.25">
      <c r="A1986" t="s">
        <v>5108</v>
      </c>
      <c r="B1986" t="s">
        <v>5109</v>
      </c>
      <c r="C1986" t="s">
        <v>1953</v>
      </c>
      <c r="D1986" t="s">
        <v>1954</v>
      </c>
      <c r="F1986" s="2">
        <v>31.77</v>
      </c>
    </row>
    <row r="1987" spans="1:6" x14ac:dyDescent="0.25">
      <c r="A1987" t="s">
        <v>5110</v>
      </c>
      <c r="B1987" t="s">
        <v>5082</v>
      </c>
      <c r="C1987" t="s">
        <v>1953</v>
      </c>
      <c r="D1987" t="s">
        <v>1940</v>
      </c>
      <c r="F1987" s="2">
        <v>7557.8</v>
      </c>
    </row>
    <row r="1988" spans="1:6" x14ac:dyDescent="0.25">
      <c r="A1988" t="s">
        <v>5111</v>
      </c>
      <c r="B1988" t="s">
        <v>5112</v>
      </c>
      <c r="C1988" t="s">
        <v>1953</v>
      </c>
      <c r="D1988" t="s">
        <v>1940</v>
      </c>
      <c r="F1988" s="2">
        <v>37.950000000000003</v>
      </c>
    </row>
    <row r="1989" spans="1:6" x14ac:dyDescent="0.25">
      <c r="A1989" t="s">
        <v>5113</v>
      </c>
      <c r="B1989" t="s">
        <v>5114</v>
      </c>
      <c r="C1989" t="s">
        <v>1953</v>
      </c>
      <c r="D1989" t="s">
        <v>1940</v>
      </c>
      <c r="F1989" s="2">
        <v>265.70999999999998</v>
      </c>
    </row>
    <row r="1990" spans="1:6" x14ac:dyDescent="0.25">
      <c r="A1990" t="s">
        <v>5115</v>
      </c>
      <c r="B1990" t="s">
        <v>5116</v>
      </c>
      <c r="C1990" t="s">
        <v>1953</v>
      </c>
      <c r="D1990" t="s">
        <v>1954</v>
      </c>
      <c r="E1990" t="s">
        <v>1198</v>
      </c>
      <c r="F1990" s="2">
        <v>215.89</v>
      </c>
    </row>
    <row r="1991" spans="1:6" x14ac:dyDescent="0.25">
      <c r="A1991" t="s">
        <v>5117</v>
      </c>
      <c r="B1991" t="s">
        <v>5118</v>
      </c>
      <c r="C1991" t="s">
        <v>1953</v>
      </c>
      <c r="D1991" t="s">
        <v>1954</v>
      </c>
      <c r="E1991" t="s">
        <v>1198</v>
      </c>
      <c r="F1991" s="2">
        <v>252.11</v>
      </c>
    </row>
    <row r="1992" spans="1:6" x14ac:dyDescent="0.25">
      <c r="A1992" t="s">
        <v>5119</v>
      </c>
      <c r="B1992" t="s">
        <v>5120</v>
      </c>
      <c r="C1992" t="s">
        <v>1953</v>
      </c>
      <c r="D1992" t="s">
        <v>1940</v>
      </c>
      <c r="F1992" s="2">
        <v>1380.85</v>
      </c>
    </row>
    <row r="1993" spans="1:6" x14ac:dyDescent="0.25">
      <c r="A1993" t="s">
        <v>5121</v>
      </c>
      <c r="B1993" t="s">
        <v>5122</v>
      </c>
      <c r="C1993" t="s">
        <v>1953</v>
      </c>
      <c r="D1993" t="s">
        <v>1954</v>
      </c>
      <c r="F1993" s="2">
        <v>1024.25</v>
      </c>
    </row>
    <row r="1994" spans="1:6" x14ac:dyDescent="0.25">
      <c r="A1994" t="s">
        <v>5123</v>
      </c>
      <c r="B1994" t="s">
        <v>5124</v>
      </c>
      <c r="C1994" t="s">
        <v>1953</v>
      </c>
      <c r="D1994" t="s">
        <v>1954</v>
      </c>
      <c r="F1994" s="2">
        <v>13900</v>
      </c>
    </row>
    <row r="1995" spans="1:6" x14ac:dyDescent="0.25">
      <c r="A1995" t="s">
        <v>5125</v>
      </c>
      <c r="B1995" t="s">
        <v>5126</v>
      </c>
      <c r="C1995" t="s">
        <v>1953</v>
      </c>
      <c r="D1995" t="s">
        <v>1940</v>
      </c>
      <c r="F1995" s="2">
        <v>150.81</v>
      </c>
    </row>
    <row r="1996" spans="1:6" x14ac:dyDescent="0.25">
      <c r="A1996" t="s">
        <v>5127</v>
      </c>
      <c r="B1996" t="s">
        <v>5128</v>
      </c>
      <c r="C1996" t="s">
        <v>1953</v>
      </c>
      <c r="D1996" t="s">
        <v>1940</v>
      </c>
      <c r="F1996" s="2">
        <v>300</v>
      </c>
    </row>
    <row r="1997" spans="1:6" x14ac:dyDescent="0.25">
      <c r="A1997" t="s">
        <v>5129</v>
      </c>
      <c r="B1997" t="s">
        <v>5130</v>
      </c>
      <c r="C1997" t="s">
        <v>1953</v>
      </c>
      <c r="D1997" t="s">
        <v>1954</v>
      </c>
      <c r="E1997" t="s">
        <v>2022</v>
      </c>
      <c r="F1997" s="2">
        <v>302.69</v>
      </c>
    </row>
    <row r="1998" spans="1:6" x14ac:dyDescent="0.25">
      <c r="A1998" t="s">
        <v>5131</v>
      </c>
      <c r="B1998" t="s">
        <v>5132</v>
      </c>
      <c r="C1998" t="s">
        <v>1953</v>
      </c>
      <c r="D1998" t="s">
        <v>1954</v>
      </c>
      <c r="E1998" t="s">
        <v>169</v>
      </c>
      <c r="F1998" s="2">
        <v>179.7</v>
      </c>
    </row>
    <row r="1999" spans="1:6" x14ac:dyDescent="0.25">
      <c r="A1999" t="s">
        <v>5133</v>
      </c>
      <c r="B1999" t="s">
        <v>5134</v>
      </c>
      <c r="C1999" t="s">
        <v>1953</v>
      </c>
      <c r="D1999" t="s">
        <v>1940</v>
      </c>
      <c r="F1999" s="2">
        <v>180</v>
      </c>
    </row>
    <row r="2000" spans="1:6" x14ac:dyDescent="0.25">
      <c r="A2000" t="s">
        <v>1356</v>
      </c>
      <c r="B2000" t="s">
        <v>5135</v>
      </c>
      <c r="C2000" t="s">
        <v>1953</v>
      </c>
      <c r="D2000" t="s">
        <v>1954</v>
      </c>
      <c r="E2000" t="s">
        <v>1349</v>
      </c>
      <c r="F2000" s="2">
        <v>5.86</v>
      </c>
    </row>
    <row r="2001" spans="1:6" x14ac:dyDescent="0.25">
      <c r="A2001" t="s">
        <v>5136</v>
      </c>
      <c r="B2001" t="s">
        <v>5137</v>
      </c>
      <c r="C2001" t="s">
        <v>1953</v>
      </c>
      <c r="D2001" t="s">
        <v>1954</v>
      </c>
      <c r="E2001" t="s">
        <v>710</v>
      </c>
      <c r="F2001" s="2">
        <v>117.23</v>
      </c>
    </row>
    <row r="2002" spans="1:6" x14ac:dyDescent="0.25">
      <c r="A2002" t="s">
        <v>1358</v>
      </c>
      <c r="B2002" t="s">
        <v>5138</v>
      </c>
      <c r="C2002" t="s">
        <v>1953</v>
      </c>
      <c r="D2002" t="s">
        <v>1954</v>
      </c>
      <c r="E2002" t="s">
        <v>1349</v>
      </c>
      <c r="F2002" s="2">
        <v>5.86</v>
      </c>
    </row>
    <row r="2003" spans="1:6" x14ac:dyDescent="0.25">
      <c r="A2003" t="s">
        <v>1359</v>
      </c>
      <c r="B2003" t="s">
        <v>5139</v>
      </c>
      <c r="C2003" t="s">
        <v>1953</v>
      </c>
      <c r="D2003" t="s">
        <v>1954</v>
      </c>
      <c r="E2003" t="s">
        <v>1349</v>
      </c>
      <c r="F2003" s="2">
        <v>5.86</v>
      </c>
    </row>
    <row r="2004" spans="1:6" x14ac:dyDescent="0.25">
      <c r="A2004" t="s">
        <v>1361</v>
      </c>
      <c r="B2004" t="s">
        <v>5140</v>
      </c>
      <c r="C2004" t="s">
        <v>1953</v>
      </c>
      <c r="D2004" t="s">
        <v>1954</v>
      </c>
      <c r="E2004" t="s">
        <v>1349</v>
      </c>
      <c r="F2004" s="2">
        <v>5.86</v>
      </c>
    </row>
    <row r="2005" spans="1:6" x14ac:dyDescent="0.25">
      <c r="A2005" t="s">
        <v>1362</v>
      </c>
      <c r="B2005" t="s">
        <v>5141</v>
      </c>
      <c r="C2005" t="s">
        <v>1953</v>
      </c>
      <c r="D2005" t="s">
        <v>1954</v>
      </c>
      <c r="E2005" t="s">
        <v>1349</v>
      </c>
      <c r="F2005" s="2">
        <v>5.86</v>
      </c>
    </row>
    <row r="2006" spans="1:6" x14ac:dyDescent="0.25">
      <c r="A2006" t="s">
        <v>1364</v>
      </c>
      <c r="B2006" t="s">
        <v>5142</v>
      </c>
      <c r="C2006" t="s">
        <v>1953</v>
      </c>
      <c r="D2006" t="s">
        <v>1954</v>
      </c>
      <c r="E2006" t="s">
        <v>1349</v>
      </c>
      <c r="F2006" s="2">
        <v>5.86</v>
      </c>
    </row>
    <row r="2007" spans="1:6" x14ac:dyDescent="0.25">
      <c r="A2007" t="s">
        <v>1365</v>
      </c>
      <c r="B2007" t="s">
        <v>5143</v>
      </c>
      <c r="C2007" t="s">
        <v>1953</v>
      </c>
      <c r="D2007" t="s">
        <v>1954</v>
      </c>
      <c r="E2007" t="s">
        <v>1373</v>
      </c>
      <c r="F2007" s="2">
        <v>5.86</v>
      </c>
    </row>
    <row r="2008" spans="1:6" x14ac:dyDescent="0.25">
      <c r="A2008" t="s">
        <v>1367</v>
      </c>
      <c r="B2008" t="s">
        <v>5144</v>
      </c>
      <c r="C2008" t="s">
        <v>1953</v>
      </c>
      <c r="D2008" t="s">
        <v>1954</v>
      </c>
      <c r="E2008" t="s">
        <v>1373</v>
      </c>
      <c r="F2008" s="2">
        <v>5.86</v>
      </c>
    </row>
    <row r="2009" spans="1:6" x14ac:dyDescent="0.25">
      <c r="A2009" t="s">
        <v>1368</v>
      </c>
      <c r="B2009" t="s">
        <v>5145</v>
      </c>
      <c r="C2009" t="s">
        <v>1953</v>
      </c>
      <c r="D2009" t="s">
        <v>1954</v>
      </c>
      <c r="E2009" t="s">
        <v>1373</v>
      </c>
      <c r="F2009" s="2">
        <v>5.86</v>
      </c>
    </row>
    <row r="2010" spans="1:6" x14ac:dyDescent="0.25">
      <c r="A2010" t="s">
        <v>1370</v>
      </c>
      <c r="B2010" t="s">
        <v>5146</v>
      </c>
      <c r="C2010" t="s">
        <v>1953</v>
      </c>
      <c r="D2010" t="s">
        <v>1954</v>
      </c>
      <c r="E2010" t="s">
        <v>1373</v>
      </c>
      <c r="F2010" s="2">
        <v>5.86</v>
      </c>
    </row>
    <row r="2011" spans="1:6" x14ac:dyDescent="0.25">
      <c r="A2011" t="s">
        <v>1371</v>
      </c>
      <c r="B2011" t="s">
        <v>5147</v>
      </c>
      <c r="C2011" t="s">
        <v>1953</v>
      </c>
      <c r="D2011" t="s">
        <v>1954</v>
      </c>
      <c r="E2011" t="s">
        <v>1373</v>
      </c>
      <c r="F2011" s="2">
        <v>5.3</v>
      </c>
    </row>
    <row r="2012" spans="1:6" x14ac:dyDescent="0.25">
      <c r="A2012" t="s">
        <v>1373</v>
      </c>
      <c r="B2012" t="s">
        <v>5148</v>
      </c>
      <c r="C2012" t="s">
        <v>1953</v>
      </c>
      <c r="D2012" t="s">
        <v>1954</v>
      </c>
      <c r="E2012" t="s">
        <v>1373</v>
      </c>
      <c r="F2012" s="2">
        <v>5.3</v>
      </c>
    </row>
    <row r="2013" spans="1:6" x14ac:dyDescent="0.25">
      <c r="A2013" t="s">
        <v>1374</v>
      </c>
      <c r="B2013" t="s">
        <v>5149</v>
      </c>
      <c r="C2013" t="s">
        <v>1953</v>
      </c>
      <c r="D2013" t="s">
        <v>1954</v>
      </c>
      <c r="E2013" t="s">
        <v>1373</v>
      </c>
      <c r="F2013" s="2">
        <v>5.86</v>
      </c>
    </row>
    <row r="2014" spans="1:6" x14ac:dyDescent="0.25">
      <c r="A2014" t="s">
        <v>1376</v>
      </c>
      <c r="B2014" t="s">
        <v>5150</v>
      </c>
      <c r="C2014" t="s">
        <v>1953</v>
      </c>
      <c r="D2014" t="s">
        <v>1954</v>
      </c>
      <c r="E2014" t="s">
        <v>1373</v>
      </c>
      <c r="F2014" s="2">
        <v>5.86</v>
      </c>
    </row>
    <row r="2015" spans="1:6" x14ac:dyDescent="0.25">
      <c r="A2015" t="s">
        <v>1377</v>
      </c>
      <c r="B2015" t="s">
        <v>5151</v>
      </c>
      <c r="C2015" t="s">
        <v>1953</v>
      </c>
      <c r="D2015" t="s">
        <v>1954</v>
      </c>
      <c r="E2015" t="s">
        <v>1349</v>
      </c>
      <c r="F2015" s="2">
        <v>5.86</v>
      </c>
    </row>
    <row r="2016" spans="1:6" x14ac:dyDescent="0.25">
      <c r="A2016" t="s">
        <v>1379</v>
      </c>
      <c r="B2016" t="s">
        <v>5152</v>
      </c>
      <c r="C2016" t="s">
        <v>1953</v>
      </c>
      <c r="D2016" t="s">
        <v>1954</v>
      </c>
      <c r="E2016" t="s">
        <v>1349</v>
      </c>
      <c r="F2016" s="2">
        <v>5.86</v>
      </c>
    </row>
    <row r="2017" spans="1:6" x14ac:dyDescent="0.25">
      <c r="A2017" t="s">
        <v>5153</v>
      </c>
      <c r="B2017" t="s">
        <v>5154</v>
      </c>
      <c r="C2017" t="s">
        <v>1953</v>
      </c>
      <c r="D2017" t="s">
        <v>1940</v>
      </c>
      <c r="F2017" s="2">
        <v>17.54</v>
      </c>
    </row>
    <row r="2018" spans="1:6" x14ac:dyDescent="0.25">
      <c r="A2018" t="s">
        <v>5155</v>
      </c>
      <c r="B2018" t="s">
        <v>5156</v>
      </c>
      <c r="C2018" t="s">
        <v>1953</v>
      </c>
      <c r="D2018" t="s">
        <v>1954</v>
      </c>
      <c r="E2018" t="s">
        <v>2022</v>
      </c>
      <c r="F2018" s="2">
        <v>353.51</v>
      </c>
    </row>
    <row r="2019" spans="1:6" x14ac:dyDescent="0.25">
      <c r="A2019" t="s">
        <v>5157</v>
      </c>
      <c r="B2019" t="s">
        <v>5158</v>
      </c>
      <c r="C2019" t="s">
        <v>1953</v>
      </c>
      <c r="D2019" t="s">
        <v>1954</v>
      </c>
      <c r="F2019" s="2">
        <v>168.54</v>
      </c>
    </row>
    <row r="2020" spans="1:6" x14ac:dyDescent="0.25">
      <c r="A2020" t="s">
        <v>5159</v>
      </c>
      <c r="B2020" t="s">
        <v>5160</v>
      </c>
      <c r="C2020" t="s">
        <v>1953</v>
      </c>
      <c r="D2020" t="s">
        <v>1940</v>
      </c>
      <c r="E2020" t="s">
        <v>3528</v>
      </c>
      <c r="F2020" s="2">
        <v>231.16</v>
      </c>
    </row>
    <row r="2021" spans="1:6" x14ac:dyDescent="0.25">
      <c r="A2021" t="s">
        <v>5161</v>
      </c>
      <c r="B2021" t="s">
        <v>5162</v>
      </c>
      <c r="C2021" t="s">
        <v>1953</v>
      </c>
      <c r="D2021" t="s">
        <v>1940</v>
      </c>
      <c r="F2021" s="2">
        <v>0.95</v>
      </c>
    </row>
    <row r="2022" spans="1:6" x14ac:dyDescent="0.25">
      <c r="A2022" t="s">
        <v>5163</v>
      </c>
      <c r="B2022" t="s">
        <v>5164</v>
      </c>
      <c r="C2022" t="s">
        <v>1953</v>
      </c>
      <c r="D2022" t="s">
        <v>1940</v>
      </c>
      <c r="F2022" s="2">
        <v>51</v>
      </c>
    </row>
    <row r="2023" spans="1:6" x14ac:dyDescent="0.25">
      <c r="A2023" t="s">
        <v>5165</v>
      </c>
      <c r="B2023" t="s">
        <v>5166</v>
      </c>
      <c r="C2023" t="s">
        <v>1953</v>
      </c>
      <c r="D2023" t="s">
        <v>1940</v>
      </c>
      <c r="F2023" s="2">
        <v>51</v>
      </c>
    </row>
    <row r="2024" spans="1:6" x14ac:dyDescent="0.25">
      <c r="A2024" t="s">
        <v>5167</v>
      </c>
      <c r="B2024" t="s">
        <v>5168</v>
      </c>
      <c r="C2024" t="s">
        <v>1953</v>
      </c>
      <c r="D2024" t="s">
        <v>1940</v>
      </c>
      <c r="F2024" s="2">
        <v>15.34</v>
      </c>
    </row>
    <row r="2025" spans="1:6" x14ac:dyDescent="0.25">
      <c r="A2025" t="s">
        <v>5169</v>
      </c>
      <c r="B2025" t="s">
        <v>5170</v>
      </c>
      <c r="C2025" t="s">
        <v>1953</v>
      </c>
      <c r="D2025" t="s">
        <v>1940</v>
      </c>
      <c r="F2025" s="2">
        <v>0.67</v>
      </c>
    </row>
    <row r="2026" spans="1:6" x14ac:dyDescent="0.25">
      <c r="A2026" t="s">
        <v>5171</v>
      </c>
      <c r="B2026" t="s">
        <v>5172</v>
      </c>
      <c r="C2026" t="s">
        <v>1953</v>
      </c>
      <c r="D2026" t="s">
        <v>1940</v>
      </c>
      <c r="F2026" s="2">
        <v>178.7</v>
      </c>
    </row>
    <row r="2027" spans="1:6" x14ac:dyDescent="0.25">
      <c r="A2027" t="s">
        <v>5173</v>
      </c>
      <c r="B2027" t="s">
        <v>5174</v>
      </c>
      <c r="C2027" t="s">
        <v>1953</v>
      </c>
      <c r="D2027" t="s">
        <v>1940</v>
      </c>
      <c r="F2027" s="2">
        <v>336.85</v>
      </c>
    </row>
    <row r="2028" spans="1:6" x14ac:dyDescent="0.25">
      <c r="A2028" t="s">
        <v>5175</v>
      </c>
      <c r="B2028" t="s">
        <v>5176</v>
      </c>
      <c r="C2028" t="s">
        <v>1953</v>
      </c>
      <c r="D2028" t="s">
        <v>1954</v>
      </c>
      <c r="E2028" t="s">
        <v>187</v>
      </c>
      <c r="F2028" s="2">
        <v>99.81</v>
      </c>
    </row>
    <row r="2029" spans="1:6" x14ac:dyDescent="0.25">
      <c r="A2029" t="s">
        <v>5177</v>
      </c>
      <c r="B2029" t="s">
        <v>5178</v>
      </c>
      <c r="C2029" t="s">
        <v>1953</v>
      </c>
      <c r="D2029" t="s">
        <v>1954</v>
      </c>
      <c r="E2029" t="s">
        <v>187</v>
      </c>
      <c r="F2029" s="2">
        <v>99.81</v>
      </c>
    </row>
    <row r="2030" spans="1:6" x14ac:dyDescent="0.25">
      <c r="A2030" t="s">
        <v>5179</v>
      </c>
      <c r="B2030" t="s">
        <v>5180</v>
      </c>
      <c r="C2030" t="s">
        <v>1953</v>
      </c>
      <c r="D2030" t="s">
        <v>1940</v>
      </c>
      <c r="F2030" s="2">
        <v>57.14</v>
      </c>
    </row>
    <row r="2031" spans="1:6" x14ac:dyDescent="0.25">
      <c r="A2031" t="s">
        <v>5181</v>
      </c>
      <c r="B2031" t="s">
        <v>5182</v>
      </c>
      <c r="C2031" t="s">
        <v>1953</v>
      </c>
      <c r="D2031" t="s">
        <v>1940</v>
      </c>
      <c r="F2031" s="2">
        <v>78.569999999999993</v>
      </c>
    </row>
    <row r="2032" spans="1:6" x14ac:dyDescent="0.25">
      <c r="A2032" t="s">
        <v>5183</v>
      </c>
      <c r="B2032" t="s">
        <v>5184</v>
      </c>
      <c r="C2032" t="s">
        <v>1953</v>
      </c>
      <c r="D2032" t="s">
        <v>1954</v>
      </c>
      <c r="E2032" t="s">
        <v>187</v>
      </c>
      <c r="F2032" s="2">
        <v>116.57</v>
      </c>
    </row>
    <row r="2033" spans="1:6" x14ac:dyDescent="0.25">
      <c r="A2033" t="s">
        <v>5185</v>
      </c>
      <c r="B2033" t="s">
        <v>5186</v>
      </c>
      <c r="C2033" t="s">
        <v>1953</v>
      </c>
      <c r="D2033" t="s">
        <v>1954</v>
      </c>
      <c r="E2033" t="s">
        <v>187</v>
      </c>
      <c r="F2033" s="2">
        <v>116.57</v>
      </c>
    </row>
    <row r="2034" spans="1:6" x14ac:dyDescent="0.25">
      <c r="A2034" t="s">
        <v>5187</v>
      </c>
      <c r="B2034" t="s">
        <v>5188</v>
      </c>
      <c r="C2034" t="s">
        <v>1953</v>
      </c>
      <c r="D2034" t="s">
        <v>1954</v>
      </c>
      <c r="E2034" t="s">
        <v>187</v>
      </c>
      <c r="F2034" s="2">
        <v>116.9</v>
      </c>
    </row>
    <row r="2035" spans="1:6" x14ac:dyDescent="0.25">
      <c r="A2035" t="s">
        <v>5189</v>
      </c>
      <c r="B2035" t="s">
        <v>5190</v>
      </c>
      <c r="C2035" t="s">
        <v>1953</v>
      </c>
      <c r="D2035" t="s">
        <v>1954</v>
      </c>
      <c r="E2035" t="s">
        <v>187</v>
      </c>
      <c r="F2035" s="2">
        <v>116.9</v>
      </c>
    </row>
    <row r="2036" spans="1:6" x14ac:dyDescent="0.25">
      <c r="A2036" t="s">
        <v>5191</v>
      </c>
      <c r="B2036" t="s">
        <v>5192</v>
      </c>
      <c r="C2036" t="s">
        <v>1953</v>
      </c>
      <c r="D2036" t="s">
        <v>1940</v>
      </c>
      <c r="F2036" s="2">
        <v>15.34</v>
      </c>
    </row>
    <row r="2037" spans="1:6" x14ac:dyDescent="0.25">
      <c r="A2037" t="s">
        <v>5193</v>
      </c>
      <c r="B2037" t="s">
        <v>5194</v>
      </c>
      <c r="C2037" t="s">
        <v>1953</v>
      </c>
      <c r="D2037" t="s">
        <v>1940</v>
      </c>
      <c r="F2037" s="2">
        <v>5.64</v>
      </c>
    </row>
    <row r="2038" spans="1:6" x14ac:dyDescent="0.25">
      <c r="A2038" t="s">
        <v>5195</v>
      </c>
      <c r="B2038" t="s">
        <v>5196</v>
      </c>
      <c r="C2038" t="s">
        <v>1953</v>
      </c>
      <c r="D2038" t="s">
        <v>1940</v>
      </c>
      <c r="E2038" t="s">
        <v>711</v>
      </c>
      <c r="F2038" s="2">
        <v>3.57</v>
      </c>
    </row>
    <row r="2039" spans="1:6" x14ac:dyDescent="0.25">
      <c r="A2039" t="s">
        <v>5197</v>
      </c>
      <c r="B2039" t="s">
        <v>5198</v>
      </c>
      <c r="C2039" t="s">
        <v>1953</v>
      </c>
      <c r="D2039" t="s">
        <v>1940</v>
      </c>
      <c r="E2039" t="s">
        <v>711</v>
      </c>
      <c r="F2039" s="2">
        <v>3.57</v>
      </c>
    </row>
    <row r="2040" spans="1:6" x14ac:dyDescent="0.25">
      <c r="A2040" t="s">
        <v>5199</v>
      </c>
      <c r="B2040" t="s">
        <v>5200</v>
      </c>
      <c r="C2040" t="s">
        <v>1953</v>
      </c>
      <c r="D2040" t="s">
        <v>1954</v>
      </c>
      <c r="F2040" s="2">
        <v>4750</v>
      </c>
    </row>
    <row r="2041" spans="1:6" x14ac:dyDescent="0.25">
      <c r="A2041" t="s">
        <v>5201</v>
      </c>
      <c r="B2041" t="s">
        <v>5202</v>
      </c>
      <c r="C2041" t="s">
        <v>1953</v>
      </c>
      <c r="D2041" t="s">
        <v>1940</v>
      </c>
      <c r="F2041" s="2">
        <v>81.42</v>
      </c>
    </row>
    <row r="2042" spans="1:6" x14ac:dyDescent="0.25">
      <c r="A2042" t="s">
        <v>5203</v>
      </c>
      <c r="B2042" t="s">
        <v>5204</v>
      </c>
      <c r="C2042" t="s">
        <v>1953</v>
      </c>
      <c r="D2042" t="s">
        <v>1940</v>
      </c>
      <c r="F2042" s="2">
        <v>130.69</v>
      </c>
    </row>
    <row r="2043" spans="1:6" x14ac:dyDescent="0.25">
      <c r="A2043" t="s">
        <v>5205</v>
      </c>
      <c r="B2043" t="s">
        <v>5206</v>
      </c>
      <c r="C2043" t="s">
        <v>1953</v>
      </c>
      <c r="D2043" t="s">
        <v>1940</v>
      </c>
      <c r="F2043" s="2">
        <v>304.70999999999998</v>
      </c>
    </row>
    <row r="2044" spans="1:6" x14ac:dyDescent="0.25">
      <c r="A2044" t="s">
        <v>5207</v>
      </c>
      <c r="B2044" t="s">
        <v>5208</v>
      </c>
      <c r="C2044" t="s">
        <v>1953</v>
      </c>
      <c r="D2044" t="s">
        <v>1940</v>
      </c>
      <c r="F2044" s="2">
        <v>143.44</v>
      </c>
    </row>
    <row r="2045" spans="1:6" x14ac:dyDescent="0.25">
      <c r="A2045" t="s">
        <v>5209</v>
      </c>
      <c r="B2045" t="s">
        <v>5210</v>
      </c>
      <c r="C2045" t="s">
        <v>1953</v>
      </c>
      <c r="D2045" t="s">
        <v>1940</v>
      </c>
      <c r="F2045" s="2">
        <v>140.26</v>
      </c>
    </row>
    <row r="2046" spans="1:6" x14ac:dyDescent="0.25">
      <c r="A2046" t="s">
        <v>5211</v>
      </c>
      <c r="B2046" t="s">
        <v>5212</v>
      </c>
      <c r="C2046" t="s">
        <v>1953</v>
      </c>
      <c r="D2046" t="s">
        <v>1940</v>
      </c>
      <c r="F2046" s="2">
        <v>163.41999999999999</v>
      </c>
    </row>
    <row r="2047" spans="1:6" x14ac:dyDescent="0.25">
      <c r="A2047" t="s">
        <v>5213</v>
      </c>
      <c r="B2047" t="s">
        <v>5214</v>
      </c>
      <c r="C2047" t="s">
        <v>1953</v>
      </c>
      <c r="D2047" t="s">
        <v>1940</v>
      </c>
      <c r="F2047" s="2">
        <v>28</v>
      </c>
    </row>
    <row r="2048" spans="1:6" x14ac:dyDescent="0.25">
      <c r="A2048" t="s">
        <v>5215</v>
      </c>
      <c r="B2048" t="s">
        <v>5216</v>
      </c>
      <c r="C2048" t="s">
        <v>1953</v>
      </c>
      <c r="D2048" t="s">
        <v>1940</v>
      </c>
      <c r="F2048" s="2">
        <v>203.54</v>
      </c>
    </row>
    <row r="2049" spans="1:6" x14ac:dyDescent="0.25">
      <c r="A2049" t="s">
        <v>5217</v>
      </c>
      <c r="B2049" t="s">
        <v>5218</v>
      </c>
      <c r="C2049" t="s">
        <v>1953</v>
      </c>
      <c r="D2049" t="s">
        <v>1940</v>
      </c>
      <c r="F2049" s="2">
        <v>470</v>
      </c>
    </row>
    <row r="2050" spans="1:6" x14ac:dyDescent="0.25">
      <c r="A2050" t="s">
        <v>5219</v>
      </c>
      <c r="B2050" t="s">
        <v>5220</v>
      </c>
      <c r="C2050" t="s">
        <v>1953</v>
      </c>
      <c r="D2050" t="s">
        <v>1940</v>
      </c>
      <c r="F2050" s="2">
        <v>15.34</v>
      </c>
    </row>
    <row r="2051" spans="1:6" x14ac:dyDescent="0.25">
      <c r="A2051" t="s">
        <v>5221</v>
      </c>
      <c r="B2051" t="s">
        <v>5222</v>
      </c>
      <c r="C2051" t="s">
        <v>1953</v>
      </c>
      <c r="D2051" t="s">
        <v>1940</v>
      </c>
      <c r="F2051" s="2">
        <v>15.34</v>
      </c>
    </row>
    <row r="2052" spans="1:6" x14ac:dyDescent="0.25">
      <c r="A2052" t="s">
        <v>5223</v>
      </c>
      <c r="B2052" t="s">
        <v>5224</v>
      </c>
      <c r="C2052" t="s">
        <v>1953</v>
      </c>
      <c r="D2052" t="s">
        <v>1940</v>
      </c>
      <c r="F2052" s="2">
        <v>15.34</v>
      </c>
    </row>
    <row r="2053" spans="1:6" x14ac:dyDescent="0.25">
      <c r="A2053" t="s">
        <v>5225</v>
      </c>
      <c r="B2053" t="s">
        <v>5226</v>
      </c>
      <c r="C2053" t="s">
        <v>1953</v>
      </c>
      <c r="D2053" t="s">
        <v>1940</v>
      </c>
      <c r="F2053" s="2">
        <v>15.34</v>
      </c>
    </row>
    <row r="2054" spans="1:6" x14ac:dyDescent="0.25">
      <c r="A2054" t="s">
        <v>5227</v>
      </c>
      <c r="B2054" t="s">
        <v>5228</v>
      </c>
      <c r="C2054" t="s">
        <v>1953</v>
      </c>
      <c r="D2054" t="s">
        <v>1940</v>
      </c>
      <c r="F2054" s="2">
        <v>54.29</v>
      </c>
    </row>
    <row r="2055" spans="1:6" x14ac:dyDescent="0.25">
      <c r="A2055" t="s">
        <v>5229</v>
      </c>
      <c r="B2055" t="s">
        <v>5230</v>
      </c>
      <c r="C2055" t="s">
        <v>1953</v>
      </c>
      <c r="D2055" t="s">
        <v>1940</v>
      </c>
      <c r="F2055" s="2">
        <v>15.34</v>
      </c>
    </row>
    <row r="2056" spans="1:6" x14ac:dyDescent="0.25">
      <c r="A2056" t="s">
        <v>5231</v>
      </c>
      <c r="B2056" t="s">
        <v>5232</v>
      </c>
      <c r="C2056" t="s">
        <v>1953</v>
      </c>
      <c r="D2056" t="s">
        <v>1940</v>
      </c>
      <c r="F2056" s="2">
        <v>339.8</v>
      </c>
    </row>
    <row r="2057" spans="1:6" x14ac:dyDescent="0.25">
      <c r="A2057" t="s">
        <v>5233</v>
      </c>
      <c r="B2057" t="s">
        <v>5234</v>
      </c>
      <c r="C2057" t="s">
        <v>1953</v>
      </c>
      <c r="D2057" t="s">
        <v>1940</v>
      </c>
      <c r="F2057" s="2">
        <v>4.54</v>
      </c>
    </row>
    <row r="2058" spans="1:6" x14ac:dyDescent="0.25">
      <c r="A2058" t="s">
        <v>5235</v>
      </c>
      <c r="B2058" t="s">
        <v>5236</v>
      </c>
      <c r="C2058" t="s">
        <v>1953</v>
      </c>
      <c r="D2058" t="s">
        <v>1940</v>
      </c>
      <c r="F2058" s="2">
        <v>3.1</v>
      </c>
    </row>
    <row r="2059" spans="1:6" x14ac:dyDescent="0.25">
      <c r="A2059" t="s">
        <v>159</v>
      </c>
      <c r="B2059" t="s">
        <v>5237</v>
      </c>
      <c r="C2059" t="s">
        <v>1953</v>
      </c>
      <c r="D2059" t="s">
        <v>1954</v>
      </c>
      <c r="E2059" t="s">
        <v>2022</v>
      </c>
      <c r="F2059" s="2">
        <v>345.88</v>
      </c>
    </row>
    <row r="2060" spans="1:6" x14ac:dyDescent="0.25">
      <c r="A2060" t="s">
        <v>5238</v>
      </c>
      <c r="B2060" t="s">
        <v>5239</v>
      </c>
      <c r="C2060" t="s">
        <v>1953</v>
      </c>
      <c r="D2060" t="s">
        <v>1940</v>
      </c>
      <c r="F2060" s="2">
        <v>253.29</v>
      </c>
    </row>
    <row r="2061" spans="1:6" x14ac:dyDescent="0.25">
      <c r="A2061" t="s">
        <v>5240</v>
      </c>
      <c r="B2061" t="s">
        <v>5241</v>
      </c>
      <c r="C2061" t="s">
        <v>1953</v>
      </c>
      <c r="D2061" t="s">
        <v>1954</v>
      </c>
      <c r="F2061" s="2">
        <v>224.78</v>
      </c>
    </row>
    <row r="2062" spans="1:6" x14ac:dyDescent="0.25">
      <c r="A2062" t="s">
        <v>5242</v>
      </c>
      <c r="B2062" t="s">
        <v>5243</v>
      </c>
      <c r="C2062" t="s">
        <v>1953</v>
      </c>
      <c r="D2062" t="s">
        <v>1940</v>
      </c>
      <c r="F2062" s="2">
        <v>15.34</v>
      </c>
    </row>
    <row r="2063" spans="1:6" x14ac:dyDescent="0.25">
      <c r="A2063" t="s">
        <v>5244</v>
      </c>
      <c r="B2063" t="s">
        <v>5245</v>
      </c>
      <c r="C2063" t="s">
        <v>1953</v>
      </c>
      <c r="D2063" t="s">
        <v>1940</v>
      </c>
      <c r="F2063" s="2">
        <v>303.75</v>
      </c>
    </row>
    <row r="2064" spans="1:6" x14ac:dyDescent="0.25">
      <c r="A2064" t="s">
        <v>5246</v>
      </c>
      <c r="B2064" t="s">
        <v>5247</v>
      </c>
      <c r="C2064" t="s">
        <v>1953</v>
      </c>
      <c r="D2064" t="s">
        <v>1954</v>
      </c>
      <c r="E2064" t="s">
        <v>20</v>
      </c>
      <c r="F2064" s="2">
        <v>10.99</v>
      </c>
    </row>
    <row r="2065" spans="1:6" x14ac:dyDescent="0.25">
      <c r="A2065" t="s">
        <v>5248</v>
      </c>
      <c r="B2065" t="s">
        <v>5249</v>
      </c>
      <c r="C2065" t="s">
        <v>1953</v>
      </c>
      <c r="D2065" t="s">
        <v>1954</v>
      </c>
      <c r="E2065" t="s">
        <v>788</v>
      </c>
      <c r="F2065" s="2">
        <v>6</v>
      </c>
    </row>
    <row r="2066" spans="1:6" x14ac:dyDescent="0.25">
      <c r="A2066" t="s">
        <v>5250</v>
      </c>
      <c r="B2066" t="s">
        <v>5251</v>
      </c>
      <c r="C2066" t="s">
        <v>1953</v>
      </c>
      <c r="D2066" t="s">
        <v>1954</v>
      </c>
      <c r="E2066" t="s">
        <v>788</v>
      </c>
      <c r="F2066" s="2">
        <v>6</v>
      </c>
    </row>
    <row r="2067" spans="1:6" x14ac:dyDescent="0.25">
      <c r="A2067" t="s">
        <v>5252</v>
      </c>
      <c r="B2067" t="s">
        <v>5253</v>
      </c>
      <c r="C2067" t="s">
        <v>1953</v>
      </c>
      <c r="D2067" t="s">
        <v>1940</v>
      </c>
      <c r="F2067" s="2">
        <v>8.4700000000000006</v>
      </c>
    </row>
    <row r="2068" spans="1:6" x14ac:dyDescent="0.25">
      <c r="A2068" t="s">
        <v>5254</v>
      </c>
      <c r="B2068" t="s">
        <v>5255</v>
      </c>
      <c r="C2068" t="s">
        <v>1953</v>
      </c>
      <c r="D2068" t="s">
        <v>1940</v>
      </c>
      <c r="F2068" s="2">
        <v>126.2</v>
      </c>
    </row>
    <row r="2069" spans="1:6" x14ac:dyDescent="0.25">
      <c r="A2069" t="s">
        <v>5256</v>
      </c>
      <c r="B2069" t="s">
        <v>5257</v>
      </c>
      <c r="C2069" t="s">
        <v>1953</v>
      </c>
      <c r="D2069" t="s">
        <v>1940</v>
      </c>
      <c r="F2069" s="2">
        <v>96.91</v>
      </c>
    </row>
    <row r="2070" spans="1:6" x14ac:dyDescent="0.25">
      <c r="A2070" t="s">
        <v>5258</v>
      </c>
      <c r="B2070" t="s">
        <v>5259</v>
      </c>
      <c r="C2070" t="s">
        <v>1953</v>
      </c>
      <c r="D2070" t="s">
        <v>1940</v>
      </c>
      <c r="F2070" s="2">
        <v>125.26</v>
      </c>
    </row>
    <row r="2071" spans="1:6" x14ac:dyDescent="0.25">
      <c r="A2071" t="s">
        <v>5260</v>
      </c>
      <c r="B2071" t="s">
        <v>5261</v>
      </c>
      <c r="C2071" t="s">
        <v>1953</v>
      </c>
      <c r="D2071" t="s">
        <v>1940</v>
      </c>
      <c r="F2071" s="2">
        <v>15.34</v>
      </c>
    </row>
    <row r="2072" spans="1:6" x14ac:dyDescent="0.25">
      <c r="A2072" t="s">
        <v>5262</v>
      </c>
      <c r="B2072" t="s">
        <v>5263</v>
      </c>
      <c r="C2072" t="s">
        <v>1953</v>
      </c>
      <c r="D2072" t="s">
        <v>1940</v>
      </c>
      <c r="F2072" s="2">
        <v>146.29</v>
      </c>
    </row>
    <row r="2073" spans="1:6" x14ac:dyDescent="0.25">
      <c r="A2073" t="s">
        <v>5264</v>
      </c>
      <c r="B2073" t="s">
        <v>5265</v>
      </c>
      <c r="C2073" t="s">
        <v>1953</v>
      </c>
      <c r="D2073" t="s">
        <v>1954</v>
      </c>
      <c r="F2073" s="2">
        <v>220</v>
      </c>
    </row>
    <row r="2074" spans="1:6" x14ac:dyDescent="0.25">
      <c r="A2074" t="s">
        <v>5266</v>
      </c>
      <c r="B2074" t="s">
        <v>5267</v>
      </c>
      <c r="C2074" t="s">
        <v>1953</v>
      </c>
      <c r="D2074" t="s">
        <v>1954</v>
      </c>
      <c r="F2074" s="2">
        <v>186.32</v>
      </c>
    </row>
    <row r="2075" spans="1:6" x14ac:dyDescent="0.25">
      <c r="A2075" t="s">
        <v>5268</v>
      </c>
      <c r="B2075" t="s">
        <v>5269</v>
      </c>
      <c r="C2075" t="s">
        <v>1953</v>
      </c>
      <c r="D2075" t="s">
        <v>1954</v>
      </c>
      <c r="F2075" s="2">
        <v>144.16</v>
      </c>
    </row>
    <row r="2076" spans="1:6" x14ac:dyDescent="0.25">
      <c r="A2076" t="s">
        <v>5270</v>
      </c>
      <c r="B2076" t="s">
        <v>5271</v>
      </c>
      <c r="C2076" t="s">
        <v>1953</v>
      </c>
      <c r="D2076" t="s">
        <v>1940</v>
      </c>
      <c r="E2076" t="s">
        <v>3735</v>
      </c>
      <c r="F2076" s="2">
        <v>65.569999999999993</v>
      </c>
    </row>
    <row r="2077" spans="1:6" x14ac:dyDescent="0.25">
      <c r="A2077" t="s">
        <v>5272</v>
      </c>
      <c r="B2077" t="s">
        <v>5273</v>
      </c>
      <c r="C2077" t="s">
        <v>1953</v>
      </c>
      <c r="D2077" t="s">
        <v>1940</v>
      </c>
      <c r="E2077" t="s">
        <v>3735</v>
      </c>
      <c r="F2077" s="2">
        <v>51.43</v>
      </c>
    </row>
    <row r="2078" spans="1:6" x14ac:dyDescent="0.25">
      <c r="A2078" t="s">
        <v>5274</v>
      </c>
      <c r="B2078" t="s">
        <v>5275</v>
      </c>
      <c r="C2078" t="s">
        <v>1953</v>
      </c>
      <c r="D2078" t="s">
        <v>1940</v>
      </c>
      <c r="F2078" s="2">
        <v>15.34</v>
      </c>
    </row>
    <row r="2079" spans="1:6" x14ac:dyDescent="0.25">
      <c r="A2079" t="s">
        <v>5276</v>
      </c>
      <c r="B2079" t="s">
        <v>5277</v>
      </c>
      <c r="C2079" t="s">
        <v>1953</v>
      </c>
      <c r="D2079" t="s">
        <v>1940</v>
      </c>
      <c r="E2079" t="s">
        <v>3528</v>
      </c>
      <c r="F2079" s="2">
        <v>340.8</v>
      </c>
    </row>
    <row r="2080" spans="1:6" x14ac:dyDescent="0.25">
      <c r="A2080" t="s">
        <v>5278</v>
      </c>
      <c r="B2080" t="s">
        <v>5279</v>
      </c>
      <c r="C2080" t="s">
        <v>1953</v>
      </c>
      <c r="D2080" t="s">
        <v>1940</v>
      </c>
      <c r="F2080" s="2">
        <v>113.28</v>
      </c>
    </row>
    <row r="2081" spans="1:6" x14ac:dyDescent="0.25">
      <c r="A2081" t="s">
        <v>5280</v>
      </c>
      <c r="B2081" t="s">
        <v>5281</v>
      </c>
      <c r="C2081" t="s">
        <v>1953</v>
      </c>
      <c r="D2081" t="s">
        <v>1954</v>
      </c>
      <c r="E2081" t="s">
        <v>1115</v>
      </c>
      <c r="F2081" s="2">
        <v>304.7</v>
      </c>
    </row>
    <row r="2082" spans="1:6" x14ac:dyDescent="0.25">
      <c r="A2082" t="s">
        <v>5282</v>
      </c>
      <c r="B2082" t="s">
        <v>5283</v>
      </c>
      <c r="C2082" t="s">
        <v>1953</v>
      </c>
      <c r="D2082" t="s">
        <v>1940</v>
      </c>
      <c r="F2082" s="2">
        <v>142.06</v>
      </c>
    </row>
    <row r="2083" spans="1:6" x14ac:dyDescent="0.25">
      <c r="A2083" t="s">
        <v>5284</v>
      </c>
      <c r="B2083" t="s">
        <v>5285</v>
      </c>
      <c r="C2083" t="s">
        <v>1953</v>
      </c>
      <c r="D2083" t="s">
        <v>1940</v>
      </c>
      <c r="F2083" s="2">
        <v>272.57</v>
      </c>
    </row>
    <row r="2084" spans="1:6" x14ac:dyDescent="0.25">
      <c r="A2084" t="s">
        <v>5286</v>
      </c>
      <c r="B2084" t="s">
        <v>5287</v>
      </c>
      <c r="C2084" t="s">
        <v>1953</v>
      </c>
      <c r="D2084" t="s">
        <v>1954</v>
      </c>
      <c r="F2084" s="2">
        <v>45145</v>
      </c>
    </row>
    <row r="2085" spans="1:6" x14ac:dyDescent="0.25">
      <c r="A2085" t="s">
        <v>5288</v>
      </c>
      <c r="B2085" t="s">
        <v>5289</v>
      </c>
      <c r="C2085" t="s">
        <v>1953</v>
      </c>
      <c r="D2085" t="s">
        <v>1940</v>
      </c>
      <c r="F2085" s="2">
        <v>10490</v>
      </c>
    </row>
    <row r="2086" spans="1:6" x14ac:dyDescent="0.25">
      <c r="A2086" t="s">
        <v>5290</v>
      </c>
      <c r="B2086" t="s">
        <v>5291</v>
      </c>
      <c r="C2086" t="s">
        <v>1953</v>
      </c>
      <c r="D2086" t="s">
        <v>1940</v>
      </c>
      <c r="F2086" s="2">
        <v>15.34</v>
      </c>
    </row>
    <row r="2087" spans="1:6" x14ac:dyDescent="0.25">
      <c r="A2087" t="s">
        <v>5292</v>
      </c>
      <c r="B2087" t="s">
        <v>5293</v>
      </c>
      <c r="C2087" t="s">
        <v>1953</v>
      </c>
      <c r="D2087" t="s">
        <v>1940</v>
      </c>
      <c r="F2087" s="2">
        <v>15.34</v>
      </c>
    </row>
    <row r="2088" spans="1:6" x14ac:dyDescent="0.25">
      <c r="A2088" t="s">
        <v>5294</v>
      </c>
      <c r="B2088" t="s">
        <v>5295</v>
      </c>
      <c r="C2088" t="s">
        <v>1953</v>
      </c>
      <c r="D2088" t="s">
        <v>1954</v>
      </c>
      <c r="E2088" t="s">
        <v>788</v>
      </c>
      <c r="F2088" s="2">
        <v>6.17</v>
      </c>
    </row>
    <row r="2089" spans="1:6" x14ac:dyDescent="0.25">
      <c r="A2089" t="s">
        <v>5296</v>
      </c>
      <c r="B2089" t="s">
        <v>5297</v>
      </c>
      <c r="C2089" t="s">
        <v>1953</v>
      </c>
      <c r="D2089" t="s">
        <v>1954</v>
      </c>
      <c r="E2089" t="s">
        <v>788</v>
      </c>
      <c r="F2089" s="2">
        <v>6.92</v>
      </c>
    </row>
    <row r="2090" spans="1:6" x14ac:dyDescent="0.25">
      <c r="A2090" t="s">
        <v>5298</v>
      </c>
      <c r="B2090" t="s">
        <v>5299</v>
      </c>
      <c r="C2090" t="s">
        <v>1953</v>
      </c>
      <c r="D2090" t="s">
        <v>1940</v>
      </c>
      <c r="F2090" s="2">
        <v>10.5</v>
      </c>
    </row>
    <row r="2091" spans="1:6" x14ac:dyDescent="0.25">
      <c r="A2091" t="s">
        <v>5300</v>
      </c>
      <c r="B2091" t="s">
        <v>5301</v>
      </c>
      <c r="C2091" t="s">
        <v>1953</v>
      </c>
      <c r="D2091" t="s">
        <v>1940</v>
      </c>
      <c r="F2091" s="2">
        <v>19.989999999999998</v>
      </c>
    </row>
    <row r="2092" spans="1:6" x14ac:dyDescent="0.25">
      <c r="A2092" t="s">
        <v>5302</v>
      </c>
      <c r="B2092" t="s">
        <v>5303</v>
      </c>
      <c r="C2092" t="s">
        <v>1953</v>
      </c>
      <c r="D2092" t="s">
        <v>1954</v>
      </c>
      <c r="F2092" s="2">
        <v>197.9</v>
      </c>
    </row>
    <row r="2093" spans="1:6" x14ac:dyDescent="0.25">
      <c r="A2093" t="s">
        <v>5304</v>
      </c>
      <c r="B2093" t="s">
        <v>5305</v>
      </c>
      <c r="C2093" t="s">
        <v>1953</v>
      </c>
      <c r="D2093" t="s">
        <v>1954</v>
      </c>
      <c r="E2093" t="s">
        <v>788</v>
      </c>
      <c r="F2093" s="2">
        <v>4.5999999999999996</v>
      </c>
    </row>
    <row r="2094" spans="1:6" x14ac:dyDescent="0.25">
      <c r="A2094" t="s">
        <v>5306</v>
      </c>
      <c r="B2094" t="s">
        <v>5307</v>
      </c>
      <c r="C2094" t="s">
        <v>1953</v>
      </c>
      <c r="D2094" t="s">
        <v>1940</v>
      </c>
      <c r="F2094" s="2">
        <v>3006</v>
      </c>
    </row>
    <row r="2095" spans="1:6" x14ac:dyDescent="0.25">
      <c r="A2095" t="s">
        <v>5308</v>
      </c>
      <c r="B2095" t="s">
        <v>5309</v>
      </c>
      <c r="C2095" t="s">
        <v>1953</v>
      </c>
      <c r="D2095" t="s">
        <v>1954</v>
      </c>
      <c r="E2095" t="s">
        <v>908</v>
      </c>
      <c r="F2095" s="2">
        <v>7.85</v>
      </c>
    </row>
    <row r="2096" spans="1:6" x14ac:dyDescent="0.25">
      <c r="A2096" t="s">
        <v>5310</v>
      </c>
      <c r="B2096" t="s">
        <v>5311</v>
      </c>
      <c r="C2096" t="s">
        <v>1953</v>
      </c>
      <c r="D2096" t="s">
        <v>1954</v>
      </c>
      <c r="E2096" t="s">
        <v>908</v>
      </c>
      <c r="F2096" s="2">
        <v>5.86</v>
      </c>
    </row>
    <row r="2097" spans="1:6" x14ac:dyDescent="0.25">
      <c r="A2097" t="s">
        <v>5312</v>
      </c>
      <c r="B2097" t="s">
        <v>5313</v>
      </c>
      <c r="C2097" t="s">
        <v>1953</v>
      </c>
      <c r="D2097" t="s">
        <v>1954</v>
      </c>
      <c r="E2097" t="s">
        <v>872</v>
      </c>
      <c r="F2097" s="2">
        <v>8.9</v>
      </c>
    </row>
    <row r="2098" spans="1:6" x14ac:dyDescent="0.25">
      <c r="A2098" t="s">
        <v>5314</v>
      </c>
      <c r="B2098" t="s">
        <v>5315</v>
      </c>
      <c r="C2098" t="s">
        <v>1953</v>
      </c>
      <c r="D2098" t="s">
        <v>1940</v>
      </c>
      <c r="F2098" s="2">
        <v>15.34</v>
      </c>
    </row>
    <row r="2099" spans="1:6" x14ac:dyDescent="0.25">
      <c r="A2099" t="s">
        <v>5316</v>
      </c>
      <c r="B2099" t="s">
        <v>5317</v>
      </c>
      <c r="C2099" t="s">
        <v>1953</v>
      </c>
      <c r="D2099" t="s">
        <v>1954</v>
      </c>
      <c r="E2099" t="s">
        <v>3370</v>
      </c>
      <c r="F2099" s="2">
        <v>100.57</v>
      </c>
    </row>
    <row r="2100" spans="1:6" x14ac:dyDescent="0.25">
      <c r="A2100" t="s">
        <v>5318</v>
      </c>
      <c r="B2100" t="s">
        <v>5319</v>
      </c>
      <c r="C2100" t="s">
        <v>1953</v>
      </c>
      <c r="D2100" t="s">
        <v>1954</v>
      </c>
      <c r="E2100" t="s">
        <v>3370</v>
      </c>
      <c r="F2100" s="2">
        <v>100.57</v>
      </c>
    </row>
    <row r="2101" spans="1:6" x14ac:dyDescent="0.25">
      <c r="A2101" t="s">
        <v>5320</v>
      </c>
      <c r="B2101" t="s">
        <v>5321</v>
      </c>
      <c r="C2101" t="s">
        <v>1953</v>
      </c>
      <c r="D2101" t="s">
        <v>1954</v>
      </c>
      <c r="E2101" t="s">
        <v>3370</v>
      </c>
      <c r="F2101" s="2">
        <v>100.57</v>
      </c>
    </row>
    <row r="2102" spans="1:6" x14ac:dyDescent="0.25">
      <c r="A2102" t="s">
        <v>5322</v>
      </c>
      <c r="B2102" t="s">
        <v>5323</v>
      </c>
      <c r="C2102" t="s">
        <v>1953</v>
      </c>
      <c r="D2102" t="s">
        <v>1954</v>
      </c>
      <c r="E2102" t="s">
        <v>3370</v>
      </c>
      <c r="F2102" s="2">
        <v>100.57</v>
      </c>
    </row>
    <row r="2103" spans="1:6" x14ac:dyDescent="0.25">
      <c r="A2103" t="s">
        <v>5324</v>
      </c>
      <c r="B2103" t="s">
        <v>5325</v>
      </c>
      <c r="C2103" t="s">
        <v>1953</v>
      </c>
      <c r="D2103" t="s">
        <v>1954</v>
      </c>
      <c r="F2103" s="2">
        <v>7710.62</v>
      </c>
    </row>
    <row r="2104" spans="1:6" x14ac:dyDescent="0.25">
      <c r="A2104" t="s">
        <v>5326</v>
      </c>
      <c r="B2104" t="s">
        <v>5327</v>
      </c>
      <c r="C2104" t="s">
        <v>1953</v>
      </c>
      <c r="D2104" t="s">
        <v>1954</v>
      </c>
      <c r="F2104" s="2">
        <v>16900</v>
      </c>
    </row>
    <row r="2105" spans="1:6" x14ac:dyDescent="0.25">
      <c r="A2105" t="s">
        <v>5328</v>
      </c>
      <c r="B2105" t="s">
        <v>5329</v>
      </c>
      <c r="C2105" t="s">
        <v>1953</v>
      </c>
      <c r="D2105" t="s">
        <v>1954</v>
      </c>
      <c r="F2105" s="2">
        <v>113.83</v>
      </c>
    </row>
    <row r="2106" spans="1:6" x14ac:dyDescent="0.25">
      <c r="A2106" t="s">
        <v>5330</v>
      </c>
      <c r="B2106" t="s">
        <v>5331</v>
      </c>
      <c r="C2106" t="s">
        <v>1953</v>
      </c>
      <c r="D2106" t="s">
        <v>1954</v>
      </c>
      <c r="E2106" t="s">
        <v>711</v>
      </c>
      <c r="F2106" s="2">
        <v>5.92</v>
      </c>
    </row>
    <row r="2107" spans="1:6" x14ac:dyDescent="0.25">
      <c r="A2107" t="s">
        <v>5332</v>
      </c>
      <c r="B2107" t="s">
        <v>5333</v>
      </c>
      <c r="C2107" t="s">
        <v>1953</v>
      </c>
      <c r="D2107" t="s">
        <v>1940</v>
      </c>
      <c r="F2107" s="2">
        <v>901.49</v>
      </c>
    </row>
    <row r="2108" spans="1:6" x14ac:dyDescent="0.25">
      <c r="A2108" t="s">
        <v>5334</v>
      </c>
      <c r="B2108" t="s">
        <v>5335</v>
      </c>
      <c r="C2108" t="s">
        <v>1953</v>
      </c>
      <c r="D2108" t="s">
        <v>1940</v>
      </c>
      <c r="E2108" t="s">
        <v>194</v>
      </c>
      <c r="F2108" s="2">
        <v>148.9</v>
      </c>
    </row>
    <row r="2109" spans="1:6" x14ac:dyDescent="0.25">
      <c r="A2109" t="s">
        <v>5336</v>
      </c>
      <c r="B2109" t="s">
        <v>5337</v>
      </c>
      <c r="C2109" t="s">
        <v>1953</v>
      </c>
      <c r="D2109" t="s">
        <v>1940</v>
      </c>
      <c r="F2109" s="2">
        <v>15.34</v>
      </c>
    </row>
    <row r="2110" spans="1:6" x14ac:dyDescent="0.25">
      <c r="A2110" t="s">
        <v>5338</v>
      </c>
      <c r="B2110" t="s">
        <v>5339</v>
      </c>
      <c r="C2110" t="s">
        <v>1953</v>
      </c>
      <c r="D2110" t="s">
        <v>1940</v>
      </c>
      <c r="F2110" s="2">
        <v>15.34</v>
      </c>
    </row>
    <row r="2111" spans="1:6" x14ac:dyDescent="0.25">
      <c r="A2111" t="s">
        <v>5340</v>
      </c>
      <c r="B2111" t="s">
        <v>5341</v>
      </c>
      <c r="C2111" t="s">
        <v>1953</v>
      </c>
      <c r="D2111" t="s">
        <v>1940</v>
      </c>
      <c r="F2111" s="2">
        <v>127.14</v>
      </c>
    </row>
    <row r="2112" spans="1:6" x14ac:dyDescent="0.25">
      <c r="A2112" t="s">
        <v>5342</v>
      </c>
      <c r="B2112" t="s">
        <v>5343</v>
      </c>
      <c r="C2112" t="s">
        <v>1953</v>
      </c>
      <c r="D2112" t="s">
        <v>1940</v>
      </c>
      <c r="F2112" s="2">
        <v>9.44</v>
      </c>
    </row>
    <row r="2113" spans="1:6" x14ac:dyDescent="0.25">
      <c r="A2113" t="s">
        <v>5344</v>
      </c>
      <c r="B2113" t="s">
        <v>5345</v>
      </c>
      <c r="C2113" t="s">
        <v>1953</v>
      </c>
      <c r="D2113" t="s">
        <v>1940</v>
      </c>
      <c r="F2113" s="2">
        <v>178.7</v>
      </c>
    </row>
    <row r="2114" spans="1:6" x14ac:dyDescent="0.25">
      <c r="A2114" t="s">
        <v>5346</v>
      </c>
      <c r="B2114" t="s">
        <v>5347</v>
      </c>
      <c r="C2114" t="s">
        <v>1953</v>
      </c>
      <c r="D2114" t="s">
        <v>1940</v>
      </c>
      <c r="F2114" s="2">
        <v>268</v>
      </c>
    </row>
    <row r="2115" spans="1:6" x14ac:dyDescent="0.25">
      <c r="A2115" t="s">
        <v>5348</v>
      </c>
      <c r="B2115" t="s">
        <v>5349</v>
      </c>
      <c r="C2115" t="s">
        <v>1953</v>
      </c>
      <c r="D2115" t="s">
        <v>1940</v>
      </c>
      <c r="F2115" s="2">
        <v>163.31</v>
      </c>
    </row>
    <row r="2116" spans="1:6" x14ac:dyDescent="0.25">
      <c r="A2116" t="s">
        <v>5350</v>
      </c>
      <c r="B2116" t="s">
        <v>5351</v>
      </c>
      <c r="C2116" t="s">
        <v>1953</v>
      </c>
      <c r="D2116" t="s">
        <v>1940</v>
      </c>
      <c r="E2116" t="s">
        <v>182</v>
      </c>
      <c r="F2116" s="2">
        <v>195.17</v>
      </c>
    </row>
    <row r="2117" spans="1:6" x14ac:dyDescent="0.25">
      <c r="A2117" t="s">
        <v>5352</v>
      </c>
      <c r="B2117" t="s">
        <v>5353</v>
      </c>
      <c r="C2117" t="s">
        <v>1953</v>
      </c>
      <c r="D2117" t="s">
        <v>1940</v>
      </c>
      <c r="F2117" s="2">
        <v>49.37</v>
      </c>
    </row>
    <row r="2118" spans="1:6" x14ac:dyDescent="0.25">
      <c r="A2118" t="s">
        <v>5354</v>
      </c>
      <c r="B2118" t="s">
        <v>5355</v>
      </c>
      <c r="C2118" t="s">
        <v>1953</v>
      </c>
      <c r="D2118" t="s">
        <v>1940</v>
      </c>
      <c r="F2118" s="2">
        <v>129.9</v>
      </c>
    </row>
    <row r="2119" spans="1:6" x14ac:dyDescent="0.25">
      <c r="A2119" t="s">
        <v>5356</v>
      </c>
      <c r="B2119" t="s">
        <v>5357</v>
      </c>
      <c r="C2119" t="s">
        <v>1953</v>
      </c>
      <c r="D2119" t="s">
        <v>1940</v>
      </c>
      <c r="F2119" s="2">
        <v>5.53</v>
      </c>
    </row>
    <row r="2120" spans="1:6" x14ac:dyDescent="0.25">
      <c r="A2120" t="s">
        <v>5358</v>
      </c>
      <c r="B2120" t="s">
        <v>5359</v>
      </c>
      <c r="C2120" t="s">
        <v>1953</v>
      </c>
      <c r="D2120" t="s">
        <v>1940</v>
      </c>
      <c r="F2120" s="2">
        <v>9.6999999999999993</v>
      </c>
    </row>
    <row r="2121" spans="1:6" x14ac:dyDescent="0.25">
      <c r="A2121" t="s">
        <v>5360</v>
      </c>
      <c r="B2121" t="s">
        <v>5361</v>
      </c>
      <c r="C2121" t="s">
        <v>1953</v>
      </c>
      <c r="D2121" t="s">
        <v>1954</v>
      </c>
      <c r="E2121" t="s">
        <v>711</v>
      </c>
      <c r="F2121" s="2">
        <v>5.92</v>
      </c>
    </row>
    <row r="2122" spans="1:6" x14ac:dyDescent="0.25">
      <c r="A2122" t="s">
        <v>5362</v>
      </c>
      <c r="B2122" t="s">
        <v>5363</v>
      </c>
      <c r="C2122" t="s">
        <v>1953</v>
      </c>
      <c r="D2122" t="s">
        <v>1940</v>
      </c>
      <c r="F2122" s="2">
        <v>160.77000000000001</v>
      </c>
    </row>
    <row r="2123" spans="1:6" x14ac:dyDescent="0.25">
      <c r="A2123" t="s">
        <v>5364</v>
      </c>
      <c r="B2123" t="s">
        <v>5365</v>
      </c>
      <c r="C2123" t="s">
        <v>1953</v>
      </c>
      <c r="D2123" t="s">
        <v>1940</v>
      </c>
      <c r="E2123" t="s">
        <v>3735</v>
      </c>
      <c r="F2123" s="2">
        <v>209.57</v>
      </c>
    </row>
    <row r="2124" spans="1:6" x14ac:dyDescent="0.25">
      <c r="A2124" t="s">
        <v>5366</v>
      </c>
      <c r="B2124" t="s">
        <v>5367</v>
      </c>
      <c r="C2124" t="s">
        <v>1953</v>
      </c>
      <c r="D2124" t="s">
        <v>1940</v>
      </c>
      <c r="F2124" s="2">
        <v>15.34</v>
      </c>
    </row>
    <row r="2125" spans="1:6" x14ac:dyDescent="0.25">
      <c r="A2125" t="s">
        <v>5368</v>
      </c>
      <c r="B2125" t="s">
        <v>5369</v>
      </c>
      <c r="C2125" t="s">
        <v>1953</v>
      </c>
      <c r="D2125" t="s">
        <v>1940</v>
      </c>
      <c r="F2125" s="2">
        <v>45.78</v>
      </c>
    </row>
    <row r="2126" spans="1:6" x14ac:dyDescent="0.25">
      <c r="A2126" t="s">
        <v>5370</v>
      </c>
      <c r="B2126" t="s">
        <v>5371</v>
      </c>
      <c r="C2126" t="s">
        <v>1953</v>
      </c>
      <c r="D2126" t="s">
        <v>1940</v>
      </c>
      <c r="F2126" s="2">
        <v>9.51</v>
      </c>
    </row>
    <row r="2127" spans="1:6" x14ac:dyDescent="0.25">
      <c r="A2127" t="s">
        <v>5372</v>
      </c>
      <c r="B2127" t="s">
        <v>5373</v>
      </c>
      <c r="C2127" t="s">
        <v>1953</v>
      </c>
      <c r="D2127" t="s">
        <v>1940</v>
      </c>
      <c r="F2127" s="2">
        <v>9.51</v>
      </c>
    </row>
    <row r="2128" spans="1:6" x14ac:dyDescent="0.25">
      <c r="A2128" t="s">
        <v>5374</v>
      </c>
      <c r="B2128" t="s">
        <v>5375</v>
      </c>
      <c r="C2128" t="s">
        <v>1953</v>
      </c>
      <c r="D2128" t="s">
        <v>1940</v>
      </c>
      <c r="F2128" s="2">
        <v>10995</v>
      </c>
    </row>
    <row r="2129" spans="1:6" x14ac:dyDescent="0.25">
      <c r="A2129" t="s">
        <v>5376</v>
      </c>
      <c r="B2129" t="s">
        <v>5377</v>
      </c>
      <c r="C2129" t="s">
        <v>1953</v>
      </c>
      <c r="D2129" t="s">
        <v>1954</v>
      </c>
      <c r="E2129" t="s">
        <v>1198</v>
      </c>
      <c r="F2129" s="2">
        <v>107.95</v>
      </c>
    </row>
    <row r="2130" spans="1:6" x14ac:dyDescent="0.25">
      <c r="A2130" t="s">
        <v>5378</v>
      </c>
      <c r="B2130" t="s">
        <v>5379</v>
      </c>
      <c r="C2130" t="s">
        <v>1953</v>
      </c>
      <c r="D2130" t="s">
        <v>1954</v>
      </c>
      <c r="F2130" s="2">
        <v>14900</v>
      </c>
    </row>
    <row r="2131" spans="1:6" x14ac:dyDescent="0.25">
      <c r="A2131" t="s">
        <v>5380</v>
      </c>
      <c r="B2131" t="s">
        <v>5381</v>
      </c>
      <c r="C2131" t="s">
        <v>1953</v>
      </c>
      <c r="D2131" t="s">
        <v>1954</v>
      </c>
      <c r="F2131" s="2">
        <v>17900</v>
      </c>
    </row>
    <row r="2132" spans="1:6" x14ac:dyDescent="0.25">
      <c r="A2132" t="s">
        <v>5382</v>
      </c>
      <c r="B2132" t="s">
        <v>5383</v>
      </c>
      <c r="C2132" t="s">
        <v>1953</v>
      </c>
      <c r="D2132" t="s">
        <v>1940</v>
      </c>
      <c r="F2132" s="2">
        <v>105</v>
      </c>
    </row>
    <row r="2133" spans="1:6" x14ac:dyDescent="0.25">
      <c r="A2133" t="s">
        <v>5384</v>
      </c>
      <c r="B2133" t="s">
        <v>5385</v>
      </c>
      <c r="C2133" t="s">
        <v>1953</v>
      </c>
      <c r="D2133" t="s">
        <v>1940</v>
      </c>
      <c r="F2133" s="2">
        <v>105</v>
      </c>
    </row>
    <row r="2134" spans="1:6" x14ac:dyDescent="0.25">
      <c r="A2134" t="s">
        <v>5386</v>
      </c>
      <c r="B2134" t="s">
        <v>5387</v>
      </c>
      <c r="C2134" t="s">
        <v>1953</v>
      </c>
      <c r="D2134" t="s">
        <v>1940</v>
      </c>
      <c r="F2134" s="2">
        <v>105</v>
      </c>
    </row>
    <row r="2135" spans="1:6" x14ac:dyDescent="0.25">
      <c r="A2135" t="s">
        <v>5388</v>
      </c>
      <c r="B2135" t="s">
        <v>5389</v>
      </c>
      <c r="C2135" t="s">
        <v>1953</v>
      </c>
      <c r="D2135" t="s">
        <v>1940</v>
      </c>
      <c r="F2135" s="2">
        <v>105</v>
      </c>
    </row>
    <row r="2136" spans="1:6" x14ac:dyDescent="0.25">
      <c r="A2136" t="s">
        <v>5390</v>
      </c>
      <c r="B2136" t="s">
        <v>5391</v>
      </c>
      <c r="C2136" t="s">
        <v>1953</v>
      </c>
      <c r="D2136" t="s">
        <v>1940</v>
      </c>
      <c r="F2136" s="2">
        <v>154.62</v>
      </c>
    </row>
    <row r="2137" spans="1:6" x14ac:dyDescent="0.25">
      <c r="A2137" t="s">
        <v>5392</v>
      </c>
      <c r="B2137" t="s">
        <v>5393</v>
      </c>
      <c r="C2137" t="s">
        <v>1953</v>
      </c>
      <c r="D2137" t="s">
        <v>1940</v>
      </c>
      <c r="F2137" s="2">
        <v>154.62</v>
      </c>
    </row>
    <row r="2138" spans="1:6" x14ac:dyDescent="0.25">
      <c r="A2138" t="s">
        <v>5394</v>
      </c>
      <c r="B2138" t="s">
        <v>5395</v>
      </c>
      <c r="C2138" t="s">
        <v>1953</v>
      </c>
      <c r="D2138" t="s">
        <v>1940</v>
      </c>
      <c r="F2138" s="2">
        <v>154.62</v>
      </c>
    </row>
    <row r="2139" spans="1:6" x14ac:dyDescent="0.25">
      <c r="A2139" t="s">
        <v>5396</v>
      </c>
      <c r="B2139" t="s">
        <v>5397</v>
      </c>
      <c r="C2139" t="s">
        <v>1953</v>
      </c>
      <c r="D2139" t="s">
        <v>1940</v>
      </c>
      <c r="F2139" s="2">
        <v>154.62</v>
      </c>
    </row>
    <row r="2140" spans="1:6" x14ac:dyDescent="0.25">
      <c r="A2140" t="s">
        <v>5398</v>
      </c>
      <c r="B2140" t="s">
        <v>5399</v>
      </c>
      <c r="C2140" t="s">
        <v>1953</v>
      </c>
      <c r="D2140" t="s">
        <v>1940</v>
      </c>
      <c r="F2140" s="2">
        <v>154.62</v>
      </c>
    </row>
    <row r="2141" spans="1:6" x14ac:dyDescent="0.25">
      <c r="A2141" t="s">
        <v>5400</v>
      </c>
      <c r="B2141" t="s">
        <v>5401</v>
      </c>
      <c r="C2141" t="s">
        <v>1953</v>
      </c>
      <c r="D2141" t="s">
        <v>1954</v>
      </c>
      <c r="E2141" t="s">
        <v>1003</v>
      </c>
      <c r="F2141" s="2">
        <v>202</v>
      </c>
    </row>
    <row r="2142" spans="1:6" x14ac:dyDescent="0.25">
      <c r="A2142" t="s">
        <v>5402</v>
      </c>
      <c r="B2142" t="s">
        <v>5403</v>
      </c>
      <c r="C2142" t="s">
        <v>1953</v>
      </c>
      <c r="D2142" t="s">
        <v>1940</v>
      </c>
      <c r="F2142" s="2">
        <v>9.51</v>
      </c>
    </row>
    <row r="2143" spans="1:6" x14ac:dyDescent="0.25">
      <c r="A2143" t="s">
        <v>5404</v>
      </c>
      <c r="B2143" t="s">
        <v>5405</v>
      </c>
      <c r="C2143" t="s">
        <v>1953</v>
      </c>
      <c r="D2143" t="s">
        <v>1940</v>
      </c>
      <c r="F2143" s="2">
        <v>19</v>
      </c>
    </row>
    <row r="2144" spans="1:6" x14ac:dyDescent="0.25">
      <c r="A2144" t="s">
        <v>5406</v>
      </c>
      <c r="B2144" t="s">
        <v>5407</v>
      </c>
      <c r="C2144" t="s">
        <v>1953</v>
      </c>
      <c r="D2144" t="s">
        <v>1954</v>
      </c>
      <c r="E2144" t="s">
        <v>3370</v>
      </c>
      <c r="F2144" s="2">
        <v>46</v>
      </c>
    </row>
    <row r="2145" spans="1:6" x14ac:dyDescent="0.25">
      <c r="A2145" t="s">
        <v>5408</v>
      </c>
      <c r="B2145" t="s">
        <v>5409</v>
      </c>
      <c r="C2145" t="s">
        <v>1953</v>
      </c>
      <c r="D2145" t="s">
        <v>1940</v>
      </c>
      <c r="F2145" s="2">
        <v>9.51</v>
      </c>
    </row>
    <row r="2146" spans="1:6" x14ac:dyDescent="0.25">
      <c r="A2146" t="s">
        <v>5410</v>
      </c>
      <c r="B2146" t="s">
        <v>5411</v>
      </c>
      <c r="C2146" t="s">
        <v>1953</v>
      </c>
      <c r="D2146" t="s">
        <v>1940</v>
      </c>
      <c r="F2146" s="2">
        <v>9.51</v>
      </c>
    </row>
    <row r="2147" spans="1:6" x14ac:dyDescent="0.25">
      <c r="A2147" t="s">
        <v>5412</v>
      </c>
      <c r="B2147" t="s">
        <v>5413</v>
      </c>
      <c r="C2147" t="s">
        <v>1953</v>
      </c>
      <c r="D2147" t="s">
        <v>1940</v>
      </c>
      <c r="F2147" s="2">
        <v>9.51</v>
      </c>
    </row>
    <row r="2148" spans="1:6" x14ac:dyDescent="0.25">
      <c r="A2148" t="s">
        <v>5414</v>
      </c>
      <c r="B2148" t="s">
        <v>5415</v>
      </c>
      <c r="C2148" t="s">
        <v>1953</v>
      </c>
      <c r="D2148" t="s">
        <v>1940</v>
      </c>
      <c r="F2148" s="2">
        <v>44.43</v>
      </c>
    </row>
    <row r="2149" spans="1:6" x14ac:dyDescent="0.25">
      <c r="A2149" t="s">
        <v>5416</v>
      </c>
      <c r="B2149" t="s">
        <v>5417</v>
      </c>
      <c r="C2149" t="s">
        <v>1953</v>
      </c>
      <c r="D2149" t="s">
        <v>1940</v>
      </c>
      <c r="F2149" s="2">
        <v>44.43</v>
      </c>
    </row>
    <row r="2150" spans="1:6" x14ac:dyDescent="0.25">
      <c r="A2150" t="s">
        <v>5418</v>
      </c>
      <c r="B2150" t="s">
        <v>5419</v>
      </c>
      <c r="C2150" t="s">
        <v>1953</v>
      </c>
      <c r="D2150" t="s">
        <v>1940</v>
      </c>
      <c r="F2150" s="2">
        <v>26.87</v>
      </c>
    </row>
    <row r="2151" spans="1:6" x14ac:dyDescent="0.25">
      <c r="A2151" t="s">
        <v>5420</v>
      </c>
      <c r="B2151" t="s">
        <v>5421</v>
      </c>
      <c r="C2151" t="s">
        <v>1953</v>
      </c>
      <c r="D2151" t="s">
        <v>1940</v>
      </c>
      <c r="F2151" s="2">
        <v>26.87</v>
      </c>
    </row>
    <row r="2152" spans="1:6" x14ac:dyDescent="0.25">
      <c r="A2152" t="s">
        <v>5422</v>
      </c>
      <c r="B2152" t="s">
        <v>5423</v>
      </c>
      <c r="C2152" t="s">
        <v>1953</v>
      </c>
      <c r="D2152" t="s">
        <v>1940</v>
      </c>
      <c r="F2152" s="2">
        <v>24.43</v>
      </c>
    </row>
    <row r="2153" spans="1:6" x14ac:dyDescent="0.25">
      <c r="A2153" t="s">
        <v>5424</v>
      </c>
      <c r="B2153" t="s">
        <v>5425</v>
      </c>
      <c r="C2153" t="s">
        <v>1953</v>
      </c>
      <c r="D2153" t="s">
        <v>1940</v>
      </c>
      <c r="F2153" s="2">
        <v>8.4499999999999993</v>
      </c>
    </row>
    <row r="2154" spans="1:6" x14ac:dyDescent="0.25">
      <c r="A2154" t="s">
        <v>5426</v>
      </c>
      <c r="B2154" t="s">
        <v>5427</v>
      </c>
      <c r="C2154" t="s">
        <v>1953</v>
      </c>
      <c r="D2154" t="s">
        <v>1940</v>
      </c>
      <c r="F2154" s="2">
        <v>8.4499999999999993</v>
      </c>
    </row>
    <row r="2155" spans="1:6" x14ac:dyDescent="0.25">
      <c r="A2155" t="s">
        <v>5428</v>
      </c>
      <c r="B2155" t="s">
        <v>5429</v>
      </c>
      <c r="C2155" t="s">
        <v>1953</v>
      </c>
      <c r="D2155" t="s">
        <v>1940</v>
      </c>
      <c r="F2155" s="2">
        <v>9.01</v>
      </c>
    </row>
    <row r="2156" spans="1:6" x14ac:dyDescent="0.25">
      <c r="A2156" t="s">
        <v>5430</v>
      </c>
      <c r="B2156" t="s">
        <v>5431</v>
      </c>
      <c r="C2156" t="s">
        <v>1953</v>
      </c>
      <c r="D2156" t="s">
        <v>1940</v>
      </c>
      <c r="F2156" s="2">
        <v>9.01</v>
      </c>
    </row>
    <row r="2157" spans="1:6" x14ac:dyDescent="0.25">
      <c r="A2157" t="s">
        <v>5432</v>
      </c>
      <c r="B2157" t="s">
        <v>5433</v>
      </c>
      <c r="C2157" t="s">
        <v>1953</v>
      </c>
      <c r="D2157" t="s">
        <v>1940</v>
      </c>
      <c r="F2157" s="2">
        <v>9.01</v>
      </c>
    </row>
    <row r="2158" spans="1:6" x14ac:dyDescent="0.25">
      <c r="A2158" t="s">
        <v>5434</v>
      </c>
      <c r="B2158" t="s">
        <v>5435</v>
      </c>
      <c r="C2158" t="s">
        <v>1953</v>
      </c>
      <c r="D2158" t="s">
        <v>1940</v>
      </c>
      <c r="F2158" s="2">
        <v>9.01</v>
      </c>
    </row>
    <row r="2159" spans="1:6" x14ac:dyDescent="0.25">
      <c r="A2159" t="s">
        <v>5436</v>
      </c>
      <c r="B2159" t="s">
        <v>5437</v>
      </c>
      <c r="C2159" t="s">
        <v>1953</v>
      </c>
      <c r="D2159" t="s">
        <v>1940</v>
      </c>
      <c r="F2159" s="2">
        <v>9.01</v>
      </c>
    </row>
    <row r="2160" spans="1:6" x14ac:dyDescent="0.25">
      <c r="A2160" t="s">
        <v>5438</v>
      </c>
      <c r="B2160" t="s">
        <v>5439</v>
      </c>
      <c r="C2160" t="s">
        <v>1953</v>
      </c>
      <c r="D2160" t="s">
        <v>1940</v>
      </c>
      <c r="F2160" s="2">
        <v>11.22</v>
      </c>
    </row>
    <row r="2161" spans="1:6" x14ac:dyDescent="0.25">
      <c r="A2161" t="s">
        <v>5440</v>
      </c>
      <c r="B2161" t="s">
        <v>5441</v>
      </c>
      <c r="C2161" t="s">
        <v>1953</v>
      </c>
      <c r="D2161" t="s">
        <v>1940</v>
      </c>
      <c r="F2161" s="2">
        <v>11.22</v>
      </c>
    </row>
    <row r="2162" spans="1:6" x14ac:dyDescent="0.25">
      <c r="A2162" t="s">
        <v>5442</v>
      </c>
      <c r="B2162" t="s">
        <v>5443</v>
      </c>
      <c r="C2162" t="s">
        <v>1953</v>
      </c>
      <c r="D2162" t="s">
        <v>1940</v>
      </c>
      <c r="F2162" s="2">
        <v>11.22</v>
      </c>
    </row>
    <row r="2163" spans="1:6" x14ac:dyDescent="0.25">
      <c r="A2163" t="s">
        <v>5444</v>
      </c>
      <c r="B2163" t="s">
        <v>5445</v>
      </c>
      <c r="C2163" t="s">
        <v>1953</v>
      </c>
      <c r="D2163" t="s">
        <v>1940</v>
      </c>
      <c r="F2163" s="2">
        <v>11.22</v>
      </c>
    </row>
    <row r="2164" spans="1:6" x14ac:dyDescent="0.25">
      <c r="A2164" t="s">
        <v>5446</v>
      </c>
      <c r="B2164" t="s">
        <v>5447</v>
      </c>
      <c r="C2164" t="s">
        <v>1953</v>
      </c>
      <c r="D2164" t="s">
        <v>1940</v>
      </c>
      <c r="F2164" s="2">
        <v>11.22</v>
      </c>
    </row>
    <row r="2165" spans="1:6" x14ac:dyDescent="0.25">
      <c r="A2165" t="s">
        <v>5448</v>
      </c>
      <c r="B2165" t="s">
        <v>5449</v>
      </c>
      <c r="C2165" t="s">
        <v>1953</v>
      </c>
      <c r="D2165" t="s">
        <v>1940</v>
      </c>
      <c r="F2165" s="2">
        <v>11.22</v>
      </c>
    </row>
    <row r="2166" spans="1:6" x14ac:dyDescent="0.25">
      <c r="A2166" t="s">
        <v>5450</v>
      </c>
      <c r="B2166" t="s">
        <v>5451</v>
      </c>
      <c r="C2166" t="s">
        <v>1953</v>
      </c>
      <c r="D2166" t="s">
        <v>1940</v>
      </c>
      <c r="F2166" s="2">
        <v>11.22</v>
      </c>
    </row>
    <row r="2167" spans="1:6" x14ac:dyDescent="0.25">
      <c r="A2167" t="s">
        <v>5452</v>
      </c>
      <c r="B2167" t="s">
        <v>5453</v>
      </c>
      <c r="C2167" t="s">
        <v>1953</v>
      </c>
      <c r="D2167" t="s">
        <v>1940</v>
      </c>
      <c r="F2167" s="2">
        <v>24.43</v>
      </c>
    </row>
    <row r="2168" spans="1:6" x14ac:dyDescent="0.25">
      <c r="A2168" t="s">
        <v>5454</v>
      </c>
      <c r="B2168" t="s">
        <v>5455</v>
      </c>
      <c r="C2168" t="s">
        <v>1953</v>
      </c>
      <c r="D2168" t="s">
        <v>1940</v>
      </c>
      <c r="F2168" s="2">
        <v>24.43</v>
      </c>
    </row>
    <row r="2169" spans="1:6" x14ac:dyDescent="0.25">
      <c r="A2169" t="s">
        <v>5456</v>
      </c>
      <c r="B2169" t="s">
        <v>5457</v>
      </c>
      <c r="C2169" t="s">
        <v>1953</v>
      </c>
      <c r="D2169" t="s">
        <v>1940</v>
      </c>
      <c r="F2169" s="2">
        <v>100.35</v>
      </c>
    </row>
    <row r="2170" spans="1:6" x14ac:dyDescent="0.25">
      <c r="A2170" t="s">
        <v>5458</v>
      </c>
      <c r="B2170" t="s">
        <v>5459</v>
      </c>
      <c r="C2170" t="s">
        <v>1953</v>
      </c>
      <c r="D2170" t="s">
        <v>1940</v>
      </c>
      <c r="F2170" s="2">
        <v>24.43</v>
      </c>
    </row>
    <row r="2171" spans="1:6" x14ac:dyDescent="0.25">
      <c r="A2171" t="s">
        <v>5460</v>
      </c>
      <c r="B2171" t="s">
        <v>5461</v>
      </c>
      <c r="C2171" t="s">
        <v>1953</v>
      </c>
      <c r="D2171" t="s">
        <v>1940</v>
      </c>
      <c r="F2171" s="2">
        <v>24.43</v>
      </c>
    </row>
    <row r="2172" spans="1:6" x14ac:dyDescent="0.25">
      <c r="A2172" t="s">
        <v>5462</v>
      </c>
      <c r="B2172" t="s">
        <v>5463</v>
      </c>
      <c r="C2172" t="s">
        <v>1953</v>
      </c>
      <c r="D2172" t="s">
        <v>1940</v>
      </c>
      <c r="F2172" s="2">
        <v>650</v>
      </c>
    </row>
    <row r="2173" spans="1:6" x14ac:dyDescent="0.25">
      <c r="A2173" t="s">
        <v>5464</v>
      </c>
      <c r="B2173" t="s">
        <v>5465</v>
      </c>
      <c r="C2173" t="s">
        <v>1953</v>
      </c>
      <c r="D2173" t="s">
        <v>1954</v>
      </c>
      <c r="E2173" t="s">
        <v>194</v>
      </c>
      <c r="F2173" s="2">
        <v>115.5</v>
      </c>
    </row>
    <row r="2174" spans="1:6" x14ac:dyDescent="0.25">
      <c r="A2174" t="s">
        <v>5466</v>
      </c>
      <c r="B2174" t="s">
        <v>5467</v>
      </c>
      <c r="C2174" t="s">
        <v>1953</v>
      </c>
      <c r="D2174" t="s">
        <v>1940</v>
      </c>
      <c r="F2174" s="2">
        <v>24.43</v>
      </c>
    </row>
    <row r="2175" spans="1:6" x14ac:dyDescent="0.25">
      <c r="A2175" t="s">
        <v>5468</v>
      </c>
      <c r="B2175" t="s">
        <v>5469</v>
      </c>
      <c r="C2175" t="s">
        <v>1953</v>
      </c>
      <c r="D2175" t="s">
        <v>1940</v>
      </c>
      <c r="F2175" s="2">
        <v>24.43</v>
      </c>
    </row>
    <row r="2176" spans="1:6" x14ac:dyDescent="0.25">
      <c r="A2176" t="s">
        <v>5470</v>
      </c>
      <c r="B2176" t="s">
        <v>5471</v>
      </c>
      <c r="C2176" t="s">
        <v>1953</v>
      </c>
      <c r="D2176" t="s">
        <v>1940</v>
      </c>
      <c r="F2176" s="2">
        <v>24.43</v>
      </c>
    </row>
    <row r="2177" spans="1:6" x14ac:dyDescent="0.25">
      <c r="A2177" t="s">
        <v>5472</v>
      </c>
      <c r="B2177" t="s">
        <v>5473</v>
      </c>
      <c r="C2177" t="s">
        <v>1953</v>
      </c>
      <c r="D2177" t="s">
        <v>1940</v>
      </c>
      <c r="F2177" s="2">
        <v>23.61</v>
      </c>
    </row>
    <row r="2178" spans="1:6" x14ac:dyDescent="0.25">
      <c r="A2178" t="s">
        <v>5474</v>
      </c>
      <c r="B2178" t="s">
        <v>5475</v>
      </c>
      <c r="C2178" t="s">
        <v>1953</v>
      </c>
      <c r="D2178" t="s">
        <v>1940</v>
      </c>
      <c r="F2178" s="2">
        <v>24.95</v>
      </c>
    </row>
    <row r="2179" spans="1:6" x14ac:dyDescent="0.25">
      <c r="A2179" t="s">
        <v>5476</v>
      </c>
      <c r="B2179" t="s">
        <v>5477</v>
      </c>
      <c r="C2179" t="s">
        <v>1953</v>
      </c>
      <c r="D2179" t="s">
        <v>1940</v>
      </c>
      <c r="F2179" s="2">
        <v>188.86</v>
      </c>
    </row>
    <row r="2180" spans="1:6" x14ac:dyDescent="0.25">
      <c r="A2180" t="s">
        <v>5478</v>
      </c>
      <c r="B2180" t="s">
        <v>5479</v>
      </c>
      <c r="C2180" t="s">
        <v>1953</v>
      </c>
      <c r="D2180" t="s">
        <v>1954</v>
      </c>
      <c r="E2180" t="s">
        <v>711</v>
      </c>
      <c r="F2180" s="2">
        <v>4.1500000000000004</v>
      </c>
    </row>
    <row r="2181" spans="1:6" x14ac:dyDescent="0.25">
      <c r="A2181" t="s">
        <v>5480</v>
      </c>
      <c r="B2181" t="s">
        <v>5481</v>
      </c>
      <c r="C2181" t="s">
        <v>1953</v>
      </c>
      <c r="D2181" t="s">
        <v>1954</v>
      </c>
      <c r="E2181" t="s">
        <v>711</v>
      </c>
      <c r="F2181" s="2">
        <v>4.1500000000000004</v>
      </c>
    </row>
    <row r="2182" spans="1:6" x14ac:dyDescent="0.25">
      <c r="A2182" t="s">
        <v>5482</v>
      </c>
      <c r="B2182" t="s">
        <v>5483</v>
      </c>
      <c r="C2182" t="s">
        <v>1953</v>
      </c>
      <c r="D2182" t="s">
        <v>1954</v>
      </c>
      <c r="E2182" t="s">
        <v>711</v>
      </c>
      <c r="F2182" s="2">
        <v>3.63</v>
      </c>
    </row>
    <row r="2183" spans="1:6" x14ac:dyDescent="0.25">
      <c r="A2183" t="s">
        <v>5484</v>
      </c>
      <c r="B2183" t="s">
        <v>5485</v>
      </c>
      <c r="C2183" t="s">
        <v>1953</v>
      </c>
      <c r="D2183" t="s">
        <v>1940</v>
      </c>
      <c r="F2183" s="2">
        <v>154.62</v>
      </c>
    </row>
    <row r="2184" spans="1:6" x14ac:dyDescent="0.25">
      <c r="A2184" t="s">
        <v>5486</v>
      </c>
      <c r="B2184" t="s">
        <v>5487</v>
      </c>
      <c r="C2184" t="s">
        <v>1953</v>
      </c>
      <c r="D2184" t="s">
        <v>1940</v>
      </c>
      <c r="F2184" s="2">
        <v>154.62</v>
      </c>
    </row>
    <row r="2185" spans="1:6" x14ac:dyDescent="0.25">
      <c r="A2185" t="s">
        <v>5488</v>
      </c>
      <c r="B2185" t="s">
        <v>5489</v>
      </c>
      <c r="C2185" t="s">
        <v>1953</v>
      </c>
      <c r="D2185" t="s">
        <v>1940</v>
      </c>
      <c r="F2185" s="2">
        <v>102.1</v>
      </c>
    </row>
    <row r="2186" spans="1:6" x14ac:dyDescent="0.25">
      <c r="A2186" t="s">
        <v>5490</v>
      </c>
      <c r="B2186" t="s">
        <v>5491</v>
      </c>
      <c r="C2186" t="s">
        <v>1953</v>
      </c>
      <c r="D2186" t="s">
        <v>1940</v>
      </c>
      <c r="F2186" s="2">
        <v>296.14</v>
      </c>
    </row>
    <row r="2187" spans="1:6" x14ac:dyDescent="0.25">
      <c r="A2187" t="s">
        <v>5492</v>
      </c>
      <c r="B2187" t="s">
        <v>5493</v>
      </c>
      <c r="C2187" t="s">
        <v>1953</v>
      </c>
      <c r="D2187" t="s">
        <v>1940</v>
      </c>
      <c r="F2187" s="2">
        <v>94.5</v>
      </c>
    </row>
    <row r="2188" spans="1:6" x14ac:dyDescent="0.25">
      <c r="A2188" t="s">
        <v>5494</v>
      </c>
      <c r="B2188" t="s">
        <v>5495</v>
      </c>
      <c r="C2188" t="s">
        <v>1953</v>
      </c>
      <c r="D2188" t="s">
        <v>1940</v>
      </c>
      <c r="F2188" s="2">
        <v>5.64</v>
      </c>
    </row>
    <row r="2189" spans="1:6" x14ac:dyDescent="0.25">
      <c r="A2189" t="s">
        <v>5496</v>
      </c>
      <c r="B2189" t="s">
        <v>5497</v>
      </c>
      <c r="C2189" t="s">
        <v>1953</v>
      </c>
      <c r="D2189" t="s">
        <v>1940</v>
      </c>
      <c r="F2189" s="2">
        <v>5.64</v>
      </c>
    </row>
    <row r="2190" spans="1:6" x14ac:dyDescent="0.25">
      <c r="A2190" t="s">
        <v>5498</v>
      </c>
      <c r="B2190" t="s">
        <v>5499</v>
      </c>
      <c r="C2190" t="s">
        <v>1953</v>
      </c>
      <c r="D2190" t="s">
        <v>1940</v>
      </c>
      <c r="F2190" s="2">
        <v>1995</v>
      </c>
    </row>
    <row r="2191" spans="1:6" x14ac:dyDescent="0.25">
      <c r="A2191" t="s">
        <v>5500</v>
      </c>
      <c r="B2191" t="s">
        <v>5501</v>
      </c>
      <c r="C2191" t="s">
        <v>1953</v>
      </c>
      <c r="D2191" t="s">
        <v>1940</v>
      </c>
      <c r="F2191" s="2">
        <v>1995</v>
      </c>
    </row>
    <row r="2192" spans="1:6" x14ac:dyDescent="0.25">
      <c r="A2192" t="s">
        <v>5502</v>
      </c>
      <c r="B2192" t="s">
        <v>5503</v>
      </c>
      <c r="C2192" t="s">
        <v>1953</v>
      </c>
      <c r="D2192" t="s">
        <v>1940</v>
      </c>
      <c r="F2192" s="2">
        <v>23.61</v>
      </c>
    </row>
    <row r="2193" spans="1:6" x14ac:dyDescent="0.25">
      <c r="A2193" t="s">
        <v>5504</v>
      </c>
      <c r="B2193" t="s">
        <v>5505</v>
      </c>
      <c r="C2193" t="s">
        <v>1953</v>
      </c>
      <c r="D2193" t="s">
        <v>1940</v>
      </c>
      <c r="F2193" s="2">
        <v>118.5</v>
      </c>
    </row>
    <row r="2194" spans="1:6" x14ac:dyDescent="0.25">
      <c r="A2194" t="s">
        <v>5506</v>
      </c>
      <c r="B2194" t="s">
        <v>5507</v>
      </c>
      <c r="C2194" t="s">
        <v>1953</v>
      </c>
      <c r="D2194" t="s">
        <v>1954</v>
      </c>
      <c r="E2194" t="s">
        <v>3370</v>
      </c>
      <c r="F2194" s="2">
        <v>100.57</v>
      </c>
    </row>
    <row r="2195" spans="1:6" x14ac:dyDescent="0.25">
      <c r="A2195" t="s">
        <v>5508</v>
      </c>
      <c r="B2195" t="s">
        <v>5509</v>
      </c>
      <c r="C2195" t="s">
        <v>1953</v>
      </c>
      <c r="D2195" t="s">
        <v>1940</v>
      </c>
      <c r="F2195" s="2">
        <v>427.5</v>
      </c>
    </row>
    <row r="2196" spans="1:6" x14ac:dyDescent="0.25">
      <c r="A2196" t="s">
        <v>5510</v>
      </c>
      <c r="B2196" t="s">
        <v>5511</v>
      </c>
      <c r="C2196" t="s">
        <v>1953</v>
      </c>
      <c r="D2196" t="s">
        <v>1940</v>
      </c>
      <c r="F2196" s="2">
        <v>83.3</v>
      </c>
    </row>
    <row r="2197" spans="1:6" x14ac:dyDescent="0.25">
      <c r="A2197" t="s">
        <v>5512</v>
      </c>
      <c r="B2197" t="s">
        <v>5513</v>
      </c>
      <c r="C2197" t="s">
        <v>1953</v>
      </c>
      <c r="D2197" t="s">
        <v>1940</v>
      </c>
      <c r="F2197" s="2">
        <v>23.61</v>
      </c>
    </row>
    <row r="2198" spans="1:6" x14ac:dyDescent="0.25">
      <c r="A2198" t="s">
        <v>5514</v>
      </c>
      <c r="B2198" t="s">
        <v>5515</v>
      </c>
      <c r="C2198" t="s">
        <v>1953</v>
      </c>
      <c r="D2198" t="s">
        <v>1940</v>
      </c>
      <c r="F2198" s="2">
        <v>23.61</v>
      </c>
    </row>
    <row r="2199" spans="1:6" x14ac:dyDescent="0.25">
      <c r="A2199" t="s">
        <v>5516</v>
      </c>
      <c r="B2199" t="s">
        <v>5517</v>
      </c>
      <c r="C2199" t="s">
        <v>1953</v>
      </c>
      <c r="D2199" t="s">
        <v>1940</v>
      </c>
      <c r="F2199" s="2">
        <v>39.090000000000003</v>
      </c>
    </row>
    <row r="2200" spans="1:6" x14ac:dyDescent="0.25">
      <c r="A2200" t="s">
        <v>5518</v>
      </c>
      <c r="B2200" t="s">
        <v>5519</v>
      </c>
      <c r="C2200" t="s">
        <v>1953</v>
      </c>
      <c r="D2200" t="s">
        <v>1940</v>
      </c>
      <c r="F2200" s="2">
        <v>43.36</v>
      </c>
    </row>
    <row r="2201" spans="1:6" x14ac:dyDescent="0.25">
      <c r="A2201" t="s">
        <v>5520</v>
      </c>
      <c r="B2201" t="s">
        <v>5521</v>
      </c>
      <c r="C2201" t="s">
        <v>1953</v>
      </c>
      <c r="D2201" t="s">
        <v>1940</v>
      </c>
      <c r="F2201" s="2">
        <v>39.090000000000003</v>
      </c>
    </row>
    <row r="2202" spans="1:6" x14ac:dyDescent="0.25">
      <c r="A2202" t="s">
        <v>5522</v>
      </c>
      <c r="B2202" t="s">
        <v>5523</v>
      </c>
      <c r="C2202" t="s">
        <v>1953</v>
      </c>
      <c r="D2202" t="s">
        <v>1940</v>
      </c>
      <c r="F2202" s="2">
        <v>39.090000000000003</v>
      </c>
    </row>
    <row r="2203" spans="1:6" x14ac:dyDescent="0.25">
      <c r="A2203" t="s">
        <v>5524</v>
      </c>
      <c r="B2203" t="s">
        <v>5525</v>
      </c>
      <c r="C2203" t="s">
        <v>1953</v>
      </c>
      <c r="D2203" t="s">
        <v>1940</v>
      </c>
      <c r="F2203" s="2">
        <v>39.090000000000003</v>
      </c>
    </row>
    <row r="2204" spans="1:6" x14ac:dyDescent="0.25">
      <c r="A2204" t="s">
        <v>5526</v>
      </c>
      <c r="B2204" t="s">
        <v>5527</v>
      </c>
      <c r="C2204" t="s">
        <v>1953</v>
      </c>
      <c r="D2204" t="s">
        <v>1954</v>
      </c>
      <c r="E2204" t="s">
        <v>1115</v>
      </c>
      <c r="F2204" s="2">
        <v>3.75</v>
      </c>
    </row>
    <row r="2205" spans="1:6" x14ac:dyDescent="0.25">
      <c r="A2205" t="s">
        <v>5528</v>
      </c>
      <c r="B2205" t="s">
        <v>5529</v>
      </c>
      <c r="C2205" t="s">
        <v>1953</v>
      </c>
      <c r="D2205" t="s">
        <v>1940</v>
      </c>
      <c r="F2205" s="2">
        <v>5.6</v>
      </c>
    </row>
    <row r="2206" spans="1:6" x14ac:dyDescent="0.25">
      <c r="A2206" t="s">
        <v>5530</v>
      </c>
      <c r="B2206" t="s">
        <v>5531</v>
      </c>
      <c r="C2206" t="s">
        <v>1953</v>
      </c>
      <c r="D2206" t="s">
        <v>1954</v>
      </c>
      <c r="E2206" t="s">
        <v>395</v>
      </c>
      <c r="F2206" s="2">
        <v>2.2599999999999998</v>
      </c>
    </row>
    <row r="2207" spans="1:6" x14ac:dyDescent="0.25">
      <c r="A2207" t="s">
        <v>5532</v>
      </c>
      <c r="B2207" t="s">
        <v>5533</v>
      </c>
      <c r="C2207" t="s">
        <v>1953</v>
      </c>
      <c r="D2207" t="s">
        <v>1954</v>
      </c>
      <c r="E2207" t="s">
        <v>395</v>
      </c>
      <c r="F2207" s="2">
        <v>2.2599999999999998</v>
      </c>
    </row>
    <row r="2208" spans="1:6" x14ac:dyDescent="0.25">
      <c r="A2208" t="s">
        <v>5534</v>
      </c>
      <c r="B2208" t="s">
        <v>5535</v>
      </c>
      <c r="C2208" t="s">
        <v>1953</v>
      </c>
      <c r="D2208" t="s">
        <v>1940</v>
      </c>
      <c r="F2208" s="2">
        <v>4.6100000000000003</v>
      </c>
    </row>
    <row r="2209" spans="1:6" x14ac:dyDescent="0.25">
      <c r="A2209" t="s">
        <v>5536</v>
      </c>
      <c r="B2209" t="s">
        <v>5537</v>
      </c>
      <c r="C2209" t="s">
        <v>1953</v>
      </c>
      <c r="D2209" t="s">
        <v>1940</v>
      </c>
      <c r="F2209" s="2">
        <v>4.6100000000000003</v>
      </c>
    </row>
    <row r="2210" spans="1:6" x14ac:dyDescent="0.25">
      <c r="A2210" t="s">
        <v>5538</v>
      </c>
      <c r="B2210" t="s">
        <v>5539</v>
      </c>
      <c r="C2210" t="s">
        <v>1953</v>
      </c>
      <c r="D2210" t="s">
        <v>1940</v>
      </c>
      <c r="F2210" s="2">
        <v>4.7699999999999996</v>
      </c>
    </row>
    <row r="2211" spans="1:6" x14ac:dyDescent="0.25">
      <c r="A2211" t="s">
        <v>5540</v>
      </c>
      <c r="B2211" t="s">
        <v>5541</v>
      </c>
      <c r="C2211" t="s">
        <v>1953</v>
      </c>
      <c r="D2211" t="s">
        <v>1940</v>
      </c>
      <c r="F2211" s="2">
        <v>4.7699999999999996</v>
      </c>
    </row>
    <row r="2212" spans="1:6" x14ac:dyDescent="0.25">
      <c r="A2212" t="s">
        <v>5542</v>
      </c>
      <c r="B2212" t="s">
        <v>5543</v>
      </c>
      <c r="C2212" t="s">
        <v>1953</v>
      </c>
      <c r="D2212" t="s">
        <v>1940</v>
      </c>
      <c r="F2212" s="2">
        <v>5.29</v>
      </c>
    </row>
    <row r="2213" spans="1:6" x14ac:dyDescent="0.25">
      <c r="A2213" t="s">
        <v>5544</v>
      </c>
      <c r="B2213" t="s">
        <v>5545</v>
      </c>
      <c r="C2213" t="s">
        <v>1953</v>
      </c>
      <c r="D2213" t="s">
        <v>1940</v>
      </c>
      <c r="F2213" s="2">
        <v>5.29</v>
      </c>
    </row>
    <row r="2214" spans="1:6" x14ac:dyDescent="0.25">
      <c r="A2214" t="s">
        <v>5546</v>
      </c>
      <c r="B2214" t="s">
        <v>5547</v>
      </c>
      <c r="C2214" t="s">
        <v>1953</v>
      </c>
      <c r="D2214" t="s">
        <v>1940</v>
      </c>
      <c r="F2214" s="2">
        <v>5.29</v>
      </c>
    </row>
    <row r="2215" spans="1:6" x14ac:dyDescent="0.25">
      <c r="A2215" t="s">
        <v>5548</v>
      </c>
      <c r="B2215" t="s">
        <v>5549</v>
      </c>
      <c r="C2215" t="s">
        <v>1953</v>
      </c>
      <c r="D2215" t="s">
        <v>1940</v>
      </c>
      <c r="F2215" s="2">
        <v>4.63</v>
      </c>
    </row>
    <row r="2216" spans="1:6" x14ac:dyDescent="0.25">
      <c r="A2216" t="s">
        <v>5550</v>
      </c>
      <c r="B2216" t="s">
        <v>5551</v>
      </c>
      <c r="C2216" t="s">
        <v>1953</v>
      </c>
      <c r="D2216" t="s">
        <v>1940</v>
      </c>
      <c r="F2216" s="2">
        <v>4.63</v>
      </c>
    </row>
    <row r="2217" spans="1:6" x14ac:dyDescent="0.25">
      <c r="A2217" t="s">
        <v>5552</v>
      </c>
      <c r="B2217" t="s">
        <v>5553</v>
      </c>
      <c r="C2217" t="s">
        <v>1953</v>
      </c>
      <c r="D2217" t="s">
        <v>1940</v>
      </c>
      <c r="F2217" s="2">
        <v>4.63</v>
      </c>
    </row>
    <row r="2218" spans="1:6" x14ac:dyDescent="0.25">
      <c r="A2218" t="s">
        <v>5554</v>
      </c>
      <c r="B2218" t="s">
        <v>5555</v>
      </c>
      <c r="C2218" t="s">
        <v>1953</v>
      </c>
      <c r="D2218" t="s">
        <v>1940</v>
      </c>
      <c r="F2218" s="2">
        <v>9.7899999999999991</v>
      </c>
    </row>
    <row r="2219" spans="1:6" x14ac:dyDescent="0.25">
      <c r="A2219" t="s">
        <v>5556</v>
      </c>
      <c r="B2219" t="s">
        <v>5557</v>
      </c>
      <c r="C2219" t="s">
        <v>1953</v>
      </c>
      <c r="D2219" t="s">
        <v>1954</v>
      </c>
      <c r="F2219" s="2">
        <v>1700</v>
      </c>
    </row>
    <row r="2220" spans="1:6" x14ac:dyDescent="0.25">
      <c r="A2220" t="s">
        <v>5558</v>
      </c>
      <c r="B2220" t="s">
        <v>5559</v>
      </c>
      <c r="C2220" t="s">
        <v>1953</v>
      </c>
      <c r="D2220" t="s">
        <v>1940</v>
      </c>
      <c r="F2220" s="2">
        <v>9.5</v>
      </c>
    </row>
    <row r="2221" spans="1:6" x14ac:dyDescent="0.25">
      <c r="A2221" t="s">
        <v>5560</v>
      </c>
      <c r="B2221" t="s">
        <v>5561</v>
      </c>
      <c r="C2221" t="s">
        <v>1953</v>
      </c>
      <c r="D2221" t="s">
        <v>1940</v>
      </c>
      <c r="F2221" s="2">
        <v>6.58</v>
      </c>
    </row>
    <row r="2222" spans="1:6" x14ac:dyDescent="0.25">
      <c r="A2222" t="s">
        <v>1380</v>
      </c>
      <c r="B2222" t="s">
        <v>5562</v>
      </c>
      <c r="C2222" t="s">
        <v>1953</v>
      </c>
      <c r="D2222" t="s">
        <v>1940</v>
      </c>
      <c r="F2222" s="2">
        <v>9.1</v>
      </c>
    </row>
    <row r="2223" spans="1:6" x14ac:dyDescent="0.25">
      <c r="A2223" t="s">
        <v>5563</v>
      </c>
      <c r="B2223" t="s">
        <v>5564</v>
      </c>
      <c r="C2223" t="s">
        <v>1953</v>
      </c>
      <c r="D2223" t="s">
        <v>1940</v>
      </c>
      <c r="F2223" s="2">
        <v>81.8</v>
      </c>
    </row>
    <row r="2224" spans="1:6" x14ac:dyDescent="0.25">
      <c r="A2224" t="s">
        <v>5565</v>
      </c>
      <c r="B2224" t="s">
        <v>5566</v>
      </c>
      <c r="C2224" t="s">
        <v>1953</v>
      </c>
      <c r="D2224" t="s">
        <v>1940</v>
      </c>
      <c r="F2224" s="2">
        <v>81.8</v>
      </c>
    </row>
    <row r="2225" spans="1:6" x14ac:dyDescent="0.25">
      <c r="A2225" t="s">
        <v>5567</v>
      </c>
      <c r="B2225" t="s">
        <v>5568</v>
      </c>
      <c r="C2225" t="s">
        <v>1953</v>
      </c>
      <c r="D2225" t="s">
        <v>1940</v>
      </c>
      <c r="F2225" s="2">
        <v>81.8</v>
      </c>
    </row>
    <row r="2226" spans="1:6" x14ac:dyDescent="0.25">
      <c r="A2226" t="s">
        <v>5569</v>
      </c>
      <c r="B2226" t="s">
        <v>5570</v>
      </c>
      <c r="C2226" t="s">
        <v>1953</v>
      </c>
      <c r="D2226" t="s">
        <v>1940</v>
      </c>
      <c r="F2226" s="2">
        <v>81.8</v>
      </c>
    </row>
    <row r="2227" spans="1:6" x14ac:dyDescent="0.25">
      <c r="A2227" t="s">
        <v>5571</v>
      </c>
      <c r="B2227" t="s">
        <v>5572</v>
      </c>
      <c r="C2227" t="s">
        <v>1953</v>
      </c>
      <c r="D2227" t="s">
        <v>1940</v>
      </c>
      <c r="F2227" s="2">
        <v>23.5</v>
      </c>
    </row>
    <row r="2228" spans="1:6" x14ac:dyDescent="0.25">
      <c r="A2228" t="s">
        <v>5573</v>
      </c>
      <c r="B2228" t="s">
        <v>5574</v>
      </c>
      <c r="C2228" t="s">
        <v>1953</v>
      </c>
      <c r="D2228" t="s">
        <v>1954</v>
      </c>
      <c r="F2228" s="2">
        <v>15690</v>
      </c>
    </row>
    <row r="2229" spans="1:6" x14ac:dyDescent="0.25">
      <c r="A2229" t="s">
        <v>5575</v>
      </c>
      <c r="B2229" t="s">
        <v>5576</v>
      </c>
      <c r="C2229" t="s">
        <v>1953</v>
      </c>
      <c r="D2229" t="s">
        <v>1940</v>
      </c>
      <c r="F2229" s="2">
        <v>81.81</v>
      </c>
    </row>
    <row r="2230" spans="1:6" x14ac:dyDescent="0.25">
      <c r="A2230" t="s">
        <v>5577</v>
      </c>
      <c r="B2230" t="s">
        <v>5578</v>
      </c>
      <c r="C2230" t="s">
        <v>1953</v>
      </c>
      <c r="D2230" t="s">
        <v>1940</v>
      </c>
      <c r="F2230" s="2">
        <v>81.81</v>
      </c>
    </row>
    <row r="2231" spans="1:6" x14ac:dyDescent="0.25">
      <c r="A2231" t="s">
        <v>5579</v>
      </c>
      <c r="B2231" t="s">
        <v>5580</v>
      </c>
      <c r="C2231" t="s">
        <v>1953</v>
      </c>
      <c r="D2231" t="s">
        <v>1940</v>
      </c>
      <c r="F2231" s="2">
        <v>85.29</v>
      </c>
    </row>
    <row r="2232" spans="1:6" x14ac:dyDescent="0.25">
      <c r="A2232" t="s">
        <v>5581</v>
      </c>
      <c r="B2232" t="s">
        <v>5582</v>
      </c>
      <c r="C2232" t="s">
        <v>1953</v>
      </c>
      <c r="D2232" t="s">
        <v>1940</v>
      </c>
      <c r="F2232" s="2">
        <v>520.79999999999995</v>
      </c>
    </row>
    <row r="2233" spans="1:6" x14ac:dyDescent="0.25">
      <c r="A2233" t="s">
        <v>5583</v>
      </c>
      <c r="B2233" t="s">
        <v>5584</v>
      </c>
      <c r="C2233" t="s">
        <v>1953</v>
      </c>
      <c r="D2233" t="s">
        <v>1954</v>
      </c>
      <c r="F2233" s="2">
        <v>10.73</v>
      </c>
    </row>
    <row r="2234" spans="1:6" x14ac:dyDescent="0.25">
      <c r="A2234" t="s">
        <v>5585</v>
      </c>
      <c r="B2234" t="s">
        <v>5586</v>
      </c>
      <c r="C2234" t="s">
        <v>1953</v>
      </c>
      <c r="D2234" t="s">
        <v>1940</v>
      </c>
      <c r="F2234" s="2">
        <v>102.86</v>
      </c>
    </row>
    <row r="2235" spans="1:6" x14ac:dyDescent="0.25">
      <c r="A2235" t="s">
        <v>5587</v>
      </c>
      <c r="B2235" t="s">
        <v>5588</v>
      </c>
      <c r="C2235" t="s">
        <v>1953</v>
      </c>
      <c r="D2235" t="s">
        <v>1954</v>
      </c>
      <c r="F2235" s="2">
        <v>10.73</v>
      </c>
    </row>
    <row r="2236" spans="1:6" x14ac:dyDescent="0.25">
      <c r="A2236" t="s">
        <v>5589</v>
      </c>
      <c r="B2236" t="s">
        <v>5590</v>
      </c>
      <c r="C2236" t="s">
        <v>1953</v>
      </c>
      <c r="D2236" t="s">
        <v>1940</v>
      </c>
      <c r="F2236" s="2">
        <v>45</v>
      </c>
    </row>
    <row r="2237" spans="1:6" x14ac:dyDescent="0.25">
      <c r="A2237" t="s">
        <v>5591</v>
      </c>
      <c r="B2237" t="s">
        <v>5592</v>
      </c>
      <c r="C2237" t="s">
        <v>1953</v>
      </c>
      <c r="D2237" t="s">
        <v>1940</v>
      </c>
      <c r="F2237" s="2">
        <v>11.6</v>
      </c>
    </row>
    <row r="2238" spans="1:6" x14ac:dyDescent="0.25">
      <c r="A2238" t="s">
        <v>5593</v>
      </c>
      <c r="B2238" t="s">
        <v>5594</v>
      </c>
      <c r="C2238" t="s">
        <v>1953</v>
      </c>
      <c r="D2238" t="s">
        <v>1940</v>
      </c>
      <c r="F2238" s="2">
        <v>11.6</v>
      </c>
    </row>
    <row r="2239" spans="1:6" x14ac:dyDescent="0.25">
      <c r="A2239" t="s">
        <v>165</v>
      </c>
      <c r="B2239" t="s">
        <v>5595</v>
      </c>
      <c r="C2239" t="s">
        <v>1953</v>
      </c>
      <c r="D2239" t="s">
        <v>1954</v>
      </c>
      <c r="E2239" t="s">
        <v>164</v>
      </c>
      <c r="F2239" s="2">
        <v>607.55999999999995</v>
      </c>
    </row>
    <row r="2240" spans="1:6" x14ac:dyDescent="0.25">
      <c r="A2240" t="s">
        <v>5596</v>
      </c>
      <c r="B2240" t="s">
        <v>5597</v>
      </c>
      <c r="C2240" t="s">
        <v>1953</v>
      </c>
      <c r="D2240" t="s">
        <v>1954</v>
      </c>
      <c r="E2240" t="s">
        <v>219</v>
      </c>
      <c r="F2240" s="2">
        <v>117.51</v>
      </c>
    </row>
    <row r="2241" spans="1:6" x14ac:dyDescent="0.25">
      <c r="A2241" t="s">
        <v>5598</v>
      </c>
      <c r="B2241" t="s">
        <v>5599</v>
      </c>
      <c r="C2241" t="s">
        <v>1953</v>
      </c>
      <c r="D2241" t="s">
        <v>1940</v>
      </c>
      <c r="F2241" s="2">
        <v>4.5</v>
      </c>
    </row>
    <row r="2242" spans="1:6" x14ac:dyDescent="0.25">
      <c r="A2242" t="s">
        <v>5600</v>
      </c>
      <c r="B2242" t="s">
        <v>5601</v>
      </c>
      <c r="C2242" t="s">
        <v>1953</v>
      </c>
      <c r="D2242" t="s">
        <v>1940</v>
      </c>
      <c r="F2242" s="2">
        <v>25.53</v>
      </c>
    </row>
    <row r="2243" spans="1:6" x14ac:dyDescent="0.25">
      <c r="A2243" t="s">
        <v>5602</v>
      </c>
      <c r="B2243" t="s">
        <v>5603</v>
      </c>
      <c r="C2243" t="s">
        <v>1953</v>
      </c>
      <c r="D2243" t="s">
        <v>1954</v>
      </c>
      <c r="F2243" s="2">
        <v>10</v>
      </c>
    </row>
    <row r="2244" spans="1:6" x14ac:dyDescent="0.25">
      <c r="A2244" t="s">
        <v>5604</v>
      </c>
      <c r="B2244" t="s">
        <v>5605</v>
      </c>
      <c r="C2244" t="s">
        <v>1953</v>
      </c>
      <c r="D2244" t="s">
        <v>1940</v>
      </c>
      <c r="F2244" s="2">
        <v>351.41</v>
      </c>
    </row>
    <row r="2245" spans="1:6" x14ac:dyDescent="0.25">
      <c r="A2245" t="s">
        <v>1382</v>
      </c>
      <c r="B2245" t="s">
        <v>5606</v>
      </c>
      <c r="C2245" t="s">
        <v>1953</v>
      </c>
      <c r="D2245" t="s">
        <v>1954</v>
      </c>
      <c r="F2245" s="2">
        <v>10.73</v>
      </c>
    </row>
    <row r="2246" spans="1:6" x14ac:dyDescent="0.25">
      <c r="A2246" t="s">
        <v>5607</v>
      </c>
      <c r="B2246" t="s">
        <v>5608</v>
      </c>
      <c r="C2246" t="s">
        <v>1953</v>
      </c>
      <c r="D2246" t="s">
        <v>1940</v>
      </c>
      <c r="F2246" s="2">
        <v>12900</v>
      </c>
    </row>
    <row r="2247" spans="1:6" x14ac:dyDescent="0.25">
      <c r="A2247" t="s">
        <v>5609</v>
      </c>
      <c r="B2247" t="s">
        <v>5610</v>
      </c>
      <c r="C2247" t="s">
        <v>1953</v>
      </c>
      <c r="D2247" t="s">
        <v>1954</v>
      </c>
      <c r="F2247" s="2">
        <v>295.19</v>
      </c>
    </row>
    <row r="2248" spans="1:6" x14ac:dyDescent="0.25">
      <c r="A2248" t="s">
        <v>5611</v>
      </c>
      <c r="B2248" t="s">
        <v>5612</v>
      </c>
      <c r="C2248" t="s">
        <v>1953</v>
      </c>
      <c r="D2248" t="s">
        <v>1940</v>
      </c>
      <c r="F2248" s="2">
        <v>4.0199999999999996</v>
      </c>
    </row>
    <row r="2249" spans="1:6" x14ac:dyDescent="0.25">
      <c r="A2249" t="s">
        <v>5613</v>
      </c>
      <c r="B2249" t="s">
        <v>5614</v>
      </c>
      <c r="C2249" t="s">
        <v>1953</v>
      </c>
      <c r="D2249" t="s">
        <v>1940</v>
      </c>
      <c r="F2249" s="2">
        <v>230.58</v>
      </c>
    </row>
    <row r="2250" spans="1:6" x14ac:dyDescent="0.25">
      <c r="A2250" t="s">
        <v>5615</v>
      </c>
      <c r="B2250" t="s">
        <v>5616</v>
      </c>
      <c r="C2250" t="s">
        <v>1953</v>
      </c>
      <c r="D2250" t="s">
        <v>1940</v>
      </c>
      <c r="F2250" s="2">
        <v>4.0199999999999996</v>
      </c>
    </row>
    <row r="2251" spans="1:6" x14ac:dyDescent="0.25">
      <c r="A2251" t="s">
        <v>5617</v>
      </c>
      <c r="B2251" t="s">
        <v>5618</v>
      </c>
      <c r="C2251" t="s">
        <v>1953</v>
      </c>
      <c r="D2251" t="s">
        <v>1940</v>
      </c>
      <c r="F2251" s="2">
        <v>34.909999999999997</v>
      </c>
    </row>
    <row r="2252" spans="1:6" x14ac:dyDescent="0.25">
      <c r="A2252" t="s">
        <v>5619</v>
      </c>
      <c r="B2252" t="s">
        <v>5620</v>
      </c>
      <c r="C2252" t="s">
        <v>1953</v>
      </c>
      <c r="D2252" t="s">
        <v>1940</v>
      </c>
      <c r="F2252" s="2">
        <v>22995</v>
      </c>
    </row>
    <row r="2253" spans="1:6" x14ac:dyDescent="0.25">
      <c r="A2253" t="s">
        <v>5621</v>
      </c>
      <c r="B2253" t="s">
        <v>5622</v>
      </c>
      <c r="C2253" t="s">
        <v>1953</v>
      </c>
      <c r="D2253" t="s">
        <v>1940</v>
      </c>
      <c r="F2253" s="2">
        <v>19995</v>
      </c>
    </row>
    <row r="2254" spans="1:6" x14ac:dyDescent="0.25">
      <c r="A2254" t="s">
        <v>5623</v>
      </c>
      <c r="B2254" t="s">
        <v>5624</v>
      </c>
      <c r="C2254" t="s">
        <v>1953</v>
      </c>
      <c r="D2254" t="s">
        <v>1940</v>
      </c>
      <c r="F2254" s="2">
        <v>12500</v>
      </c>
    </row>
    <row r="2255" spans="1:6" x14ac:dyDescent="0.25">
      <c r="A2255" t="s">
        <v>5625</v>
      </c>
      <c r="B2255" t="s">
        <v>5626</v>
      </c>
      <c r="C2255" t="s">
        <v>1953</v>
      </c>
      <c r="D2255" t="s">
        <v>1940</v>
      </c>
      <c r="F2255" s="2">
        <v>5650</v>
      </c>
    </row>
    <row r="2256" spans="1:6" x14ac:dyDescent="0.25">
      <c r="A2256" t="s">
        <v>5627</v>
      </c>
      <c r="B2256" t="s">
        <v>5628</v>
      </c>
      <c r="C2256" t="s">
        <v>1953</v>
      </c>
      <c r="D2256" t="s">
        <v>1940</v>
      </c>
      <c r="F2256" s="2">
        <v>5950</v>
      </c>
    </row>
    <row r="2257" spans="1:6" x14ac:dyDescent="0.25">
      <c r="A2257" t="s">
        <v>5629</v>
      </c>
      <c r="B2257" t="s">
        <v>5620</v>
      </c>
      <c r="C2257" t="s">
        <v>1953</v>
      </c>
      <c r="D2257" t="s">
        <v>1940</v>
      </c>
      <c r="F2257" s="2">
        <v>22995</v>
      </c>
    </row>
    <row r="2258" spans="1:6" x14ac:dyDescent="0.25">
      <c r="A2258" t="s">
        <v>5630</v>
      </c>
      <c r="B2258" t="s">
        <v>5631</v>
      </c>
      <c r="C2258" t="s">
        <v>1953</v>
      </c>
      <c r="D2258" t="s">
        <v>1940</v>
      </c>
      <c r="F2258" s="2">
        <v>61.71</v>
      </c>
    </row>
    <row r="2259" spans="1:6" x14ac:dyDescent="0.25">
      <c r="A2259" t="s">
        <v>5632</v>
      </c>
      <c r="B2259" t="s">
        <v>5633</v>
      </c>
      <c r="C2259" t="s">
        <v>1953</v>
      </c>
      <c r="D2259" t="s">
        <v>1940</v>
      </c>
      <c r="F2259" s="2">
        <v>16610</v>
      </c>
    </row>
    <row r="2260" spans="1:6" x14ac:dyDescent="0.25">
      <c r="A2260" t="s">
        <v>5634</v>
      </c>
      <c r="B2260" t="s">
        <v>5635</v>
      </c>
      <c r="C2260" t="s">
        <v>1953</v>
      </c>
      <c r="D2260" t="s">
        <v>1940</v>
      </c>
      <c r="F2260" s="2">
        <v>17830</v>
      </c>
    </row>
    <row r="2261" spans="1:6" x14ac:dyDescent="0.25">
      <c r="A2261" t="s">
        <v>5636</v>
      </c>
      <c r="B2261" t="s">
        <v>5637</v>
      </c>
      <c r="C2261" t="s">
        <v>1953</v>
      </c>
      <c r="D2261" t="s">
        <v>1940</v>
      </c>
      <c r="F2261" s="2">
        <v>16695</v>
      </c>
    </row>
    <row r="2262" spans="1:6" x14ac:dyDescent="0.25">
      <c r="A2262" t="s">
        <v>5638</v>
      </c>
      <c r="B2262" t="s">
        <v>5639</v>
      </c>
      <c r="C2262" t="s">
        <v>1953</v>
      </c>
      <c r="D2262" t="s">
        <v>1940</v>
      </c>
      <c r="F2262" s="2">
        <v>19595</v>
      </c>
    </row>
    <row r="2263" spans="1:6" x14ac:dyDescent="0.25">
      <c r="A2263" t="s">
        <v>5640</v>
      </c>
      <c r="B2263" t="s">
        <v>5641</v>
      </c>
      <c r="C2263" t="s">
        <v>1953</v>
      </c>
      <c r="D2263" t="s">
        <v>1940</v>
      </c>
      <c r="F2263" s="2">
        <v>18195</v>
      </c>
    </row>
    <row r="2264" spans="1:6" x14ac:dyDescent="0.25">
      <c r="A2264" t="s">
        <v>5642</v>
      </c>
      <c r="B2264" t="s">
        <v>5643</v>
      </c>
      <c r="C2264" t="s">
        <v>1953</v>
      </c>
      <c r="D2264" t="s">
        <v>1940</v>
      </c>
      <c r="F2264" s="2">
        <v>18195</v>
      </c>
    </row>
    <row r="2265" spans="1:6" x14ac:dyDescent="0.25">
      <c r="A2265" t="s">
        <v>5644</v>
      </c>
      <c r="B2265" t="s">
        <v>5645</v>
      </c>
      <c r="C2265" t="s">
        <v>1953</v>
      </c>
      <c r="D2265" t="s">
        <v>1940</v>
      </c>
      <c r="F2265" s="2">
        <v>20.95</v>
      </c>
    </row>
    <row r="2266" spans="1:6" x14ac:dyDescent="0.25">
      <c r="A2266" t="s">
        <v>5646</v>
      </c>
      <c r="B2266" t="s">
        <v>5647</v>
      </c>
      <c r="C2266" t="s">
        <v>1953</v>
      </c>
      <c r="D2266" t="s">
        <v>1940</v>
      </c>
      <c r="F2266" s="2">
        <v>20.95</v>
      </c>
    </row>
    <row r="2267" spans="1:6" x14ac:dyDescent="0.25">
      <c r="A2267" t="s">
        <v>5648</v>
      </c>
      <c r="B2267" t="s">
        <v>5649</v>
      </c>
      <c r="C2267" t="s">
        <v>1953</v>
      </c>
      <c r="D2267" t="s">
        <v>1940</v>
      </c>
      <c r="F2267" s="2">
        <v>20.95</v>
      </c>
    </row>
    <row r="2268" spans="1:6" x14ac:dyDescent="0.25">
      <c r="A2268" t="s">
        <v>5650</v>
      </c>
      <c r="B2268" t="s">
        <v>5651</v>
      </c>
      <c r="C2268" t="s">
        <v>1953</v>
      </c>
      <c r="D2268" t="s">
        <v>1940</v>
      </c>
      <c r="F2268" s="2">
        <v>20.95</v>
      </c>
    </row>
    <row r="2269" spans="1:6" x14ac:dyDescent="0.25">
      <c r="A2269" t="s">
        <v>5652</v>
      </c>
      <c r="B2269" t="s">
        <v>5653</v>
      </c>
      <c r="C2269" t="s">
        <v>1953</v>
      </c>
      <c r="D2269" t="s">
        <v>1940</v>
      </c>
      <c r="F2269" s="2">
        <v>385</v>
      </c>
    </row>
    <row r="2270" spans="1:6" x14ac:dyDescent="0.25">
      <c r="A2270" t="s">
        <v>5654</v>
      </c>
      <c r="B2270" t="s">
        <v>5655</v>
      </c>
      <c r="C2270" t="s">
        <v>1953</v>
      </c>
      <c r="D2270" t="s">
        <v>1940</v>
      </c>
      <c r="F2270" s="2">
        <v>649</v>
      </c>
    </row>
    <row r="2271" spans="1:6" x14ac:dyDescent="0.25">
      <c r="A2271" t="s">
        <v>5656</v>
      </c>
      <c r="B2271" t="s">
        <v>5657</v>
      </c>
      <c r="C2271" t="s">
        <v>1953</v>
      </c>
      <c r="D2271" t="s">
        <v>1940</v>
      </c>
      <c r="F2271" s="2">
        <v>1612.3</v>
      </c>
    </row>
    <row r="2272" spans="1:6" x14ac:dyDescent="0.25">
      <c r="A2272" t="s">
        <v>5658</v>
      </c>
      <c r="B2272" t="s">
        <v>5659</v>
      </c>
      <c r="C2272" t="s">
        <v>1953</v>
      </c>
      <c r="D2272" t="s">
        <v>1940</v>
      </c>
      <c r="F2272" s="2">
        <v>1167.33</v>
      </c>
    </row>
    <row r="2273" spans="1:6" x14ac:dyDescent="0.25">
      <c r="A2273" t="s">
        <v>5660</v>
      </c>
      <c r="B2273" t="s">
        <v>5661</v>
      </c>
      <c r="C2273" t="s">
        <v>1953</v>
      </c>
      <c r="D2273" t="s">
        <v>1940</v>
      </c>
      <c r="F2273" s="2">
        <v>1372.9</v>
      </c>
    </row>
    <row r="2274" spans="1:6" x14ac:dyDescent="0.25">
      <c r="A2274" t="s">
        <v>5662</v>
      </c>
      <c r="B2274" t="s">
        <v>5663</v>
      </c>
      <c r="C2274" t="s">
        <v>1953</v>
      </c>
      <c r="D2274" t="s">
        <v>1954</v>
      </c>
      <c r="E2274" t="s">
        <v>219</v>
      </c>
      <c r="F2274" s="2">
        <v>137.28</v>
      </c>
    </row>
    <row r="2275" spans="1:6" x14ac:dyDescent="0.25">
      <c r="A2275" t="s">
        <v>5664</v>
      </c>
      <c r="B2275" t="s">
        <v>5665</v>
      </c>
      <c r="C2275" t="s">
        <v>1953</v>
      </c>
      <c r="D2275" t="s">
        <v>1954</v>
      </c>
      <c r="F2275" s="2">
        <v>35900</v>
      </c>
    </row>
    <row r="2276" spans="1:6" x14ac:dyDescent="0.25">
      <c r="A2276" t="s">
        <v>5666</v>
      </c>
      <c r="B2276" t="s">
        <v>5667</v>
      </c>
      <c r="C2276" t="s">
        <v>1953</v>
      </c>
      <c r="D2276" t="s">
        <v>1940</v>
      </c>
      <c r="F2276" s="2">
        <v>154.62</v>
      </c>
    </row>
    <row r="2277" spans="1:6" x14ac:dyDescent="0.25">
      <c r="A2277" t="s">
        <v>5668</v>
      </c>
      <c r="B2277" t="s">
        <v>5669</v>
      </c>
      <c r="C2277" t="s">
        <v>1953</v>
      </c>
      <c r="D2277" t="s">
        <v>1940</v>
      </c>
      <c r="F2277" s="2">
        <v>50.4</v>
      </c>
    </row>
    <row r="2278" spans="1:6" x14ac:dyDescent="0.25">
      <c r="A2278" t="s">
        <v>5670</v>
      </c>
      <c r="B2278" t="s">
        <v>5671</v>
      </c>
      <c r="C2278" t="s">
        <v>1953</v>
      </c>
      <c r="D2278" t="s">
        <v>1940</v>
      </c>
      <c r="F2278" s="2">
        <v>259.2</v>
      </c>
    </row>
    <row r="2279" spans="1:6" x14ac:dyDescent="0.25">
      <c r="A2279" t="s">
        <v>5672</v>
      </c>
      <c r="B2279" t="s">
        <v>5673</v>
      </c>
      <c r="C2279" t="s">
        <v>1953</v>
      </c>
      <c r="D2279" t="s">
        <v>1954</v>
      </c>
      <c r="F2279" s="2">
        <v>327.55</v>
      </c>
    </row>
    <row r="2280" spans="1:6" x14ac:dyDescent="0.25">
      <c r="A2280" t="s">
        <v>5674</v>
      </c>
      <c r="B2280" t="s">
        <v>5675</v>
      </c>
      <c r="C2280" t="s">
        <v>1953</v>
      </c>
      <c r="D2280" t="s">
        <v>5676</v>
      </c>
      <c r="F2280" s="2">
        <v>219.57</v>
      </c>
    </row>
    <row r="2281" spans="1:6" x14ac:dyDescent="0.25">
      <c r="A2281" t="s">
        <v>5677</v>
      </c>
      <c r="B2281" t="s">
        <v>5678</v>
      </c>
      <c r="C2281" t="s">
        <v>1953</v>
      </c>
      <c r="D2281" t="s">
        <v>1954</v>
      </c>
      <c r="E2281" t="s">
        <v>711</v>
      </c>
      <c r="F2281" s="2">
        <v>11.74</v>
      </c>
    </row>
    <row r="2282" spans="1:6" x14ac:dyDescent="0.25">
      <c r="A2282" t="s">
        <v>5679</v>
      </c>
      <c r="B2282" t="s">
        <v>5680</v>
      </c>
      <c r="C2282" t="s">
        <v>1953</v>
      </c>
      <c r="D2282" t="s">
        <v>1940</v>
      </c>
      <c r="F2282" s="2">
        <v>925</v>
      </c>
    </row>
    <row r="2283" spans="1:6" x14ac:dyDescent="0.25">
      <c r="A2283" t="s">
        <v>5681</v>
      </c>
      <c r="B2283" t="s">
        <v>5682</v>
      </c>
      <c r="C2283" t="s">
        <v>1953</v>
      </c>
      <c r="D2283" t="s">
        <v>1954</v>
      </c>
      <c r="F2283" s="2">
        <v>4.96</v>
      </c>
    </row>
    <row r="2284" spans="1:6" x14ac:dyDescent="0.25">
      <c r="A2284" t="s">
        <v>5683</v>
      </c>
      <c r="B2284" t="s">
        <v>5684</v>
      </c>
      <c r="C2284" t="s">
        <v>1953</v>
      </c>
      <c r="D2284" t="s">
        <v>1940</v>
      </c>
      <c r="F2284" s="2">
        <v>2.5299999999999998</v>
      </c>
    </row>
    <row r="2285" spans="1:6" x14ac:dyDescent="0.25">
      <c r="A2285" t="s">
        <v>5685</v>
      </c>
      <c r="B2285" t="s">
        <v>5686</v>
      </c>
      <c r="C2285" t="s">
        <v>1953</v>
      </c>
      <c r="D2285" t="s">
        <v>1940</v>
      </c>
      <c r="F2285" s="2">
        <v>221.94</v>
      </c>
    </row>
    <row r="2286" spans="1:6" x14ac:dyDescent="0.25">
      <c r="A2286" t="s">
        <v>5687</v>
      </c>
      <c r="B2286" t="s">
        <v>5688</v>
      </c>
      <c r="C2286" t="s">
        <v>1953</v>
      </c>
      <c r="D2286" t="s">
        <v>1940</v>
      </c>
      <c r="F2286" s="2">
        <v>145.22</v>
      </c>
    </row>
    <row r="2287" spans="1:6" x14ac:dyDescent="0.25">
      <c r="A2287" t="s">
        <v>5689</v>
      </c>
      <c r="B2287" t="s">
        <v>5690</v>
      </c>
      <c r="C2287" t="s">
        <v>1953</v>
      </c>
      <c r="D2287" t="s">
        <v>1940</v>
      </c>
      <c r="F2287" s="2">
        <v>123</v>
      </c>
    </row>
    <row r="2288" spans="1:6" x14ac:dyDescent="0.25">
      <c r="A2288" t="s">
        <v>157</v>
      </c>
      <c r="B2288" t="s">
        <v>5691</v>
      </c>
      <c r="C2288" t="s">
        <v>1953</v>
      </c>
      <c r="D2288" t="s">
        <v>1954</v>
      </c>
      <c r="E2288" t="s">
        <v>2022</v>
      </c>
      <c r="F2288" s="2">
        <v>403.94</v>
      </c>
    </row>
    <row r="2289" spans="1:6" x14ac:dyDescent="0.25">
      <c r="A2289" t="s">
        <v>5692</v>
      </c>
      <c r="B2289" t="s">
        <v>5693</v>
      </c>
      <c r="C2289" t="s">
        <v>1953</v>
      </c>
      <c r="D2289" t="s">
        <v>1954</v>
      </c>
      <c r="F2289" s="2">
        <v>26007</v>
      </c>
    </row>
    <row r="2290" spans="1:6" x14ac:dyDescent="0.25">
      <c r="A2290" t="s">
        <v>5694</v>
      </c>
      <c r="B2290" t="s">
        <v>5695</v>
      </c>
      <c r="C2290" t="s">
        <v>1953</v>
      </c>
      <c r="D2290" t="s">
        <v>1940</v>
      </c>
      <c r="F2290" s="2">
        <v>1.89</v>
      </c>
    </row>
    <row r="2291" spans="1:6" x14ac:dyDescent="0.25">
      <c r="A2291" t="s">
        <v>5696</v>
      </c>
      <c r="B2291" t="s">
        <v>5697</v>
      </c>
      <c r="C2291" t="s">
        <v>1953</v>
      </c>
      <c r="D2291" t="s">
        <v>1940</v>
      </c>
      <c r="E2291" t="s">
        <v>698</v>
      </c>
      <c r="F2291" s="2">
        <v>104.7</v>
      </c>
    </row>
    <row r="2292" spans="1:6" x14ac:dyDescent="0.25">
      <c r="A2292" t="s">
        <v>5698</v>
      </c>
      <c r="B2292" t="s">
        <v>5699</v>
      </c>
      <c r="C2292" t="s">
        <v>1953</v>
      </c>
      <c r="D2292" t="s">
        <v>1940</v>
      </c>
      <c r="F2292" s="2">
        <v>1</v>
      </c>
    </row>
    <row r="2293" spans="1:6" x14ac:dyDescent="0.25">
      <c r="A2293" t="s">
        <v>5700</v>
      </c>
      <c r="B2293" t="s">
        <v>5701</v>
      </c>
      <c r="C2293" t="s">
        <v>1953</v>
      </c>
      <c r="D2293" t="s">
        <v>1940</v>
      </c>
      <c r="F2293" s="2">
        <v>0.49</v>
      </c>
    </row>
    <row r="2294" spans="1:6" x14ac:dyDescent="0.25">
      <c r="A2294" t="s">
        <v>5702</v>
      </c>
      <c r="B2294" t="s">
        <v>5703</v>
      </c>
      <c r="C2294" t="s">
        <v>1953</v>
      </c>
      <c r="D2294" t="s">
        <v>1940</v>
      </c>
      <c r="F2294" s="2">
        <v>0.25</v>
      </c>
    </row>
    <row r="2295" spans="1:6" x14ac:dyDescent="0.25">
      <c r="A2295" t="s">
        <v>5704</v>
      </c>
      <c r="B2295" t="s">
        <v>5705</v>
      </c>
      <c r="C2295" t="s">
        <v>1953</v>
      </c>
      <c r="D2295" t="s">
        <v>1940</v>
      </c>
      <c r="F2295" s="2">
        <v>0.25</v>
      </c>
    </row>
    <row r="2296" spans="1:6" x14ac:dyDescent="0.25">
      <c r="A2296" t="s">
        <v>5706</v>
      </c>
      <c r="B2296" t="s">
        <v>5707</v>
      </c>
      <c r="C2296" t="s">
        <v>1953</v>
      </c>
      <c r="D2296" t="s">
        <v>1940</v>
      </c>
      <c r="F2296" s="2">
        <v>0.25</v>
      </c>
    </row>
    <row r="2297" spans="1:6" x14ac:dyDescent="0.25">
      <c r="A2297" t="s">
        <v>5708</v>
      </c>
      <c r="B2297" t="s">
        <v>5709</v>
      </c>
      <c r="C2297" t="s">
        <v>1953</v>
      </c>
      <c r="D2297" t="s">
        <v>1940</v>
      </c>
      <c r="F2297" s="2">
        <v>0.25</v>
      </c>
    </row>
    <row r="2298" spans="1:6" x14ac:dyDescent="0.25">
      <c r="A2298" t="s">
        <v>5710</v>
      </c>
      <c r="B2298" t="s">
        <v>5711</v>
      </c>
      <c r="C2298" t="s">
        <v>1953</v>
      </c>
      <c r="D2298" t="s">
        <v>1940</v>
      </c>
      <c r="F2298" s="2">
        <v>0.25</v>
      </c>
    </row>
    <row r="2299" spans="1:6" x14ac:dyDescent="0.25">
      <c r="A2299" t="s">
        <v>5712</v>
      </c>
      <c r="B2299" t="s">
        <v>5713</v>
      </c>
      <c r="C2299" t="s">
        <v>1953</v>
      </c>
      <c r="D2299" t="s">
        <v>1940</v>
      </c>
      <c r="F2299" s="2">
        <v>0.25</v>
      </c>
    </row>
    <row r="2300" spans="1:6" x14ac:dyDescent="0.25">
      <c r="A2300" t="s">
        <v>5714</v>
      </c>
      <c r="B2300" t="s">
        <v>5715</v>
      </c>
      <c r="C2300" t="s">
        <v>1953</v>
      </c>
      <c r="D2300" t="s">
        <v>1940</v>
      </c>
      <c r="F2300" s="2">
        <v>1</v>
      </c>
    </row>
    <row r="2301" spans="1:6" x14ac:dyDescent="0.25">
      <c r="A2301">
        <f>SUBTOTAL(103,Tabla4[Número de artículo])</f>
        <v>2299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413B-71AC-46CE-8E82-6F73112ABBB4}">
  <sheetPr>
    <pageSetUpPr fitToPage="1"/>
  </sheetPr>
  <dimension ref="A1:F748"/>
  <sheetViews>
    <sheetView workbookViewId="0">
      <selection activeCell="D29" sqref="D29"/>
    </sheetView>
  </sheetViews>
  <sheetFormatPr baseColWidth="10" defaultRowHeight="15" x14ac:dyDescent="0.25"/>
  <cols>
    <col min="1" max="1" width="7.85546875" bestFit="1" customWidth="1"/>
    <col min="2" max="2" width="39.140625" bestFit="1" customWidth="1"/>
    <col min="3" max="3" width="8.7109375" bestFit="1" customWidth="1"/>
    <col min="4" max="4" width="53.7109375" bestFit="1" customWidth="1"/>
    <col min="5" max="5" width="23.140625" bestFit="1" customWidth="1"/>
    <col min="6" max="6" width="17.7109375" bestFit="1" customWidth="1"/>
  </cols>
  <sheetData>
    <row r="1" spans="1:6" x14ac:dyDescent="0.25">
      <c r="A1" t="s">
        <v>0</v>
      </c>
      <c r="B1" t="s">
        <v>1383</v>
      </c>
      <c r="C1" t="s">
        <v>5</v>
      </c>
      <c r="D1" t="s">
        <v>1384</v>
      </c>
      <c r="E1" t="s">
        <v>1385</v>
      </c>
      <c r="F1" t="s">
        <v>1386</v>
      </c>
    </row>
    <row r="2" spans="1:6" x14ac:dyDescent="0.25">
      <c r="A2">
        <v>1</v>
      </c>
      <c r="B2" t="str">
        <f>VLOOKUP(Tabla5[[#This Row],[Code]],[1]!Tabla6[#Data],2,FALSE)</f>
        <v>Acabado</v>
      </c>
      <c r="C2">
        <v>1</v>
      </c>
      <c r="D2" t="s">
        <v>107</v>
      </c>
      <c r="E2" t="s">
        <v>1387</v>
      </c>
      <c r="F2" t="str">
        <f>VLOOKUP(Tabla5[[#This Row],[Code]],[1]!Tabla6[#Data],3,FALSE)</f>
        <v>Select</v>
      </c>
    </row>
    <row r="3" spans="1:6" x14ac:dyDescent="0.25">
      <c r="A3">
        <v>1</v>
      </c>
      <c r="B3" t="str">
        <f>VLOOKUP(Tabla5[[#This Row],[Code]],[1]!Tabla6[#Data],2,FALSE)</f>
        <v>Acabado</v>
      </c>
      <c r="C3">
        <v>2</v>
      </c>
      <c r="D3" t="s">
        <v>121</v>
      </c>
      <c r="E3" t="s">
        <v>1387</v>
      </c>
      <c r="F3" t="str">
        <f>VLOOKUP(Tabla5[[#This Row],[Code]],[1]!Tabla6[#Data],3,FALSE)</f>
        <v>Select</v>
      </c>
    </row>
    <row r="4" spans="1:6" x14ac:dyDescent="0.25">
      <c r="A4">
        <v>1</v>
      </c>
      <c r="B4" t="str">
        <f>VLOOKUP(Tabla5[[#This Row],[Code]],[1]!Tabla6[#Data],2,FALSE)</f>
        <v>Acabado</v>
      </c>
      <c r="C4">
        <v>3</v>
      </c>
      <c r="D4" t="s">
        <v>144</v>
      </c>
      <c r="E4" t="s">
        <v>1387</v>
      </c>
      <c r="F4" t="str">
        <f>VLOOKUP(Tabla5[[#This Row],[Code]],[1]!Tabla6[#Data],3,FALSE)</f>
        <v>Select</v>
      </c>
    </row>
    <row r="5" spans="1:6" x14ac:dyDescent="0.25">
      <c r="A5">
        <v>1</v>
      </c>
      <c r="B5" t="str">
        <f>VLOOKUP(Tabla5[[#This Row],[Code]],[1]!Tabla6[#Data],2,FALSE)</f>
        <v>Acabado</v>
      </c>
      <c r="C5">
        <v>4</v>
      </c>
      <c r="D5" t="s">
        <v>181</v>
      </c>
      <c r="E5" t="s">
        <v>1387</v>
      </c>
      <c r="F5" t="str">
        <f>VLOOKUP(Tabla5[[#This Row],[Code]],[1]!Tabla6[#Data],3,FALSE)</f>
        <v>Select</v>
      </c>
    </row>
    <row r="6" spans="1:6" x14ac:dyDescent="0.25">
      <c r="A6">
        <v>2</v>
      </c>
      <c r="B6" t="str">
        <f>VLOOKUP(Tabla5[[#This Row],[Code]],[1]!Tabla6[#Data],2,FALSE)</f>
        <v>Ancho Vinilo Textil</v>
      </c>
      <c r="C6">
        <v>1</v>
      </c>
      <c r="D6" t="s">
        <v>11</v>
      </c>
      <c r="F6" t="str">
        <f>VLOOKUP(Tabla5[[#This Row],[Code]],[1]!Tabla6[#Data],3,FALSE)</f>
        <v>Select</v>
      </c>
    </row>
    <row r="7" spans="1:6" x14ac:dyDescent="0.25">
      <c r="A7">
        <v>2</v>
      </c>
      <c r="B7" t="str">
        <f>VLOOKUP(Tabla5[[#This Row],[Code]],[1]!Tabla6[#Data],2,FALSE)</f>
        <v>Ancho Vinilo Textil</v>
      </c>
      <c r="C7">
        <v>2</v>
      </c>
      <c r="D7" t="s">
        <v>1388</v>
      </c>
      <c r="F7" t="str">
        <f>VLOOKUP(Tabla5[[#This Row],[Code]],[1]!Tabla6[#Data],3,FALSE)</f>
        <v>Select</v>
      </c>
    </row>
    <row r="8" spans="1:6" x14ac:dyDescent="0.25">
      <c r="A8">
        <v>3</v>
      </c>
      <c r="B8" t="str">
        <f>VLOOKUP(Tabla5[[#This Row],[Code]],[1]!Tabla6[#Data],2,FALSE)</f>
        <v>Anchos Bobina</v>
      </c>
      <c r="C8">
        <v>1</v>
      </c>
      <c r="D8" t="s">
        <v>1389</v>
      </c>
      <c r="F8" t="str">
        <f>VLOOKUP(Tabla5[[#This Row],[Code]],[1]!Tabla6[#Data],3,FALSE)</f>
        <v>Select</v>
      </c>
    </row>
    <row r="9" spans="1:6" x14ac:dyDescent="0.25">
      <c r="A9">
        <v>3</v>
      </c>
      <c r="B9" t="str">
        <f>VLOOKUP(Tabla5[[#This Row],[Code]],[1]!Tabla6[#Data],2,FALSE)</f>
        <v>Anchos Bobina</v>
      </c>
      <c r="C9">
        <v>2</v>
      </c>
      <c r="D9" t="s">
        <v>119</v>
      </c>
      <c r="F9" t="str">
        <f>VLOOKUP(Tabla5[[#This Row],[Code]],[1]!Tabla6[#Data],3,FALSE)</f>
        <v>Select</v>
      </c>
    </row>
    <row r="10" spans="1:6" x14ac:dyDescent="0.25">
      <c r="A10">
        <v>3</v>
      </c>
      <c r="B10" t="str">
        <f>VLOOKUP(Tabla5[[#This Row],[Code]],[1]!Tabla6[#Data],2,FALSE)</f>
        <v>Anchos Bobina</v>
      </c>
      <c r="C10">
        <v>3</v>
      </c>
      <c r="D10" t="s">
        <v>117</v>
      </c>
      <c r="F10" t="str">
        <f>VLOOKUP(Tabla5[[#This Row],[Code]],[1]!Tabla6[#Data],3,FALSE)</f>
        <v>Select</v>
      </c>
    </row>
    <row r="11" spans="1:6" x14ac:dyDescent="0.25">
      <c r="A11">
        <v>3</v>
      </c>
      <c r="B11" t="str">
        <f>VLOOKUP(Tabla5[[#This Row],[Code]],[1]!Tabla6[#Data],2,FALSE)</f>
        <v>Anchos Bobina</v>
      </c>
      <c r="C11">
        <v>4</v>
      </c>
      <c r="D11" t="s">
        <v>109</v>
      </c>
      <c r="F11" t="str">
        <f>VLOOKUP(Tabla5[[#This Row],[Code]],[1]!Tabla6[#Data],3,FALSE)</f>
        <v>Select</v>
      </c>
    </row>
    <row r="12" spans="1:6" x14ac:dyDescent="0.25">
      <c r="A12">
        <v>3</v>
      </c>
      <c r="B12" t="str">
        <f>VLOOKUP(Tabla5[[#This Row],[Code]],[1]!Tabla6[#Data],2,FALSE)</f>
        <v>Anchos Bobina</v>
      </c>
      <c r="C12">
        <v>5</v>
      </c>
      <c r="D12" t="s">
        <v>87</v>
      </c>
      <c r="F12" t="str">
        <f>VLOOKUP(Tabla5[[#This Row],[Code]],[1]!Tabla6[#Data],3,FALSE)</f>
        <v>Select</v>
      </c>
    </row>
    <row r="13" spans="1:6" x14ac:dyDescent="0.25">
      <c r="A13">
        <v>3</v>
      </c>
      <c r="B13" t="str">
        <f>VLOOKUP(Tabla5[[#This Row],[Code]],[1]!Tabla6[#Data],2,FALSE)</f>
        <v>Anchos Bobina</v>
      </c>
      <c r="C13">
        <v>6</v>
      </c>
      <c r="D13" t="s">
        <v>1390</v>
      </c>
      <c r="F13" t="str">
        <f>VLOOKUP(Tabla5[[#This Row],[Code]],[1]!Tabla6[#Data],3,FALSE)</f>
        <v>Select</v>
      </c>
    </row>
    <row r="14" spans="1:6" x14ac:dyDescent="0.25">
      <c r="A14">
        <v>3</v>
      </c>
      <c r="B14" t="str">
        <f>VLOOKUP(Tabla5[[#This Row],[Code]],[1]!Tabla6[#Data],2,FALSE)</f>
        <v>Anchos Bobina</v>
      </c>
      <c r="C14">
        <v>7</v>
      </c>
      <c r="D14" t="s">
        <v>268</v>
      </c>
      <c r="F14" t="str">
        <f>VLOOKUP(Tabla5[[#This Row],[Code]],[1]!Tabla6[#Data],3,FALSE)</f>
        <v>Select</v>
      </c>
    </row>
    <row r="15" spans="1:6" x14ac:dyDescent="0.25">
      <c r="A15">
        <v>4</v>
      </c>
      <c r="B15" t="str">
        <f>VLOOKUP(Tabla5[[#This Row],[Code]],[1]!Tabla6[#Data],2,FALSE)</f>
        <v>Anchos Bobina de Lona</v>
      </c>
      <c r="C15">
        <v>1</v>
      </c>
      <c r="D15" t="s">
        <v>57</v>
      </c>
      <c r="F15" t="str">
        <f>VLOOKUP(Tabla5[[#This Row],[Code]],[1]!Tabla6[#Data],3,FALSE)</f>
        <v>Select</v>
      </c>
    </row>
    <row r="16" spans="1:6" x14ac:dyDescent="0.25">
      <c r="A16">
        <v>4</v>
      </c>
      <c r="B16" t="str">
        <f>VLOOKUP(Tabla5[[#This Row],[Code]],[1]!Tabla6[#Data],2,FALSE)</f>
        <v>Anchos Bobina de Lona</v>
      </c>
      <c r="C16">
        <v>2</v>
      </c>
      <c r="D16" t="s">
        <v>51</v>
      </c>
      <c r="F16" t="str">
        <f>VLOOKUP(Tabla5[[#This Row],[Code]],[1]!Tabla6[#Data],3,FALSE)</f>
        <v>Select</v>
      </c>
    </row>
    <row r="17" spans="1:6" x14ac:dyDescent="0.25">
      <c r="A17">
        <v>4</v>
      </c>
      <c r="B17" t="str">
        <f>VLOOKUP(Tabla5[[#This Row],[Code]],[1]!Tabla6[#Data],2,FALSE)</f>
        <v>Anchos Bobina de Lona</v>
      </c>
      <c r="C17">
        <v>3</v>
      </c>
      <c r="D17" t="s">
        <v>55</v>
      </c>
      <c r="F17" t="str">
        <f>VLOOKUP(Tabla5[[#This Row],[Code]],[1]!Tabla6[#Data],3,FALSE)</f>
        <v>Select</v>
      </c>
    </row>
    <row r="18" spans="1:6" x14ac:dyDescent="0.25">
      <c r="A18">
        <v>6</v>
      </c>
      <c r="B18" t="str">
        <f>VLOOKUP(Tabla5[[#This Row],[Code]],[1]!Tabla6[#Data],2,FALSE)</f>
        <v>Anchos para Impresión Textil</v>
      </c>
      <c r="C18">
        <v>1</v>
      </c>
      <c r="D18" t="s">
        <v>1391</v>
      </c>
      <c r="F18" t="str">
        <f>VLOOKUP(Tabla5[[#This Row],[Code]],[1]!Tabla6[#Data],3,FALSE)</f>
        <v>Select</v>
      </c>
    </row>
    <row r="19" spans="1:6" x14ac:dyDescent="0.25">
      <c r="A19">
        <v>6</v>
      </c>
      <c r="B19" t="str">
        <f>VLOOKUP(Tabla5[[#This Row],[Code]],[1]!Tabla6[#Data],2,FALSE)</f>
        <v>Anchos para Impresión Textil</v>
      </c>
      <c r="C19">
        <v>2</v>
      </c>
      <c r="D19" t="s">
        <v>1392</v>
      </c>
      <c r="F19" t="str">
        <f>VLOOKUP(Tabla5[[#This Row],[Code]],[1]!Tabla6[#Data],3,FALSE)</f>
        <v>Select</v>
      </c>
    </row>
    <row r="20" spans="1:6" x14ac:dyDescent="0.25">
      <c r="A20">
        <v>7</v>
      </c>
      <c r="B20" t="str">
        <f>VLOOKUP(Tabla5[[#This Row],[Code]],[1]!Tabla6[#Data],2,FALSE)</f>
        <v>Anchos para Laminación</v>
      </c>
      <c r="C20">
        <v>1</v>
      </c>
      <c r="D20" t="s">
        <v>1393</v>
      </c>
      <c r="F20" t="str">
        <f>VLOOKUP(Tabla5[[#This Row],[Code]],[1]!Tabla6[#Data],3,FALSE)</f>
        <v>Select</v>
      </c>
    </row>
    <row r="21" spans="1:6" x14ac:dyDescent="0.25">
      <c r="A21">
        <v>8</v>
      </c>
      <c r="B21" t="str">
        <f>VLOOKUP(Tabla5[[#This Row],[Code]],[1]!Tabla6[#Data],2,FALSE)</f>
        <v>Anchos para Rotulación</v>
      </c>
      <c r="C21">
        <v>1</v>
      </c>
      <c r="D21" t="s">
        <v>263</v>
      </c>
      <c r="F21" t="str">
        <f>VLOOKUP(Tabla5[[#This Row],[Code]],[1]!Tabla6[#Data],3,FALSE)</f>
        <v>Select</v>
      </c>
    </row>
    <row r="22" spans="1:6" x14ac:dyDescent="0.25">
      <c r="A22">
        <v>9</v>
      </c>
      <c r="B22" t="str">
        <f>VLOOKUP(Tabla5[[#This Row],[Code]],[1]!Tabla6[#Data],2,FALSE)</f>
        <v>Capacidad Cartucho</v>
      </c>
      <c r="C22">
        <v>1</v>
      </c>
      <c r="D22" t="s">
        <v>995</v>
      </c>
      <c r="F22" t="str">
        <f>VLOOKUP(Tabla5[[#This Row],[Code]],[1]!Tabla6[#Data],3,FALSE)</f>
        <v>Select</v>
      </c>
    </row>
    <row r="23" spans="1:6" x14ac:dyDescent="0.25">
      <c r="A23">
        <v>9</v>
      </c>
      <c r="B23" t="str">
        <f>VLOOKUP(Tabla5[[#This Row],[Code]],[1]!Tabla6[#Data],2,FALSE)</f>
        <v>Capacidad Cartucho</v>
      </c>
      <c r="C23">
        <v>2</v>
      </c>
      <c r="D23" t="s">
        <v>63</v>
      </c>
      <c r="F23" t="str">
        <f>VLOOKUP(Tabla5[[#This Row],[Code]],[1]!Tabla6[#Data],3,FALSE)</f>
        <v>Select</v>
      </c>
    </row>
    <row r="24" spans="1:6" x14ac:dyDescent="0.25">
      <c r="A24">
        <v>9</v>
      </c>
      <c r="B24" t="str">
        <f>VLOOKUP(Tabla5[[#This Row],[Code]],[1]!Tabla6[#Data],2,FALSE)</f>
        <v>Capacidad Cartucho</v>
      </c>
      <c r="C24">
        <v>3</v>
      </c>
      <c r="D24" t="s">
        <v>1016</v>
      </c>
      <c r="F24" t="str">
        <f>VLOOKUP(Tabla5[[#This Row],[Code]],[1]!Tabla6[#Data],3,FALSE)</f>
        <v>Select</v>
      </c>
    </row>
    <row r="25" spans="1:6" x14ac:dyDescent="0.25">
      <c r="A25">
        <v>9</v>
      </c>
      <c r="B25" t="str">
        <f>VLOOKUP(Tabla5[[#This Row],[Code]],[1]!Tabla6[#Data],2,FALSE)</f>
        <v>Capacidad Cartucho</v>
      </c>
      <c r="C25">
        <v>4</v>
      </c>
      <c r="D25" t="s">
        <v>79</v>
      </c>
      <c r="F25" t="str">
        <f>VLOOKUP(Tabla5[[#This Row],[Code]],[1]!Tabla6[#Data],3,FALSE)</f>
        <v>Select</v>
      </c>
    </row>
    <row r="26" spans="1:6" x14ac:dyDescent="0.25">
      <c r="A26">
        <v>9</v>
      </c>
      <c r="B26" t="str">
        <f>VLOOKUP(Tabla5[[#This Row],[Code]],[1]!Tabla6[#Data],2,FALSE)</f>
        <v>Capacidad Cartucho</v>
      </c>
      <c r="C26">
        <v>5</v>
      </c>
      <c r="D26" t="s">
        <v>1394</v>
      </c>
      <c r="F26" t="str">
        <f>VLOOKUP(Tabla5[[#This Row],[Code]],[1]!Tabla6[#Data],3,FALSE)</f>
        <v>Select</v>
      </c>
    </row>
    <row r="27" spans="1:6" x14ac:dyDescent="0.25">
      <c r="A27">
        <v>10</v>
      </c>
      <c r="B27" t="str">
        <f>VLOOKUP(Tabla5[[#This Row],[Code]],[1]!Tabla6[#Data],2,FALSE)</f>
        <v>Color de Tinta</v>
      </c>
      <c r="C27">
        <v>1</v>
      </c>
      <c r="D27" t="s">
        <v>67</v>
      </c>
      <c r="E27" t="s">
        <v>1395</v>
      </c>
      <c r="F27" t="str">
        <f>VLOOKUP(Tabla5[[#This Row],[Code]],[1]!Tabla6[#Data],3,FALSE)</f>
        <v>Color</v>
      </c>
    </row>
    <row r="28" spans="1:6" x14ac:dyDescent="0.25">
      <c r="A28">
        <v>10</v>
      </c>
      <c r="B28" t="str">
        <f>VLOOKUP(Tabla5[[#This Row],[Code]],[1]!Tabla6[#Data],2,FALSE)</f>
        <v>Color de Tinta</v>
      </c>
      <c r="C28">
        <v>2</v>
      </c>
      <c r="D28" t="s">
        <v>488</v>
      </c>
      <c r="E28" t="s">
        <v>1387</v>
      </c>
      <c r="F28" t="str">
        <f>VLOOKUP(Tabla5[[#This Row],[Code]],[1]!Tabla6[#Data],3,FALSE)</f>
        <v>Color</v>
      </c>
    </row>
    <row r="29" spans="1:6" x14ac:dyDescent="0.25">
      <c r="A29">
        <v>10</v>
      </c>
      <c r="B29" t="str">
        <f>VLOOKUP(Tabla5[[#This Row],[Code]],[1]!Tabla6[#Data],2,FALSE)</f>
        <v>Color de Tinta</v>
      </c>
      <c r="C29">
        <v>3</v>
      </c>
      <c r="D29" t="s">
        <v>69</v>
      </c>
      <c r="E29" t="s">
        <v>1396</v>
      </c>
      <c r="F29" t="str">
        <f>VLOOKUP(Tabla5[[#This Row],[Code]],[1]!Tabla6[#Data],3,FALSE)</f>
        <v>Color</v>
      </c>
    </row>
    <row r="30" spans="1:6" x14ac:dyDescent="0.25">
      <c r="A30">
        <v>10</v>
      </c>
      <c r="B30" t="str">
        <f>VLOOKUP(Tabla5[[#This Row],[Code]],[1]!Tabla6[#Data],2,FALSE)</f>
        <v>Color de Tinta</v>
      </c>
      <c r="C30">
        <v>4</v>
      </c>
      <c r="D30" t="s">
        <v>71</v>
      </c>
      <c r="E30" t="s">
        <v>1397</v>
      </c>
      <c r="F30" t="str">
        <f>VLOOKUP(Tabla5[[#This Row],[Code]],[1]!Tabla6[#Data],3,FALSE)</f>
        <v>Color</v>
      </c>
    </row>
    <row r="31" spans="1:6" x14ac:dyDescent="0.25">
      <c r="A31">
        <v>10</v>
      </c>
      <c r="B31" t="str">
        <f>VLOOKUP(Tabla5[[#This Row],[Code]],[1]!Tabla6[#Data],2,FALSE)</f>
        <v>Color de Tinta</v>
      </c>
      <c r="C31">
        <v>5</v>
      </c>
      <c r="D31" t="s">
        <v>73</v>
      </c>
      <c r="E31" t="s">
        <v>1398</v>
      </c>
      <c r="F31" t="str">
        <f>VLOOKUP(Tabla5[[#This Row],[Code]],[1]!Tabla6[#Data],3,FALSE)</f>
        <v>Color</v>
      </c>
    </row>
    <row r="32" spans="1:6" x14ac:dyDescent="0.25">
      <c r="A32">
        <v>10</v>
      </c>
      <c r="B32" t="str">
        <f>VLOOKUP(Tabla5[[#This Row],[Code]],[1]!Tabla6[#Data],2,FALSE)</f>
        <v>Color de Tinta</v>
      </c>
      <c r="C32">
        <v>6</v>
      </c>
      <c r="D32" t="s">
        <v>1008</v>
      </c>
      <c r="E32" t="s">
        <v>1399</v>
      </c>
      <c r="F32" t="str">
        <f>VLOOKUP(Tabla5[[#This Row],[Code]],[1]!Tabla6[#Data],3,FALSE)</f>
        <v>Color</v>
      </c>
    </row>
    <row r="33" spans="1:6" x14ac:dyDescent="0.25">
      <c r="A33">
        <v>10</v>
      </c>
      <c r="B33" t="str">
        <f>VLOOKUP(Tabla5[[#This Row],[Code]],[1]!Tabla6[#Data],2,FALSE)</f>
        <v>Color de Tinta</v>
      </c>
      <c r="C33">
        <v>7</v>
      </c>
      <c r="D33" t="s">
        <v>75</v>
      </c>
      <c r="E33" t="s">
        <v>1400</v>
      </c>
      <c r="F33" t="str">
        <f>VLOOKUP(Tabla5[[#This Row],[Code]],[1]!Tabla6[#Data],3,FALSE)</f>
        <v>Color</v>
      </c>
    </row>
    <row r="34" spans="1:6" x14ac:dyDescent="0.25">
      <c r="A34">
        <v>10</v>
      </c>
      <c r="B34" t="str">
        <f>VLOOKUP(Tabla5[[#This Row],[Code]],[1]!Tabla6[#Data],2,FALSE)</f>
        <v>Color de Tinta</v>
      </c>
      <c r="C34">
        <v>8</v>
      </c>
      <c r="D34" t="s">
        <v>77</v>
      </c>
      <c r="E34" t="s">
        <v>1401</v>
      </c>
      <c r="F34" t="str">
        <f>VLOOKUP(Tabla5[[#This Row],[Code]],[1]!Tabla6[#Data],3,FALSE)</f>
        <v>Color</v>
      </c>
    </row>
    <row r="35" spans="1:6" x14ac:dyDescent="0.25">
      <c r="A35">
        <v>10</v>
      </c>
      <c r="B35" t="str">
        <f>VLOOKUP(Tabla5[[#This Row],[Code]],[1]!Tabla6[#Data],2,FALSE)</f>
        <v>Color de Tinta</v>
      </c>
      <c r="C35">
        <v>9</v>
      </c>
      <c r="D35" t="s">
        <v>1402</v>
      </c>
      <c r="E35" t="s">
        <v>1403</v>
      </c>
      <c r="F35" t="str">
        <f>VLOOKUP(Tabla5[[#This Row],[Code]],[1]!Tabla6[#Data],3,FALSE)</f>
        <v>Color</v>
      </c>
    </row>
    <row r="36" spans="1:6" x14ac:dyDescent="0.25">
      <c r="A36">
        <v>10</v>
      </c>
      <c r="B36" t="str">
        <f>VLOOKUP(Tabla5[[#This Row],[Code]],[1]!Tabla6[#Data],2,FALSE)</f>
        <v>Color de Tinta</v>
      </c>
      <c r="C36">
        <v>10</v>
      </c>
      <c r="D36" t="s">
        <v>1404</v>
      </c>
      <c r="E36" t="s">
        <v>1405</v>
      </c>
      <c r="F36" t="str">
        <f>VLOOKUP(Tabla5[[#This Row],[Code]],[1]!Tabla6[#Data],3,FALSE)</f>
        <v>Color</v>
      </c>
    </row>
    <row r="37" spans="1:6" x14ac:dyDescent="0.25">
      <c r="A37">
        <v>10</v>
      </c>
      <c r="B37" t="str">
        <f>VLOOKUP(Tabla5[[#This Row],[Code]],[1]!Tabla6[#Data],2,FALSE)</f>
        <v>Color de Tinta</v>
      </c>
      <c r="C37">
        <v>11</v>
      </c>
      <c r="D37" t="s">
        <v>1406</v>
      </c>
      <c r="E37" t="s">
        <v>1407</v>
      </c>
      <c r="F37" t="str">
        <f>VLOOKUP(Tabla5[[#This Row],[Code]],[1]!Tabla6[#Data],3,FALSE)</f>
        <v>Color</v>
      </c>
    </row>
    <row r="38" spans="1:6" x14ac:dyDescent="0.25">
      <c r="A38">
        <v>10</v>
      </c>
      <c r="B38" t="str">
        <f>VLOOKUP(Tabla5[[#This Row],[Code]],[1]!Tabla6[#Data],2,FALSE)</f>
        <v>Color de Tinta</v>
      </c>
      <c r="C38">
        <v>12</v>
      </c>
      <c r="D38" t="s">
        <v>1408</v>
      </c>
      <c r="E38" t="s">
        <v>1409</v>
      </c>
      <c r="F38" t="str">
        <f>VLOOKUP(Tabla5[[#This Row],[Code]],[1]!Tabla6[#Data],3,FALSE)</f>
        <v>Color</v>
      </c>
    </row>
    <row r="39" spans="1:6" x14ac:dyDescent="0.25">
      <c r="A39">
        <v>10</v>
      </c>
      <c r="B39" t="str">
        <f>VLOOKUP(Tabla5[[#This Row],[Code]],[1]!Tabla6[#Data],2,FALSE)</f>
        <v>Color de Tinta</v>
      </c>
      <c r="C39">
        <v>13</v>
      </c>
      <c r="D39" t="s">
        <v>1410</v>
      </c>
      <c r="E39" t="s">
        <v>1411</v>
      </c>
      <c r="F39" t="str">
        <f>VLOOKUP(Tabla5[[#This Row],[Code]],[1]!Tabla6[#Data],3,FALSE)</f>
        <v>Color</v>
      </c>
    </row>
    <row r="40" spans="1:6" x14ac:dyDescent="0.25">
      <c r="A40">
        <v>11</v>
      </c>
      <c r="B40" t="str">
        <f>VLOOKUP(Tabla5[[#This Row],[Code]],[1]!Tabla6[#Data],2,FALSE)</f>
        <v>Laminados aplicaciones especiales</v>
      </c>
      <c r="C40">
        <v>1</v>
      </c>
      <c r="D40" t="s">
        <v>209</v>
      </c>
      <c r="E40" t="s">
        <v>1387</v>
      </c>
      <c r="F40" t="str">
        <f>VLOOKUP(Tabla5[[#This Row],[Code]],[1]!Tabla6[#Data],3,FALSE)</f>
        <v>Color</v>
      </c>
    </row>
    <row r="41" spans="1:6" x14ac:dyDescent="0.25">
      <c r="A41">
        <v>11</v>
      </c>
      <c r="B41" t="str">
        <f>VLOOKUP(Tabla5[[#This Row],[Code]],[1]!Tabla6[#Data],2,FALSE)</f>
        <v>Laminados aplicaciones especiales</v>
      </c>
      <c r="C41">
        <v>2</v>
      </c>
      <c r="D41" t="s">
        <v>213</v>
      </c>
      <c r="E41" t="s">
        <v>1387</v>
      </c>
      <c r="F41" t="str">
        <f>VLOOKUP(Tabla5[[#This Row],[Code]],[1]!Tabla6[#Data],3,FALSE)</f>
        <v>Color</v>
      </c>
    </row>
    <row r="42" spans="1:6" x14ac:dyDescent="0.25">
      <c r="A42">
        <v>11</v>
      </c>
      <c r="B42" t="str">
        <f>VLOOKUP(Tabla5[[#This Row],[Code]],[1]!Tabla6[#Data],2,FALSE)</f>
        <v>Laminados aplicaciones especiales</v>
      </c>
      <c r="C42">
        <v>3</v>
      </c>
      <c r="D42" t="s">
        <v>216</v>
      </c>
      <c r="E42" t="s">
        <v>1387</v>
      </c>
      <c r="F42" t="str">
        <f>VLOOKUP(Tabla5[[#This Row],[Code]],[1]!Tabla6[#Data],3,FALSE)</f>
        <v>Color</v>
      </c>
    </row>
    <row r="43" spans="1:6" x14ac:dyDescent="0.25">
      <c r="A43">
        <v>11</v>
      </c>
      <c r="B43" t="str">
        <f>VLOOKUP(Tabla5[[#This Row],[Code]],[1]!Tabla6[#Data],2,FALSE)</f>
        <v>Laminados aplicaciones especiales</v>
      </c>
      <c r="C43">
        <v>4</v>
      </c>
      <c r="D43" t="s">
        <v>984</v>
      </c>
      <c r="E43" t="s">
        <v>1387</v>
      </c>
      <c r="F43" t="str">
        <f>VLOOKUP(Tabla5[[#This Row],[Code]],[1]!Tabla6[#Data],3,FALSE)</f>
        <v>Color</v>
      </c>
    </row>
    <row r="44" spans="1:6" x14ac:dyDescent="0.25">
      <c r="A44">
        <v>12</v>
      </c>
      <c r="B44" t="str">
        <f>VLOOKUP(Tabla5[[#This Row],[Code]],[1]!Tabla6[#Data],2,FALSE)</f>
        <v>M7 MetaEscape</v>
      </c>
      <c r="C44">
        <v>1</v>
      </c>
      <c r="D44" t="s">
        <v>1131</v>
      </c>
      <c r="E44" t="s">
        <v>1387</v>
      </c>
      <c r="F44" t="str">
        <f>VLOOKUP(Tabla5[[#This Row],[Code]],[1]!Tabla6[#Data],3,FALSE)</f>
        <v>Color</v>
      </c>
    </row>
    <row r="45" spans="1:6" x14ac:dyDescent="0.25">
      <c r="A45">
        <v>12</v>
      </c>
      <c r="B45" t="str">
        <f>VLOOKUP(Tabla5[[#This Row],[Code]],[1]!Tabla6[#Data],2,FALSE)</f>
        <v>M7 MetaEscape</v>
      </c>
      <c r="C45">
        <v>2</v>
      </c>
      <c r="D45" t="s">
        <v>1133</v>
      </c>
      <c r="E45" t="s">
        <v>1401</v>
      </c>
      <c r="F45" t="str">
        <f>VLOOKUP(Tabla5[[#This Row],[Code]],[1]!Tabla6[#Data],3,FALSE)</f>
        <v>Color</v>
      </c>
    </row>
    <row r="46" spans="1:6" x14ac:dyDescent="0.25">
      <c r="A46">
        <v>12</v>
      </c>
      <c r="B46" t="str">
        <f>VLOOKUP(Tabla5[[#This Row],[Code]],[1]!Tabla6[#Data],2,FALSE)</f>
        <v>M7 MetaEscape</v>
      </c>
      <c r="C46">
        <v>3</v>
      </c>
      <c r="D46" t="s">
        <v>1135</v>
      </c>
      <c r="E46" t="s">
        <v>1401</v>
      </c>
      <c r="F46" t="str">
        <f>VLOOKUP(Tabla5[[#This Row],[Code]],[1]!Tabla6[#Data],3,FALSE)</f>
        <v>Color</v>
      </c>
    </row>
    <row r="47" spans="1:6" x14ac:dyDescent="0.25">
      <c r="A47">
        <v>12</v>
      </c>
      <c r="B47" t="str">
        <f>VLOOKUP(Tabla5[[#This Row],[Code]],[1]!Tabla6[#Data],2,FALSE)</f>
        <v>M7 MetaEscape</v>
      </c>
      <c r="C47">
        <v>4</v>
      </c>
      <c r="D47" t="s">
        <v>1139</v>
      </c>
      <c r="E47" t="s">
        <v>1412</v>
      </c>
      <c r="F47" t="str">
        <f>VLOOKUP(Tabla5[[#This Row],[Code]],[1]!Tabla6[#Data],3,FALSE)</f>
        <v>Color</v>
      </c>
    </row>
    <row r="48" spans="1:6" x14ac:dyDescent="0.25">
      <c r="A48">
        <v>12</v>
      </c>
      <c r="B48" t="str">
        <f>VLOOKUP(Tabla5[[#This Row],[Code]],[1]!Tabla6[#Data],2,FALSE)</f>
        <v>M7 MetaEscape</v>
      </c>
      <c r="C48">
        <v>5</v>
      </c>
      <c r="D48" t="s">
        <v>1141</v>
      </c>
      <c r="E48" t="s">
        <v>1413</v>
      </c>
      <c r="F48" t="str">
        <f>VLOOKUP(Tabla5[[#This Row],[Code]],[1]!Tabla6[#Data],3,FALSE)</f>
        <v>Color</v>
      </c>
    </row>
    <row r="49" spans="1:6" x14ac:dyDescent="0.25">
      <c r="A49">
        <v>12</v>
      </c>
      <c r="B49" t="str">
        <f>VLOOKUP(Tabla5[[#This Row],[Code]],[1]!Tabla6[#Data],2,FALSE)</f>
        <v>M7 MetaEscape</v>
      </c>
      <c r="C49">
        <v>6</v>
      </c>
      <c r="D49" t="s">
        <v>1143</v>
      </c>
      <c r="E49" t="s">
        <v>1414</v>
      </c>
      <c r="F49" t="str">
        <f>VLOOKUP(Tabla5[[#This Row],[Code]],[1]!Tabla6[#Data],3,FALSE)</f>
        <v>Color</v>
      </c>
    </row>
    <row r="50" spans="1:6" x14ac:dyDescent="0.25">
      <c r="A50">
        <v>12</v>
      </c>
      <c r="B50" t="str">
        <f>VLOOKUP(Tabla5[[#This Row],[Code]],[1]!Tabla6[#Data],2,FALSE)</f>
        <v>M7 MetaEscape</v>
      </c>
      <c r="C50">
        <v>7</v>
      </c>
      <c r="D50" t="s">
        <v>1146</v>
      </c>
      <c r="E50" t="s">
        <v>1415</v>
      </c>
      <c r="F50" t="str">
        <f>VLOOKUP(Tabla5[[#This Row],[Code]],[1]!Tabla6[#Data],3,FALSE)</f>
        <v>Color</v>
      </c>
    </row>
    <row r="51" spans="1:6" x14ac:dyDescent="0.25">
      <c r="A51">
        <v>12</v>
      </c>
      <c r="B51" t="str">
        <f>VLOOKUP(Tabla5[[#This Row],[Code]],[1]!Tabla6[#Data],2,FALSE)</f>
        <v>M7 MetaEscape</v>
      </c>
      <c r="C51">
        <v>8</v>
      </c>
      <c r="D51" t="s">
        <v>1149</v>
      </c>
      <c r="E51" t="s">
        <v>1416</v>
      </c>
      <c r="F51" t="str">
        <f>VLOOKUP(Tabla5[[#This Row],[Code]],[1]!Tabla6[#Data],3,FALSE)</f>
        <v>Color</v>
      </c>
    </row>
    <row r="52" spans="1:6" x14ac:dyDescent="0.25">
      <c r="A52">
        <v>12</v>
      </c>
      <c r="B52" t="str">
        <f>VLOOKUP(Tabla5[[#This Row],[Code]],[1]!Tabla6[#Data],2,FALSE)</f>
        <v>M7 MetaEscape</v>
      </c>
      <c r="C52">
        <v>9</v>
      </c>
      <c r="D52" t="s">
        <v>1151</v>
      </c>
      <c r="E52" t="s">
        <v>1417</v>
      </c>
      <c r="F52" t="str">
        <f>VLOOKUP(Tabla5[[#This Row],[Code]],[1]!Tabla6[#Data],3,FALSE)</f>
        <v>Color</v>
      </c>
    </row>
    <row r="53" spans="1:6" x14ac:dyDescent="0.25">
      <c r="A53">
        <v>12</v>
      </c>
      <c r="B53" t="str">
        <f>VLOOKUP(Tabla5[[#This Row],[Code]],[1]!Tabla6[#Data],2,FALSE)</f>
        <v>M7 MetaEscape</v>
      </c>
      <c r="C53">
        <v>10</v>
      </c>
      <c r="D53" t="s">
        <v>1154</v>
      </c>
      <c r="E53" t="s">
        <v>1418</v>
      </c>
      <c r="F53" t="str">
        <f>VLOOKUP(Tabla5[[#This Row],[Code]],[1]!Tabla6[#Data],3,FALSE)</f>
        <v>Color</v>
      </c>
    </row>
    <row r="54" spans="1:6" x14ac:dyDescent="0.25">
      <c r="A54">
        <v>12</v>
      </c>
      <c r="B54" t="str">
        <f>VLOOKUP(Tabla5[[#This Row],[Code]],[1]!Tabla6[#Data],2,FALSE)</f>
        <v>M7 MetaEscape</v>
      </c>
      <c r="C54">
        <v>11</v>
      </c>
      <c r="D54" t="s">
        <v>1158</v>
      </c>
      <c r="E54" t="s">
        <v>1419</v>
      </c>
      <c r="F54" t="str">
        <f>VLOOKUP(Tabla5[[#This Row],[Code]],[1]!Tabla6[#Data],3,FALSE)</f>
        <v>Color</v>
      </c>
    </row>
    <row r="55" spans="1:6" x14ac:dyDescent="0.25">
      <c r="A55">
        <v>12</v>
      </c>
      <c r="B55" t="str">
        <f>VLOOKUP(Tabla5[[#This Row],[Code]],[1]!Tabla6[#Data],2,FALSE)</f>
        <v>M7 MetaEscape</v>
      </c>
      <c r="C55">
        <v>12</v>
      </c>
      <c r="D55" t="s">
        <v>1160</v>
      </c>
      <c r="E55" t="s">
        <v>1420</v>
      </c>
      <c r="F55" t="str">
        <f>VLOOKUP(Tabla5[[#This Row],[Code]],[1]!Tabla6[#Data],3,FALSE)</f>
        <v>Color</v>
      </c>
    </row>
    <row r="56" spans="1:6" x14ac:dyDescent="0.25">
      <c r="A56">
        <v>12</v>
      </c>
      <c r="B56" t="str">
        <f>VLOOKUP(Tabla5[[#This Row],[Code]],[1]!Tabla6[#Data],2,FALSE)</f>
        <v>M7 MetaEscape</v>
      </c>
      <c r="C56">
        <v>13</v>
      </c>
      <c r="D56" t="s">
        <v>1162</v>
      </c>
      <c r="E56" t="s">
        <v>1421</v>
      </c>
      <c r="F56" t="str">
        <f>VLOOKUP(Tabla5[[#This Row],[Code]],[1]!Tabla6[#Data],3,FALSE)</f>
        <v>Color</v>
      </c>
    </row>
    <row r="57" spans="1:6" x14ac:dyDescent="0.25">
      <c r="A57">
        <v>12</v>
      </c>
      <c r="B57" t="str">
        <f>VLOOKUP(Tabla5[[#This Row],[Code]],[1]!Tabla6[#Data],2,FALSE)</f>
        <v>M7 MetaEscape</v>
      </c>
      <c r="C57">
        <v>14</v>
      </c>
      <c r="D57" t="s">
        <v>1164</v>
      </c>
      <c r="E57" t="s">
        <v>1422</v>
      </c>
      <c r="F57" t="str">
        <f>VLOOKUP(Tabla5[[#This Row],[Code]],[1]!Tabla6[#Data],3,FALSE)</f>
        <v>Color</v>
      </c>
    </row>
    <row r="58" spans="1:6" x14ac:dyDescent="0.25">
      <c r="A58">
        <v>12</v>
      </c>
      <c r="B58" t="str">
        <f>VLOOKUP(Tabla5[[#This Row],[Code]],[1]!Tabla6[#Data],2,FALSE)</f>
        <v>M7 MetaEscape</v>
      </c>
      <c r="C58">
        <v>15</v>
      </c>
      <c r="D58" t="s">
        <v>1166</v>
      </c>
      <c r="E58" t="s">
        <v>1423</v>
      </c>
      <c r="F58" t="str">
        <f>VLOOKUP(Tabla5[[#This Row],[Code]],[1]!Tabla6[#Data],3,FALSE)</f>
        <v>Color</v>
      </c>
    </row>
    <row r="59" spans="1:6" x14ac:dyDescent="0.25">
      <c r="A59">
        <v>12</v>
      </c>
      <c r="B59" t="str">
        <f>VLOOKUP(Tabla5[[#This Row],[Code]],[1]!Tabla6[#Data],2,FALSE)</f>
        <v>M7 MetaEscape</v>
      </c>
      <c r="C59">
        <v>16</v>
      </c>
      <c r="D59" t="s">
        <v>1168</v>
      </c>
      <c r="E59" t="s">
        <v>1424</v>
      </c>
      <c r="F59" t="str">
        <f>VLOOKUP(Tabla5[[#This Row],[Code]],[1]!Tabla6[#Data],3,FALSE)</f>
        <v>Color</v>
      </c>
    </row>
    <row r="60" spans="1:6" x14ac:dyDescent="0.25">
      <c r="A60">
        <v>12</v>
      </c>
      <c r="B60" t="str">
        <f>VLOOKUP(Tabla5[[#This Row],[Code]],[1]!Tabla6[#Data],2,FALSE)</f>
        <v>M7 MetaEscape</v>
      </c>
      <c r="C60">
        <v>17</v>
      </c>
      <c r="D60" t="s">
        <v>1425</v>
      </c>
      <c r="E60" t="s">
        <v>1426</v>
      </c>
      <c r="F60" t="str">
        <f>VLOOKUP(Tabla5[[#This Row],[Code]],[1]!Tabla6[#Data],3,FALSE)</f>
        <v>Color</v>
      </c>
    </row>
    <row r="61" spans="1:6" x14ac:dyDescent="0.25">
      <c r="A61">
        <v>12</v>
      </c>
      <c r="B61" t="str">
        <f>VLOOKUP(Tabla5[[#This Row],[Code]],[1]!Tabla6[#Data],2,FALSE)</f>
        <v>M7 MetaEscape</v>
      </c>
      <c r="C61">
        <v>18</v>
      </c>
      <c r="D61" t="s">
        <v>1427</v>
      </c>
      <c r="E61" t="s">
        <v>1416</v>
      </c>
      <c r="F61" t="str">
        <f>VLOOKUP(Tabla5[[#This Row],[Code]],[1]!Tabla6[#Data],3,FALSE)</f>
        <v>Color</v>
      </c>
    </row>
    <row r="62" spans="1:6" x14ac:dyDescent="0.25">
      <c r="A62">
        <v>12</v>
      </c>
      <c r="B62" t="str">
        <f>VLOOKUP(Tabla5[[#This Row],[Code]],[1]!Tabla6[#Data],2,FALSE)</f>
        <v>M7 MetaEscape</v>
      </c>
      <c r="C62">
        <v>19</v>
      </c>
      <c r="D62" t="s">
        <v>1428</v>
      </c>
      <c r="E62" t="s">
        <v>1429</v>
      </c>
      <c r="F62" t="str">
        <f>VLOOKUP(Tabla5[[#This Row],[Code]],[1]!Tabla6[#Data],3,FALSE)</f>
        <v>Color</v>
      </c>
    </row>
    <row r="63" spans="1:6" x14ac:dyDescent="0.25">
      <c r="A63">
        <v>12</v>
      </c>
      <c r="B63" t="str">
        <f>VLOOKUP(Tabla5[[#This Row],[Code]],[1]!Tabla6[#Data],2,FALSE)</f>
        <v>M7 MetaEscape</v>
      </c>
      <c r="C63">
        <v>20</v>
      </c>
      <c r="D63" t="s">
        <v>1430</v>
      </c>
      <c r="E63" t="s">
        <v>1431</v>
      </c>
      <c r="F63" t="str">
        <f>VLOOKUP(Tabla5[[#This Row],[Code]],[1]!Tabla6[#Data],3,FALSE)</f>
        <v>Color</v>
      </c>
    </row>
    <row r="64" spans="1:6" x14ac:dyDescent="0.25">
      <c r="A64">
        <v>12</v>
      </c>
      <c r="B64" t="str">
        <f>VLOOKUP(Tabla5[[#This Row],[Code]],[1]!Tabla6[#Data],2,FALSE)</f>
        <v>M7 MetaEscape</v>
      </c>
      <c r="C64">
        <v>21</v>
      </c>
      <c r="D64" t="s">
        <v>1432</v>
      </c>
      <c r="E64" t="s">
        <v>1433</v>
      </c>
      <c r="F64" t="str">
        <f>VLOOKUP(Tabla5[[#This Row],[Code]],[1]!Tabla6[#Data],3,FALSE)</f>
        <v>Color</v>
      </c>
    </row>
    <row r="65" spans="1:6" x14ac:dyDescent="0.25">
      <c r="A65">
        <v>12</v>
      </c>
      <c r="B65" t="str">
        <f>VLOOKUP(Tabla5[[#This Row],[Code]],[1]!Tabla6[#Data],2,FALSE)</f>
        <v>M7 MetaEscape</v>
      </c>
      <c r="C65">
        <v>22</v>
      </c>
      <c r="D65" t="s">
        <v>1434</v>
      </c>
      <c r="E65" t="s">
        <v>1435</v>
      </c>
      <c r="F65" t="str">
        <f>VLOOKUP(Tabla5[[#This Row],[Code]],[1]!Tabla6[#Data],3,FALSE)</f>
        <v>Color</v>
      </c>
    </row>
    <row r="66" spans="1:6" x14ac:dyDescent="0.25">
      <c r="A66">
        <v>12</v>
      </c>
      <c r="B66" t="str">
        <f>VLOOKUP(Tabla5[[#This Row],[Code]],[1]!Tabla6[#Data],2,FALSE)</f>
        <v>M7 MetaEscape</v>
      </c>
      <c r="C66">
        <v>23</v>
      </c>
      <c r="D66" t="s">
        <v>1436</v>
      </c>
      <c r="E66" t="s">
        <v>1437</v>
      </c>
      <c r="F66" t="str">
        <f>VLOOKUP(Tabla5[[#This Row],[Code]],[1]!Tabla6[#Data],3,FALSE)</f>
        <v>Color</v>
      </c>
    </row>
    <row r="67" spans="1:6" x14ac:dyDescent="0.25">
      <c r="A67">
        <v>12</v>
      </c>
      <c r="B67" t="str">
        <f>VLOOKUP(Tabla5[[#This Row],[Code]],[1]!Tabla6[#Data],2,FALSE)</f>
        <v>M7 MetaEscape</v>
      </c>
      <c r="C67">
        <v>24</v>
      </c>
      <c r="D67" t="s">
        <v>1438</v>
      </c>
      <c r="E67" t="s">
        <v>1439</v>
      </c>
      <c r="F67" t="str">
        <f>VLOOKUP(Tabla5[[#This Row],[Code]],[1]!Tabla6[#Data],3,FALSE)</f>
        <v>Color</v>
      </c>
    </row>
    <row r="68" spans="1:6" x14ac:dyDescent="0.25">
      <c r="A68">
        <v>12</v>
      </c>
      <c r="B68" t="str">
        <f>VLOOKUP(Tabla5[[#This Row],[Code]],[1]!Tabla6[#Data],2,FALSE)</f>
        <v>M7 MetaEscape</v>
      </c>
      <c r="C68">
        <v>25</v>
      </c>
      <c r="D68" t="s">
        <v>1440</v>
      </c>
      <c r="E68" t="s">
        <v>1387</v>
      </c>
      <c r="F68" t="str">
        <f>VLOOKUP(Tabla5[[#This Row],[Code]],[1]!Tabla6[#Data],3,FALSE)</f>
        <v>Color</v>
      </c>
    </row>
    <row r="69" spans="1:6" x14ac:dyDescent="0.25">
      <c r="A69">
        <v>12</v>
      </c>
      <c r="B69" t="str">
        <f>VLOOKUP(Tabla5[[#This Row],[Code]],[1]!Tabla6[#Data],2,FALSE)</f>
        <v>M7 MetaEscape</v>
      </c>
      <c r="C69">
        <v>26</v>
      </c>
      <c r="D69" t="s">
        <v>1441</v>
      </c>
      <c r="E69" t="s">
        <v>1442</v>
      </c>
      <c r="F69" t="str">
        <f>VLOOKUP(Tabla5[[#This Row],[Code]],[1]!Tabla6[#Data],3,FALSE)</f>
        <v>Color</v>
      </c>
    </row>
    <row r="70" spans="1:6" x14ac:dyDescent="0.25">
      <c r="A70">
        <v>12</v>
      </c>
      <c r="B70" t="str">
        <f>VLOOKUP(Tabla5[[#This Row],[Code]],[1]!Tabla6[#Data],2,FALSE)</f>
        <v>M7 MetaEscape</v>
      </c>
      <c r="C70">
        <v>27</v>
      </c>
      <c r="D70" t="s">
        <v>1443</v>
      </c>
      <c r="E70" t="s">
        <v>1444</v>
      </c>
      <c r="F70" t="str">
        <f>VLOOKUP(Tabla5[[#This Row],[Code]],[1]!Tabla6[#Data],3,FALSE)</f>
        <v>Color</v>
      </c>
    </row>
    <row r="71" spans="1:6" x14ac:dyDescent="0.25">
      <c r="A71">
        <v>12</v>
      </c>
      <c r="B71" t="str">
        <f>VLOOKUP(Tabla5[[#This Row],[Code]],[1]!Tabla6[#Data],2,FALSE)</f>
        <v>M7 MetaEscape</v>
      </c>
      <c r="C71">
        <v>28</v>
      </c>
      <c r="D71" t="s">
        <v>1445</v>
      </c>
      <c r="E71" t="s">
        <v>1446</v>
      </c>
      <c r="F71" t="str">
        <f>VLOOKUP(Tabla5[[#This Row],[Code]],[1]!Tabla6[#Data],3,FALSE)</f>
        <v>Color</v>
      </c>
    </row>
    <row r="72" spans="1:6" x14ac:dyDescent="0.25">
      <c r="A72">
        <v>12</v>
      </c>
      <c r="B72" t="str">
        <f>VLOOKUP(Tabla5[[#This Row],[Code]],[1]!Tabla6[#Data],2,FALSE)</f>
        <v>M7 MetaEscape</v>
      </c>
      <c r="C72">
        <v>29</v>
      </c>
      <c r="D72" t="s">
        <v>1447</v>
      </c>
      <c r="E72" t="s">
        <v>1448</v>
      </c>
      <c r="F72" t="str">
        <f>VLOOKUP(Tabla5[[#This Row],[Code]],[1]!Tabla6[#Data],3,FALSE)</f>
        <v>Color</v>
      </c>
    </row>
    <row r="73" spans="1:6" x14ac:dyDescent="0.25">
      <c r="A73">
        <v>12</v>
      </c>
      <c r="B73" t="str">
        <f>VLOOKUP(Tabla5[[#This Row],[Code]],[1]!Tabla6[#Data],2,FALSE)</f>
        <v>M7 MetaEscape</v>
      </c>
      <c r="C73">
        <v>30</v>
      </c>
      <c r="D73" t="s">
        <v>1449</v>
      </c>
      <c r="E73" t="s">
        <v>1450</v>
      </c>
      <c r="F73" t="str">
        <f>VLOOKUP(Tabla5[[#This Row],[Code]],[1]!Tabla6[#Data],3,FALSE)</f>
        <v>Color</v>
      </c>
    </row>
    <row r="74" spans="1:6" x14ac:dyDescent="0.25">
      <c r="A74">
        <v>12</v>
      </c>
      <c r="B74" t="str">
        <f>VLOOKUP(Tabla5[[#This Row],[Code]],[1]!Tabla6[#Data],2,FALSE)</f>
        <v>M7 MetaEscape</v>
      </c>
      <c r="C74">
        <v>31</v>
      </c>
      <c r="D74" t="s">
        <v>1451</v>
      </c>
      <c r="E74" t="s">
        <v>1452</v>
      </c>
      <c r="F74" t="str">
        <f>VLOOKUP(Tabla5[[#This Row],[Code]],[1]!Tabla6[#Data],3,FALSE)</f>
        <v>Color</v>
      </c>
    </row>
    <row r="75" spans="1:6" x14ac:dyDescent="0.25">
      <c r="A75">
        <v>12</v>
      </c>
      <c r="B75" t="str">
        <f>VLOOKUP(Tabla5[[#This Row],[Code]],[1]!Tabla6[#Data],2,FALSE)</f>
        <v>M7 MetaEscape</v>
      </c>
      <c r="C75">
        <v>32</v>
      </c>
      <c r="D75" t="s">
        <v>1453</v>
      </c>
      <c r="E75" t="s">
        <v>1454</v>
      </c>
      <c r="F75" t="str">
        <f>VLOOKUP(Tabla5[[#This Row],[Code]],[1]!Tabla6[#Data],3,FALSE)</f>
        <v>Color</v>
      </c>
    </row>
    <row r="76" spans="1:6" x14ac:dyDescent="0.25">
      <c r="A76">
        <v>12</v>
      </c>
      <c r="B76" t="str">
        <f>VLOOKUP(Tabla5[[#This Row],[Code]],[1]!Tabla6[#Data],2,FALSE)</f>
        <v>M7 MetaEscape</v>
      </c>
      <c r="C76">
        <v>33</v>
      </c>
      <c r="D76" t="s">
        <v>1455</v>
      </c>
      <c r="E76" t="s">
        <v>1456</v>
      </c>
      <c r="F76" t="str">
        <f>VLOOKUP(Tabla5[[#This Row],[Code]],[1]!Tabla6[#Data],3,FALSE)</f>
        <v>Color</v>
      </c>
    </row>
    <row r="77" spans="1:6" x14ac:dyDescent="0.25">
      <c r="A77">
        <v>13</v>
      </c>
      <c r="B77" t="str">
        <f>VLOOKUP(Tabla5[[#This Row],[Code]],[1]!Tabla6[#Data],2,FALSE)</f>
        <v>M7 Serie</v>
      </c>
      <c r="C77">
        <v>1</v>
      </c>
      <c r="D77" t="s">
        <v>492</v>
      </c>
      <c r="E77" t="s">
        <v>1387</v>
      </c>
      <c r="F77" t="str">
        <f>VLOOKUP(Tabla5[[#This Row],[Code]],[1]!Tabla6[#Data],3,FALSE)</f>
        <v>Color</v>
      </c>
    </row>
    <row r="78" spans="1:6" x14ac:dyDescent="0.25">
      <c r="A78">
        <v>13</v>
      </c>
      <c r="B78" t="str">
        <f>VLOOKUP(Tabla5[[#This Row],[Code]],[1]!Tabla6[#Data],2,FALSE)</f>
        <v>M7 Serie</v>
      </c>
      <c r="C78">
        <v>2</v>
      </c>
      <c r="D78" t="s">
        <v>495</v>
      </c>
      <c r="E78" t="s">
        <v>1387</v>
      </c>
      <c r="F78" t="str">
        <f>VLOOKUP(Tabla5[[#This Row],[Code]],[1]!Tabla6[#Data],3,FALSE)</f>
        <v>Color</v>
      </c>
    </row>
    <row r="79" spans="1:6" x14ac:dyDescent="0.25">
      <c r="A79">
        <v>13</v>
      </c>
      <c r="B79" t="str">
        <f>VLOOKUP(Tabla5[[#This Row],[Code]],[1]!Tabla6[#Data],2,FALSE)</f>
        <v>M7 Serie</v>
      </c>
      <c r="C79">
        <v>3</v>
      </c>
      <c r="D79" t="s">
        <v>1457</v>
      </c>
      <c r="E79" t="s">
        <v>1387</v>
      </c>
      <c r="F79" t="str">
        <f>VLOOKUP(Tabla5[[#This Row],[Code]],[1]!Tabla6[#Data],3,FALSE)</f>
        <v>Color</v>
      </c>
    </row>
    <row r="80" spans="1:6" x14ac:dyDescent="0.25">
      <c r="A80">
        <v>13</v>
      </c>
      <c r="B80" t="str">
        <f>VLOOKUP(Tabla5[[#This Row],[Code]],[1]!Tabla6[#Data],2,FALSE)</f>
        <v>M7 Serie</v>
      </c>
      <c r="C80">
        <v>4</v>
      </c>
      <c r="D80" t="s">
        <v>498</v>
      </c>
      <c r="E80" t="s">
        <v>1401</v>
      </c>
      <c r="F80" t="str">
        <f>VLOOKUP(Tabla5[[#This Row],[Code]],[1]!Tabla6[#Data],3,FALSE)</f>
        <v>Color</v>
      </c>
    </row>
    <row r="81" spans="1:6" x14ac:dyDescent="0.25">
      <c r="A81">
        <v>13</v>
      </c>
      <c r="B81" t="str">
        <f>VLOOKUP(Tabla5[[#This Row],[Code]],[1]!Tabla6[#Data],2,FALSE)</f>
        <v>M7 Serie</v>
      </c>
      <c r="C81">
        <v>5</v>
      </c>
      <c r="D81" t="s">
        <v>501</v>
      </c>
      <c r="E81" t="s">
        <v>1401</v>
      </c>
      <c r="F81" t="str">
        <f>VLOOKUP(Tabla5[[#This Row],[Code]],[1]!Tabla6[#Data],3,FALSE)</f>
        <v>Color</v>
      </c>
    </row>
    <row r="82" spans="1:6" x14ac:dyDescent="0.25">
      <c r="A82">
        <v>13</v>
      </c>
      <c r="B82" t="str">
        <f>VLOOKUP(Tabla5[[#This Row],[Code]],[1]!Tabla6[#Data],2,FALSE)</f>
        <v>M7 Serie</v>
      </c>
      <c r="C82">
        <v>6</v>
      </c>
      <c r="D82" t="s">
        <v>531</v>
      </c>
      <c r="E82" t="s">
        <v>1458</v>
      </c>
      <c r="F82" t="str">
        <f>VLOOKUP(Tabla5[[#This Row],[Code]],[1]!Tabla6[#Data],3,FALSE)</f>
        <v>Color</v>
      </c>
    </row>
    <row r="83" spans="1:6" x14ac:dyDescent="0.25">
      <c r="A83">
        <v>13</v>
      </c>
      <c r="B83" t="str">
        <f>VLOOKUP(Tabla5[[#This Row],[Code]],[1]!Tabla6[#Data],2,FALSE)</f>
        <v>M7 Serie</v>
      </c>
      <c r="C83">
        <v>7</v>
      </c>
      <c r="D83" t="s">
        <v>534</v>
      </c>
      <c r="E83" t="s">
        <v>1459</v>
      </c>
      <c r="F83" t="str">
        <f>VLOOKUP(Tabla5[[#This Row],[Code]],[1]!Tabla6[#Data],3,FALSE)</f>
        <v>Color</v>
      </c>
    </row>
    <row r="84" spans="1:6" x14ac:dyDescent="0.25">
      <c r="A84">
        <v>13</v>
      </c>
      <c r="B84" t="str">
        <f>VLOOKUP(Tabla5[[#This Row],[Code]],[1]!Tabla6[#Data],2,FALSE)</f>
        <v>M7 Serie</v>
      </c>
      <c r="C84">
        <v>8</v>
      </c>
      <c r="D84" t="s">
        <v>537</v>
      </c>
      <c r="E84" t="s">
        <v>1460</v>
      </c>
      <c r="F84" t="str">
        <f>VLOOKUP(Tabla5[[#This Row],[Code]],[1]!Tabla6[#Data],3,FALSE)</f>
        <v>Color</v>
      </c>
    </row>
    <row r="85" spans="1:6" x14ac:dyDescent="0.25">
      <c r="A85">
        <v>13</v>
      </c>
      <c r="B85" t="str">
        <f>VLOOKUP(Tabla5[[#This Row],[Code]],[1]!Tabla6[#Data],2,FALSE)</f>
        <v>M7 Serie</v>
      </c>
      <c r="C85">
        <v>9</v>
      </c>
      <c r="D85" t="s">
        <v>540</v>
      </c>
      <c r="E85" t="s">
        <v>1450</v>
      </c>
      <c r="F85" t="str">
        <f>VLOOKUP(Tabla5[[#This Row],[Code]],[1]!Tabla6[#Data],3,FALSE)</f>
        <v>Color</v>
      </c>
    </row>
    <row r="86" spans="1:6" x14ac:dyDescent="0.25">
      <c r="A86">
        <v>13</v>
      </c>
      <c r="B86" t="str">
        <f>VLOOKUP(Tabla5[[#This Row],[Code]],[1]!Tabla6[#Data],2,FALSE)</f>
        <v>M7 Serie</v>
      </c>
      <c r="C86">
        <v>10</v>
      </c>
      <c r="D86" t="s">
        <v>543</v>
      </c>
      <c r="E86" t="s">
        <v>1461</v>
      </c>
      <c r="F86" t="str">
        <f>VLOOKUP(Tabla5[[#This Row],[Code]],[1]!Tabla6[#Data],3,FALSE)</f>
        <v>Color</v>
      </c>
    </row>
    <row r="87" spans="1:6" x14ac:dyDescent="0.25">
      <c r="A87">
        <v>13</v>
      </c>
      <c r="B87" t="str">
        <f>VLOOKUP(Tabla5[[#This Row],[Code]],[1]!Tabla6[#Data],2,FALSE)</f>
        <v>M7 Serie</v>
      </c>
      <c r="C87">
        <v>11</v>
      </c>
      <c r="D87" t="s">
        <v>552</v>
      </c>
      <c r="E87" t="s">
        <v>1411</v>
      </c>
      <c r="F87" t="str">
        <f>VLOOKUP(Tabla5[[#This Row],[Code]],[1]!Tabla6[#Data],3,FALSE)</f>
        <v>Color</v>
      </c>
    </row>
    <row r="88" spans="1:6" x14ac:dyDescent="0.25">
      <c r="A88">
        <v>13</v>
      </c>
      <c r="B88" t="str">
        <f>VLOOKUP(Tabla5[[#This Row],[Code]],[1]!Tabla6[#Data],2,FALSE)</f>
        <v>M7 Serie</v>
      </c>
      <c r="C88">
        <v>12</v>
      </c>
      <c r="D88" t="s">
        <v>555</v>
      </c>
      <c r="E88" t="s">
        <v>1413</v>
      </c>
      <c r="F88" t="str">
        <f>VLOOKUP(Tabla5[[#This Row],[Code]],[1]!Tabla6[#Data],3,FALSE)</f>
        <v>Color</v>
      </c>
    </row>
    <row r="89" spans="1:6" x14ac:dyDescent="0.25">
      <c r="A89">
        <v>13</v>
      </c>
      <c r="B89" t="str">
        <f>VLOOKUP(Tabla5[[#This Row],[Code]],[1]!Tabla6[#Data],2,FALSE)</f>
        <v>M7 Serie</v>
      </c>
      <c r="C89">
        <v>13</v>
      </c>
      <c r="D89" t="s">
        <v>558</v>
      </c>
      <c r="E89" t="s">
        <v>1462</v>
      </c>
      <c r="F89" t="str">
        <f>VLOOKUP(Tabla5[[#This Row],[Code]],[1]!Tabla6[#Data],3,FALSE)</f>
        <v>Color</v>
      </c>
    </row>
    <row r="90" spans="1:6" x14ac:dyDescent="0.25">
      <c r="A90">
        <v>13</v>
      </c>
      <c r="B90" t="str">
        <f>VLOOKUP(Tabla5[[#This Row],[Code]],[1]!Tabla6[#Data],2,FALSE)</f>
        <v>M7 Serie</v>
      </c>
      <c r="C90">
        <v>14</v>
      </c>
      <c r="D90" t="s">
        <v>561</v>
      </c>
      <c r="E90" t="s">
        <v>1463</v>
      </c>
      <c r="F90" t="str">
        <f>VLOOKUP(Tabla5[[#This Row],[Code]],[1]!Tabla6[#Data],3,FALSE)</f>
        <v>Color</v>
      </c>
    </row>
    <row r="91" spans="1:6" x14ac:dyDescent="0.25">
      <c r="A91">
        <v>13</v>
      </c>
      <c r="B91" t="str">
        <f>VLOOKUP(Tabla5[[#This Row],[Code]],[1]!Tabla6[#Data],2,FALSE)</f>
        <v>M7 Serie</v>
      </c>
      <c r="C91">
        <v>15</v>
      </c>
      <c r="D91" t="s">
        <v>564</v>
      </c>
      <c r="E91" t="s">
        <v>1464</v>
      </c>
      <c r="F91" t="str">
        <f>VLOOKUP(Tabla5[[#This Row],[Code]],[1]!Tabla6[#Data],3,FALSE)</f>
        <v>Color</v>
      </c>
    </row>
    <row r="92" spans="1:6" x14ac:dyDescent="0.25">
      <c r="A92">
        <v>13</v>
      </c>
      <c r="B92" t="str">
        <f>VLOOKUP(Tabla5[[#This Row],[Code]],[1]!Tabla6[#Data],2,FALSE)</f>
        <v>M7 Serie</v>
      </c>
      <c r="C92">
        <v>16</v>
      </c>
      <c r="D92" t="s">
        <v>570</v>
      </c>
      <c r="E92" t="s">
        <v>1415</v>
      </c>
      <c r="F92" t="str">
        <f>VLOOKUP(Tabla5[[#This Row],[Code]],[1]!Tabla6[#Data],3,FALSE)</f>
        <v>Color</v>
      </c>
    </row>
    <row r="93" spans="1:6" x14ac:dyDescent="0.25">
      <c r="A93">
        <v>13</v>
      </c>
      <c r="B93" t="str">
        <f>VLOOKUP(Tabla5[[#This Row],[Code]],[1]!Tabla6[#Data],2,FALSE)</f>
        <v>M7 Serie</v>
      </c>
      <c r="C93">
        <v>17</v>
      </c>
      <c r="D93" t="s">
        <v>573</v>
      </c>
      <c r="E93" t="s">
        <v>1465</v>
      </c>
      <c r="F93" t="str">
        <f>VLOOKUP(Tabla5[[#This Row],[Code]],[1]!Tabla6[#Data],3,FALSE)</f>
        <v>Color</v>
      </c>
    </row>
    <row r="94" spans="1:6" x14ac:dyDescent="0.25">
      <c r="A94">
        <v>13</v>
      </c>
      <c r="B94" t="str">
        <f>VLOOKUP(Tabla5[[#This Row],[Code]],[1]!Tabla6[#Data],2,FALSE)</f>
        <v>M7 Serie</v>
      </c>
      <c r="C94">
        <v>18</v>
      </c>
      <c r="D94" t="s">
        <v>582</v>
      </c>
      <c r="E94" t="s">
        <v>1466</v>
      </c>
      <c r="F94" t="str">
        <f>VLOOKUP(Tabla5[[#This Row],[Code]],[1]!Tabla6[#Data],3,FALSE)</f>
        <v>Color</v>
      </c>
    </row>
    <row r="95" spans="1:6" x14ac:dyDescent="0.25">
      <c r="A95">
        <v>13</v>
      </c>
      <c r="B95" t="str">
        <f>VLOOKUP(Tabla5[[#This Row],[Code]],[1]!Tabla6[#Data],2,FALSE)</f>
        <v>M7 Serie</v>
      </c>
      <c r="C95">
        <v>19</v>
      </c>
      <c r="D95" t="s">
        <v>585</v>
      </c>
      <c r="E95" t="s">
        <v>1467</v>
      </c>
      <c r="F95" t="str">
        <f>VLOOKUP(Tabla5[[#This Row],[Code]],[1]!Tabla6[#Data],3,FALSE)</f>
        <v>Color</v>
      </c>
    </row>
    <row r="96" spans="1:6" x14ac:dyDescent="0.25">
      <c r="A96">
        <v>13</v>
      </c>
      <c r="B96" t="str">
        <f>VLOOKUP(Tabla5[[#This Row],[Code]],[1]!Tabla6[#Data],2,FALSE)</f>
        <v>M7 Serie</v>
      </c>
      <c r="C96">
        <v>20</v>
      </c>
      <c r="D96" t="s">
        <v>588</v>
      </c>
      <c r="E96" t="s">
        <v>1416</v>
      </c>
      <c r="F96" t="str">
        <f>VLOOKUP(Tabla5[[#This Row],[Code]],[1]!Tabla6[#Data],3,FALSE)</f>
        <v>Color</v>
      </c>
    </row>
    <row r="97" spans="1:6" x14ac:dyDescent="0.25">
      <c r="A97">
        <v>13</v>
      </c>
      <c r="B97" t="str">
        <f>VLOOKUP(Tabla5[[#This Row],[Code]],[1]!Tabla6[#Data],2,FALSE)</f>
        <v>M7 Serie</v>
      </c>
      <c r="C97">
        <v>21</v>
      </c>
      <c r="D97" t="s">
        <v>591</v>
      </c>
      <c r="E97" t="s">
        <v>1417</v>
      </c>
      <c r="F97" t="str">
        <f>VLOOKUP(Tabla5[[#This Row],[Code]],[1]!Tabla6[#Data],3,FALSE)</f>
        <v>Color</v>
      </c>
    </row>
    <row r="98" spans="1:6" x14ac:dyDescent="0.25">
      <c r="A98">
        <v>13</v>
      </c>
      <c r="B98" t="str">
        <f>VLOOKUP(Tabla5[[#This Row],[Code]],[1]!Tabla6[#Data],2,FALSE)</f>
        <v>M7 Serie</v>
      </c>
      <c r="C98">
        <v>22</v>
      </c>
      <c r="D98" t="s">
        <v>594</v>
      </c>
      <c r="E98" t="s">
        <v>1468</v>
      </c>
      <c r="F98" t="str">
        <f>VLOOKUP(Tabla5[[#This Row],[Code]],[1]!Tabla6[#Data],3,FALSE)</f>
        <v>Color</v>
      </c>
    </row>
    <row r="99" spans="1:6" x14ac:dyDescent="0.25">
      <c r="A99">
        <v>13</v>
      </c>
      <c r="B99" t="str">
        <f>VLOOKUP(Tabla5[[#This Row],[Code]],[1]!Tabla6[#Data],2,FALSE)</f>
        <v>M7 Serie</v>
      </c>
      <c r="C99">
        <v>23</v>
      </c>
      <c r="D99" t="s">
        <v>597</v>
      </c>
      <c r="E99" t="s">
        <v>1469</v>
      </c>
      <c r="F99" t="str">
        <f>VLOOKUP(Tabla5[[#This Row],[Code]],[1]!Tabla6[#Data],3,FALSE)</f>
        <v>Color</v>
      </c>
    </row>
    <row r="100" spans="1:6" x14ac:dyDescent="0.25">
      <c r="A100">
        <v>13</v>
      </c>
      <c r="B100" t="str">
        <f>VLOOKUP(Tabla5[[#This Row],[Code]],[1]!Tabla6[#Data],2,FALSE)</f>
        <v>M7 Serie</v>
      </c>
      <c r="C100">
        <v>24</v>
      </c>
      <c r="D100" t="s">
        <v>606</v>
      </c>
      <c r="E100" t="s">
        <v>1418</v>
      </c>
      <c r="F100" t="str">
        <f>VLOOKUP(Tabla5[[#This Row],[Code]],[1]!Tabla6[#Data],3,FALSE)</f>
        <v>Color</v>
      </c>
    </row>
    <row r="101" spans="1:6" x14ac:dyDescent="0.25">
      <c r="A101">
        <v>13</v>
      </c>
      <c r="B101" t="str">
        <f>VLOOKUP(Tabla5[[#This Row],[Code]],[1]!Tabla6[#Data],2,FALSE)</f>
        <v>M7 Serie</v>
      </c>
      <c r="C101">
        <v>25</v>
      </c>
      <c r="D101" t="s">
        <v>612</v>
      </c>
      <c r="E101" t="s">
        <v>1470</v>
      </c>
      <c r="F101" t="str">
        <f>VLOOKUP(Tabla5[[#This Row],[Code]],[1]!Tabla6[#Data],3,FALSE)</f>
        <v>Color</v>
      </c>
    </row>
    <row r="102" spans="1:6" x14ac:dyDescent="0.25">
      <c r="A102">
        <v>13</v>
      </c>
      <c r="B102" t="str">
        <f>VLOOKUP(Tabla5[[#This Row],[Code]],[1]!Tabla6[#Data],2,FALSE)</f>
        <v>M7 Serie</v>
      </c>
      <c r="C102">
        <v>26</v>
      </c>
      <c r="D102" t="s">
        <v>615</v>
      </c>
      <c r="E102" t="s">
        <v>1437</v>
      </c>
      <c r="F102" t="str">
        <f>VLOOKUP(Tabla5[[#This Row],[Code]],[1]!Tabla6[#Data],3,FALSE)</f>
        <v>Color</v>
      </c>
    </row>
    <row r="103" spans="1:6" x14ac:dyDescent="0.25">
      <c r="A103">
        <v>13</v>
      </c>
      <c r="B103" t="str">
        <f>VLOOKUP(Tabla5[[#This Row],[Code]],[1]!Tabla6[#Data],2,FALSE)</f>
        <v>M7 Serie</v>
      </c>
      <c r="C103">
        <v>27</v>
      </c>
      <c r="D103" t="s">
        <v>618</v>
      </c>
      <c r="E103" t="s">
        <v>1471</v>
      </c>
      <c r="F103" t="str">
        <f>VLOOKUP(Tabla5[[#This Row],[Code]],[1]!Tabla6[#Data],3,FALSE)</f>
        <v>Color</v>
      </c>
    </row>
    <row r="104" spans="1:6" x14ac:dyDescent="0.25">
      <c r="A104">
        <v>13</v>
      </c>
      <c r="B104" t="str">
        <f>VLOOKUP(Tabla5[[#This Row],[Code]],[1]!Tabla6[#Data],2,FALSE)</f>
        <v>M7 Serie</v>
      </c>
      <c r="C104">
        <v>28</v>
      </c>
      <c r="D104" t="s">
        <v>621</v>
      </c>
      <c r="E104" t="s">
        <v>1472</v>
      </c>
      <c r="F104" t="str">
        <f>VLOOKUP(Tabla5[[#This Row],[Code]],[1]!Tabla6[#Data],3,FALSE)</f>
        <v>Color</v>
      </c>
    </row>
    <row r="105" spans="1:6" x14ac:dyDescent="0.25">
      <c r="A105">
        <v>13</v>
      </c>
      <c r="B105" t="str">
        <f>VLOOKUP(Tabla5[[#This Row],[Code]],[1]!Tabla6[#Data],2,FALSE)</f>
        <v>M7 Serie</v>
      </c>
      <c r="C105">
        <v>29</v>
      </c>
      <c r="D105" t="s">
        <v>624</v>
      </c>
      <c r="E105" t="s">
        <v>1419</v>
      </c>
      <c r="F105" t="str">
        <f>VLOOKUP(Tabla5[[#This Row],[Code]],[1]!Tabla6[#Data],3,FALSE)</f>
        <v>Color</v>
      </c>
    </row>
    <row r="106" spans="1:6" x14ac:dyDescent="0.25">
      <c r="A106">
        <v>13</v>
      </c>
      <c r="B106" t="str">
        <f>VLOOKUP(Tabla5[[#This Row],[Code]],[1]!Tabla6[#Data],2,FALSE)</f>
        <v>M7 Serie</v>
      </c>
      <c r="C106">
        <v>30</v>
      </c>
      <c r="D106" t="s">
        <v>627</v>
      </c>
      <c r="E106" t="s">
        <v>1420</v>
      </c>
      <c r="F106" t="str">
        <f>VLOOKUP(Tabla5[[#This Row],[Code]],[1]!Tabla6[#Data],3,FALSE)</f>
        <v>Color</v>
      </c>
    </row>
    <row r="107" spans="1:6" x14ac:dyDescent="0.25">
      <c r="A107">
        <v>13</v>
      </c>
      <c r="B107" t="str">
        <f>VLOOKUP(Tabla5[[#This Row],[Code]],[1]!Tabla6[#Data],2,FALSE)</f>
        <v>M7 Serie</v>
      </c>
      <c r="C107">
        <v>31</v>
      </c>
      <c r="D107" t="s">
        <v>630</v>
      </c>
      <c r="E107" t="s">
        <v>1421</v>
      </c>
      <c r="F107" t="str">
        <f>VLOOKUP(Tabla5[[#This Row],[Code]],[1]!Tabla6[#Data],3,FALSE)</f>
        <v>Color</v>
      </c>
    </row>
    <row r="108" spans="1:6" x14ac:dyDescent="0.25">
      <c r="A108">
        <v>13</v>
      </c>
      <c r="B108" t="str">
        <f>VLOOKUP(Tabla5[[#This Row],[Code]],[1]!Tabla6[#Data],2,FALSE)</f>
        <v>M7 Serie</v>
      </c>
      <c r="C108">
        <v>32</v>
      </c>
      <c r="D108" t="s">
        <v>633</v>
      </c>
      <c r="E108" t="s">
        <v>1473</v>
      </c>
      <c r="F108" t="str">
        <f>VLOOKUP(Tabla5[[#This Row],[Code]],[1]!Tabla6[#Data],3,FALSE)</f>
        <v>Color</v>
      </c>
    </row>
    <row r="109" spans="1:6" x14ac:dyDescent="0.25">
      <c r="A109">
        <v>13</v>
      </c>
      <c r="B109" t="str">
        <f>VLOOKUP(Tabla5[[#This Row],[Code]],[1]!Tabla6[#Data],2,FALSE)</f>
        <v>M7 Serie</v>
      </c>
      <c r="C109">
        <v>33</v>
      </c>
      <c r="D109" t="s">
        <v>636</v>
      </c>
      <c r="E109" t="s">
        <v>1474</v>
      </c>
      <c r="F109" t="str">
        <f>VLOOKUP(Tabla5[[#This Row],[Code]],[1]!Tabla6[#Data],3,FALSE)</f>
        <v>Color</v>
      </c>
    </row>
    <row r="110" spans="1:6" x14ac:dyDescent="0.25">
      <c r="A110">
        <v>13</v>
      </c>
      <c r="B110" t="str">
        <f>VLOOKUP(Tabla5[[#This Row],[Code]],[1]!Tabla6[#Data],2,FALSE)</f>
        <v>M7 Serie</v>
      </c>
      <c r="C110">
        <v>34</v>
      </c>
      <c r="D110" t="s">
        <v>642</v>
      </c>
      <c r="E110" t="s">
        <v>1475</v>
      </c>
      <c r="F110" t="str">
        <f>VLOOKUP(Tabla5[[#This Row],[Code]],[1]!Tabla6[#Data],3,FALSE)</f>
        <v>Color</v>
      </c>
    </row>
    <row r="111" spans="1:6" x14ac:dyDescent="0.25">
      <c r="A111">
        <v>13</v>
      </c>
      <c r="B111" t="str">
        <f>VLOOKUP(Tabla5[[#This Row],[Code]],[1]!Tabla6[#Data],2,FALSE)</f>
        <v>M7 Serie</v>
      </c>
      <c r="C111">
        <v>35</v>
      </c>
      <c r="D111" t="s">
        <v>645</v>
      </c>
      <c r="E111" t="s">
        <v>1476</v>
      </c>
      <c r="F111" t="str">
        <f>VLOOKUP(Tabla5[[#This Row],[Code]],[1]!Tabla6[#Data],3,FALSE)</f>
        <v>Color</v>
      </c>
    </row>
    <row r="112" spans="1:6" x14ac:dyDescent="0.25">
      <c r="A112">
        <v>13</v>
      </c>
      <c r="B112" t="str">
        <f>VLOOKUP(Tabla5[[#This Row],[Code]],[1]!Tabla6[#Data],2,FALSE)</f>
        <v>M7 Serie</v>
      </c>
      <c r="C112">
        <v>36</v>
      </c>
      <c r="D112" t="s">
        <v>648</v>
      </c>
      <c r="E112" t="s">
        <v>1477</v>
      </c>
      <c r="F112" t="str">
        <f>VLOOKUP(Tabla5[[#This Row],[Code]],[1]!Tabla6[#Data],3,FALSE)</f>
        <v>Color</v>
      </c>
    </row>
    <row r="113" spans="1:6" x14ac:dyDescent="0.25">
      <c r="A113">
        <v>13</v>
      </c>
      <c r="B113" t="str">
        <f>VLOOKUP(Tabla5[[#This Row],[Code]],[1]!Tabla6[#Data],2,FALSE)</f>
        <v>M7 Serie</v>
      </c>
      <c r="C113">
        <v>37</v>
      </c>
      <c r="D113" t="s">
        <v>651</v>
      </c>
      <c r="E113" t="s">
        <v>1478</v>
      </c>
      <c r="F113" t="str">
        <f>VLOOKUP(Tabla5[[#This Row],[Code]],[1]!Tabla6[#Data],3,FALSE)</f>
        <v>Color</v>
      </c>
    </row>
    <row r="114" spans="1:6" x14ac:dyDescent="0.25">
      <c r="A114">
        <v>13</v>
      </c>
      <c r="B114" t="str">
        <f>VLOOKUP(Tabla5[[#This Row],[Code]],[1]!Tabla6[#Data],2,FALSE)</f>
        <v>M7 Serie</v>
      </c>
      <c r="C114">
        <v>38</v>
      </c>
      <c r="D114" t="s">
        <v>654</v>
      </c>
      <c r="E114" t="s">
        <v>1422</v>
      </c>
      <c r="F114" t="str">
        <f>VLOOKUP(Tabla5[[#This Row],[Code]],[1]!Tabla6[#Data],3,FALSE)</f>
        <v>Color</v>
      </c>
    </row>
    <row r="115" spans="1:6" x14ac:dyDescent="0.25">
      <c r="A115">
        <v>13</v>
      </c>
      <c r="B115" t="str">
        <f>VLOOKUP(Tabla5[[#This Row],[Code]],[1]!Tabla6[#Data],2,FALSE)</f>
        <v>M7 Serie</v>
      </c>
      <c r="C115">
        <v>39</v>
      </c>
      <c r="D115" t="s">
        <v>657</v>
      </c>
      <c r="E115" t="s">
        <v>1479</v>
      </c>
      <c r="F115" t="str">
        <f>VLOOKUP(Tabla5[[#This Row],[Code]],[1]!Tabla6[#Data],3,FALSE)</f>
        <v>Color</v>
      </c>
    </row>
    <row r="116" spans="1:6" x14ac:dyDescent="0.25">
      <c r="A116">
        <v>13</v>
      </c>
      <c r="B116" t="str">
        <f>VLOOKUP(Tabla5[[#This Row],[Code]],[1]!Tabla6[#Data],2,FALSE)</f>
        <v>M7 Serie</v>
      </c>
      <c r="C116">
        <v>40</v>
      </c>
      <c r="D116" t="s">
        <v>660</v>
      </c>
      <c r="E116" t="s">
        <v>1480</v>
      </c>
      <c r="F116" t="str">
        <f>VLOOKUP(Tabla5[[#This Row],[Code]],[1]!Tabla6[#Data],3,FALSE)</f>
        <v>Color</v>
      </c>
    </row>
    <row r="117" spans="1:6" x14ac:dyDescent="0.25">
      <c r="A117">
        <v>13</v>
      </c>
      <c r="B117" t="str">
        <f>VLOOKUP(Tabla5[[#This Row],[Code]],[1]!Tabla6[#Data],2,FALSE)</f>
        <v>M7 Serie</v>
      </c>
      <c r="C117">
        <v>41</v>
      </c>
      <c r="D117" t="s">
        <v>672</v>
      </c>
      <c r="E117" t="s">
        <v>1481</v>
      </c>
      <c r="F117" t="str">
        <f>VLOOKUP(Tabla5[[#This Row],[Code]],[1]!Tabla6[#Data],3,FALSE)</f>
        <v>Color</v>
      </c>
    </row>
    <row r="118" spans="1:6" x14ac:dyDescent="0.25">
      <c r="A118">
        <v>13</v>
      </c>
      <c r="B118" t="str">
        <f>VLOOKUP(Tabla5[[#This Row],[Code]],[1]!Tabla6[#Data],2,FALSE)</f>
        <v>M7 Serie</v>
      </c>
      <c r="C118">
        <v>42</v>
      </c>
      <c r="D118" t="s">
        <v>675</v>
      </c>
      <c r="E118" t="s">
        <v>1482</v>
      </c>
      <c r="F118" t="str">
        <f>VLOOKUP(Tabla5[[#This Row],[Code]],[1]!Tabla6[#Data],3,FALSE)</f>
        <v>Color</v>
      </c>
    </row>
    <row r="119" spans="1:6" x14ac:dyDescent="0.25">
      <c r="A119">
        <v>13</v>
      </c>
      <c r="B119" t="str">
        <f>VLOOKUP(Tabla5[[#This Row],[Code]],[1]!Tabla6[#Data],2,FALSE)</f>
        <v>M7 Serie</v>
      </c>
      <c r="C119">
        <v>43</v>
      </c>
      <c r="D119" t="s">
        <v>678</v>
      </c>
      <c r="E119" t="s">
        <v>1483</v>
      </c>
      <c r="F119" t="str">
        <f>VLOOKUP(Tabla5[[#This Row],[Code]],[1]!Tabla6[#Data],3,FALSE)</f>
        <v>Color</v>
      </c>
    </row>
    <row r="120" spans="1:6" x14ac:dyDescent="0.25">
      <c r="A120">
        <v>13</v>
      </c>
      <c r="B120" t="str">
        <f>VLOOKUP(Tabla5[[#This Row],[Code]],[1]!Tabla6[#Data],2,FALSE)</f>
        <v>M7 Serie</v>
      </c>
      <c r="C120">
        <v>44</v>
      </c>
      <c r="D120" t="s">
        <v>681</v>
      </c>
      <c r="E120" t="s">
        <v>1484</v>
      </c>
      <c r="F120" t="str">
        <f>VLOOKUP(Tabla5[[#This Row],[Code]],[1]!Tabla6[#Data],3,FALSE)</f>
        <v>Color</v>
      </c>
    </row>
    <row r="121" spans="1:6" x14ac:dyDescent="0.25">
      <c r="A121">
        <v>13</v>
      </c>
      <c r="B121" t="str">
        <f>VLOOKUP(Tabla5[[#This Row],[Code]],[1]!Tabla6[#Data],2,FALSE)</f>
        <v>M7 Serie</v>
      </c>
      <c r="C121">
        <v>45</v>
      </c>
      <c r="D121" t="s">
        <v>976</v>
      </c>
      <c r="E121" t="s">
        <v>1485</v>
      </c>
      <c r="F121" t="str">
        <f>VLOOKUP(Tabla5[[#This Row],[Code]],[1]!Tabla6[#Data],3,FALSE)</f>
        <v>Color</v>
      </c>
    </row>
    <row r="122" spans="1:6" x14ac:dyDescent="0.25">
      <c r="A122">
        <v>13</v>
      </c>
      <c r="B122" t="str">
        <f>VLOOKUP(Tabla5[[#This Row],[Code]],[1]!Tabla6[#Data],2,FALSE)</f>
        <v>M7 Serie</v>
      </c>
      <c r="C122">
        <v>46</v>
      </c>
      <c r="D122" t="s">
        <v>981</v>
      </c>
      <c r="E122" t="s">
        <v>1486</v>
      </c>
      <c r="F122" t="str">
        <f>VLOOKUP(Tabla5[[#This Row],[Code]],[1]!Tabla6[#Data],3,FALSE)</f>
        <v>Color</v>
      </c>
    </row>
    <row r="123" spans="1:6" x14ac:dyDescent="0.25">
      <c r="A123">
        <v>13</v>
      </c>
      <c r="B123" t="str">
        <f>VLOOKUP(Tabla5[[#This Row],[Code]],[1]!Tabla6[#Data],2,FALSE)</f>
        <v>M7 Serie</v>
      </c>
      <c r="C123">
        <v>47</v>
      </c>
      <c r="D123" t="s">
        <v>1051</v>
      </c>
      <c r="E123" t="s">
        <v>1487</v>
      </c>
      <c r="F123" t="str">
        <f>VLOOKUP(Tabla5[[#This Row],[Code]],[1]!Tabla6[#Data],3,FALSE)</f>
        <v>Color</v>
      </c>
    </row>
    <row r="124" spans="1:6" x14ac:dyDescent="0.25">
      <c r="A124">
        <v>13</v>
      </c>
      <c r="B124" t="str">
        <f>VLOOKUP(Tabla5[[#This Row],[Code]],[1]!Tabla6[#Data],2,FALSE)</f>
        <v>M7 Serie</v>
      </c>
      <c r="C124">
        <v>48</v>
      </c>
      <c r="D124" t="s">
        <v>1060</v>
      </c>
      <c r="E124" t="s">
        <v>1488</v>
      </c>
      <c r="F124" t="str">
        <f>VLOOKUP(Tabla5[[#This Row],[Code]],[1]!Tabla6[#Data],3,FALSE)</f>
        <v>Color</v>
      </c>
    </row>
    <row r="125" spans="1:6" x14ac:dyDescent="0.25">
      <c r="A125">
        <v>13</v>
      </c>
      <c r="B125" t="str">
        <f>VLOOKUP(Tabla5[[#This Row],[Code]],[1]!Tabla6[#Data],2,FALSE)</f>
        <v>M7 Serie</v>
      </c>
      <c r="C125">
        <v>49</v>
      </c>
      <c r="D125" t="s">
        <v>1065</v>
      </c>
      <c r="E125" t="s">
        <v>1489</v>
      </c>
      <c r="F125" t="str">
        <f>VLOOKUP(Tabla5[[#This Row],[Code]],[1]!Tabla6[#Data],3,FALSE)</f>
        <v>Color</v>
      </c>
    </row>
    <row r="126" spans="1:6" x14ac:dyDescent="0.25">
      <c r="A126">
        <v>13</v>
      </c>
      <c r="B126" t="str">
        <f>VLOOKUP(Tabla5[[#This Row],[Code]],[1]!Tabla6[#Data],2,FALSE)</f>
        <v>M7 Serie</v>
      </c>
      <c r="C126">
        <v>50</v>
      </c>
      <c r="D126" t="s">
        <v>1068</v>
      </c>
      <c r="E126" t="s">
        <v>1490</v>
      </c>
      <c r="F126" t="str">
        <f>VLOOKUP(Tabla5[[#This Row],[Code]],[1]!Tabla6[#Data],3,FALSE)</f>
        <v>Color</v>
      </c>
    </row>
    <row r="127" spans="1:6" x14ac:dyDescent="0.25">
      <c r="A127">
        <v>13</v>
      </c>
      <c r="B127" t="str">
        <f>VLOOKUP(Tabla5[[#This Row],[Code]],[1]!Tabla6[#Data],2,FALSE)</f>
        <v>M7 Serie</v>
      </c>
      <c r="C127">
        <v>51</v>
      </c>
      <c r="D127" t="s">
        <v>1071</v>
      </c>
      <c r="E127" t="s">
        <v>1491</v>
      </c>
      <c r="F127" t="str">
        <f>VLOOKUP(Tabla5[[#This Row],[Code]],[1]!Tabla6[#Data],3,FALSE)</f>
        <v>Color</v>
      </c>
    </row>
    <row r="128" spans="1:6" x14ac:dyDescent="0.25">
      <c r="A128">
        <v>13</v>
      </c>
      <c r="B128" t="str">
        <f>VLOOKUP(Tabla5[[#This Row],[Code]],[1]!Tabla6[#Data],2,FALSE)</f>
        <v>M7 Serie</v>
      </c>
      <c r="C128">
        <v>52</v>
      </c>
      <c r="D128" t="s">
        <v>1086</v>
      </c>
      <c r="E128" t="s">
        <v>1492</v>
      </c>
      <c r="F128" t="str">
        <f>VLOOKUP(Tabla5[[#This Row],[Code]],[1]!Tabla6[#Data],3,FALSE)</f>
        <v>Color</v>
      </c>
    </row>
    <row r="129" spans="1:6" x14ac:dyDescent="0.25">
      <c r="A129">
        <v>13</v>
      </c>
      <c r="B129" t="str">
        <f>VLOOKUP(Tabla5[[#This Row],[Code]],[1]!Tabla6[#Data],2,FALSE)</f>
        <v>M7 Serie</v>
      </c>
      <c r="C129">
        <v>53</v>
      </c>
      <c r="D129" t="s">
        <v>1089</v>
      </c>
      <c r="E129" t="s">
        <v>1493</v>
      </c>
      <c r="F129" t="str">
        <f>VLOOKUP(Tabla5[[#This Row],[Code]],[1]!Tabla6[#Data],3,FALSE)</f>
        <v>Color</v>
      </c>
    </row>
    <row r="130" spans="1:6" x14ac:dyDescent="0.25">
      <c r="A130">
        <v>13</v>
      </c>
      <c r="B130" t="str">
        <f>VLOOKUP(Tabla5[[#This Row],[Code]],[1]!Tabla6[#Data],2,FALSE)</f>
        <v>M7 Serie</v>
      </c>
      <c r="C130">
        <v>54</v>
      </c>
      <c r="D130" t="s">
        <v>1092</v>
      </c>
      <c r="E130" t="s">
        <v>1461</v>
      </c>
      <c r="F130" t="str">
        <f>VLOOKUP(Tabla5[[#This Row],[Code]],[1]!Tabla6[#Data],3,FALSE)</f>
        <v>Color</v>
      </c>
    </row>
    <row r="131" spans="1:6" x14ac:dyDescent="0.25">
      <c r="A131">
        <v>13</v>
      </c>
      <c r="B131" t="str">
        <f>VLOOKUP(Tabla5[[#This Row],[Code]],[1]!Tabla6[#Data],2,FALSE)</f>
        <v>M7 Serie</v>
      </c>
      <c r="C131">
        <v>55</v>
      </c>
      <c r="D131" t="s">
        <v>1494</v>
      </c>
      <c r="E131" t="s">
        <v>1495</v>
      </c>
      <c r="F131" t="str">
        <f>VLOOKUP(Tabla5[[#This Row],[Code]],[1]!Tabla6[#Data],3,FALSE)</f>
        <v>Color</v>
      </c>
    </row>
    <row r="132" spans="1:6" x14ac:dyDescent="0.25">
      <c r="A132">
        <v>13</v>
      </c>
      <c r="B132" t="str">
        <f>VLOOKUP(Tabla5[[#This Row],[Code]],[1]!Tabla6[#Data],2,FALSE)</f>
        <v>M7 Serie</v>
      </c>
      <c r="C132">
        <v>56</v>
      </c>
      <c r="D132" t="s">
        <v>1496</v>
      </c>
      <c r="E132" t="s">
        <v>1497</v>
      </c>
      <c r="F132" t="str">
        <f>VLOOKUP(Tabla5[[#This Row],[Code]],[1]!Tabla6[#Data],3,FALSE)</f>
        <v>Color</v>
      </c>
    </row>
    <row r="133" spans="1:6" x14ac:dyDescent="0.25">
      <c r="A133">
        <v>13</v>
      </c>
      <c r="B133" t="str">
        <f>VLOOKUP(Tabla5[[#This Row],[Code]],[1]!Tabla6[#Data],2,FALSE)</f>
        <v>M7 Serie</v>
      </c>
      <c r="C133">
        <v>57</v>
      </c>
      <c r="D133" t="s">
        <v>1498</v>
      </c>
      <c r="E133" t="s">
        <v>1499</v>
      </c>
      <c r="F133" t="str">
        <f>VLOOKUP(Tabla5[[#This Row],[Code]],[1]!Tabla6[#Data],3,FALSE)</f>
        <v>Color</v>
      </c>
    </row>
    <row r="134" spans="1:6" x14ac:dyDescent="0.25">
      <c r="A134">
        <v>13</v>
      </c>
      <c r="B134" t="str">
        <f>VLOOKUP(Tabla5[[#This Row],[Code]],[1]!Tabla6[#Data],2,FALSE)</f>
        <v>M7 Serie</v>
      </c>
      <c r="C134">
        <v>58</v>
      </c>
      <c r="D134" t="s">
        <v>1500</v>
      </c>
      <c r="E134" t="s">
        <v>1501</v>
      </c>
      <c r="F134" t="str">
        <f>VLOOKUP(Tabla5[[#This Row],[Code]],[1]!Tabla6[#Data],3,FALSE)</f>
        <v>Color</v>
      </c>
    </row>
    <row r="135" spans="1:6" x14ac:dyDescent="0.25">
      <c r="A135">
        <v>13</v>
      </c>
      <c r="B135" t="str">
        <f>VLOOKUP(Tabla5[[#This Row],[Code]],[1]!Tabla6[#Data],2,FALSE)</f>
        <v>M7 Serie</v>
      </c>
      <c r="C135">
        <v>59</v>
      </c>
      <c r="D135" t="s">
        <v>1502</v>
      </c>
      <c r="E135" t="s">
        <v>1503</v>
      </c>
      <c r="F135" t="str">
        <f>VLOOKUP(Tabla5[[#This Row],[Code]],[1]!Tabla6[#Data],3,FALSE)</f>
        <v>Color</v>
      </c>
    </row>
    <row r="136" spans="1:6" x14ac:dyDescent="0.25">
      <c r="A136">
        <v>13</v>
      </c>
      <c r="B136" t="str">
        <f>VLOOKUP(Tabla5[[#This Row],[Code]],[1]!Tabla6[#Data],2,FALSE)</f>
        <v>M7 Serie</v>
      </c>
      <c r="C136">
        <v>60</v>
      </c>
      <c r="D136" t="s">
        <v>1504</v>
      </c>
      <c r="E136" t="s">
        <v>1505</v>
      </c>
      <c r="F136" t="str">
        <f>VLOOKUP(Tabla5[[#This Row],[Code]],[1]!Tabla6[#Data],3,FALSE)</f>
        <v>Color</v>
      </c>
    </row>
    <row r="137" spans="1:6" x14ac:dyDescent="0.25">
      <c r="A137">
        <v>13</v>
      </c>
      <c r="B137" t="str">
        <f>VLOOKUP(Tabla5[[#This Row],[Code]],[1]!Tabla6[#Data],2,FALSE)</f>
        <v>M7 Serie</v>
      </c>
      <c r="C137">
        <v>61</v>
      </c>
      <c r="D137" t="s">
        <v>1506</v>
      </c>
      <c r="E137" t="s">
        <v>1429</v>
      </c>
      <c r="F137" t="str">
        <f>VLOOKUP(Tabla5[[#This Row],[Code]],[1]!Tabla6[#Data],3,FALSE)</f>
        <v>Color</v>
      </c>
    </row>
    <row r="138" spans="1:6" x14ac:dyDescent="0.25">
      <c r="A138">
        <v>13</v>
      </c>
      <c r="B138" t="str">
        <f>VLOOKUP(Tabla5[[#This Row],[Code]],[1]!Tabla6[#Data],2,FALSE)</f>
        <v>M7 Serie</v>
      </c>
      <c r="C138">
        <v>62</v>
      </c>
      <c r="D138" t="s">
        <v>1507</v>
      </c>
      <c r="E138" t="s">
        <v>1431</v>
      </c>
      <c r="F138" t="str">
        <f>VLOOKUP(Tabla5[[#This Row],[Code]],[1]!Tabla6[#Data],3,FALSE)</f>
        <v>Color</v>
      </c>
    </row>
    <row r="139" spans="1:6" x14ac:dyDescent="0.25">
      <c r="A139">
        <v>13</v>
      </c>
      <c r="B139" t="str">
        <f>VLOOKUP(Tabla5[[#This Row],[Code]],[1]!Tabla6[#Data],2,FALSE)</f>
        <v>M7 Serie</v>
      </c>
      <c r="C139">
        <v>63</v>
      </c>
      <c r="D139" t="s">
        <v>1508</v>
      </c>
      <c r="E139" t="s">
        <v>1509</v>
      </c>
      <c r="F139" t="str">
        <f>VLOOKUP(Tabla5[[#This Row],[Code]],[1]!Tabla6[#Data],3,FALSE)</f>
        <v>Color</v>
      </c>
    </row>
    <row r="140" spans="1:6" x14ac:dyDescent="0.25">
      <c r="A140">
        <v>13</v>
      </c>
      <c r="B140" t="str">
        <f>VLOOKUP(Tabla5[[#This Row],[Code]],[1]!Tabla6[#Data],2,FALSE)</f>
        <v>M7 Serie</v>
      </c>
      <c r="C140">
        <v>64</v>
      </c>
      <c r="D140" t="s">
        <v>1510</v>
      </c>
      <c r="E140" t="s">
        <v>1511</v>
      </c>
      <c r="F140" t="str">
        <f>VLOOKUP(Tabla5[[#This Row],[Code]],[1]!Tabla6[#Data],3,FALSE)</f>
        <v>Color</v>
      </c>
    </row>
    <row r="141" spans="1:6" x14ac:dyDescent="0.25">
      <c r="A141">
        <v>13</v>
      </c>
      <c r="B141" t="str">
        <f>VLOOKUP(Tabla5[[#This Row],[Code]],[1]!Tabla6[#Data],2,FALSE)</f>
        <v>M7 Serie</v>
      </c>
      <c r="C141">
        <v>65</v>
      </c>
      <c r="D141" t="s">
        <v>1512</v>
      </c>
      <c r="E141" t="s">
        <v>1448</v>
      </c>
      <c r="F141" t="str">
        <f>VLOOKUP(Tabla5[[#This Row],[Code]],[1]!Tabla6[#Data],3,FALSE)</f>
        <v>Color</v>
      </c>
    </row>
    <row r="142" spans="1:6" x14ac:dyDescent="0.25">
      <c r="A142">
        <v>13</v>
      </c>
      <c r="B142" t="str">
        <f>VLOOKUP(Tabla5[[#This Row],[Code]],[1]!Tabla6[#Data],2,FALSE)</f>
        <v>M7 Serie</v>
      </c>
      <c r="C142">
        <v>66</v>
      </c>
      <c r="D142" t="s">
        <v>1513</v>
      </c>
      <c r="E142" t="s">
        <v>1514</v>
      </c>
      <c r="F142" t="str">
        <f>VLOOKUP(Tabla5[[#This Row],[Code]],[1]!Tabla6[#Data],3,FALSE)</f>
        <v>Color</v>
      </c>
    </row>
    <row r="143" spans="1:6" x14ac:dyDescent="0.25">
      <c r="A143">
        <v>13</v>
      </c>
      <c r="B143" t="str">
        <f>VLOOKUP(Tabla5[[#This Row],[Code]],[1]!Tabla6[#Data],2,FALSE)</f>
        <v>M7 Serie</v>
      </c>
      <c r="C143">
        <v>67</v>
      </c>
      <c r="D143" t="s">
        <v>1515</v>
      </c>
      <c r="E143" t="s">
        <v>1516</v>
      </c>
      <c r="F143" t="str">
        <f>VLOOKUP(Tabla5[[#This Row],[Code]],[1]!Tabla6[#Data],3,FALSE)</f>
        <v>Color</v>
      </c>
    </row>
    <row r="144" spans="1:6" x14ac:dyDescent="0.25">
      <c r="A144">
        <v>13</v>
      </c>
      <c r="B144" t="str">
        <f>VLOOKUP(Tabla5[[#This Row],[Code]],[1]!Tabla6[#Data],2,FALSE)</f>
        <v>M7 Serie</v>
      </c>
      <c r="C144">
        <v>68</v>
      </c>
      <c r="D144" t="s">
        <v>1517</v>
      </c>
      <c r="E144" t="s">
        <v>1518</v>
      </c>
      <c r="F144" t="str">
        <f>VLOOKUP(Tabla5[[#This Row],[Code]],[1]!Tabla6[#Data],3,FALSE)</f>
        <v>Color</v>
      </c>
    </row>
    <row r="145" spans="1:6" x14ac:dyDescent="0.25">
      <c r="A145">
        <v>13</v>
      </c>
      <c r="B145" t="str">
        <f>VLOOKUP(Tabla5[[#This Row],[Code]],[1]!Tabla6[#Data],2,FALSE)</f>
        <v>M7 Serie</v>
      </c>
      <c r="C145">
        <v>69</v>
      </c>
      <c r="D145" t="s">
        <v>1519</v>
      </c>
      <c r="E145" t="s">
        <v>1520</v>
      </c>
      <c r="F145" t="str">
        <f>VLOOKUP(Tabla5[[#This Row],[Code]],[1]!Tabla6[#Data],3,FALSE)</f>
        <v>Color</v>
      </c>
    </row>
    <row r="146" spans="1:6" x14ac:dyDescent="0.25">
      <c r="A146">
        <v>13</v>
      </c>
      <c r="B146" t="str">
        <f>VLOOKUP(Tabla5[[#This Row],[Code]],[1]!Tabla6[#Data],2,FALSE)</f>
        <v>M7 Serie</v>
      </c>
      <c r="C146">
        <v>70</v>
      </c>
      <c r="D146" t="s">
        <v>1521</v>
      </c>
      <c r="E146" t="s">
        <v>1522</v>
      </c>
      <c r="F146" t="str">
        <f>VLOOKUP(Tabla5[[#This Row],[Code]],[1]!Tabla6[#Data],3,FALSE)</f>
        <v>Color</v>
      </c>
    </row>
    <row r="147" spans="1:6" x14ac:dyDescent="0.25">
      <c r="A147">
        <v>13</v>
      </c>
      <c r="B147" t="str">
        <f>VLOOKUP(Tabla5[[#This Row],[Code]],[1]!Tabla6[#Data],2,FALSE)</f>
        <v>M7 Serie</v>
      </c>
      <c r="C147">
        <v>71</v>
      </c>
      <c r="D147" t="s">
        <v>1523</v>
      </c>
      <c r="E147" t="s">
        <v>1524</v>
      </c>
      <c r="F147" t="str">
        <f>VLOOKUP(Tabla5[[#This Row],[Code]],[1]!Tabla6[#Data],3,FALSE)</f>
        <v>Color</v>
      </c>
    </row>
    <row r="148" spans="1:6" x14ac:dyDescent="0.25">
      <c r="A148">
        <v>13</v>
      </c>
      <c r="B148" t="str">
        <f>VLOOKUP(Tabla5[[#This Row],[Code]],[1]!Tabla6[#Data],2,FALSE)</f>
        <v>M7 Serie</v>
      </c>
      <c r="C148">
        <v>72</v>
      </c>
      <c r="D148" t="s">
        <v>1525</v>
      </c>
      <c r="E148" t="s">
        <v>1526</v>
      </c>
      <c r="F148" t="str">
        <f>VLOOKUP(Tabla5[[#This Row],[Code]],[1]!Tabla6[#Data],3,FALSE)</f>
        <v>Color</v>
      </c>
    </row>
    <row r="149" spans="1:6" x14ac:dyDescent="0.25">
      <c r="A149">
        <v>13</v>
      </c>
      <c r="B149" t="str">
        <f>VLOOKUP(Tabla5[[#This Row],[Code]],[1]!Tabla6[#Data],2,FALSE)</f>
        <v>M7 Serie</v>
      </c>
      <c r="C149">
        <v>73</v>
      </c>
      <c r="D149" t="s">
        <v>1527</v>
      </c>
      <c r="E149" t="s">
        <v>1528</v>
      </c>
      <c r="F149" t="str">
        <f>VLOOKUP(Tabla5[[#This Row],[Code]],[1]!Tabla6[#Data],3,FALSE)</f>
        <v>Color</v>
      </c>
    </row>
    <row r="150" spans="1:6" x14ac:dyDescent="0.25">
      <c r="A150">
        <v>13</v>
      </c>
      <c r="B150" t="str">
        <f>VLOOKUP(Tabla5[[#This Row],[Code]],[1]!Tabla6[#Data],2,FALSE)</f>
        <v>M7 Serie</v>
      </c>
      <c r="C150">
        <v>74</v>
      </c>
      <c r="D150" t="s">
        <v>1529</v>
      </c>
      <c r="E150" t="s">
        <v>1530</v>
      </c>
      <c r="F150" t="str">
        <f>VLOOKUP(Tabla5[[#This Row],[Code]],[1]!Tabla6[#Data],3,FALSE)</f>
        <v>Color</v>
      </c>
    </row>
    <row r="151" spans="1:6" x14ac:dyDescent="0.25">
      <c r="A151">
        <v>13</v>
      </c>
      <c r="B151" t="str">
        <f>VLOOKUP(Tabla5[[#This Row],[Code]],[1]!Tabla6[#Data],2,FALSE)</f>
        <v>M7 Serie</v>
      </c>
      <c r="C151">
        <v>75</v>
      </c>
      <c r="D151" t="s">
        <v>1531</v>
      </c>
      <c r="E151" t="s">
        <v>1532</v>
      </c>
      <c r="F151" t="str">
        <f>VLOOKUP(Tabla5[[#This Row],[Code]],[1]!Tabla6[#Data],3,FALSE)</f>
        <v>Color</v>
      </c>
    </row>
    <row r="152" spans="1:6" x14ac:dyDescent="0.25">
      <c r="A152">
        <v>13</v>
      </c>
      <c r="B152" t="str">
        <f>VLOOKUP(Tabla5[[#This Row],[Code]],[1]!Tabla6[#Data],2,FALSE)</f>
        <v>M7 Serie</v>
      </c>
      <c r="C152">
        <v>76</v>
      </c>
      <c r="D152" t="s">
        <v>1533</v>
      </c>
      <c r="E152" t="s">
        <v>1534</v>
      </c>
      <c r="F152" t="str">
        <f>VLOOKUP(Tabla5[[#This Row],[Code]],[1]!Tabla6[#Data],3,FALSE)</f>
        <v>Color</v>
      </c>
    </row>
    <row r="153" spans="1:6" x14ac:dyDescent="0.25">
      <c r="A153">
        <v>13</v>
      </c>
      <c r="B153" t="str">
        <f>VLOOKUP(Tabla5[[#This Row],[Code]],[1]!Tabla6[#Data],2,FALSE)</f>
        <v>M7 Serie</v>
      </c>
      <c r="C153">
        <v>77</v>
      </c>
      <c r="D153" t="s">
        <v>1535</v>
      </c>
      <c r="E153" t="s">
        <v>1536</v>
      </c>
      <c r="F153" t="str">
        <f>VLOOKUP(Tabla5[[#This Row],[Code]],[1]!Tabla6[#Data],3,FALSE)</f>
        <v>Color</v>
      </c>
    </row>
    <row r="154" spans="1:6" x14ac:dyDescent="0.25">
      <c r="A154">
        <v>13</v>
      </c>
      <c r="B154" t="str">
        <f>VLOOKUP(Tabla5[[#This Row],[Code]],[1]!Tabla6[#Data],2,FALSE)</f>
        <v>M7 Serie</v>
      </c>
      <c r="C154">
        <v>78</v>
      </c>
      <c r="D154" t="s">
        <v>1537</v>
      </c>
      <c r="E154" t="s">
        <v>1538</v>
      </c>
      <c r="F154" t="str">
        <f>VLOOKUP(Tabla5[[#This Row],[Code]],[1]!Tabla6[#Data],3,FALSE)</f>
        <v>Color</v>
      </c>
    </row>
    <row r="155" spans="1:6" x14ac:dyDescent="0.25">
      <c r="A155">
        <v>13</v>
      </c>
      <c r="B155" t="str">
        <f>VLOOKUP(Tabla5[[#This Row],[Code]],[1]!Tabla6[#Data],2,FALSE)</f>
        <v>M7 Serie</v>
      </c>
      <c r="C155">
        <v>79</v>
      </c>
      <c r="D155" t="s">
        <v>1539</v>
      </c>
      <c r="E155" t="s">
        <v>1540</v>
      </c>
      <c r="F155" t="str">
        <f>VLOOKUP(Tabla5[[#This Row],[Code]],[1]!Tabla6[#Data],3,FALSE)</f>
        <v>Color</v>
      </c>
    </row>
    <row r="156" spans="1:6" x14ac:dyDescent="0.25">
      <c r="A156">
        <v>13</v>
      </c>
      <c r="B156" t="str">
        <f>VLOOKUP(Tabla5[[#This Row],[Code]],[1]!Tabla6[#Data],2,FALSE)</f>
        <v>M7 Serie</v>
      </c>
      <c r="C156">
        <v>80</v>
      </c>
      <c r="D156" t="s">
        <v>1541</v>
      </c>
      <c r="E156" t="s">
        <v>1542</v>
      </c>
      <c r="F156" t="str">
        <f>VLOOKUP(Tabla5[[#This Row],[Code]],[1]!Tabla6[#Data],3,FALSE)</f>
        <v>Color</v>
      </c>
    </row>
    <row r="157" spans="1:6" x14ac:dyDescent="0.25">
      <c r="A157">
        <v>13</v>
      </c>
      <c r="B157" t="str">
        <f>VLOOKUP(Tabla5[[#This Row],[Code]],[1]!Tabla6[#Data],2,FALSE)</f>
        <v>M7 Serie</v>
      </c>
      <c r="C157">
        <v>81</v>
      </c>
      <c r="D157" t="s">
        <v>1543</v>
      </c>
      <c r="E157" t="s">
        <v>1544</v>
      </c>
      <c r="F157" t="str">
        <f>VLOOKUP(Tabla5[[#This Row],[Code]],[1]!Tabla6[#Data],3,FALSE)</f>
        <v>Color</v>
      </c>
    </row>
    <row r="158" spans="1:6" x14ac:dyDescent="0.25">
      <c r="A158">
        <v>13</v>
      </c>
      <c r="B158" t="str">
        <f>VLOOKUP(Tabla5[[#This Row],[Code]],[1]!Tabla6[#Data],2,FALSE)</f>
        <v>M7 Serie</v>
      </c>
      <c r="C158">
        <v>82</v>
      </c>
      <c r="D158" t="s">
        <v>1545</v>
      </c>
      <c r="E158" t="s">
        <v>1546</v>
      </c>
      <c r="F158" t="str">
        <f>VLOOKUP(Tabla5[[#This Row],[Code]],[1]!Tabla6[#Data],3,FALSE)</f>
        <v>Color</v>
      </c>
    </row>
    <row r="159" spans="1:6" x14ac:dyDescent="0.25">
      <c r="A159">
        <v>13</v>
      </c>
      <c r="B159" t="str">
        <f>VLOOKUP(Tabla5[[#This Row],[Code]],[1]!Tabla6[#Data],2,FALSE)</f>
        <v>M7 Serie</v>
      </c>
      <c r="C159">
        <v>83</v>
      </c>
      <c r="D159" t="s">
        <v>1547</v>
      </c>
      <c r="E159" t="s">
        <v>1548</v>
      </c>
      <c r="F159" t="str">
        <f>VLOOKUP(Tabla5[[#This Row],[Code]],[1]!Tabla6[#Data],3,FALSE)</f>
        <v>Color</v>
      </c>
    </row>
    <row r="160" spans="1:6" x14ac:dyDescent="0.25">
      <c r="A160">
        <v>13</v>
      </c>
      <c r="B160" t="str">
        <f>VLOOKUP(Tabla5[[#This Row],[Code]],[1]!Tabla6[#Data],2,FALSE)</f>
        <v>M7 Serie</v>
      </c>
      <c r="C160">
        <v>84</v>
      </c>
      <c r="D160" t="s">
        <v>1549</v>
      </c>
      <c r="E160" t="s">
        <v>1550</v>
      </c>
      <c r="F160" t="str">
        <f>VLOOKUP(Tabla5[[#This Row],[Code]],[1]!Tabla6[#Data],3,FALSE)</f>
        <v>Color</v>
      </c>
    </row>
    <row r="161" spans="1:6" x14ac:dyDescent="0.25">
      <c r="A161">
        <v>13</v>
      </c>
      <c r="B161" t="str">
        <f>VLOOKUP(Tabla5[[#This Row],[Code]],[1]!Tabla6[#Data],2,FALSE)</f>
        <v>M7 Serie</v>
      </c>
      <c r="C161">
        <v>85</v>
      </c>
      <c r="D161" t="s">
        <v>1551</v>
      </c>
      <c r="E161" t="s">
        <v>1552</v>
      </c>
      <c r="F161" t="str">
        <f>VLOOKUP(Tabla5[[#This Row],[Code]],[1]!Tabla6[#Data],3,FALSE)</f>
        <v>Color</v>
      </c>
    </row>
    <row r="162" spans="1:6" x14ac:dyDescent="0.25">
      <c r="A162">
        <v>13</v>
      </c>
      <c r="B162" t="str">
        <f>VLOOKUP(Tabla5[[#This Row],[Code]],[1]!Tabla6[#Data],2,FALSE)</f>
        <v>M7 Serie</v>
      </c>
      <c r="C162">
        <v>86</v>
      </c>
      <c r="D162" t="s">
        <v>1553</v>
      </c>
      <c r="E162" t="s">
        <v>1554</v>
      </c>
      <c r="F162" t="str">
        <f>VLOOKUP(Tabla5[[#This Row],[Code]],[1]!Tabla6[#Data],3,FALSE)</f>
        <v>Color</v>
      </c>
    </row>
    <row r="163" spans="1:6" x14ac:dyDescent="0.25">
      <c r="A163">
        <v>13</v>
      </c>
      <c r="B163" t="str">
        <f>VLOOKUP(Tabla5[[#This Row],[Code]],[1]!Tabla6[#Data],2,FALSE)</f>
        <v>M7 Serie</v>
      </c>
      <c r="C163">
        <v>87</v>
      </c>
      <c r="D163" t="s">
        <v>1555</v>
      </c>
      <c r="E163" t="s">
        <v>1452</v>
      </c>
      <c r="F163" t="str">
        <f>VLOOKUP(Tabla5[[#This Row],[Code]],[1]!Tabla6[#Data],3,FALSE)</f>
        <v>Color</v>
      </c>
    </row>
    <row r="164" spans="1:6" x14ac:dyDescent="0.25">
      <c r="A164">
        <v>13</v>
      </c>
      <c r="B164" t="str">
        <f>VLOOKUP(Tabla5[[#This Row],[Code]],[1]!Tabla6[#Data],2,FALSE)</f>
        <v>M7 Serie</v>
      </c>
      <c r="C164">
        <v>88</v>
      </c>
      <c r="D164" t="s">
        <v>1556</v>
      </c>
      <c r="E164" t="s">
        <v>1557</v>
      </c>
      <c r="F164" t="str">
        <f>VLOOKUP(Tabla5[[#This Row],[Code]],[1]!Tabla6[#Data],3,FALSE)</f>
        <v>Color</v>
      </c>
    </row>
    <row r="165" spans="1:6" x14ac:dyDescent="0.25">
      <c r="A165">
        <v>13</v>
      </c>
      <c r="B165" t="str">
        <f>VLOOKUP(Tabla5[[#This Row],[Code]],[1]!Tabla6[#Data],2,FALSE)</f>
        <v>M7 Serie</v>
      </c>
      <c r="C165">
        <v>89</v>
      </c>
      <c r="D165" t="s">
        <v>1558</v>
      </c>
      <c r="E165" t="s">
        <v>1559</v>
      </c>
      <c r="F165" t="str">
        <f>VLOOKUP(Tabla5[[#This Row],[Code]],[1]!Tabla6[#Data],3,FALSE)</f>
        <v>Color</v>
      </c>
    </row>
    <row r="166" spans="1:6" x14ac:dyDescent="0.25">
      <c r="A166">
        <v>13</v>
      </c>
      <c r="B166" t="str">
        <f>VLOOKUP(Tabla5[[#This Row],[Code]],[1]!Tabla6[#Data],2,FALSE)</f>
        <v>M7 Serie</v>
      </c>
      <c r="C166">
        <v>90</v>
      </c>
      <c r="D166" t="s">
        <v>1560</v>
      </c>
      <c r="E166" t="s">
        <v>1561</v>
      </c>
      <c r="F166" t="str">
        <f>VLOOKUP(Tabla5[[#This Row],[Code]],[1]!Tabla6[#Data],3,FALSE)</f>
        <v>Color</v>
      </c>
    </row>
    <row r="167" spans="1:6" x14ac:dyDescent="0.25">
      <c r="A167">
        <v>13</v>
      </c>
      <c r="B167" t="str">
        <f>VLOOKUP(Tabla5[[#This Row],[Code]],[1]!Tabla6[#Data],2,FALSE)</f>
        <v>M7 Serie</v>
      </c>
      <c r="C167">
        <v>91</v>
      </c>
      <c r="D167" t="s">
        <v>1562</v>
      </c>
      <c r="E167" t="s">
        <v>1563</v>
      </c>
      <c r="F167" t="str">
        <f>VLOOKUP(Tabla5[[#This Row],[Code]],[1]!Tabla6[#Data],3,FALSE)</f>
        <v>Color</v>
      </c>
    </row>
    <row r="168" spans="1:6" x14ac:dyDescent="0.25">
      <c r="A168">
        <v>14</v>
      </c>
      <c r="B168" t="str">
        <f>VLOOKUP(Tabla5[[#This Row],[Code]],[1]!Tabla6[#Data],2,FALSE)</f>
        <v>MT Translúcido</v>
      </c>
      <c r="C168">
        <v>1</v>
      </c>
      <c r="D168" t="s">
        <v>1183</v>
      </c>
      <c r="E168" t="s">
        <v>1387</v>
      </c>
      <c r="F168" t="str">
        <f>VLOOKUP(Tabla5[[#This Row],[Code]],[1]!Tabla6[#Data],3,FALSE)</f>
        <v>Color</v>
      </c>
    </row>
    <row r="169" spans="1:6" x14ac:dyDescent="0.25">
      <c r="A169">
        <v>14</v>
      </c>
      <c r="B169" t="str">
        <f>VLOOKUP(Tabla5[[#This Row],[Code]],[1]!Tabla6[#Data],2,FALSE)</f>
        <v>MT Translúcido</v>
      </c>
      <c r="C169">
        <v>2</v>
      </c>
      <c r="D169" t="s">
        <v>1185</v>
      </c>
      <c r="E169" t="s">
        <v>1401</v>
      </c>
      <c r="F169" t="str">
        <f>VLOOKUP(Tabla5[[#This Row],[Code]],[1]!Tabla6[#Data],3,FALSE)</f>
        <v>Color</v>
      </c>
    </row>
    <row r="170" spans="1:6" x14ac:dyDescent="0.25">
      <c r="A170">
        <v>14</v>
      </c>
      <c r="B170" t="str">
        <f>VLOOKUP(Tabla5[[#This Row],[Code]],[1]!Tabla6[#Data],2,FALSE)</f>
        <v>MT Translúcido</v>
      </c>
      <c r="C170">
        <v>3</v>
      </c>
      <c r="D170" t="s">
        <v>1205</v>
      </c>
      <c r="E170" t="s">
        <v>1458</v>
      </c>
      <c r="F170" t="str">
        <f>VLOOKUP(Tabla5[[#This Row],[Code]],[1]!Tabla6[#Data],3,FALSE)</f>
        <v>Color</v>
      </c>
    </row>
    <row r="171" spans="1:6" x14ac:dyDescent="0.25">
      <c r="A171">
        <v>14</v>
      </c>
      <c r="B171" t="str">
        <f>VLOOKUP(Tabla5[[#This Row],[Code]],[1]!Tabla6[#Data],2,FALSE)</f>
        <v>MT Translúcido</v>
      </c>
      <c r="C171">
        <v>4</v>
      </c>
      <c r="D171" t="s">
        <v>1207</v>
      </c>
      <c r="E171" t="s">
        <v>1492</v>
      </c>
      <c r="F171" t="str">
        <f>VLOOKUP(Tabla5[[#This Row],[Code]],[1]!Tabla6[#Data],3,FALSE)</f>
        <v>Color</v>
      </c>
    </row>
    <row r="172" spans="1:6" x14ac:dyDescent="0.25">
      <c r="A172">
        <v>14</v>
      </c>
      <c r="B172" t="str">
        <f>VLOOKUP(Tabla5[[#This Row],[Code]],[1]!Tabla6[#Data],2,FALSE)</f>
        <v>MT Translúcido</v>
      </c>
      <c r="C172">
        <v>5</v>
      </c>
      <c r="D172" t="s">
        <v>1214</v>
      </c>
      <c r="E172" t="s">
        <v>1411</v>
      </c>
      <c r="F172" t="str">
        <f>VLOOKUP(Tabla5[[#This Row],[Code]],[1]!Tabla6[#Data],3,FALSE)</f>
        <v>Color</v>
      </c>
    </row>
    <row r="173" spans="1:6" x14ac:dyDescent="0.25">
      <c r="A173">
        <v>14</v>
      </c>
      <c r="B173" t="str">
        <f>VLOOKUP(Tabla5[[#This Row],[Code]],[1]!Tabla6[#Data],2,FALSE)</f>
        <v>MT Translúcido</v>
      </c>
      <c r="C173">
        <v>6</v>
      </c>
      <c r="D173" t="s">
        <v>1216</v>
      </c>
      <c r="E173" t="s">
        <v>1463</v>
      </c>
      <c r="F173" t="str">
        <f>VLOOKUP(Tabla5[[#This Row],[Code]],[1]!Tabla6[#Data],3,FALSE)</f>
        <v>Color</v>
      </c>
    </row>
    <row r="174" spans="1:6" x14ac:dyDescent="0.25">
      <c r="A174">
        <v>14</v>
      </c>
      <c r="B174" t="str">
        <f>VLOOKUP(Tabla5[[#This Row],[Code]],[1]!Tabla6[#Data],2,FALSE)</f>
        <v>MT Translúcido</v>
      </c>
      <c r="C174">
        <v>7</v>
      </c>
      <c r="D174" t="s">
        <v>1218</v>
      </c>
      <c r="E174" t="s">
        <v>1413</v>
      </c>
      <c r="F174" t="str">
        <f>VLOOKUP(Tabla5[[#This Row],[Code]],[1]!Tabla6[#Data],3,FALSE)</f>
        <v>Color</v>
      </c>
    </row>
    <row r="175" spans="1:6" x14ac:dyDescent="0.25">
      <c r="A175">
        <v>14</v>
      </c>
      <c r="B175" t="str">
        <f>VLOOKUP(Tabla5[[#This Row],[Code]],[1]!Tabla6[#Data],2,FALSE)</f>
        <v>MT Translúcido</v>
      </c>
      <c r="C175">
        <v>8</v>
      </c>
      <c r="D175" t="s">
        <v>1220</v>
      </c>
      <c r="E175" t="s">
        <v>1464</v>
      </c>
      <c r="F175" t="str">
        <f>VLOOKUP(Tabla5[[#This Row],[Code]],[1]!Tabla6[#Data],3,FALSE)</f>
        <v>Color</v>
      </c>
    </row>
    <row r="176" spans="1:6" x14ac:dyDescent="0.25">
      <c r="A176">
        <v>14</v>
      </c>
      <c r="B176" t="str">
        <f>VLOOKUP(Tabla5[[#This Row],[Code]],[1]!Tabla6[#Data],2,FALSE)</f>
        <v>MT Translúcido</v>
      </c>
      <c r="C176">
        <v>9</v>
      </c>
      <c r="D176" t="s">
        <v>1222</v>
      </c>
      <c r="E176" t="s">
        <v>1466</v>
      </c>
      <c r="F176" t="str">
        <f>VLOOKUP(Tabla5[[#This Row],[Code]],[1]!Tabla6[#Data],3,FALSE)</f>
        <v>Color</v>
      </c>
    </row>
    <row r="177" spans="1:6" x14ac:dyDescent="0.25">
      <c r="A177">
        <v>14</v>
      </c>
      <c r="B177" t="str">
        <f>VLOOKUP(Tabla5[[#This Row],[Code]],[1]!Tabla6[#Data],2,FALSE)</f>
        <v>MT Translúcido</v>
      </c>
      <c r="C177">
        <v>10</v>
      </c>
      <c r="D177" t="s">
        <v>1224</v>
      </c>
      <c r="E177" t="s">
        <v>1416</v>
      </c>
      <c r="F177" t="str">
        <f>VLOOKUP(Tabla5[[#This Row],[Code]],[1]!Tabla6[#Data],3,FALSE)</f>
        <v>Color</v>
      </c>
    </row>
    <row r="178" spans="1:6" x14ac:dyDescent="0.25">
      <c r="A178">
        <v>14</v>
      </c>
      <c r="B178" t="str">
        <f>VLOOKUP(Tabla5[[#This Row],[Code]],[1]!Tabla6[#Data],2,FALSE)</f>
        <v>MT Translúcido</v>
      </c>
      <c r="C178">
        <v>11</v>
      </c>
      <c r="D178" t="s">
        <v>1226</v>
      </c>
      <c r="E178" t="s">
        <v>1416</v>
      </c>
      <c r="F178" t="str">
        <f>VLOOKUP(Tabla5[[#This Row],[Code]],[1]!Tabla6[#Data],3,FALSE)</f>
        <v>Color</v>
      </c>
    </row>
    <row r="179" spans="1:6" x14ac:dyDescent="0.25">
      <c r="A179">
        <v>14</v>
      </c>
      <c r="B179" t="str">
        <f>VLOOKUP(Tabla5[[#This Row],[Code]],[1]!Tabla6[#Data],2,FALSE)</f>
        <v>MT Translúcido</v>
      </c>
      <c r="C179">
        <v>12</v>
      </c>
      <c r="D179" t="s">
        <v>1228</v>
      </c>
      <c r="E179" t="s">
        <v>1417</v>
      </c>
      <c r="F179" t="str">
        <f>VLOOKUP(Tabla5[[#This Row],[Code]],[1]!Tabla6[#Data],3,FALSE)</f>
        <v>Color</v>
      </c>
    </row>
    <row r="180" spans="1:6" x14ac:dyDescent="0.25">
      <c r="A180">
        <v>14</v>
      </c>
      <c r="B180" t="str">
        <f>VLOOKUP(Tabla5[[#This Row],[Code]],[1]!Tabla6[#Data],2,FALSE)</f>
        <v>MT Translúcido</v>
      </c>
      <c r="C180">
        <v>13</v>
      </c>
      <c r="D180" t="s">
        <v>1230</v>
      </c>
      <c r="E180" t="s">
        <v>1469</v>
      </c>
      <c r="F180" t="str">
        <f>VLOOKUP(Tabla5[[#This Row],[Code]],[1]!Tabla6[#Data],3,FALSE)</f>
        <v>Color</v>
      </c>
    </row>
    <row r="181" spans="1:6" x14ac:dyDescent="0.25">
      <c r="A181">
        <v>14</v>
      </c>
      <c r="B181" t="str">
        <f>VLOOKUP(Tabla5[[#This Row],[Code]],[1]!Tabla6[#Data],2,FALSE)</f>
        <v>MT Translúcido</v>
      </c>
      <c r="C181">
        <v>14</v>
      </c>
      <c r="D181" t="s">
        <v>1232</v>
      </c>
      <c r="E181" t="s">
        <v>1467</v>
      </c>
      <c r="F181" t="str">
        <f>VLOOKUP(Tabla5[[#This Row],[Code]],[1]!Tabla6[#Data],3,FALSE)</f>
        <v>Color</v>
      </c>
    </row>
    <row r="182" spans="1:6" x14ac:dyDescent="0.25">
      <c r="A182">
        <v>14</v>
      </c>
      <c r="B182" t="str">
        <f>VLOOKUP(Tabla5[[#This Row],[Code]],[1]!Tabla6[#Data],2,FALSE)</f>
        <v>MT Translúcido</v>
      </c>
      <c r="C182">
        <v>15</v>
      </c>
      <c r="D182" t="s">
        <v>1234</v>
      </c>
      <c r="E182" t="s">
        <v>1564</v>
      </c>
      <c r="F182" t="str">
        <f>VLOOKUP(Tabla5[[#This Row],[Code]],[1]!Tabla6[#Data],3,FALSE)</f>
        <v>Color</v>
      </c>
    </row>
    <row r="183" spans="1:6" x14ac:dyDescent="0.25">
      <c r="A183">
        <v>14</v>
      </c>
      <c r="B183" t="str">
        <f>VLOOKUP(Tabla5[[#This Row],[Code]],[1]!Tabla6[#Data],2,FALSE)</f>
        <v>MT Translúcido</v>
      </c>
      <c r="C183">
        <v>16</v>
      </c>
      <c r="D183" t="s">
        <v>1236</v>
      </c>
      <c r="E183" t="s">
        <v>1437</v>
      </c>
      <c r="F183" t="str">
        <f>VLOOKUP(Tabla5[[#This Row],[Code]],[1]!Tabla6[#Data],3,FALSE)</f>
        <v>Color</v>
      </c>
    </row>
    <row r="184" spans="1:6" x14ac:dyDescent="0.25">
      <c r="A184">
        <v>14</v>
      </c>
      <c r="B184" t="str">
        <f>VLOOKUP(Tabla5[[#This Row],[Code]],[1]!Tabla6[#Data],2,FALSE)</f>
        <v>MT Translúcido</v>
      </c>
      <c r="C184">
        <v>17</v>
      </c>
      <c r="D184" t="s">
        <v>1238</v>
      </c>
      <c r="E184" t="s">
        <v>1472</v>
      </c>
      <c r="F184" t="str">
        <f>VLOOKUP(Tabla5[[#This Row],[Code]],[1]!Tabla6[#Data],3,FALSE)</f>
        <v>Color</v>
      </c>
    </row>
    <row r="185" spans="1:6" x14ac:dyDescent="0.25">
      <c r="A185">
        <v>14</v>
      </c>
      <c r="B185" t="str">
        <f>VLOOKUP(Tabla5[[#This Row],[Code]],[1]!Tabla6[#Data],2,FALSE)</f>
        <v>MT Translúcido</v>
      </c>
      <c r="C185">
        <v>18</v>
      </c>
      <c r="D185" t="s">
        <v>1240</v>
      </c>
      <c r="E185" t="s">
        <v>1419</v>
      </c>
      <c r="F185" t="str">
        <f>VLOOKUP(Tabla5[[#This Row],[Code]],[1]!Tabla6[#Data],3,FALSE)</f>
        <v>Color</v>
      </c>
    </row>
    <row r="186" spans="1:6" x14ac:dyDescent="0.25">
      <c r="A186">
        <v>14</v>
      </c>
      <c r="B186" t="str">
        <f>VLOOKUP(Tabla5[[#This Row],[Code]],[1]!Tabla6[#Data],2,FALSE)</f>
        <v>MT Translúcido</v>
      </c>
      <c r="C186">
        <v>19</v>
      </c>
      <c r="D186" t="s">
        <v>1242</v>
      </c>
      <c r="E186" t="s">
        <v>1565</v>
      </c>
      <c r="F186" t="str">
        <f>VLOOKUP(Tabla5[[#This Row],[Code]],[1]!Tabla6[#Data],3,FALSE)</f>
        <v>Color</v>
      </c>
    </row>
    <row r="187" spans="1:6" x14ac:dyDescent="0.25">
      <c r="A187">
        <v>14</v>
      </c>
      <c r="B187" t="str">
        <f>VLOOKUP(Tabla5[[#This Row],[Code]],[1]!Tabla6[#Data],2,FALSE)</f>
        <v>MT Translúcido</v>
      </c>
      <c r="C187">
        <v>20</v>
      </c>
      <c r="D187" t="s">
        <v>1244</v>
      </c>
      <c r="E187" t="s">
        <v>1475</v>
      </c>
      <c r="F187" t="str">
        <f>VLOOKUP(Tabla5[[#This Row],[Code]],[1]!Tabla6[#Data],3,FALSE)</f>
        <v>Color</v>
      </c>
    </row>
    <row r="188" spans="1:6" x14ac:dyDescent="0.25">
      <c r="A188">
        <v>14</v>
      </c>
      <c r="B188" t="str">
        <f>VLOOKUP(Tabla5[[#This Row],[Code]],[1]!Tabla6[#Data],2,FALSE)</f>
        <v>MT Translúcido</v>
      </c>
      <c r="C188">
        <v>21</v>
      </c>
      <c r="D188" t="s">
        <v>1246</v>
      </c>
      <c r="E188" t="s">
        <v>1479</v>
      </c>
      <c r="F188" t="str">
        <f>VLOOKUP(Tabla5[[#This Row],[Code]],[1]!Tabla6[#Data],3,FALSE)</f>
        <v>Color</v>
      </c>
    </row>
    <row r="189" spans="1:6" x14ac:dyDescent="0.25">
      <c r="A189">
        <v>14</v>
      </c>
      <c r="B189" t="str">
        <f>VLOOKUP(Tabla5[[#This Row],[Code]],[1]!Tabla6[#Data],2,FALSE)</f>
        <v>MT Translúcido</v>
      </c>
      <c r="C189">
        <v>22</v>
      </c>
      <c r="D189" t="s">
        <v>1248</v>
      </c>
      <c r="E189" t="s">
        <v>1480</v>
      </c>
      <c r="F189" t="str">
        <f>VLOOKUP(Tabla5[[#This Row],[Code]],[1]!Tabla6[#Data],3,FALSE)</f>
        <v>Color</v>
      </c>
    </row>
    <row r="190" spans="1:6" x14ac:dyDescent="0.25">
      <c r="A190">
        <v>14</v>
      </c>
      <c r="B190" t="str">
        <f>VLOOKUP(Tabla5[[#This Row],[Code]],[1]!Tabla6[#Data],2,FALSE)</f>
        <v>MT Translúcido</v>
      </c>
      <c r="C190">
        <v>23</v>
      </c>
      <c r="D190" t="s">
        <v>1250</v>
      </c>
      <c r="E190" t="s">
        <v>1566</v>
      </c>
      <c r="F190" t="str">
        <f>VLOOKUP(Tabla5[[#This Row],[Code]],[1]!Tabla6[#Data],3,FALSE)</f>
        <v>Color</v>
      </c>
    </row>
    <row r="191" spans="1:6" x14ac:dyDescent="0.25">
      <c r="A191">
        <v>14</v>
      </c>
      <c r="B191" t="str">
        <f>VLOOKUP(Tabla5[[#This Row],[Code]],[1]!Tabla6[#Data],2,FALSE)</f>
        <v>MT Translúcido</v>
      </c>
      <c r="C191">
        <v>24</v>
      </c>
      <c r="D191" t="s">
        <v>1252</v>
      </c>
      <c r="E191" t="s">
        <v>1478</v>
      </c>
      <c r="F191" t="str">
        <f>VLOOKUP(Tabla5[[#This Row],[Code]],[1]!Tabla6[#Data],3,FALSE)</f>
        <v>Color</v>
      </c>
    </row>
    <row r="192" spans="1:6" x14ac:dyDescent="0.25">
      <c r="A192">
        <v>14</v>
      </c>
      <c r="B192" t="str">
        <f>VLOOKUP(Tabla5[[#This Row],[Code]],[1]!Tabla6[#Data],2,FALSE)</f>
        <v>MT Translúcido</v>
      </c>
      <c r="C192">
        <v>25</v>
      </c>
      <c r="D192" t="s">
        <v>1254</v>
      </c>
      <c r="E192" t="s">
        <v>1477</v>
      </c>
      <c r="F192" t="str">
        <f>VLOOKUP(Tabla5[[#This Row],[Code]],[1]!Tabla6[#Data],3,FALSE)</f>
        <v>Color</v>
      </c>
    </row>
    <row r="193" spans="1:6" x14ac:dyDescent="0.25">
      <c r="A193">
        <v>14</v>
      </c>
      <c r="B193" t="str">
        <f>VLOOKUP(Tabla5[[#This Row],[Code]],[1]!Tabla6[#Data],2,FALSE)</f>
        <v>MT Translúcido</v>
      </c>
      <c r="C193">
        <v>26</v>
      </c>
      <c r="D193" t="s">
        <v>1256</v>
      </c>
      <c r="E193" t="s">
        <v>1481</v>
      </c>
      <c r="F193" t="str">
        <f>VLOOKUP(Tabla5[[#This Row],[Code]],[1]!Tabla6[#Data],3,FALSE)</f>
        <v>Color</v>
      </c>
    </row>
    <row r="194" spans="1:6" x14ac:dyDescent="0.25">
      <c r="A194">
        <v>14</v>
      </c>
      <c r="B194" t="str">
        <f>VLOOKUP(Tabla5[[#This Row],[Code]],[1]!Tabla6[#Data],2,FALSE)</f>
        <v>MT Translúcido</v>
      </c>
      <c r="C194">
        <v>27</v>
      </c>
      <c r="D194" t="s">
        <v>1258</v>
      </c>
      <c r="E194" t="s">
        <v>1483</v>
      </c>
      <c r="F194" t="str">
        <f>VLOOKUP(Tabla5[[#This Row],[Code]],[1]!Tabla6[#Data],3,FALSE)</f>
        <v>Color</v>
      </c>
    </row>
    <row r="195" spans="1:6" x14ac:dyDescent="0.25">
      <c r="A195">
        <v>14</v>
      </c>
      <c r="B195" t="str">
        <f>VLOOKUP(Tabla5[[#This Row],[Code]],[1]!Tabla6[#Data],2,FALSE)</f>
        <v>MT Translúcido</v>
      </c>
      <c r="C195">
        <v>28</v>
      </c>
      <c r="D195" t="s">
        <v>1260</v>
      </c>
      <c r="E195" t="s">
        <v>1565</v>
      </c>
      <c r="F195" t="str">
        <f>VLOOKUP(Tabla5[[#This Row],[Code]],[1]!Tabla6[#Data],3,FALSE)</f>
        <v>Color</v>
      </c>
    </row>
    <row r="196" spans="1:6" x14ac:dyDescent="0.25">
      <c r="A196">
        <v>14</v>
      </c>
      <c r="B196" t="str">
        <f>VLOOKUP(Tabla5[[#This Row],[Code]],[1]!Tabla6[#Data],2,FALSE)</f>
        <v>MT Translúcido</v>
      </c>
      <c r="C196">
        <v>29</v>
      </c>
      <c r="D196" t="s">
        <v>1262</v>
      </c>
      <c r="E196" t="s">
        <v>1567</v>
      </c>
      <c r="F196" t="str">
        <f>VLOOKUP(Tabla5[[#This Row],[Code]],[1]!Tabla6[#Data],3,FALSE)</f>
        <v>Color</v>
      </c>
    </row>
    <row r="197" spans="1:6" x14ac:dyDescent="0.25">
      <c r="A197">
        <v>14</v>
      </c>
      <c r="B197" t="str">
        <f>VLOOKUP(Tabla5[[#This Row],[Code]],[1]!Tabla6[#Data],2,FALSE)</f>
        <v>MT Translúcido</v>
      </c>
      <c r="C197">
        <v>30</v>
      </c>
      <c r="D197" t="s">
        <v>1264</v>
      </c>
      <c r="E197" t="s">
        <v>1485</v>
      </c>
      <c r="F197" t="str">
        <f>VLOOKUP(Tabla5[[#This Row],[Code]],[1]!Tabla6[#Data],3,FALSE)</f>
        <v>Color</v>
      </c>
    </row>
    <row r="198" spans="1:6" x14ac:dyDescent="0.25">
      <c r="A198">
        <v>14</v>
      </c>
      <c r="B198" t="str">
        <f>VLOOKUP(Tabla5[[#This Row],[Code]],[1]!Tabla6[#Data],2,FALSE)</f>
        <v>MT Translúcido</v>
      </c>
      <c r="C198">
        <v>31</v>
      </c>
      <c r="D198" t="s">
        <v>1268</v>
      </c>
      <c r="E198" t="s">
        <v>1486</v>
      </c>
      <c r="F198" t="str">
        <f>VLOOKUP(Tabla5[[#This Row],[Code]],[1]!Tabla6[#Data],3,FALSE)</f>
        <v>Color</v>
      </c>
    </row>
    <row r="199" spans="1:6" x14ac:dyDescent="0.25">
      <c r="A199">
        <v>14</v>
      </c>
      <c r="B199" t="str">
        <f>VLOOKUP(Tabla5[[#This Row],[Code]],[1]!Tabla6[#Data],2,FALSE)</f>
        <v>MT Translúcido</v>
      </c>
      <c r="C199">
        <v>32</v>
      </c>
      <c r="D199" t="s">
        <v>1270</v>
      </c>
      <c r="E199" t="s">
        <v>1568</v>
      </c>
      <c r="F199" t="str">
        <f>VLOOKUP(Tabla5[[#This Row],[Code]],[1]!Tabla6[#Data],3,FALSE)</f>
        <v>Color</v>
      </c>
    </row>
    <row r="200" spans="1:6" x14ac:dyDescent="0.25">
      <c r="A200">
        <v>14</v>
      </c>
      <c r="B200" t="str">
        <f>VLOOKUP(Tabla5[[#This Row],[Code]],[1]!Tabla6[#Data],2,FALSE)</f>
        <v>MT Translúcido</v>
      </c>
      <c r="C200">
        <v>33</v>
      </c>
      <c r="D200" t="s">
        <v>1272</v>
      </c>
      <c r="E200" t="s">
        <v>1490</v>
      </c>
      <c r="F200" t="str">
        <f>VLOOKUP(Tabla5[[#This Row],[Code]],[1]!Tabla6[#Data],3,FALSE)</f>
        <v>Color</v>
      </c>
    </row>
    <row r="201" spans="1:6" x14ac:dyDescent="0.25">
      <c r="A201">
        <v>14</v>
      </c>
      <c r="B201" t="str">
        <f>VLOOKUP(Tabla5[[#This Row],[Code]],[1]!Tabla6[#Data],2,FALSE)</f>
        <v>MT Translúcido</v>
      </c>
      <c r="C201">
        <v>34</v>
      </c>
      <c r="D201" t="s">
        <v>1274</v>
      </c>
      <c r="E201" t="s">
        <v>1491</v>
      </c>
      <c r="F201" t="str">
        <f>VLOOKUP(Tabla5[[#This Row],[Code]],[1]!Tabla6[#Data],3,FALSE)</f>
        <v>Color</v>
      </c>
    </row>
    <row r="202" spans="1:6" x14ac:dyDescent="0.25">
      <c r="A202">
        <v>14</v>
      </c>
      <c r="B202" t="str">
        <f>VLOOKUP(Tabla5[[#This Row],[Code]],[1]!Tabla6[#Data],2,FALSE)</f>
        <v>MT Translúcido</v>
      </c>
      <c r="C202">
        <v>35</v>
      </c>
      <c r="D202" t="s">
        <v>1276</v>
      </c>
      <c r="E202" t="s">
        <v>1569</v>
      </c>
      <c r="F202" t="str">
        <f>VLOOKUP(Tabla5[[#This Row],[Code]],[1]!Tabla6[#Data],3,FALSE)</f>
        <v>Color</v>
      </c>
    </row>
    <row r="203" spans="1:6" x14ac:dyDescent="0.25">
      <c r="A203">
        <v>16</v>
      </c>
      <c r="B203" t="str">
        <f>VLOOKUP(Tabla5[[#This Row],[Code]],[1]!Tabla6[#Data],2,FALSE)</f>
        <v>Premium</v>
      </c>
      <c r="C203">
        <v>1</v>
      </c>
      <c r="D203" t="s">
        <v>789</v>
      </c>
      <c r="E203" t="s">
        <v>1387</v>
      </c>
      <c r="F203" t="str">
        <f>VLOOKUP(Tabla5[[#This Row],[Code]],[1]!Tabla6[#Data],3,FALSE)</f>
        <v>Color</v>
      </c>
    </row>
    <row r="204" spans="1:6" x14ac:dyDescent="0.25">
      <c r="A204">
        <v>16</v>
      </c>
      <c r="B204" t="str">
        <f>VLOOKUP(Tabla5[[#This Row],[Code]],[1]!Tabla6[#Data],2,FALSE)</f>
        <v>Premium</v>
      </c>
      <c r="C204">
        <v>2</v>
      </c>
      <c r="D204" t="s">
        <v>791</v>
      </c>
      <c r="E204" t="s">
        <v>1570</v>
      </c>
      <c r="F204" t="str">
        <f>VLOOKUP(Tabla5[[#This Row],[Code]],[1]!Tabla6[#Data],3,FALSE)</f>
        <v>Color</v>
      </c>
    </row>
    <row r="205" spans="1:6" x14ac:dyDescent="0.25">
      <c r="A205">
        <v>16</v>
      </c>
      <c r="B205" t="str">
        <f>VLOOKUP(Tabla5[[#This Row],[Code]],[1]!Tabla6[#Data],2,FALSE)</f>
        <v>Premium</v>
      </c>
      <c r="C205">
        <v>3</v>
      </c>
      <c r="D205" t="s">
        <v>793</v>
      </c>
      <c r="E205" t="s">
        <v>1571</v>
      </c>
      <c r="F205" t="str">
        <f>VLOOKUP(Tabla5[[#This Row],[Code]],[1]!Tabla6[#Data],3,FALSE)</f>
        <v>Color</v>
      </c>
    </row>
    <row r="206" spans="1:6" x14ac:dyDescent="0.25">
      <c r="A206">
        <v>16</v>
      </c>
      <c r="B206" t="str">
        <f>VLOOKUP(Tabla5[[#This Row],[Code]],[1]!Tabla6[#Data],2,FALSE)</f>
        <v>Premium</v>
      </c>
      <c r="C206">
        <v>4</v>
      </c>
      <c r="D206" t="s">
        <v>853</v>
      </c>
      <c r="E206" t="s">
        <v>1572</v>
      </c>
      <c r="F206" t="str">
        <f>VLOOKUP(Tabla5[[#This Row],[Code]],[1]!Tabla6[#Data],3,FALSE)</f>
        <v>Color</v>
      </c>
    </row>
    <row r="207" spans="1:6" x14ac:dyDescent="0.25">
      <c r="A207">
        <v>16</v>
      </c>
      <c r="B207" t="str">
        <f>VLOOKUP(Tabla5[[#This Row],[Code]],[1]!Tabla6[#Data],2,FALSE)</f>
        <v>Premium</v>
      </c>
      <c r="C207">
        <v>5</v>
      </c>
      <c r="D207" t="s">
        <v>797</v>
      </c>
      <c r="E207" t="s">
        <v>1405</v>
      </c>
      <c r="F207" t="str">
        <f>VLOOKUP(Tabla5[[#This Row],[Code]],[1]!Tabla6[#Data],3,FALSE)</f>
        <v>Color</v>
      </c>
    </row>
    <row r="208" spans="1:6" x14ac:dyDescent="0.25">
      <c r="A208">
        <v>16</v>
      </c>
      <c r="B208" t="str">
        <f>VLOOKUP(Tabla5[[#This Row],[Code]],[1]!Tabla6[#Data],2,FALSE)</f>
        <v>Premium</v>
      </c>
      <c r="C208">
        <v>6</v>
      </c>
      <c r="D208" t="s">
        <v>795</v>
      </c>
      <c r="E208" t="s">
        <v>1573</v>
      </c>
      <c r="F208" t="str">
        <f>VLOOKUP(Tabla5[[#This Row],[Code]],[1]!Tabla6[#Data],3,FALSE)</f>
        <v>Color</v>
      </c>
    </row>
    <row r="209" spans="1:6" x14ac:dyDescent="0.25">
      <c r="A209">
        <v>16</v>
      </c>
      <c r="B209" t="str">
        <f>VLOOKUP(Tabla5[[#This Row],[Code]],[1]!Tabla6[#Data],2,FALSE)</f>
        <v>Premium</v>
      </c>
      <c r="C209">
        <v>7</v>
      </c>
      <c r="D209" t="s">
        <v>851</v>
      </c>
      <c r="E209" t="s">
        <v>1574</v>
      </c>
      <c r="F209" t="str">
        <f>VLOOKUP(Tabla5[[#This Row],[Code]],[1]!Tabla6[#Data],3,FALSE)</f>
        <v>Color</v>
      </c>
    </row>
    <row r="210" spans="1:6" x14ac:dyDescent="0.25">
      <c r="A210">
        <v>16</v>
      </c>
      <c r="B210" t="str">
        <f>VLOOKUP(Tabla5[[#This Row],[Code]],[1]!Tabla6[#Data],2,FALSE)</f>
        <v>Premium</v>
      </c>
      <c r="C210">
        <v>8</v>
      </c>
      <c r="D210" t="s">
        <v>801</v>
      </c>
      <c r="E210" t="s">
        <v>1495</v>
      </c>
      <c r="F210" t="str">
        <f>VLOOKUP(Tabla5[[#This Row],[Code]],[1]!Tabla6[#Data],3,FALSE)</f>
        <v>Color</v>
      </c>
    </row>
    <row r="211" spans="1:6" x14ac:dyDescent="0.25">
      <c r="A211">
        <v>16</v>
      </c>
      <c r="B211" t="str">
        <f>VLOOKUP(Tabla5[[#This Row],[Code]],[1]!Tabla6[#Data],2,FALSE)</f>
        <v>Premium</v>
      </c>
      <c r="C211">
        <v>9</v>
      </c>
      <c r="D211" t="s">
        <v>15</v>
      </c>
      <c r="E211" t="s">
        <v>1575</v>
      </c>
      <c r="F211" t="str">
        <f>VLOOKUP(Tabla5[[#This Row],[Code]],[1]!Tabla6[#Data],3,FALSE)</f>
        <v>Color</v>
      </c>
    </row>
    <row r="212" spans="1:6" x14ac:dyDescent="0.25">
      <c r="A212">
        <v>16</v>
      </c>
      <c r="B212" t="str">
        <f>VLOOKUP(Tabla5[[#This Row],[Code]],[1]!Tabla6[#Data],2,FALSE)</f>
        <v>Premium</v>
      </c>
      <c r="C212">
        <v>10</v>
      </c>
      <c r="D212" t="s">
        <v>799</v>
      </c>
      <c r="E212" t="s">
        <v>1576</v>
      </c>
      <c r="F212" t="str">
        <f>VLOOKUP(Tabla5[[#This Row],[Code]],[1]!Tabla6[#Data],3,FALSE)</f>
        <v>Color</v>
      </c>
    </row>
    <row r="213" spans="1:6" x14ac:dyDescent="0.25">
      <c r="A213">
        <v>16</v>
      </c>
      <c r="B213" t="str">
        <f>VLOOKUP(Tabla5[[#This Row],[Code]],[1]!Tabla6[#Data],2,FALSE)</f>
        <v>Premium</v>
      </c>
      <c r="C213">
        <v>11</v>
      </c>
      <c r="D213" t="s">
        <v>805</v>
      </c>
      <c r="E213" t="s">
        <v>1416</v>
      </c>
      <c r="F213" t="str">
        <f>VLOOKUP(Tabla5[[#This Row],[Code]],[1]!Tabla6[#Data],3,FALSE)</f>
        <v>Color</v>
      </c>
    </row>
    <row r="214" spans="1:6" x14ac:dyDescent="0.25">
      <c r="A214">
        <v>16</v>
      </c>
      <c r="B214" t="str">
        <f>VLOOKUP(Tabla5[[#This Row],[Code]],[1]!Tabla6[#Data],2,FALSE)</f>
        <v>Premium</v>
      </c>
      <c r="C214">
        <v>12</v>
      </c>
      <c r="D214" t="s">
        <v>803</v>
      </c>
      <c r="E214" t="s">
        <v>1577</v>
      </c>
      <c r="F214" t="str">
        <f>VLOOKUP(Tabla5[[#This Row],[Code]],[1]!Tabla6[#Data],3,FALSE)</f>
        <v>Color</v>
      </c>
    </row>
    <row r="215" spans="1:6" x14ac:dyDescent="0.25">
      <c r="A215">
        <v>16</v>
      </c>
      <c r="B215" t="str">
        <f>VLOOKUP(Tabla5[[#This Row],[Code]],[1]!Tabla6[#Data],2,FALSE)</f>
        <v>Premium</v>
      </c>
      <c r="C215">
        <v>13</v>
      </c>
      <c r="D215" t="s">
        <v>13</v>
      </c>
      <c r="E215" t="s">
        <v>1578</v>
      </c>
      <c r="F215" t="str">
        <f>VLOOKUP(Tabla5[[#This Row],[Code]],[1]!Tabla6[#Data],3,FALSE)</f>
        <v>Color</v>
      </c>
    </row>
    <row r="216" spans="1:6" x14ac:dyDescent="0.25">
      <c r="A216">
        <v>16</v>
      </c>
      <c r="B216" t="str">
        <f>VLOOKUP(Tabla5[[#This Row],[Code]],[1]!Tabla6[#Data],2,FALSE)</f>
        <v>Premium</v>
      </c>
      <c r="C216">
        <v>14</v>
      </c>
      <c r="D216" t="s">
        <v>813</v>
      </c>
      <c r="E216" t="s">
        <v>1489</v>
      </c>
      <c r="F216" t="str">
        <f>VLOOKUP(Tabla5[[#This Row],[Code]],[1]!Tabla6[#Data],3,FALSE)</f>
        <v>Color</v>
      </c>
    </row>
    <row r="217" spans="1:6" x14ac:dyDescent="0.25">
      <c r="A217">
        <v>16</v>
      </c>
      <c r="B217" t="str">
        <f>VLOOKUP(Tabla5[[#This Row],[Code]],[1]!Tabla6[#Data],2,FALSE)</f>
        <v>Premium</v>
      </c>
      <c r="C217">
        <v>15</v>
      </c>
      <c r="D217" t="s">
        <v>811</v>
      </c>
      <c r="E217" t="s">
        <v>1488</v>
      </c>
      <c r="F217" t="str">
        <f>VLOOKUP(Tabla5[[#This Row],[Code]],[1]!Tabla6[#Data],3,FALSE)</f>
        <v>Color</v>
      </c>
    </row>
    <row r="218" spans="1:6" x14ac:dyDescent="0.25">
      <c r="A218">
        <v>16</v>
      </c>
      <c r="B218" t="str">
        <f>VLOOKUP(Tabla5[[#This Row],[Code]],[1]!Tabla6[#Data],2,FALSE)</f>
        <v>Premium</v>
      </c>
      <c r="C218">
        <v>16</v>
      </c>
      <c r="D218" t="s">
        <v>809</v>
      </c>
      <c r="E218" t="s">
        <v>1579</v>
      </c>
      <c r="F218" t="str">
        <f>VLOOKUP(Tabla5[[#This Row],[Code]],[1]!Tabla6[#Data],3,FALSE)</f>
        <v>Color</v>
      </c>
    </row>
    <row r="219" spans="1:6" x14ac:dyDescent="0.25">
      <c r="A219">
        <v>16</v>
      </c>
      <c r="B219" t="str">
        <f>VLOOKUP(Tabla5[[#This Row],[Code]],[1]!Tabla6[#Data],2,FALSE)</f>
        <v>Premium</v>
      </c>
      <c r="C219">
        <v>17</v>
      </c>
      <c r="D219" t="s">
        <v>807</v>
      </c>
      <c r="E219" t="s">
        <v>1580</v>
      </c>
      <c r="F219" t="str">
        <f>VLOOKUP(Tabla5[[#This Row],[Code]],[1]!Tabla6[#Data],3,FALSE)</f>
        <v>Color</v>
      </c>
    </row>
    <row r="220" spans="1:6" x14ac:dyDescent="0.25">
      <c r="A220">
        <v>16</v>
      </c>
      <c r="B220" t="str">
        <f>VLOOKUP(Tabla5[[#This Row],[Code]],[1]!Tabla6[#Data],2,FALSE)</f>
        <v>Premium</v>
      </c>
      <c r="C220">
        <v>18</v>
      </c>
      <c r="D220" t="s">
        <v>817</v>
      </c>
      <c r="E220" t="s">
        <v>1581</v>
      </c>
      <c r="F220" t="str">
        <f>VLOOKUP(Tabla5[[#This Row],[Code]],[1]!Tabla6[#Data],3,FALSE)</f>
        <v>Color</v>
      </c>
    </row>
    <row r="221" spans="1:6" x14ac:dyDescent="0.25">
      <c r="A221">
        <v>16</v>
      </c>
      <c r="B221" t="str">
        <f>VLOOKUP(Tabla5[[#This Row],[Code]],[1]!Tabla6[#Data],2,FALSE)</f>
        <v>Premium</v>
      </c>
      <c r="C221">
        <v>19</v>
      </c>
      <c r="D221" t="s">
        <v>815</v>
      </c>
      <c r="E221" t="s">
        <v>1582</v>
      </c>
      <c r="F221" t="str">
        <f>VLOOKUP(Tabla5[[#This Row],[Code]],[1]!Tabla6[#Data],3,FALSE)</f>
        <v>Color</v>
      </c>
    </row>
    <row r="222" spans="1:6" x14ac:dyDescent="0.25">
      <c r="A222">
        <v>16</v>
      </c>
      <c r="B222" t="str">
        <f>VLOOKUP(Tabla5[[#This Row],[Code]],[1]!Tabla6[#Data],2,FALSE)</f>
        <v>Premium</v>
      </c>
      <c r="C222">
        <v>20</v>
      </c>
      <c r="D222" t="s">
        <v>823</v>
      </c>
      <c r="E222" t="s">
        <v>1583</v>
      </c>
      <c r="F222" t="str">
        <f>VLOOKUP(Tabla5[[#This Row],[Code]],[1]!Tabla6[#Data],3,FALSE)</f>
        <v>Color</v>
      </c>
    </row>
    <row r="223" spans="1:6" x14ac:dyDescent="0.25">
      <c r="A223">
        <v>16</v>
      </c>
      <c r="B223" t="str">
        <f>VLOOKUP(Tabla5[[#This Row],[Code]],[1]!Tabla6[#Data],2,FALSE)</f>
        <v>Premium</v>
      </c>
      <c r="C223">
        <v>21</v>
      </c>
      <c r="D223" t="s">
        <v>17</v>
      </c>
      <c r="E223" t="s">
        <v>1584</v>
      </c>
      <c r="F223" t="str">
        <f>VLOOKUP(Tabla5[[#This Row],[Code]],[1]!Tabla6[#Data],3,FALSE)</f>
        <v>Color</v>
      </c>
    </row>
    <row r="224" spans="1:6" x14ac:dyDescent="0.25">
      <c r="A224">
        <v>16</v>
      </c>
      <c r="B224" t="str">
        <f>VLOOKUP(Tabla5[[#This Row],[Code]],[1]!Tabla6[#Data],2,FALSE)</f>
        <v>Premium</v>
      </c>
      <c r="C224">
        <v>22</v>
      </c>
      <c r="D224" t="s">
        <v>821</v>
      </c>
      <c r="E224" t="s">
        <v>1470</v>
      </c>
      <c r="F224" t="str">
        <f>VLOOKUP(Tabla5[[#This Row],[Code]],[1]!Tabla6[#Data],3,FALSE)</f>
        <v>Color</v>
      </c>
    </row>
    <row r="225" spans="1:6" x14ac:dyDescent="0.25">
      <c r="A225">
        <v>16</v>
      </c>
      <c r="B225" t="str">
        <f>VLOOKUP(Tabla5[[#This Row],[Code]],[1]!Tabla6[#Data],2,FALSE)</f>
        <v>Premium</v>
      </c>
      <c r="C225">
        <v>23</v>
      </c>
      <c r="D225" t="s">
        <v>819</v>
      </c>
      <c r="E225" t="s">
        <v>1585</v>
      </c>
      <c r="F225" t="str">
        <f>VLOOKUP(Tabla5[[#This Row],[Code]],[1]!Tabla6[#Data],3,FALSE)</f>
        <v>Color</v>
      </c>
    </row>
    <row r="226" spans="1:6" x14ac:dyDescent="0.25">
      <c r="A226">
        <v>16</v>
      </c>
      <c r="B226" t="str">
        <f>VLOOKUP(Tabla5[[#This Row],[Code]],[1]!Tabla6[#Data],2,FALSE)</f>
        <v>Premium</v>
      </c>
      <c r="C226">
        <v>24</v>
      </c>
      <c r="D226" t="s">
        <v>825</v>
      </c>
      <c r="E226" t="s">
        <v>1586</v>
      </c>
      <c r="F226" t="str">
        <f>VLOOKUP(Tabla5[[#This Row],[Code]],[1]!Tabla6[#Data],3,FALSE)</f>
        <v>Color</v>
      </c>
    </row>
    <row r="227" spans="1:6" x14ac:dyDescent="0.25">
      <c r="A227">
        <v>16</v>
      </c>
      <c r="B227" t="str">
        <f>VLOOKUP(Tabla5[[#This Row],[Code]],[1]!Tabla6[#Data],2,FALSE)</f>
        <v>Premium</v>
      </c>
      <c r="C227">
        <v>25</v>
      </c>
      <c r="D227" t="s">
        <v>827</v>
      </c>
      <c r="E227" t="s">
        <v>1587</v>
      </c>
      <c r="F227" t="str">
        <f>VLOOKUP(Tabla5[[#This Row],[Code]],[1]!Tabla6[#Data],3,FALSE)</f>
        <v>Color</v>
      </c>
    </row>
    <row r="228" spans="1:6" x14ac:dyDescent="0.25">
      <c r="A228">
        <v>16</v>
      </c>
      <c r="B228" t="str">
        <f>VLOOKUP(Tabla5[[#This Row],[Code]],[1]!Tabla6[#Data],2,FALSE)</f>
        <v>Premium</v>
      </c>
      <c r="C228">
        <v>26</v>
      </c>
      <c r="D228" t="s">
        <v>835</v>
      </c>
      <c r="E228" t="s">
        <v>1588</v>
      </c>
      <c r="F228" t="str">
        <f>VLOOKUP(Tabla5[[#This Row],[Code]],[1]!Tabla6[#Data],3,FALSE)</f>
        <v>Color</v>
      </c>
    </row>
    <row r="229" spans="1:6" x14ac:dyDescent="0.25">
      <c r="A229">
        <v>16</v>
      </c>
      <c r="B229" t="str">
        <f>VLOOKUP(Tabla5[[#This Row],[Code]],[1]!Tabla6[#Data],2,FALSE)</f>
        <v>Premium</v>
      </c>
      <c r="C229">
        <v>27</v>
      </c>
      <c r="D229" t="s">
        <v>19</v>
      </c>
      <c r="E229" t="s">
        <v>1589</v>
      </c>
      <c r="F229" t="str">
        <f>VLOOKUP(Tabla5[[#This Row],[Code]],[1]!Tabla6[#Data],3,FALSE)</f>
        <v>Color</v>
      </c>
    </row>
    <row r="230" spans="1:6" x14ac:dyDescent="0.25">
      <c r="A230">
        <v>16</v>
      </c>
      <c r="B230" t="str">
        <f>VLOOKUP(Tabla5[[#This Row],[Code]],[1]!Tabla6[#Data],2,FALSE)</f>
        <v>Premium</v>
      </c>
      <c r="C230">
        <v>28</v>
      </c>
      <c r="D230" t="s">
        <v>837</v>
      </c>
      <c r="E230" t="s">
        <v>1590</v>
      </c>
      <c r="F230" t="str">
        <f>VLOOKUP(Tabla5[[#This Row],[Code]],[1]!Tabla6[#Data],3,FALSE)</f>
        <v>Color</v>
      </c>
    </row>
    <row r="231" spans="1:6" x14ac:dyDescent="0.25">
      <c r="A231">
        <v>16</v>
      </c>
      <c r="B231" t="str">
        <f>VLOOKUP(Tabla5[[#This Row],[Code]],[1]!Tabla6[#Data],2,FALSE)</f>
        <v>Premium</v>
      </c>
      <c r="C231">
        <v>29</v>
      </c>
      <c r="D231" t="s">
        <v>829</v>
      </c>
      <c r="E231" t="s">
        <v>1591</v>
      </c>
      <c r="F231" t="str">
        <f>VLOOKUP(Tabla5[[#This Row],[Code]],[1]!Tabla6[#Data],3,FALSE)</f>
        <v>Color</v>
      </c>
    </row>
    <row r="232" spans="1:6" x14ac:dyDescent="0.25">
      <c r="A232">
        <v>16</v>
      </c>
      <c r="B232" t="str">
        <f>VLOOKUP(Tabla5[[#This Row],[Code]],[1]!Tabla6[#Data],2,FALSE)</f>
        <v>Premium</v>
      </c>
      <c r="C232">
        <v>30</v>
      </c>
      <c r="D232" t="s">
        <v>831</v>
      </c>
      <c r="E232" t="s">
        <v>1592</v>
      </c>
      <c r="F232" t="str">
        <f>VLOOKUP(Tabla5[[#This Row],[Code]],[1]!Tabla6[#Data],3,FALSE)</f>
        <v>Color</v>
      </c>
    </row>
    <row r="233" spans="1:6" x14ac:dyDescent="0.25">
      <c r="A233">
        <v>16</v>
      </c>
      <c r="B233" t="str">
        <f>VLOOKUP(Tabla5[[#This Row],[Code]],[1]!Tabla6[#Data],2,FALSE)</f>
        <v>Premium</v>
      </c>
      <c r="C233">
        <v>31</v>
      </c>
      <c r="D233" t="s">
        <v>833</v>
      </c>
      <c r="E233" t="s">
        <v>1593</v>
      </c>
      <c r="F233" t="str">
        <f>VLOOKUP(Tabla5[[#This Row],[Code]],[1]!Tabla6[#Data],3,FALSE)</f>
        <v>Color</v>
      </c>
    </row>
    <row r="234" spans="1:6" x14ac:dyDescent="0.25">
      <c r="A234">
        <v>16</v>
      </c>
      <c r="B234" t="str">
        <f>VLOOKUP(Tabla5[[#This Row],[Code]],[1]!Tabla6[#Data],2,FALSE)</f>
        <v>Premium</v>
      </c>
      <c r="C234">
        <v>32</v>
      </c>
      <c r="D234" t="s">
        <v>839</v>
      </c>
      <c r="E234" t="s">
        <v>1594</v>
      </c>
      <c r="F234" t="str">
        <f>VLOOKUP(Tabla5[[#This Row],[Code]],[1]!Tabla6[#Data],3,FALSE)</f>
        <v>Color</v>
      </c>
    </row>
    <row r="235" spans="1:6" x14ac:dyDescent="0.25">
      <c r="A235">
        <v>16</v>
      </c>
      <c r="B235" t="str">
        <f>VLOOKUP(Tabla5[[#This Row],[Code]],[1]!Tabla6[#Data],2,FALSE)</f>
        <v>Premium</v>
      </c>
      <c r="C235">
        <v>33</v>
      </c>
      <c r="D235" t="s">
        <v>841</v>
      </c>
      <c r="E235" t="s">
        <v>1482</v>
      </c>
      <c r="F235" t="str">
        <f>VLOOKUP(Tabla5[[#This Row],[Code]],[1]!Tabla6[#Data],3,FALSE)</f>
        <v>Color</v>
      </c>
    </row>
    <row r="236" spans="1:6" x14ac:dyDescent="0.25">
      <c r="A236">
        <v>16</v>
      </c>
      <c r="B236" t="str">
        <f>VLOOKUP(Tabla5[[#This Row],[Code]],[1]!Tabla6[#Data],2,FALSE)</f>
        <v>Premium</v>
      </c>
      <c r="C236">
        <v>34</v>
      </c>
      <c r="D236" t="s">
        <v>847</v>
      </c>
      <c r="E236" t="s">
        <v>1401</v>
      </c>
      <c r="F236" t="str">
        <f>VLOOKUP(Tabla5[[#This Row],[Code]],[1]!Tabla6[#Data],3,FALSE)</f>
        <v>Color</v>
      </c>
    </row>
    <row r="237" spans="1:6" x14ac:dyDescent="0.25">
      <c r="A237">
        <v>16</v>
      </c>
      <c r="B237" t="str">
        <f>VLOOKUP(Tabla5[[#This Row],[Code]],[1]!Tabla6[#Data],2,FALSE)</f>
        <v>Premium</v>
      </c>
      <c r="C237">
        <v>35</v>
      </c>
      <c r="D237" t="s">
        <v>843</v>
      </c>
      <c r="E237" t="s">
        <v>1595</v>
      </c>
      <c r="F237" t="str">
        <f>VLOOKUP(Tabla5[[#This Row],[Code]],[1]!Tabla6[#Data],3,FALSE)</f>
        <v>Color</v>
      </c>
    </row>
    <row r="238" spans="1:6" x14ac:dyDescent="0.25">
      <c r="A238">
        <v>16</v>
      </c>
      <c r="B238" t="str">
        <f>VLOOKUP(Tabla5[[#This Row],[Code]],[1]!Tabla6[#Data],2,FALSE)</f>
        <v>Premium</v>
      </c>
      <c r="C238">
        <v>36</v>
      </c>
      <c r="D238" t="s">
        <v>845</v>
      </c>
      <c r="E238" t="s">
        <v>1596</v>
      </c>
      <c r="F238" t="str">
        <f>VLOOKUP(Tabla5[[#This Row],[Code]],[1]!Tabla6[#Data],3,FALSE)</f>
        <v>Color</v>
      </c>
    </row>
    <row r="239" spans="1:6" x14ac:dyDescent="0.25">
      <c r="A239">
        <v>16</v>
      </c>
      <c r="B239" t="str">
        <f>VLOOKUP(Tabla5[[#This Row],[Code]],[1]!Tabla6[#Data],2,FALSE)</f>
        <v>Premium</v>
      </c>
      <c r="C239">
        <v>37</v>
      </c>
      <c r="D239" t="s">
        <v>849</v>
      </c>
      <c r="E239" t="s">
        <v>1492</v>
      </c>
      <c r="F239" t="str">
        <f>VLOOKUP(Tabla5[[#This Row],[Code]],[1]!Tabla6[#Data],3,FALSE)</f>
        <v>Color</v>
      </c>
    </row>
    <row r="240" spans="1:6" x14ac:dyDescent="0.25">
      <c r="A240">
        <v>16</v>
      </c>
      <c r="B240" t="str">
        <f>VLOOKUP(Tabla5[[#This Row],[Code]],[1]!Tabla6[#Data],2,FALSE)</f>
        <v>Premium</v>
      </c>
      <c r="C240">
        <v>38</v>
      </c>
      <c r="D240" t="s">
        <v>1597</v>
      </c>
      <c r="E240" t="s">
        <v>1598</v>
      </c>
      <c r="F240" t="str">
        <f>VLOOKUP(Tabla5[[#This Row],[Code]],[1]!Tabla6[#Data],3,FALSE)</f>
        <v>Color</v>
      </c>
    </row>
    <row r="241" spans="1:6" x14ac:dyDescent="0.25">
      <c r="A241">
        <v>16</v>
      </c>
      <c r="B241" t="str">
        <f>VLOOKUP(Tabla5[[#This Row],[Code]],[1]!Tabla6[#Data],2,FALSE)</f>
        <v>Premium</v>
      </c>
      <c r="C241">
        <v>39</v>
      </c>
      <c r="D241" t="s">
        <v>1599</v>
      </c>
      <c r="E241" t="s">
        <v>1600</v>
      </c>
      <c r="F241" t="str">
        <f>VLOOKUP(Tabla5[[#This Row],[Code]],[1]!Tabla6[#Data],3,FALSE)</f>
        <v>Color</v>
      </c>
    </row>
    <row r="242" spans="1:6" x14ac:dyDescent="0.25">
      <c r="A242">
        <v>16</v>
      </c>
      <c r="B242" t="str">
        <f>VLOOKUP(Tabla5[[#This Row],[Code]],[1]!Tabla6[#Data],2,FALSE)</f>
        <v>Premium</v>
      </c>
      <c r="C242">
        <v>40</v>
      </c>
      <c r="D242" t="s">
        <v>1601</v>
      </c>
      <c r="E242" t="s">
        <v>1602</v>
      </c>
      <c r="F242" t="str">
        <f>VLOOKUP(Tabla5[[#This Row],[Code]],[1]!Tabla6[#Data],3,FALSE)</f>
        <v>Color</v>
      </c>
    </row>
    <row r="243" spans="1:6" x14ac:dyDescent="0.25">
      <c r="A243">
        <v>16</v>
      </c>
      <c r="B243" t="str">
        <f>VLOOKUP(Tabla5[[#This Row],[Code]],[1]!Tabla6[#Data],2,FALSE)</f>
        <v>Premium</v>
      </c>
      <c r="C243">
        <v>41</v>
      </c>
      <c r="D243" t="s">
        <v>1603</v>
      </c>
      <c r="E243" t="s">
        <v>1454</v>
      </c>
      <c r="F243" t="str">
        <f>VLOOKUP(Tabla5[[#This Row],[Code]],[1]!Tabla6[#Data],3,FALSE)</f>
        <v>Color</v>
      </c>
    </row>
    <row r="244" spans="1:6" x14ac:dyDescent="0.25">
      <c r="A244">
        <v>16</v>
      </c>
      <c r="B244" t="str">
        <f>VLOOKUP(Tabla5[[#This Row],[Code]],[1]!Tabla6[#Data],2,FALSE)</f>
        <v>Premium</v>
      </c>
      <c r="C244">
        <v>42</v>
      </c>
      <c r="D244" t="s">
        <v>1604</v>
      </c>
      <c r="E244" t="s">
        <v>1605</v>
      </c>
      <c r="F244" t="str">
        <f>VLOOKUP(Tabla5[[#This Row],[Code]],[1]!Tabla6[#Data],3,FALSE)</f>
        <v>Color</v>
      </c>
    </row>
    <row r="245" spans="1:6" x14ac:dyDescent="0.25">
      <c r="A245">
        <v>16</v>
      </c>
      <c r="B245" t="str">
        <f>VLOOKUP(Tabla5[[#This Row],[Code]],[1]!Tabla6[#Data],2,FALSE)</f>
        <v>Premium</v>
      </c>
      <c r="C245">
        <v>43</v>
      </c>
      <c r="D245" t="s">
        <v>1606</v>
      </c>
      <c r="E245" t="s">
        <v>1607</v>
      </c>
      <c r="F245" t="str">
        <f>VLOOKUP(Tabla5[[#This Row],[Code]],[1]!Tabla6[#Data],3,FALSE)</f>
        <v>Color</v>
      </c>
    </row>
    <row r="246" spans="1:6" x14ac:dyDescent="0.25">
      <c r="A246">
        <v>16</v>
      </c>
      <c r="B246" t="str">
        <f>VLOOKUP(Tabla5[[#This Row],[Code]],[1]!Tabla6[#Data],2,FALSE)</f>
        <v>Premium</v>
      </c>
      <c r="C246">
        <v>44</v>
      </c>
      <c r="D246" t="s">
        <v>1608</v>
      </c>
      <c r="E246" t="s">
        <v>1609</v>
      </c>
      <c r="F246" t="str">
        <f>VLOOKUP(Tabla5[[#This Row],[Code]],[1]!Tabla6[#Data],3,FALSE)</f>
        <v>Color</v>
      </c>
    </row>
    <row r="247" spans="1:6" x14ac:dyDescent="0.25">
      <c r="A247">
        <v>16</v>
      </c>
      <c r="B247" t="str">
        <f>VLOOKUP(Tabla5[[#This Row],[Code]],[1]!Tabla6[#Data],2,FALSE)</f>
        <v>Premium</v>
      </c>
      <c r="C247">
        <v>45</v>
      </c>
      <c r="D247" t="s">
        <v>1610</v>
      </c>
      <c r="E247" t="s">
        <v>1611</v>
      </c>
      <c r="F247" t="str">
        <f>VLOOKUP(Tabla5[[#This Row],[Code]],[1]!Tabla6[#Data],3,FALSE)</f>
        <v>Color</v>
      </c>
    </row>
    <row r="248" spans="1:6" x14ac:dyDescent="0.25">
      <c r="A248">
        <v>16</v>
      </c>
      <c r="B248" t="str">
        <f>VLOOKUP(Tabla5[[#This Row],[Code]],[1]!Tabla6[#Data],2,FALSE)</f>
        <v>Premium</v>
      </c>
      <c r="C248">
        <v>46</v>
      </c>
      <c r="D248" t="s">
        <v>1612</v>
      </c>
      <c r="E248" t="s">
        <v>1613</v>
      </c>
      <c r="F248" t="str">
        <f>VLOOKUP(Tabla5[[#This Row],[Code]],[1]!Tabla6[#Data],3,FALSE)</f>
        <v>Color</v>
      </c>
    </row>
    <row r="249" spans="1:6" x14ac:dyDescent="0.25">
      <c r="A249">
        <v>17</v>
      </c>
      <c r="B249" t="str">
        <f>VLOOKUP(Tabla5[[#This Row],[Code]],[1]!Tabla6[#Data],2,FALSE)</f>
        <v>Silicone</v>
      </c>
      <c r="C249">
        <v>1</v>
      </c>
      <c r="D249" t="s">
        <v>945</v>
      </c>
      <c r="E249" t="s">
        <v>1387</v>
      </c>
      <c r="F249" t="str">
        <f>VLOOKUP(Tabla5[[#This Row],[Code]],[1]!Tabla6[#Data],3,FALSE)</f>
        <v>Color</v>
      </c>
    </row>
    <row r="250" spans="1:6" x14ac:dyDescent="0.25">
      <c r="A250">
        <v>17</v>
      </c>
      <c r="B250" t="str">
        <f>VLOOKUP(Tabla5[[#This Row],[Code]],[1]!Tabla6[#Data],2,FALSE)</f>
        <v>Silicone</v>
      </c>
      <c r="C250">
        <v>2</v>
      </c>
      <c r="D250" t="s">
        <v>947</v>
      </c>
      <c r="E250" t="s">
        <v>1416</v>
      </c>
      <c r="F250" t="str">
        <f>VLOOKUP(Tabla5[[#This Row],[Code]],[1]!Tabla6[#Data],3,FALSE)</f>
        <v>Color</v>
      </c>
    </row>
    <row r="251" spans="1:6" x14ac:dyDescent="0.25">
      <c r="A251">
        <v>17</v>
      </c>
      <c r="B251" t="str">
        <f>VLOOKUP(Tabla5[[#This Row],[Code]],[1]!Tabla6[#Data],2,FALSE)</f>
        <v>Silicone</v>
      </c>
      <c r="C251">
        <v>3</v>
      </c>
      <c r="D251" t="s">
        <v>951</v>
      </c>
      <c r="E251" t="s">
        <v>1583</v>
      </c>
      <c r="F251" t="str">
        <f>VLOOKUP(Tabla5[[#This Row],[Code]],[1]!Tabla6[#Data],3,FALSE)</f>
        <v>Color</v>
      </c>
    </row>
    <row r="252" spans="1:6" x14ac:dyDescent="0.25">
      <c r="A252">
        <v>17</v>
      </c>
      <c r="B252" t="str">
        <f>VLOOKUP(Tabla5[[#This Row],[Code]],[1]!Tabla6[#Data],2,FALSE)</f>
        <v>Silicone</v>
      </c>
      <c r="C252">
        <v>4</v>
      </c>
      <c r="D252" t="s">
        <v>949</v>
      </c>
      <c r="E252" t="s">
        <v>1614</v>
      </c>
      <c r="F252" t="str">
        <f>VLOOKUP(Tabla5[[#This Row],[Code]],[1]!Tabla6[#Data],3,FALSE)</f>
        <v>Color</v>
      </c>
    </row>
    <row r="253" spans="1:6" x14ac:dyDescent="0.25">
      <c r="A253">
        <v>17</v>
      </c>
      <c r="B253" t="str">
        <f>VLOOKUP(Tabla5[[#This Row],[Code]],[1]!Tabla6[#Data],2,FALSE)</f>
        <v>Silicone</v>
      </c>
      <c r="C253">
        <v>5</v>
      </c>
      <c r="D253" t="s">
        <v>957</v>
      </c>
      <c r="E253" t="s">
        <v>1588</v>
      </c>
      <c r="F253" t="str">
        <f>VLOOKUP(Tabla5[[#This Row],[Code]],[1]!Tabla6[#Data],3,FALSE)</f>
        <v>Color</v>
      </c>
    </row>
    <row r="254" spans="1:6" x14ac:dyDescent="0.25">
      <c r="A254">
        <v>17</v>
      </c>
      <c r="B254" t="str">
        <f>VLOOKUP(Tabla5[[#This Row],[Code]],[1]!Tabla6[#Data],2,FALSE)</f>
        <v>Silicone</v>
      </c>
      <c r="C254">
        <v>6</v>
      </c>
      <c r="D254" t="s">
        <v>955</v>
      </c>
      <c r="E254" t="s">
        <v>1401</v>
      </c>
      <c r="F254" t="str">
        <f>VLOOKUP(Tabla5[[#This Row],[Code]],[1]!Tabla6[#Data],3,FALSE)</f>
        <v>Color</v>
      </c>
    </row>
    <row r="255" spans="1:6" x14ac:dyDescent="0.25">
      <c r="A255">
        <v>17</v>
      </c>
      <c r="B255" t="str">
        <f>VLOOKUP(Tabla5[[#This Row],[Code]],[1]!Tabla6[#Data],2,FALSE)</f>
        <v>Silicone</v>
      </c>
      <c r="C255">
        <v>7</v>
      </c>
      <c r="D255" t="s">
        <v>953</v>
      </c>
      <c r="E255" t="s">
        <v>1458</v>
      </c>
      <c r="F255" t="str">
        <f>VLOOKUP(Tabla5[[#This Row],[Code]],[1]!Tabla6[#Data],3,FALSE)</f>
        <v>Color</v>
      </c>
    </row>
    <row r="256" spans="1:6" x14ac:dyDescent="0.25">
      <c r="A256">
        <v>17</v>
      </c>
      <c r="B256" t="str">
        <f>VLOOKUP(Tabla5[[#This Row],[Code]],[1]!Tabla6[#Data],2,FALSE)</f>
        <v>Silicone</v>
      </c>
      <c r="C256">
        <v>8</v>
      </c>
      <c r="D256" t="s">
        <v>959</v>
      </c>
      <c r="E256" t="s">
        <v>1387</v>
      </c>
      <c r="F256" t="str">
        <f>VLOOKUP(Tabla5[[#This Row],[Code]],[1]!Tabla6[#Data],3,FALSE)</f>
        <v>Color</v>
      </c>
    </row>
    <row r="257" spans="1:6" x14ac:dyDescent="0.25">
      <c r="A257">
        <v>17</v>
      </c>
      <c r="B257" t="str">
        <f>VLOOKUP(Tabla5[[#This Row],[Code]],[1]!Tabla6[#Data],2,FALSE)</f>
        <v>Silicone</v>
      </c>
      <c r="C257">
        <v>9</v>
      </c>
      <c r="D257" t="s">
        <v>965</v>
      </c>
      <c r="E257" t="s">
        <v>1583</v>
      </c>
      <c r="F257" t="str">
        <f>VLOOKUP(Tabla5[[#This Row],[Code]],[1]!Tabla6[#Data],3,FALSE)</f>
        <v>Color</v>
      </c>
    </row>
    <row r="258" spans="1:6" x14ac:dyDescent="0.25">
      <c r="A258">
        <v>17</v>
      </c>
      <c r="B258" t="str">
        <f>VLOOKUP(Tabla5[[#This Row],[Code]],[1]!Tabla6[#Data],2,FALSE)</f>
        <v>Silicone</v>
      </c>
      <c r="C258">
        <v>10</v>
      </c>
      <c r="D258" t="s">
        <v>963</v>
      </c>
      <c r="E258" t="s">
        <v>1614</v>
      </c>
      <c r="F258" t="str">
        <f>VLOOKUP(Tabla5[[#This Row],[Code]],[1]!Tabla6[#Data],3,FALSE)</f>
        <v>Color</v>
      </c>
    </row>
    <row r="259" spans="1:6" x14ac:dyDescent="0.25">
      <c r="A259">
        <v>17</v>
      </c>
      <c r="B259" t="str">
        <f>VLOOKUP(Tabla5[[#This Row],[Code]],[1]!Tabla6[#Data],2,FALSE)</f>
        <v>Silicone</v>
      </c>
      <c r="C259">
        <v>11</v>
      </c>
      <c r="D259" t="s">
        <v>971</v>
      </c>
      <c r="E259" t="s">
        <v>1588</v>
      </c>
      <c r="F259" t="str">
        <f>VLOOKUP(Tabla5[[#This Row],[Code]],[1]!Tabla6[#Data],3,FALSE)</f>
        <v>Color</v>
      </c>
    </row>
    <row r="260" spans="1:6" x14ac:dyDescent="0.25">
      <c r="A260">
        <v>17</v>
      </c>
      <c r="B260" t="str">
        <f>VLOOKUP(Tabla5[[#This Row],[Code]],[1]!Tabla6[#Data],2,FALSE)</f>
        <v>Silicone</v>
      </c>
      <c r="C260">
        <v>12</v>
      </c>
      <c r="D260" t="s">
        <v>961</v>
      </c>
      <c r="E260" t="s">
        <v>1588</v>
      </c>
      <c r="F260" t="str">
        <f>VLOOKUP(Tabla5[[#This Row],[Code]],[1]!Tabla6[#Data],3,FALSE)</f>
        <v>Color</v>
      </c>
    </row>
    <row r="261" spans="1:6" x14ac:dyDescent="0.25">
      <c r="A261">
        <v>17</v>
      </c>
      <c r="B261" t="str">
        <f>VLOOKUP(Tabla5[[#This Row],[Code]],[1]!Tabla6[#Data],2,FALSE)</f>
        <v>Silicone</v>
      </c>
      <c r="C261">
        <v>13</v>
      </c>
      <c r="D261" t="s">
        <v>969</v>
      </c>
      <c r="E261" t="s">
        <v>1401</v>
      </c>
      <c r="F261" t="str">
        <f>VLOOKUP(Tabla5[[#This Row],[Code]],[1]!Tabla6[#Data],3,FALSE)</f>
        <v>Color</v>
      </c>
    </row>
    <row r="262" spans="1:6" x14ac:dyDescent="0.25">
      <c r="A262">
        <v>17</v>
      </c>
      <c r="B262" t="str">
        <f>VLOOKUP(Tabla5[[#This Row],[Code]],[1]!Tabla6[#Data],2,FALSE)</f>
        <v>Silicone</v>
      </c>
      <c r="C262">
        <v>14</v>
      </c>
      <c r="D262" t="s">
        <v>967</v>
      </c>
      <c r="E262" t="s">
        <v>1458</v>
      </c>
      <c r="F262" t="str">
        <f>VLOOKUP(Tabla5[[#This Row],[Code]],[1]!Tabla6[#Data],3,FALSE)</f>
        <v>Color</v>
      </c>
    </row>
    <row r="263" spans="1:6" x14ac:dyDescent="0.25">
      <c r="A263">
        <v>17</v>
      </c>
      <c r="B263" t="str">
        <f>VLOOKUP(Tabla5[[#This Row],[Code]],[1]!Tabla6[#Data],2,FALSE)</f>
        <v>Silicone</v>
      </c>
      <c r="C263">
        <v>15</v>
      </c>
      <c r="D263" t="s">
        <v>1615</v>
      </c>
      <c r="E263" t="s">
        <v>1387</v>
      </c>
      <c r="F263" t="str">
        <f>VLOOKUP(Tabla5[[#This Row],[Code]],[1]!Tabla6[#Data],3,FALSE)</f>
        <v>Color</v>
      </c>
    </row>
    <row r="264" spans="1:6" x14ac:dyDescent="0.25">
      <c r="A264">
        <v>17</v>
      </c>
      <c r="B264" t="str">
        <f>VLOOKUP(Tabla5[[#This Row],[Code]],[1]!Tabla6[#Data],2,FALSE)</f>
        <v>Silicone</v>
      </c>
      <c r="C264">
        <v>16</v>
      </c>
      <c r="D264" t="s">
        <v>1616</v>
      </c>
      <c r="E264" t="s">
        <v>1416</v>
      </c>
      <c r="F264" t="str">
        <f>VLOOKUP(Tabla5[[#This Row],[Code]],[1]!Tabla6[#Data],3,FALSE)</f>
        <v>Color</v>
      </c>
    </row>
    <row r="265" spans="1:6" x14ac:dyDescent="0.25">
      <c r="A265">
        <v>17</v>
      </c>
      <c r="B265" t="str">
        <f>VLOOKUP(Tabla5[[#This Row],[Code]],[1]!Tabla6[#Data],2,FALSE)</f>
        <v>Silicone</v>
      </c>
      <c r="C265">
        <v>17</v>
      </c>
      <c r="D265" t="s">
        <v>1617</v>
      </c>
      <c r="E265" t="s">
        <v>1583</v>
      </c>
      <c r="F265" t="str">
        <f>VLOOKUP(Tabla5[[#This Row],[Code]],[1]!Tabla6[#Data],3,FALSE)</f>
        <v>Color</v>
      </c>
    </row>
    <row r="266" spans="1:6" x14ac:dyDescent="0.25">
      <c r="A266">
        <v>17</v>
      </c>
      <c r="B266" t="str">
        <f>VLOOKUP(Tabla5[[#This Row],[Code]],[1]!Tabla6[#Data],2,FALSE)</f>
        <v>Silicone</v>
      </c>
      <c r="C266">
        <v>18</v>
      </c>
      <c r="D266" t="s">
        <v>1618</v>
      </c>
      <c r="E266" t="s">
        <v>1614</v>
      </c>
      <c r="F266" t="str">
        <f>VLOOKUP(Tabla5[[#This Row],[Code]],[1]!Tabla6[#Data],3,FALSE)</f>
        <v>Color</v>
      </c>
    </row>
    <row r="267" spans="1:6" x14ac:dyDescent="0.25">
      <c r="A267">
        <v>17</v>
      </c>
      <c r="B267" t="str">
        <f>VLOOKUP(Tabla5[[#This Row],[Code]],[1]!Tabla6[#Data],2,FALSE)</f>
        <v>Silicone</v>
      </c>
      <c r="C267">
        <v>19</v>
      </c>
      <c r="D267" t="s">
        <v>1619</v>
      </c>
      <c r="E267" t="s">
        <v>1588</v>
      </c>
      <c r="F267" t="str">
        <f>VLOOKUP(Tabla5[[#This Row],[Code]],[1]!Tabla6[#Data],3,FALSE)</f>
        <v>Color</v>
      </c>
    </row>
    <row r="268" spans="1:6" x14ac:dyDescent="0.25">
      <c r="A268">
        <v>17</v>
      </c>
      <c r="B268" t="str">
        <f>VLOOKUP(Tabla5[[#This Row],[Code]],[1]!Tabla6[#Data],2,FALSE)</f>
        <v>Silicone</v>
      </c>
      <c r="C268">
        <v>20</v>
      </c>
      <c r="D268" t="s">
        <v>1620</v>
      </c>
      <c r="E268" t="s">
        <v>1401</v>
      </c>
      <c r="F268" t="str">
        <f>VLOOKUP(Tabla5[[#This Row],[Code]],[1]!Tabla6[#Data],3,FALSE)</f>
        <v>Color</v>
      </c>
    </row>
    <row r="269" spans="1:6" x14ac:dyDescent="0.25">
      <c r="A269">
        <v>17</v>
      </c>
      <c r="B269" t="str">
        <f>VLOOKUP(Tabla5[[#This Row],[Code]],[1]!Tabla6[#Data],2,FALSE)</f>
        <v>Silicone</v>
      </c>
      <c r="C269">
        <v>21</v>
      </c>
      <c r="D269" t="s">
        <v>1621</v>
      </c>
      <c r="E269" t="s">
        <v>1458</v>
      </c>
      <c r="F269" t="str">
        <f>VLOOKUP(Tabla5[[#This Row],[Code]],[1]!Tabla6[#Data],3,FALSE)</f>
        <v>Color</v>
      </c>
    </row>
    <row r="270" spans="1:6" x14ac:dyDescent="0.25">
      <c r="A270">
        <v>18</v>
      </c>
      <c r="B270" t="str">
        <f>VLOOKUP(Tabla5[[#This Row],[Code]],[1]!Tabla6[#Data],2,FALSE)</f>
        <v>SportsFilm</v>
      </c>
      <c r="C270">
        <v>1</v>
      </c>
      <c r="D270" t="s">
        <v>713</v>
      </c>
      <c r="E270" t="s">
        <v>1387</v>
      </c>
      <c r="F270" t="str">
        <f>VLOOKUP(Tabla5[[#This Row],[Code]],[1]!Tabla6[#Data],3,FALSE)</f>
        <v>Color</v>
      </c>
    </row>
    <row r="271" spans="1:6" x14ac:dyDescent="0.25">
      <c r="A271">
        <v>18</v>
      </c>
      <c r="B271" t="str">
        <f>VLOOKUP(Tabla5[[#This Row],[Code]],[1]!Tabla6[#Data],2,FALSE)</f>
        <v>SportsFilm</v>
      </c>
      <c r="C271">
        <v>2</v>
      </c>
      <c r="D271" t="s">
        <v>715</v>
      </c>
      <c r="E271" t="s">
        <v>1598</v>
      </c>
      <c r="F271" t="str">
        <f>VLOOKUP(Tabla5[[#This Row],[Code]],[1]!Tabla6[#Data],3,FALSE)</f>
        <v>Color</v>
      </c>
    </row>
    <row r="272" spans="1:6" x14ac:dyDescent="0.25">
      <c r="A272">
        <v>18</v>
      </c>
      <c r="B272" t="str">
        <f>VLOOKUP(Tabla5[[#This Row],[Code]],[1]!Tabla6[#Data],2,FALSE)</f>
        <v>SportsFilm</v>
      </c>
      <c r="C272">
        <v>3</v>
      </c>
      <c r="D272" t="s">
        <v>717</v>
      </c>
      <c r="E272" t="s">
        <v>1570</v>
      </c>
      <c r="F272" t="str">
        <f>VLOOKUP(Tabla5[[#This Row],[Code]],[1]!Tabla6[#Data],3,FALSE)</f>
        <v>Color</v>
      </c>
    </row>
    <row r="273" spans="1:6" x14ac:dyDescent="0.25">
      <c r="A273">
        <v>18</v>
      </c>
      <c r="B273" t="str">
        <f>VLOOKUP(Tabla5[[#This Row],[Code]],[1]!Tabla6[#Data],2,FALSE)</f>
        <v>SportsFilm</v>
      </c>
      <c r="C273">
        <v>4</v>
      </c>
      <c r="D273" t="s">
        <v>719</v>
      </c>
      <c r="E273" t="s">
        <v>1571</v>
      </c>
      <c r="F273" t="str">
        <f>VLOOKUP(Tabla5[[#This Row],[Code]],[1]!Tabla6[#Data],3,FALSE)</f>
        <v>Color</v>
      </c>
    </row>
    <row r="274" spans="1:6" x14ac:dyDescent="0.25">
      <c r="A274">
        <v>18</v>
      </c>
      <c r="B274" t="str">
        <f>VLOOKUP(Tabla5[[#This Row],[Code]],[1]!Tabla6[#Data],2,FALSE)</f>
        <v>SportsFilm</v>
      </c>
      <c r="C274">
        <v>5</v>
      </c>
      <c r="D274" t="s">
        <v>779</v>
      </c>
      <c r="E274" t="s">
        <v>1572</v>
      </c>
      <c r="F274" t="str">
        <f>VLOOKUP(Tabla5[[#This Row],[Code]],[1]!Tabla6[#Data],3,FALSE)</f>
        <v>Color</v>
      </c>
    </row>
    <row r="275" spans="1:6" x14ac:dyDescent="0.25">
      <c r="A275">
        <v>18</v>
      </c>
      <c r="B275" t="str">
        <f>VLOOKUP(Tabla5[[#This Row],[Code]],[1]!Tabla6[#Data],2,FALSE)</f>
        <v>SportsFilm</v>
      </c>
      <c r="C275">
        <v>6</v>
      </c>
      <c r="D275" t="s">
        <v>723</v>
      </c>
      <c r="E275" t="s">
        <v>1405</v>
      </c>
      <c r="F275" t="str">
        <f>VLOOKUP(Tabla5[[#This Row],[Code]],[1]!Tabla6[#Data],3,FALSE)</f>
        <v>Color</v>
      </c>
    </row>
    <row r="276" spans="1:6" x14ac:dyDescent="0.25">
      <c r="A276">
        <v>18</v>
      </c>
      <c r="B276" t="str">
        <f>VLOOKUP(Tabla5[[#This Row],[Code]],[1]!Tabla6[#Data],2,FALSE)</f>
        <v>SportsFilm</v>
      </c>
      <c r="C276">
        <v>7</v>
      </c>
      <c r="D276" t="s">
        <v>721</v>
      </c>
      <c r="E276" t="s">
        <v>1573</v>
      </c>
      <c r="F276" t="str">
        <f>VLOOKUP(Tabla5[[#This Row],[Code]],[1]!Tabla6[#Data],3,FALSE)</f>
        <v>Color</v>
      </c>
    </row>
    <row r="277" spans="1:6" x14ac:dyDescent="0.25">
      <c r="A277">
        <v>18</v>
      </c>
      <c r="B277" t="str">
        <f>VLOOKUP(Tabla5[[#This Row],[Code]],[1]!Tabla6[#Data],2,FALSE)</f>
        <v>SportsFilm</v>
      </c>
      <c r="C277">
        <v>8</v>
      </c>
      <c r="D277" t="s">
        <v>777</v>
      </c>
      <c r="E277" t="s">
        <v>1574</v>
      </c>
      <c r="F277" t="str">
        <f>VLOOKUP(Tabla5[[#This Row],[Code]],[1]!Tabla6[#Data],3,FALSE)</f>
        <v>Color</v>
      </c>
    </row>
    <row r="278" spans="1:6" x14ac:dyDescent="0.25">
      <c r="A278">
        <v>18</v>
      </c>
      <c r="B278" t="str">
        <f>VLOOKUP(Tabla5[[#This Row],[Code]],[1]!Tabla6[#Data],2,FALSE)</f>
        <v>SportsFilm</v>
      </c>
      <c r="C278">
        <v>9</v>
      </c>
      <c r="D278" t="s">
        <v>727</v>
      </c>
      <c r="E278" t="s">
        <v>1495</v>
      </c>
      <c r="F278" t="str">
        <f>VLOOKUP(Tabla5[[#This Row],[Code]],[1]!Tabla6[#Data],3,FALSE)</f>
        <v>Color</v>
      </c>
    </row>
    <row r="279" spans="1:6" x14ac:dyDescent="0.25">
      <c r="A279">
        <v>18</v>
      </c>
      <c r="B279" t="str">
        <f>VLOOKUP(Tabla5[[#This Row],[Code]],[1]!Tabla6[#Data],2,FALSE)</f>
        <v>SportsFilm</v>
      </c>
      <c r="C279">
        <v>10</v>
      </c>
      <c r="D279" t="s">
        <v>781</v>
      </c>
      <c r="E279" t="s">
        <v>1575</v>
      </c>
      <c r="F279" t="str">
        <f>VLOOKUP(Tabla5[[#This Row],[Code]],[1]!Tabla6[#Data],3,FALSE)</f>
        <v>Color</v>
      </c>
    </row>
    <row r="280" spans="1:6" x14ac:dyDescent="0.25">
      <c r="A280">
        <v>18</v>
      </c>
      <c r="B280" t="str">
        <f>VLOOKUP(Tabla5[[#This Row],[Code]],[1]!Tabla6[#Data],2,FALSE)</f>
        <v>SportsFilm</v>
      </c>
      <c r="C280">
        <v>11</v>
      </c>
      <c r="D280" t="s">
        <v>725</v>
      </c>
      <c r="E280" t="s">
        <v>1576</v>
      </c>
      <c r="F280" t="str">
        <f>VLOOKUP(Tabla5[[#This Row],[Code]],[1]!Tabla6[#Data],3,FALSE)</f>
        <v>Color</v>
      </c>
    </row>
    <row r="281" spans="1:6" x14ac:dyDescent="0.25">
      <c r="A281">
        <v>18</v>
      </c>
      <c r="B281" t="str">
        <f>VLOOKUP(Tabla5[[#This Row],[Code]],[1]!Tabla6[#Data],2,FALSE)</f>
        <v>SportsFilm</v>
      </c>
      <c r="C281">
        <v>12</v>
      </c>
      <c r="D281" t="s">
        <v>731</v>
      </c>
      <c r="E281" t="s">
        <v>1416</v>
      </c>
      <c r="F281" t="str">
        <f>VLOOKUP(Tabla5[[#This Row],[Code]],[1]!Tabla6[#Data],3,FALSE)</f>
        <v>Color</v>
      </c>
    </row>
    <row r="282" spans="1:6" x14ac:dyDescent="0.25">
      <c r="A282">
        <v>18</v>
      </c>
      <c r="B282" t="str">
        <f>VLOOKUP(Tabla5[[#This Row],[Code]],[1]!Tabla6[#Data],2,FALSE)</f>
        <v>SportsFilm</v>
      </c>
      <c r="C282">
        <v>13</v>
      </c>
      <c r="D282" t="s">
        <v>729</v>
      </c>
      <c r="E282" t="s">
        <v>1577</v>
      </c>
      <c r="F282" t="str">
        <f>VLOOKUP(Tabla5[[#This Row],[Code]],[1]!Tabla6[#Data],3,FALSE)</f>
        <v>Color</v>
      </c>
    </row>
    <row r="283" spans="1:6" x14ac:dyDescent="0.25">
      <c r="A283">
        <v>18</v>
      </c>
      <c r="B283" t="str">
        <f>VLOOKUP(Tabla5[[#This Row],[Code]],[1]!Tabla6[#Data],2,FALSE)</f>
        <v>SportsFilm</v>
      </c>
      <c r="C283">
        <v>14</v>
      </c>
      <c r="D283" t="s">
        <v>783</v>
      </c>
      <c r="E283" t="s">
        <v>1578</v>
      </c>
      <c r="F283" t="str">
        <f>VLOOKUP(Tabla5[[#This Row],[Code]],[1]!Tabla6[#Data],3,FALSE)</f>
        <v>Color</v>
      </c>
    </row>
    <row r="284" spans="1:6" x14ac:dyDescent="0.25">
      <c r="A284">
        <v>18</v>
      </c>
      <c r="B284" t="str">
        <f>VLOOKUP(Tabla5[[#This Row],[Code]],[1]!Tabla6[#Data],2,FALSE)</f>
        <v>SportsFilm</v>
      </c>
      <c r="C284">
        <v>15</v>
      </c>
      <c r="D284" t="s">
        <v>739</v>
      </c>
      <c r="E284" t="s">
        <v>1489</v>
      </c>
      <c r="F284" t="str">
        <f>VLOOKUP(Tabla5[[#This Row],[Code]],[1]!Tabla6[#Data],3,FALSE)</f>
        <v>Color</v>
      </c>
    </row>
    <row r="285" spans="1:6" x14ac:dyDescent="0.25">
      <c r="A285">
        <v>18</v>
      </c>
      <c r="B285" t="str">
        <f>VLOOKUP(Tabla5[[#This Row],[Code]],[1]!Tabla6[#Data],2,FALSE)</f>
        <v>SportsFilm</v>
      </c>
      <c r="C285">
        <v>16</v>
      </c>
      <c r="D285" t="s">
        <v>737</v>
      </c>
      <c r="E285" t="s">
        <v>1488</v>
      </c>
      <c r="F285" t="str">
        <f>VLOOKUP(Tabla5[[#This Row],[Code]],[1]!Tabla6[#Data],3,FALSE)</f>
        <v>Color</v>
      </c>
    </row>
    <row r="286" spans="1:6" x14ac:dyDescent="0.25">
      <c r="A286">
        <v>18</v>
      </c>
      <c r="B286" t="str">
        <f>VLOOKUP(Tabla5[[#This Row],[Code]],[1]!Tabla6[#Data],2,FALSE)</f>
        <v>SportsFilm</v>
      </c>
      <c r="C286">
        <v>17</v>
      </c>
      <c r="D286" t="s">
        <v>735</v>
      </c>
      <c r="E286" t="s">
        <v>1579</v>
      </c>
      <c r="F286" t="str">
        <f>VLOOKUP(Tabla5[[#This Row],[Code]],[1]!Tabla6[#Data],3,FALSE)</f>
        <v>Color</v>
      </c>
    </row>
    <row r="287" spans="1:6" x14ac:dyDescent="0.25">
      <c r="A287">
        <v>18</v>
      </c>
      <c r="B287" t="str">
        <f>VLOOKUP(Tabla5[[#This Row],[Code]],[1]!Tabla6[#Data],2,FALSE)</f>
        <v>SportsFilm</v>
      </c>
      <c r="C287">
        <v>18</v>
      </c>
      <c r="D287" t="s">
        <v>733</v>
      </c>
      <c r="E287" t="s">
        <v>1580</v>
      </c>
      <c r="F287" t="str">
        <f>VLOOKUP(Tabla5[[#This Row],[Code]],[1]!Tabla6[#Data],3,FALSE)</f>
        <v>Color</v>
      </c>
    </row>
    <row r="288" spans="1:6" x14ac:dyDescent="0.25">
      <c r="A288">
        <v>18</v>
      </c>
      <c r="B288" t="str">
        <f>VLOOKUP(Tabla5[[#This Row],[Code]],[1]!Tabla6[#Data],2,FALSE)</f>
        <v>SportsFilm</v>
      </c>
      <c r="C288">
        <v>19</v>
      </c>
      <c r="D288" t="s">
        <v>743</v>
      </c>
      <c r="E288" t="s">
        <v>1581</v>
      </c>
      <c r="F288" t="str">
        <f>VLOOKUP(Tabla5[[#This Row],[Code]],[1]!Tabla6[#Data],3,FALSE)</f>
        <v>Color</v>
      </c>
    </row>
    <row r="289" spans="1:6" x14ac:dyDescent="0.25">
      <c r="A289">
        <v>18</v>
      </c>
      <c r="B289" t="str">
        <f>VLOOKUP(Tabla5[[#This Row],[Code]],[1]!Tabla6[#Data],2,FALSE)</f>
        <v>SportsFilm</v>
      </c>
      <c r="C289">
        <v>20</v>
      </c>
      <c r="D289" t="s">
        <v>741</v>
      </c>
      <c r="E289" t="s">
        <v>1582</v>
      </c>
      <c r="F289" t="str">
        <f>VLOOKUP(Tabla5[[#This Row],[Code]],[1]!Tabla6[#Data],3,FALSE)</f>
        <v>Color</v>
      </c>
    </row>
    <row r="290" spans="1:6" x14ac:dyDescent="0.25">
      <c r="A290">
        <v>18</v>
      </c>
      <c r="B290" t="str">
        <f>VLOOKUP(Tabla5[[#This Row],[Code]],[1]!Tabla6[#Data],2,FALSE)</f>
        <v>SportsFilm</v>
      </c>
      <c r="C290">
        <v>21</v>
      </c>
      <c r="D290" t="s">
        <v>749</v>
      </c>
      <c r="E290" t="s">
        <v>1583</v>
      </c>
      <c r="F290" t="str">
        <f>VLOOKUP(Tabla5[[#This Row],[Code]],[1]!Tabla6[#Data],3,FALSE)</f>
        <v>Color</v>
      </c>
    </row>
    <row r="291" spans="1:6" x14ac:dyDescent="0.25">
      <c r="A291">
        <v>18</v>
      </c>
      <c r="B291" t="str">
        <f>VLOOKUP(Tabla5[[#This Row],[Code]],[1]!Tabla6[#Data],2,FALSE)</f>
        <v>SportsFilm</v>
      </c>
      <c r="C291">
        <v>22</v>
      </c>
      <c r="D291" t="s">
        <v>785</v>
      </c>
      <c r="E291" t="s">
        <v>1584</v>
      </c>
      <c r="F291" t="str">
        <f>VLOOKUP(Tabla5[[#This Row],[Code]],[1]!Tabla6[#Data],3,FALSE)</f>
        <v>Color</v>
      </c>
    </row>
    <row r="292" spans="1:6" x14ac:dyDescent="0.25">
      <c r="A292">
        <v>18</v>
      </c>
      <c r="B292" t="str">
        <f>VLOOKUP(Tabla5[[#This Row],[Code]],[1]!Tabla6[#Data],2,FALSE)</f>
        <v>SportsFilm</v>
      </c>
      <c r="C292">
        <v>23</v>
      </c>
      <c r="D292" t="s">
        <v>747</v>
      </c>
      <c r="E292" t="s">
        <v>1470</v>
      </c>
      <c r="F292" t="str">
        <f>VLOOKUP(Tabla5[[#This Row],[Code]],[1]!Tabla6[#Data],3,FALSE)</f>
        <v>Color</v>
      </c>
    </row>
    <row r="293" spans="1:6" x14ac:dyDescent="0.25">
      <c r="A293">
        <v>18</v>
      </c>
      <c r="B293" t="str">
        <f>VLOOKUP(Tabla5[[#This Row],[Code]],[1]!Tabla6[#Data],2,FALSE)</f>
        <v>SportsFilm</v>
      </c>
      <c r="C293">
        <v>24</v>
      </c>
      <c r="D293" t="s">
        <v>745</v>
      </c>
      <c r="E293" t="s">
        <v>1585</v>
      </c>
      <c r="F293" t="str">
        <f>VLOOKUP(Tabla5[[#This Row],[Code]],[1]!Tabla6[#Data],3,FALSE)</f>
        <v>Color</v>
      </c>
    </row>
    <row r="294" spans="1:6" x14ac:dyDescent="0.25">
      <c r="A294">
        <v>18</v>
      </c>
      <c r="B294" t="str">
        <f>VLOOKUP(Tabla5[[#This Row],[Code]],[1]!Tabla6[#Data],2,FALSE)</f>
        <v>SportsFilm</v>
      </c>
      <c r="C294">
        <v>25</v>
      </c>
      <c r="D294" t="s">
        <v>751</v>
      </c>
      <c r="E294" t="s">
        <v>1622</v>
      </c>
      <c r="F294" t="str">
        <f>VLOOKUP(Tabla5[[#This Row],[Code]],[1]!Tabla6[#Data],3,FALSE)</f>
        <v>Color</v>
      </c>
    </row>
    <row r="295" spans="1:6" x14ac:dyDescent="0.25">
      <c r="A295">
        <v>18</v>
      </c>
      <c r="B295" t="str">
        <f>VLOOKUP(Tabla5[[#This Row],[Code]],[1]!Tabla6[#Data],2,FALSE)</f>
        <v>SportsFilm</v>
      </c>
      <c r="C295">
        <v>26</v>
      </c>
      <c r="D295" t="s">
        <v>753</v>
      </c>
      <c r="E295" t="s">
        <v>1587</v>
      </c>
      <c r="F295" t="str">
        <f>VLOOKUP(Tabla5[[#This Row],[Code]],[1]!Tabla6[#Data],3,FALSE)</f>
        <v>Color</v>
      </c>
    </row>
    <row r="296" spans="1:6" x14ac:dyDescent="0.25">
      <c r="A296">
        <v>18</v>
      </c>
      <c r="B296" t="str">
        <f>VLOOKUP(Tabla5[[#This Row],[Code]],[1]!Tabla6[#Data],2,FALSE)</f>
        <v>SportsFilm</v>
      </c>
      <c r="C296">
        <v>27</v>
      </c>
      <c r="D296" t="s">
        <v>761</v>
      </c>
      <c r="E296" t="s">
        <v>1588</v>
      </c>
      <c r="F296" t="str">
        <f>VLOOKUP(Tabla5[[#This Row],[Code]],[1]!Tabla6[#Data],3,FALSE)</f>
        <v>Color</v>
      </c>
    </row>
    <row r="297" spans="1:6" x14ac:dyDescent="0.25">
      <c r="A297">
        <v>18</v>
      </c>
      <c r="B297" t="str">
        <f>VLOOKUP(Tabla5[[#This Row],[Code]],[1]!Tabla6[#Data],2,FALSE)</f>
        <v>SportsFilm</v>
      </c>
      <c r="C297">
        <v>28</v>
      </c>
      <c r="D297" t="s">
        <v>787</v>
      </c>
      <c r="E297" t="s">
        <v>1589</v>
      </c>
      <c r="F297" t="str">
        <f>VLOOKUP(Tabla5[[#This Row],[Code]],[1]!Tabla6[#Data],3,FALSE)</f>
        <v>Color</v>
      </c>
    </row>
    <row r="298" spans="1:6" x14ac:dyDescent="0.25">
      <c r="A298">
        <v>18</v>
      </c>
      <c r="B298" t="str">
        <f>VLOOKUP(Tabla5[[#This Row],[Code]],[1]!Tabla6[#Data],2,FALSE)</f>
        <v>SportsFilm</v>
      </c>
      <c r="C298">
        <v>29</v>
      </c>
      <c r="D298" t="s">
        <v>763</v>
      </c>
      <c r="E298" t="s">
        <v>1590</v>
      </c>
      <c r="F298" t="str">
        <f>VLOOKUP(Tabla5[[#This Row],[Code]],[1]!Tabla6[#Data],3,FALSE)</f>
        <v>Color</v>
      </c>
    </row>
    <row r="299" spans="1:6" x14ac:dyDescent="0.25">
      <c r="A299">
        <v>18</v>
      </c>
      <c r="B299" t="str">
        <f>VLOOKUP(Tabla5[[#This Row],[Code]],[1]!Tabla6[#Data],2,FALSE)</f>
        <v>SportsFilm</v>
      </c>
      <c r="C299">
        <v>30</v>
      </c>
      <c r="D299" t="s">
        <v>755</v>
      </c>
      <c r="E299" t="s">
        <v>1591</v>
      </c>
      <c r="F299" t="str">
        <f>VLOOKUP(Tabla5[[#This Row],[Code]],[1]!Tabla6[#Data],3,FALSE)</f>
        <v>Color</v>
      </c>
    </row>
    <row r="300" spans="1:6" x14ac:dyDescent="0.25">
      <c r="A300">
        <v>18</v>
      </c>
      <c r="B300" t="str">
        <f>VLOOKUP(Tabla5[[#This Row],[Code]],[1]!Tabla6[#Data],2,FALSE)</f>
        <v>SportsFilm</v>
      </c>
      <c r="C300">
        <v>31</v>
      </c>
      <c r="D300" t="s">
        <v>757</v>
      </c>
      <c r="E300" t="s">
        <v>1592</v>
      </c>
      <c r="F300" t="str">
        <f>VLOOKUP(Tabla5[[#This Row],[Code]],[1]!Tabla6[#Data],3,FALSE)</f>
        <v>Color</v>
      </c>
    </row>
    <row r="301" spans="1:6" x14ac:dyDescent="0.25">
      <c r="A301">
        <v>18</v>
      </c>
      <c r="B301" t="str">
        <f>VLOOKUP(Tabla5[[#This Row],[Code]],[1]!Tabla6[#Data],2,FALSE)</f>
        <v>SportsFilm</v>
      </c>
      <c r="C301">
        <v>32</v>
      </c>
      <c r="D301" t="s">
        <v>759</v>
      </c>
      <c r="E301" t="s">
        <v>1593</v>
      </c>
      <c r="F301" t="str">
        <f>VLOOKUP(Tabla5[[#This Row],[Code]],[1]!Tabla6[#Data],3,FALSE)</f>
        <v>Color</v>
      </c>
    </row>
    <row r="302" spans="1:6" x14ac:dyDescent="0.25">
      <c r="A302">
        <v>18</v>
      </c>
      <c r="B302" t="str">
        <f>VLOOKUP(Tabla5[[#This Row],[Code]],[1]!Tabla6[#Data],2,FALSE)</f>
        <v>SportsFilm</v>
      </c>
      <c r="C302">
        <v>33</v>
      </c>
      <c r="D302" t="s">
        <v>765</v>
      </c>
      <c r="E302" t="s">
        <v>1594</v>
      </c>
      <c r="F302" t="str">
        <f>VLOOKUP(Tabla5[[#This Row],[Code]],[1]!Tabla6[#Data],3,FALSE)</f>
        <v>Color</v>
      </c>
    </row>
    <row r="303" spans="1:6" x14ac:dyDescent="0.25">
      <c r="A303">
        <v>18</v>
      </c>
      <c r="B303" t="str">
        <f>VLOOKUP(Tabla5[[#This Row],[Code]],[1]!Tabla6[#Data],2,FALSE)</f>
        <v>SportsFilm</v>
      </c>
      <c r="C303">
        <v>34</v>
      </c>
      <c r="D303" t="s">
        <v>767</v>
      </c>
      <c r="E303" t="s">
        <v>1482</v>
      </c>
      <c r="F303" t="str">
        <f>VLOOKUP(Tabla5[[#This Row],[Code]],[1]!Tabla6[#Data],3,FALSE)</f>
        <v>Color</v>
      </c>
    </row>
    <row r="304" spans="1:6" x14ac:dyDescent="0.25">
      <c r="A304">
        <v>18</v>
      </c>
      <c r="B304" t="str">
        <f>VLOOKUP(Tabla5[[#This Row],[Code]],[1]!Tabla6[#Data],2,FALSE)</f>
        <v>SportsFilm</v>
      </c>
      <c r="C304">
        <v>35</v>
      </c>
      <c r="D304" t="s">
        <v>773</v>
      </c>
      <c r="E304" t="s">
        <v>1401</v>
      </c>
      <c r="F304" t="str">
        <f>VLOOKUP(Tabla5[[#This Row],[Code]],[1]!Tabla6[#Data],3,FALSE)</f>
        <v>Color</v>
      </c>
    </row>
    <row r="305" spans="1:6" x14ac:dyDescent="0.25">
      <c r="A305">
        <v>18</v>
      </c>
      <c r="B305" t="str">
        <f>VLOOKUP(Tabla5[[#This Row],[Code]],[1]!Tabla6[#Data],2,FALSE)</f>
        <v>SportsFilm</v>
      </c>
      <c r="C305">
        <v>36</v>
      </c>
      <c r="D305" t="s">
        <v>769</v>
      </c>
      <c r="E305" t="s">
        <v>1595</v>
      </c>
      <c r="F305" t="str">
        <f>VLOOKUP(Tabla5[[#This Row],[Code]],[1]!Tabla6[#Data],3,FALSE)</f>
        <v>Color</v>
      </c>
    </row>
    <row r="306" spans="1:6" x14ac:dyDescent="0.25">
      <c r="A306">
        <v>18</v>
      </c>
      <c r="B306" t="str">
        <f>VLOOKUP(Tabla5[[#This Row],[Code]],[1]!Tabla6[#Data],2,FALSE)</f>
        <v>SportsFilm</v>
      </c>
      <c r="C306">
        <v>37</v>
      </c>
      <c r="D306" t="s">
        <v>771</v>
      </c>
      <c r="E306" t="s">
        <v>1596</v>
      </c>
      <c r="F306" t="str">
        <f>VLOOKUP(Tabla5[[#This Row],[Code]],[1]!Tabla6[#Data],3,FALSE)</f>
        <v>Color</v>
      </c>
    </row>
    <row r="307" spans="1:6" x14ac:dyDescent="0.25">
      <c r="A307">
        <v>18</v>
      </c>
      <c r="B307" t="str">
        <f>VLOOKUP(Tabla5[[#This Row],[Code]],[1]!Tabla6[#Data],2,FALSE)</f>
        <v>SportsFilm</v>
      </c>
      <c r="C307">
        <v>38</v>
      </c>
      <c r="D307" t="s">
        <v>775</v>
      </c>
      <c r="E307" t="s">
        <v>1492</v>
      </c>
      <c r="F307" t="str">
        <f>VLOOKUP(Tabla5[[#This Row],[Code]],[1]!Tabla6[#Data],3,FALSE)</f>
        <v>Color</v>
      </c>
    </row>
    <row r="308" spans="1:6" x14ac:dyDescent="0.25">
      <c r="A308">
        <v>18</v>
      </c>
      <c r="B308" t="str">
        <f>VLOOKUP(Tabla5[[#This Row],[Code]],[1]!Tabla6[#Data],2,FALSE)</f>
        <v>SportsFilm</v>
      </c>
      <c r="C308">
        <v>39</v>
      </c>
      <c r="D308" t="s">
        <v>1623</v>
      </c>
      <c r="E308" t="s">
        <v>1600</v>
      </c>
      <c r="F308" t="str">
        <f>VLOOKUP(Tabla5[[#This Row],[Code]],[1]!Tabla6[#Data],3,FALSE)</f>
        <v>Color</v>
      </c>
    </row>
    <row r="309" spans="1:6" x14ac:dyDescent="0.25">
      <c r="A309">
        <v>18</v>
      </c>
      <c r="B309" t="str">
        <f>VLOOKUP(Tabla5[[#This Row],[Code]],[1]!Tabla6[#Data],2,FALSE)</f>
        <v>SportsFilm</v>
      </c>
      <c r="C309">
        <v>40</v>
      </c>
      <c r="D309" t="s">
        <v>1624</v>
      </c>
      <c r="E309" t="s">
        <v>1602</v>
      </c>
      <c r="F309" t="str">
        <f>VLOOKUP(Tabla5[[#This Row],[Code]],[1]!Tabla6[#Data],3,FALSE)</f>
        <v>Color</v>
      </c>
    </row>
    <row r="310" spans="1:6" x14ac:dyDescent="0.25">
      <c r="A310">
        <v>18</v>
      </c>
      <c r="B310" t="str">
        <f>VLOOKUP(Tabla5[[#This Row],[Code]],[1]!Tabla6[#Data],2,FALSE)</f>
        <v>SportsFilm</v>
      </c>
      <c r="C310">
        <v>41</v>
      </c>
      <c r="D310" t="s">
        <v>1625</v>
      </c>
      <c r="E310" t="s">
        <v>1454</v>
      </c>
      <c r="F310" t="str">
        <f>VLOOKUP(Tabla5[[#This Row],[Code]],[1]!Tabla6[#Data],3,FALSE)</f>
        <v>Color</v>
      </c>
    </row>
    <row r="311" spans="1:6" x14ac:dyDescent="0.25">
      <c r="A311">
        <v>18</v>
      </c>
      <c r="B311" t="str">
        <f>VLOOKUP(Tabla5[[#This Row],[Code]],[1]!Tabla6[#Data],2,FALSE)</f>
        <v>SportsFilm</v>
      </c>
      <c r="C311">
        <v>42</v>
      </c>
      <c r="D311" t="s">
        <v>1266</v>
      </c>
      <c r="E311" t="s">
        <v>1605</v>
      </c>
      <c r="F311" t="str">
        <f>VLOOKUP(Tabla5[[#This Row],[Code]],[1]!Tabla6[#Data],3,FALSE)</f>
        <v>Color</v>
      </c>
    </row>
    <row r="312" spans="1:6" x14ac:dyDescent="0.25">
      <c r="A312">
        <v>18</v>
      </c>
      <c r="B312" t="str">
        <f>VLOOKUP(Tabla5[[#This Row],[Code]],[1]!Tabla6[#Data],2,FALSE)</f>
        <v>SportsFilm</v>
      </c>
      <c r="C312">
        <v>43</v>
      </c>
      <c r="D312" t="s">
        <v>1210</v>
      </c>
      <c r="E312" t="s">
        <v>1607</v>
      </c>
      <c r="F312" t="str">
        <f>VLOOKUP(Tabla5[[#This Row],[Code]],[1]!Tabla6[#Data],3,FALSE)</f>
        <v>Color</v>
      </c>
    </row>
    <row r="313" spans="1:6" x14ac:dyDescent="0.25">
      <c r="A313">
        <v>18</v>
      </c>
      <c r="B313" t="str">
        <f>VLOOKUP(Tabla5[[#This Row],[Code]],[1]!Tabla6[#Data],2,FALSE)</f>
        <v>SportsFilm</v>
      </c>
      <c r="C313">
        <v>44</v>
      </c>
      <c r="D313" t="s">
        <v>1626</v>
      </c>
      <c r="E313" t="s">
        <v>1609</v>
      </c>
      <c r="F313" t="str">
        <f>VLOOKUP(Tabla5[[#This Row],[Code]],[1]!Tabla6[#Data],3,FALSE)</f>
        <v>Color</v>
      </c>
    </row>
    <row r="314" spans="1:6" x14ac:dyDescent="0.25">
      <c r="A314">
        <v>18</v>
      </c>
      <c r="B314" t="str">
        <f>VLOOKUP(Tabla5[[#This Row],[Code]],[1]!Tabla6[#Data],2,FALSE)</f>
        <v>SportsFilm</v>
      </c>
      <c r="C314">
        <v>45</v>
      </c>
      <c r="D314" t="s">
        <v>1627</v>
      </c>
      <c r="E314" t="s">
        <v>1611</v>
      </c>
      <c r="F314" t="str">
        <f>VLOOKUP(Tabla5[[#This Row],[Code]],[1]!Tabla6[#Data],3,FALSE)</f>
        <v>Color</v>
      </c>
    </row>
    <row r="315" spans="1:6" x14ac:dyDescent="0.25">
      <c r="A315">
        <v>18</v>
      </c>
      <c r="B315" t="str">
        <f>VLOOKUP(Tabla5[[#This Row],[Code]],[1]!Tabla6[#Data],2,FALSE)</f>
        <v>SportsFilm</v>
      </c>
      <c r="C315">
        <v>46</v>
      </c>
      <c r="D315" t="s">
        <v>1628</v>
      </c>
      <c r="E315" t="s">
        <v>1613</v>
      </c>
      <c r="F315" t="str">
        <f>VLOOKUP(Tabla5[[#This Row],[Code]],[1]!Tabla6[#Data],3,FALSE)</f>
        <v>Color</v>
      </c>
    </row>
    <row r="316" spans="1:6" x14ac:dyDescent="0.25">
      <c r="A316">
        <v>18</v>
      </c>
      <c r="B316" t="str">
        <f>VLOOKUP(Tabla5[[#This Row],[Code]],[1]!Tabla6[#Data],2,FALSE)</f>
        <v>SportsFilm</v>
      </c>
      <c r="C316">
        <v>48</v>
      </c>
      <c r="D316" t="s">
        <v>1212</v>
      </c>
      <c r="E316" t="s">
        <v>1629</v>
      </c>
      <c r="F316" t="str">
        <f>VLOOKUP(Tabla5[[#This Row],[Code]],[1]!Tabla6[#Data],3,FALSE)</f>
        <v>Color</v>
      </c>
    </row>
    <row r="317" spans="1:6" x14ac:dyDescent="0.25">
      <c r="A317">
        <v>18</v>
      </c>
      <c r="B317" t="str">
        <f>VLOOKUP(Tabla5[[#This Row],[Code]],[1]!Tabla6[#Data],2,FALSE)</f>
        <v>SportsFilm</v>
      </c>
      <c r="C317">
        <v>52</v>
      </c>
      <c r="D317" t="s">
        <v>1630</v>
      </c>
      <c r="E317" t="s">
        <v>1631</v>
      </c>
      <c r="F317" t="str">
        <f>VLOOKUP(Tabla5[[#This Row],[Code]],[1]!Tabla6[#Data],3,FALSE)</f>
        <v>Color</v>
      </c>
    </row>
    <row r="318" spans="1:6" x14ac:dyDescent="0.25">
      <c r="A318">
        <v>19</v>
      </c>
      <c r="B318" t="str">
        <f>VLOOKUP(Tabla5[[#This Row],[Code]],[1]!Tabla6[#Data],2,FALSE)</f>
        <v>Sublistop</v>
      </c>
      <c r="C318">
        <v>1</v>
      </c>
      <c r="D318" t="s">
        <v>922</v>
      </c>
      <c r="E318" t="s">
        <v>1387</v>
      </c>
      <c r="F318" t="str">
        <f>VLOOKUP(Tabla5[[#This Row],[Code]],[1]!Tabla6[#Data],3,FALSE)</f>
        <v>Color</v>
      </c>
    </row>
    <row r="319" spans="1:6" x14ac:dyDescent="0.25">
      <c r="A319">
        <v>19</v>
      </c>
      <c r="B319" t="str">
        <f>VLOOKUP(Tabla5[[#This Row],[Code]],[1]!Tabla6[#Data],2,FALSE)</f>
        <v>Sublistop</v>
      </c>
      <c r="C319">
        <v>2</v>
      </c>
      <c r="D319" t="s">
        <v>924</v>
      </c>
      <c r="E319" t="s">
        <v>1570</v>
      </c>
      <c r="F319" t="str">
        <f>VLOOKUP(Tabla5[[#This Row],[Code]],[1]!Tabla6[#Data],3,FALSE)</f>
        <v>Color</v>
      </c>
    </row>
    <row r="320" spans="1:6" x14ac:dyDescent="0.25">
      <c r="A320">
        <v>19</v>
      </c>
      <c r="B320" t="str">
        <f>VLOOKUP(Tabla5[[#This Row],[Code]],[1]!Tabla6[#Data],2,FALSE)</f>
        <v>Sublistop</v>
      </c>
      <c r="C320">
        <v>3</v>
      </c>
      <c r="D320" t="s">
        <v>926</v>
      </c>
      <c r="E320" t="s">
        <v>1573</v>
      </c>
      <c r="F320" t="str">
        <f>VLOOKUP(Tabla5[[#This Row],[Code]],[1]!Tabla6[#Data],3,FALSE)</f>
        <v>Color</v>
      </c>
    </row>
    <row r="321" spans="1:6" x14ac:dyDescent="0.25">
      <c r="A321">
        <v>19</v>
      </c>
      <c r="B321" t="str">
        <f>VLOOKUP(Tabla5[[#This Row],[Code]],[1]!Tabla6[#Data],2,FALSE)</f>
        <v>Sublistop</v>
      </c>
      <c r="C321">
        <v>4</v>
      </c>
      <c r="D321" t="s">
        <v>942</v>
      </c>
      <c r="E321" t="s">
        <v>1632</v>
      </c>
      <c r="F321" t="str">
        <f>VLOOKUP(Tabla5[[#This Row],[Code]],[1]!Tabla6[#Data],3,FALSE)</f>
        <v>Color</v>
      </c>
    </row>
    <row r="322" spans="1:6" x14ac:dyDescent="0.25">
      <c r="A322">
        <v>19</v>
      </c>
      <c r="B322" t="str">
        <f>VLOOKUP(Tabla5[[#This Row],[Code]],[1]!Tabla6[#Data],2,FALSE)</f>
        <v>Sublistop</v>
      </c>
      <c r="C322">
        <v>5</v>
      </c>
      <c r="D322" t="s">
        <v>928</v>
      </c>
      <c r="E322" t="s">
        <v>1576</v>
      </c>
      <c r="F322" t="str">
        <f>VLOOKUP(Tabla5[[#This Row],[Code]],[1]!Tabla6[#Data],3,FALSE)</f>
        <v>Color</v>
      </c>
    </row>
    <row r="323" spans="1:6" x14ac:dyDescent="0.25">
      <c r="A323">
        <v>19</v>
      </c>
      <c r="B323" t="str">
        <f>VLOOKUP(Tabla5[[#This Row],[Code]],[1]!Tabla6[#Data],2,FALSE)</f>
        <v>Sublistop</v>
      </c>
      <c r="C323">
        <v>6</v>
      </c>
      <c r="D323" t="s">
        <v>930</v>
      </c>
      <c r="E323" t="s">
        <v>1416</v>
      </c>
      <c r="F323" t="str">
        <f>VLOOKUP(Tabla5[[#This Row],[Code]],[1]!Tabla6[#Data],3,FALSE)</f>
        <v>Color</v>
      </c>
    </row>
    <row r="324" spans="1:6" x14ac:dyDescent="0.25">
      <c r="A324">
        <v>19</v>
      </c>
      <c r="B324" t="str">
        <f>VLOOKUP(Tabla5[[#This Row],[Code]],[1]!Tabla6[#Data],2,FALSE)</f>
        <v>Sublistop</v>
      </c>
      <c r="C324">
        <v>7</v>
      </c>
      <c r="D324" t="s">
        <v>932</v>
      </c>
      <c r="E324" t="s">
        <v>1470</v>
      </c>
      <c r="F324" t="str">
        <f>VLOOKUP(Tabla5[[#This Row],[Code]],[1]!Tabla6[#Data],3,FALSE)</f>
        <v>Color</v>
      </c>
    </row>
    <row r="325" spans="1:6" x14ac:dyDescent="0.25">
      <c r="A325">
        <v>19</v>
      </c>
      <c r="B325" t="str">
        <f>VLOOKUP(Tabla5[[#This Row],[Code]],[1]!Tabla6[#Data],2,FALSE)</f>
        <v>Sublistop</v>
      </c>
      <c r="C325">
        <v>8</v>
      </c>
      <c r="D325" t="s">
        <v>934</v>
      </c>
      <c r="E325" t="s">
        <v>1587</v>
      </c>
      <c r="F325" t="str">
        <f>VLOOKUP(Tabla5[[#This Row],[Code]],[1]!Tabla6[#Data],3,FALSE)</f>
        <v>Color</v>
      </c>
    </row>
    <row r="326" spans="1:6" x14ac:dyDescent="0.25">
      <c r="A326">
        <v>19</v>
      </c>
      <c r="B326" t="str">
        <f>VLOOKUP(Tabla5[[#This Row],[Code]],[1]!Tabla6[#Data],2,FALSE)</f>
        <v>Sublistop</v>
      </c>
      <c r="C326">
        <v>9</v>
      </c>
      <c r="D326" t="s">
        <v>936</v>
      </c>
      <c r="E326" t="s">
        <v>1593</v>
      </c>
      <c r="F326" t="str">
        <f>VLOOKUP(Tabla5[[#This Row],[Code]],[1]!Tabla6[#Data],3,FALSE)</f>
        <v>Color</v>
      </c>
    </row>
    <row r="327" spans="1:6" x14ac:dyDescent="0.25">
      <c r="A327">
        <v>19</v>
      </c>
      <c r="B327" t="str">
        <f>VLOOKUP(Tabla5[[#This Row],[Code]],[1]!Tabla6[#Data],2,FALSE)</f>
        <v>Sublistop</v>
      </c>
      <c r="C327">
        <v>10</v>
      </c>
      <c r="D327" t="s">
        <v>938</v>
      </c>
      <c r="E327" t="s">
        <v>1458</v>
      </c>
      <c r="F327" t="str">
        <f>VLOOKUP(Tabla5[[#This Row],[Code]],[1]!Tabla6[#Data],3,FALSE)</f>
        <v>Color</v>
      </c>
    </row>
    <row r="328" spans="1:6" x14ac:dyDescent="0.25">
      <c r="A328">
        <v>19</v>
      </c>
      <c r="B328" t="str">
        <f>VLOOKUP(Tabla5[[#This Row],[Code]],[1]!Tabla6[#Data],2,FALSE)</f>
        <v>Sublistop</v>
      </c>
      <c r="C328">
        <v>11</v>
      </c>
      <c r="D328" t="s">
        <v>940</v>
      </c>
      <c r="E328" t="s">
        <v>1492</v>
      </c>
      <c r="F328" t="str">
        <f>VLOOKUP(Tabla5[[#This Row],[Code]],[1]!Tabla6[#Data],3,FALSE)</f>
        <v>Color</v>
      </c>
    </row>
    <row r="329" spans="1:6" x14ac:dyDescent="0.25">
      <c r="A329">
        <v>19</v>
      </c>
      <c r="B329" t="str">
        <f>VLOOKUP(Tabla5[[#This Row],[Code]],[1]!Tabla6[#Data],2,FALSE)</f>
        <v>Sublistop</v>
      </c>
      <c r="C329">
        <v>12</v>
      </c>
      <c r="D329" t="s">
        <v>1633</v>
      </c>
      <c r="E329" t="s">
        <v>1571</v>
      </c>
      <c r="F329" t="str">
        <f>VLOOKUP(Tabla5[[#This Row],[Code]],[1]!Tabla6[#Data],3,FALSE)</f>
        <v>Color</v>
      </c>
    </row>
    <row r="330" spans="1:6" x14ac:dyDescent="0.25">
      <c r="A330">
        <v>19</v>
      </c>
      <c r="B330" t="str">
        <f>VLOOKUP(Tabla5[[#This Row],[Code]],[1]!Tabla6[#Data],2,FALSE)</f>
        <v>Sublistop</v>
      </c>
      <c r="C330">
        <v>13</v>
      </c>
      <c r="D330" t="s">
        <v>1634</v>
      </c>
      <c r="E330" t="s">
        <v>1572</v>
      </c>
      <c r="F330" t="str">
        <f>VLOOKUP(Tabla5[[#This Row],[Code]],[1]!Tabla6[#Data],3,FALSE)</f>
        <v>Color</v>
      </c>
    </row>
    <row r="331" spans="1:6" x14ac:dyDescent="0.25">
      <c r="A331">
        <v>19</v>
      </c>
      <c r="B331" t="str">
        <f>VLOOKUP(Tabla5[[#This Row],[Code]],[1]!Tabla6[#Data],2,FALSE)</f>
        <v>Sublistop</v>
      </c>
      <c r="C331">
        <v>14</v>
      </c>
      <c r="D331" t="s">
        <v>1635</v>
      </c>
      <c r="E331" t="s">
        <v>1405</v>
      </c>
      <c r="F331" t="str">
        <f>VLOOKUP(Tabla5[[#This Row],[Code]],[1]!Tabla6[#Data],3,FALSE)</f>
        <v>Color</v>
      </c>
    </row>
    <row r="332" spans="1:6" x14ac:dyDescent="0.25">
      <c r="A332">
        <v>19</v>
      </c>
      <c r="B332" t="str">
        <f>VLOOKUP(Tabla5[[#This Row],[Code]],[1]!Tabla6[#Data],2,FALSE)</f>
        <v>Sublistop</v>
      </c>
      <c r="C332">
        <v>15</v>
      </c>
      <c r="D332" t="s">
        <v>1636</v>
      </c>
      <c r="E332" t="s">
        <v>1495</v>
      </c>
      <c r="F332" t="str">
        <f>VLOOKUP(Tabla5[[#This Row],[Code]],[1]!Tabla6[#Data],3,FALSE)</f>
        <v>Color</v>
      </c>
    </row>
    <row r="333" spans="1:6" x14ac:dyDescent="0.25">
      <c r="A333">
        <v>19</v>
      </c>
      <c r="B333" t="str">
        <f>VLOOKUP(Tabla5[[#This Row],[Code]],[1]!Tabla6[#Data],2,FALSE)</f>
        <v>Sublistop</v>
      </c>
      <c r="C333">
        <v>16</v>
      </c>
      <c r="D333" t="s">
        <v>1637</v>
      </c>
      <c r="E333" t="s">
        <v>1575</v>
      </c>
      <c r="F333" t="str">
        <f>VLOOKUP(Tabla5[[#This Row],[Code]],[1]!Tabla6[#Data],3,FALSE)</f>
        <v>Color</v>
      </c>
    </row>
    <row r="334" spans="1:6" x14ac:dyDescent="0.25">
      <c r="A334">
        <v>19</v>
      </c>
      <c r="B334" t="str">
        <f>VLOOKUP(Tabla5[[#This Row],[Code]],[1]!Tabla6[#Data],2,FALSE)</f>
        <v>Sublistop</v>
      </c>
      <c r="C334">
        <v>17</v>
      </c>
      <c r="D334" t="s">
        <v>1638</v>
      </c>
      <c r="E334" t="s">
        <v>1577</v>
      </c>
      <c r="F334" t="str">
        <f>VLOOKUP(Tabla5[[#This Row],[Code]],[1]!Tabla6[#Data],3,FALSE)</f>
        <v>Color</v>
      </c>
    </row>
    <row r="335" spans="1:6" x14ac:dyDescent="0.25">
      <c r="A335">
        <v>19</v>
      </c>
      <c r="B335" t="str">
        <f>VLOOKUP(Tabla5[[#This Row],[Code]],[1]!Tabla6[#Data],2,FALSE)</f>
        <v>Sublistop</v>
      </c>
      <c r="C335">
        <v>18</v>
      </c>
      <c r="D335" t="s">
        <v>1639</v>
      </c>
      <c r="E335" t="s">
        <v>1578</v>
      </c>
      <c r="F335" t="str">
        <f>VLOOKUP(Tabla5[[#This Row],[Code]],[1]!Tabla6[#Data],3,FALSE)</f>
        <v>Color</v>
      </c>
    </row>
    <row r="336" spans="1:6" x14ac:dyDescent="0.25">
      <c r="A336">
        <v>19</v>
      </c>
      <c r="B336" t="str">
        <f>VLOOKUP(Tabla5[[#This Row],[Code]],[1]!Tabla6[#Data],2,FALSE)</f>
        <v>Sublistop</v>
      </c>
      <c r="C336">
        <v>19</v>
      </c>
      <c r="D336" t="s">
        <v>1640</v>
      </c>
      <c r="E336" t="s">
        <v>1489</v>
      </c>
      <c r="F336" t="str">
        <f>VLOOKUP(Tabla5[[#This Row],[Code]],[1]!Tabla6[#Data],3,FALSE)</f>
        <v>Color</v>
      </c>
    </row>
    <row r="337" spans="1:6" x14ac:dyDescent="0.25">
      <c r="A337">
        <v>19</v>
      </c>
      <c r="B337" t="str">
        <f>VLOOKUP(Tabla5[[#This Row],[Code]],[1]!Tabla6[#Data],2,FALSE)</f>
        <v>Sublistop</v>
      </c>
      <c r="C337">
        <v>20</v>
      </c>
      <c r="D337" t="s">
        <v>1641</v>
      </c>
      <c r="E337" t="s">
        <v>1488</v>
      </c>
      <c r="F337" t="str">
        <f>VLOOKUP(Tabla5[[#This Row],[Code]],[1]!Tabla6[#Data],3,FALSE)</f>
        <v>Color</v>
      </c>
    </row>
    <row r="338" spans="1:6" x14ac:dyDescent="0.25">
      <c r="A338">
        <v>19</v>
      </c>
      <c r="B338" t="str">
        <f>VLOOKUP(Tabla5[[#This Row],[Code]],[1]!Tabla6[#Data],2,FALSE)</f>
        <v>Sublistop</v>
      </c>
      <c r="C338">
        <v>21</v>
      </c>
      <c r="D338" t="s">
        <v>1642</v>
      </c>
      <c r="E338" t="s">
        <v>1579</v>
      </c>
      <c r="F338" t="str">
        <f>VLOOKUP(Tabla5[[#This Row],[Code]],[1]!Tabla6[#Data],3,FALSE)</f>
        <v>Color</v>
      </c>
    </row>
    <row r="339" spans="1:6" x14ac:dyDescent="0.25">
      <c r="A339">
        <v>19</v>
      </c>
      <c r="B339" t="str">
        <f>VLOOKUP(Tabla5[[#This Row],[Code]],[1]!Tabla6[#Data],2,FALSE)</f>
        <v>Sublistop</v>
      </c>
      <c r="C339">
        <v>22</v>
      </c>
      <c r="D339" t="s">
        <v>1643</v>
      </c>
      <c r="E339" t="s">
        <v>1580</v>
      </c>
      <c r="F339" t="str">
        <f>VLOOKUP(Tabla5[[#This Row],[Code]],[1]!Tabla6[#Data],3,FALSE)</f>
        <v>Color</v>
      </c>
    </row>
    <row r="340" spans="1:6" x14ac:dyDescent="0.25">
      <c r="A340">
        <v>19</v>
      </c>
      <c r="B340" t="str">
        <f>VLOOKUP(Tabla5[[#This Row],[Code]],[1]!Tabla6[#Data],2,FALSE)</f>
        <v>Sublistop</v>
      </c>
      <c r="C340">
        <v>23</v>
      </c>
      <c r="D340" t="s">
        <v>1644</v>
      </c>
      <c r="E340" t="s">
        <v>1581</v>
      </c>
      <c r="F340" t="str">
        <f>VLOOKUP(Tabla5[[#This Row],[Code]],[1]!Tabla6[#Data],3,FALSE)</f>
        <v>Color</v>
      </c>
    </row>
    <row r="341" spans="1:6" x14ac:dyDescent="0.25">
      <c r="A341">
        <v>19</v>
      </c>
      <c r="B341" t="str">
        <f>VLOOKUP(Tabla5[[#This Row],[Code]],[1]!Tabla6[#Data],2,FALSE)</f>
        <v>Sublistop</v>
      </c>
      <c r="C341">
        <v>24</v>
      </c>
      <c r="D341" t="s">
        <v>1645</v>
      </c>
      <c r="E341" t="s">
        <v>1582</v>
      </c>
      <c r="F341" t="str">
        <f>VLOOKUP(Tabla5[[#This Row],[Code]],[1]!Tabla6[#Data],3,FALSE)</f>
        <v>Color</v>
      </c>
    </row>
    <row r="342" spans="1:6" x14ac:dyDescent="0.25">
      <c r="A342">
        <v>19</v>
      </c>
      <c r="B342" t="str">
        <f>VLOOKUP(Tabla5[[#This Row],[Code]],[1]!Tabla6[#Data],2,FALSE)</f>
        <v>Sublistop</v>
      </c>
      <c r="C342">
        <v>25</v>
      </c>
      <c r="D342" t="s">
        <v>1646</v>
      </c>
      <c r="E342" t="s">
        <v>1583</v>
      </c>
      <c r="F342" t="str">
        <f>VLOOKUP(Tabla5[[#This Row],[Code]],[1]!Tabla6[#Data],3,FALSE)</f>
        <v>Color</v>
      </c>
    </row>
    <row r="343" spans="1:6" x14ac:dyDescent="0.25">
      <c r="A343">
        <v>19</v>
      </c>
      <c r="B343" t="str">
        <f>VLOOKUP(Tabla5[[#This Row],[Code]],[1]!Tabla6[#Data],2,FALSE)</f>
        <v>Sublistop</v>
      </c>
      <c r="C343">
        <v>26</v>
      </c>
      <c r="D343" t="s">
        <v>1647</v>
      </c>
      <c r="E343" t="s">
        <v>1584</v>
      </c>
      <c r="F343" t="str">
        <f>VLOOKUP(Tabla5[[#This Row],[Code]],[1]!Tabla6[#Data],3,FALSE)</f>
        <v>Color</v>
      </c>
    </row>
    <row r="344" spans="1:6" x14ac:dyDescent="0.25">
      <c r="A344">
        <v>19</v>
      </c>
      <c r="B344" t="str">
        <f>VLOOKUP(Tabla5[[#This Row],[Code]],[1]!Tabla6[#Data],2,FALSE)</f>
        <v>Sublistop</v>
      </c>
      <c r="C344">
        <v>27</v>
      </c>
      <c r="D344" t="s">
        <v>1648</v>
      </c>
      <c r="E344" t="s">
        <v>1585</v>
      </c>
      <c r="F344" t="str">
        <f>VLOOKUP(Tabla5[[#This Row],[Code]],[1]!Tabla6[#Data],3,FALSE)</f>
        <v>Color</v>
      </c>
    </row>
    <row r="345" spans="1:6" x14ac:dyDescent="0.25">
      <c r="A345">
        <v>19</v>
      </c>
      <c r="B345" t="str">
        <f>VLOOKUP(Tabla5[[#This Row],[Code]],[1]!Tabla6[#Data],2,FALSE)</f>
        <v>Sublistop</v>
      </c>
      <c r="C345">
        <v>28</v>
      </c>
      <c r="D345" t="s">
        <v>1649</v>
      </c>
      <c r="E345" t="s">
        <v>1586</v>
      </c>
      <c r="F345" t="str">
        <f>VLOOKUP(Tabla5[[#This Row],[Code]],[1]!Tabla6[#Data],3,FALSE)</f>
        <v>Color</v>
      </c>
    </row>
    <row r="346" spans="1:6" x14ac:dyDescent="0.25">
      <c r="A346">
        <v>19</v>
      </c>
      <c r="B346" t="str">
        <f>VLOOKUP(Tabla5[[#This Row],[Code]],[1]!Tabla6[#Data],2,FALSE)</f>
        <v>Sublistop</v>
      </c>
      <c r="C346">
        <v>29</v>
      </c>
      <c r="D346" t="s">
        <v>1650</v>
      </c>
      <c r="E346" t="s">
        <v>1588</v>
      </c>
      <c r="F346" t="str">
        <f>VLOOKUP(Tabla5[[#This Row],[Code]],[1]!Tabla6[#Data],3,FALSE)</f>
        <v>Color</v>
      </c>
    </row>
    <row r="347" spans="1:6" x14ac:dyDescent="0.25">
      <c r="A347">
        <v>19</v>
      </c>
      <c r="B347" t="str">
        <f>VLOOKUP(Tabla5[[#This Row],[Code]],[1]!Tabla6[#Data],2,FALSE)</f>
        <v>Sublistop</v>
      </c>
      <c r="C347">
        <v>30</v>
      </c>
      <c r="D347" t="s">
        <v>1651</v>
      </c>
      <c r="E347" t="s">
        <v>1589</v>
      </c>
      <c r="F347" t="str">
        <f>VLOOKUP(Tabla5[[#This Row],[Code]],[1]!Tabla6[#Data],3,FALSE)</f>
        <v>Color</v>
      </c>
    </row>
    <row r="348" spans="1:6" x14ac:dyDescent="0.25">
      <c r="A348">
        <v>19</v>
      </c>
      <c r="B348" t="str">
        <f>VLOOKUP(Tabla5[[#This Row],[Code]],[1]!Tabla6[#Data],2,FALSE)</f>
        <v>Sublistop</v>
      </c>
      <c r="C348">
        <v>31</v>
      </c>
      <c r="D348" t="s">
        <v>1652</v>
      </c>
      <c r="E348" t="s">
        <v>1590</v>
      </c>
      <c r="F348" t="str">
        <f>VLOOKUP(Tabla5[[#This Row],[Code]],[1]!Tabla6[#Data],3,FALSE)</f>
        <v>Color</v>
      </c>
    </row>
    <row r="349" spans="1:6" x14ac:dyDescent="0.25">
      <c r="A349">
        <v>19</v>
      </c>
      <c r="B349" t="str">
        <f>VLOOKUP(Tabla5[[#This Row],[Code]],[1]!Tabla6[#Data],2,FALSE)</f>
        <v>Sublistop</v>
      </c>
      <c r="C349">
        <v>32</v>
      </c>
      <c r="D349" t="s">
        <v>1653</v>
      </c>
      <c r="E349" t="s">
        <v>1591</v>
      </c>
      <c r="F349" t="str">
        <f>VLOOKUP(Tabla5[[#This Row],[Code]],[1]!Tabla6[#Data],3,FALSE)</f>
        <v>Color</v>
      </c>
    </row>
    <row r="350" spans="1:6" x14ac:dyDescent="0.25">
      <c r="A350">
        <v>19</v>
      </c>
      <c r="B350" t="str">
        <f>VLOOKUP(Tabla5[[#This Row],[Code]],[1]!Tabla6[#Data],2,FALSE)</f>
        <v>Sublistop</v>
      </c>
      <c r="C350">
        <v>33</v>
      </c>
      <c r="D350" t="s">
        <v>1654</v>
      </c>
      <c r="E350" t="s">
        <v>1592</v>
      </c>
      <c r="F350" t="str">
        <f>VLOOKUP(Tabla5[[#This Row],[Code]],[1]!Tabla6[#Data],3,FALSE)</f>
        <v>Color</v>
      </c>
    </row>
    <row r="351" spans="1:6" x14ac:dyDescent="0.25">
      <c r="A351">
        <v>19</v>
      </c>
      <c r="B351" t="str">
        <f>VLOOKUP(Tabla5[[#This Row],[Code]],[1]!Tabla6[#Data],2,FALSE)</f>
        <v>Sublistop</v>
      </c>
      <c r="C351">
        <v>34</v>
      </c>
      <c r="D351" t="s">
        <v>1655</v>
      </c>
      <c r="E351" t="s">
        <v>1594</v>
      </c>
      <c r="F351" t="str">
        <f>VLOOKUP(Tabla5[[#This Row],[Code]],[1]!Tabla6[#Data],3,FALSE)</f>
        <v>Color</v>
      </c>
    </row>
    <row r="352" spans="1:6" x14ac:dyDescent="0.25">
      <c r="A352">
        <v>19</v>
      </c>
      <c r="B352" t="str">
        <f>VLOOKUP(Tabla5[[#This Row],[Code]],[1]!Tabla6[#Data],2,FALSE)</f>
        <v>Sublistop</v>
      </c>
      <c r="C352">
        <v>35</v>
      </c>
      <c r="D352" t="s">
        <v>1656</v>
      </c>
      <c r="E352" t="s">
        <v>1482</v>
      </c>
      <c r="F352" t="str">
        <f>VLOOKUP(Tabla5[[#This Row],[Code]],[1]!Tabla6[#Data],3,FALSE)</f>
        <v>Color</v>
      </c>
    </row>
    <row r="353" spans="1:6" x14ac:dyDescent="0.25">
      <c r="A353">
        <v>19</v>
      </c>
      <c r="B353" t="str">
        <f>VLOOKUP(Tabla5[[#This Row],[Code]],[1]!Tabla6[#Data],2,FALSE)</f>
        <v>Sublistop</v>
      </c>
      <c r="C353">
        <v>36</v>
      </c>
      <c r="D353" t="s">
        <v>1657</v>
      </c>
      <c r="E353" t="s">
        <v>1401</v>
      </c>
      <c r="F353" t="str">
        <f>VLOOKUP(Tabla5[[#This Row],[Code]],[1]!Tabla6[#Data],3,FALSE)</f>
        <v>Color</v>
      </c>
    </row>
    <row r="354" spans="1:6" x14ac:dyDescent="0.25">
      <c r="A354">
        <v>19</v>
      </c>
      <c r="B354" t="str">
        <f>VLOOKUP(Tabla5[[#This Row],[Code]],[1]!Tabla6[#Data],2,FALSE)</f>
        <v>Sublistop</v>
      </c>
      <c r="C354">
        <v>37</v>
      </c>
      <c r="D354" t="s">
        <v>1658</v>
      </c>
      <c r="E354" t="s">
        <v>1596</v>
      </c>
      <c r="F354" t="str">
        <f>VLOOKUP(Tabla5[[#This Row],[Code]],[1]!Tabla6[#Data],3,FALSE)</f>
        <v>Color</v>
      </c>
    </row>
    <row r="355" spans="1:6" x14ac:dyDescent="0.25">
      <c r="A355">
        <v>19</v>
      </c>
      <c r="B355" t="str">
        <f>VLOOKUP(Tabla5[[#This Row],[Code]],[1]!Tabla6[#Data],2,FALSE)</f>
        <v>Sublistop</v>
      </c>
      <c r="C355">
        <v>38</v>
      </c>
      <c r="D355" t="s">
        <v>1659</v>
      </c>
      <c r="E355" t="s">
        <v>1598</v>
      </c>
      <c r="F355" t="str">
        <f>VLOOKUP(Tabla5[[#This Row],[Code]],[1]!Tabla6[#Data],3,FALSE)</f>
        <v>Color</v>
      </c>
    </row>
    <row r="356" spans="1:6" x14ac:dyDescent="0.25">
      <c r="A356">
        <v>19</v>
      </c>
      <c r="B356" t="str">
        <f>VLOOKUP(Tabla5[[#This Row],[Code]],[1]!Tabla6[#Data],2,FALSE)</f>
        <v>Sublistop</v>
      </c>
      <c r="C356">
        <v>39</v>
      </c>
      <c r="D356" t="s">
        <v>1660</v>
      </c>
      <c r="E356" t="s">
        <v>1600</v>
      </c>
      <c r="F356" t="str">
        <f>VLOOKUP(Tabla5[[#This Row],[Code]],[1]!Tabla6[#Data],3,FALSE)</f>
        <v>Color</v>
      </c>
    </row>
    <row r="357" spans="1:6" x14ac:dyDescent="0.25">
      <c r="A357">
        <v>19</v>
      </c>
      <c r="B357" t="str">
        <f>VLOOKUP(Tabla5[[#This Row],[Code]],[1]!Tabla6[#Data],2,FALSE)</f>
        <v>Sublistop</v>
      </c>
      <c r="C357">
        <v>40</v>
      </c>
      <c r="D357" t="s">
        <v>1661</v>
      </c>
      <c r="E357" t="s">
        <v>1602</v>
      </c>
      <c r="F357" t="str">
        <f>VLOOKUP(Tabla5[[#This Row],[Code]],[1]!Tabla6[#Data],3,FALSE)</f>
        <v>Color</v>
      </c>
    </row>
    <row r="358" spans="1:6" x14ac:dyDescent="0.25">
      <c r="A358">
        <v>19</v>
      </c>
      <c r="B358" t="str">
        <f>VLOOKUP(Tabla5[[#This Row],[Code]],[1]!Tabla6[#Data],2,FALSE)</f>
        <v>Sublistop</v>
      </c>
      <c r="C358">
        <v>41</v>
      </c>
      <c r="D358" t="s">
        <v>1662</v>
      </c>
      <c r="E358" t="s">
        <v>1454</v>
      </c>
      <c r="F358" t="str">
        <f>VLOOKUP(Tabla5[[#This Row],[Code]],[1]!Tabla6[#Data],3,FALSE)</f>
        <v>Color</v>
      </c>
    </row>
    <row r="359" spans="1:6" x14ac:dyDescent="0.25">
      <c r="A359">
        <v>19</v>
      </c>
      <c r="B359" t="str">
        <f>VLOOKUP(Tabla5[[#This Row],[Code]],[1]!Tabla6[#Data],2,FALSE)</f>
        <v>Sublistop</v>
      </c>
      <c r="C359">
        <v>42</v>
      </c>
      <c r="D359" t="s">
        <v>1663</v>
      </c>
      <c r="E359" t="s">
        <v>1605</v>
      </c>
      <c r="F359" t="str">
        <f>VLOOKUP(Tabla5[[#This Row],[Code]],[1]!Tabla6[#Data],3,FALSE)</f>
        <v>Color</v>
      </c>
    </row>
    <row r="360" spans="1:6" x14ac:dyDescent="0.25">
      <c r="A360">
        <v>19</v>
      </c>
      <c r="B360" t="str">
        <f>VLOOKUP(Tabla5[[#This Row],[Code]],[1]!Tabla6[#Data],2,FALSE)</f>
        <v>Sublistop</v>
      </c>
      <c r="C360">
        <v>43</v>
      </c>
      <c r="D360" t="s">
        <v>1664</v>
      </c>
      <c r="E360" t="s">
        <v>1607</v>
      </c>
      <c r="F360" t="str">
        <f>VLOOKUP(Tabla5[[#This Row],[Code]],[1]!Tabla6[#Data],3,FALSE)</f>
        <v>Color</v>
      </c>
    </row>
    <row r="361" spans="1:6" x14ac:dyDescent="0.25">
      <c r="A361">
        <v>19</v>
      </c>
      <c r="B361" t="str">
        <f>VLOOKUP(Tabla5[[#This Row],[Code]],[1]!Tabla6[#Data],2,FALSE)</f>
        <v>Sublistop</v>
      </c>
      <c r="C361">
        <v>44</v>
      </c>
      <c r="D361" t="s">
        <v>1665</v>
      </c>
      <c r="E361" t="s">
        <v>1609</v>
      </c>
      <c r="F361" t="str">
        <f>VLOOKUP(Tabla5[[#This Row],[Code]],[1]!Tabla6[#Data],3,FALSE)</f>
        <v>Color</v>
      </c>
    </row>
    <row r="362" spans="1:6" x14ac:dyDescent="0.25">
      <c r="A362">
        <v>19</v>
      </c>
      <c r="B362" t="str">
        <f>VLOOKUP(Tabla5[[#This Row],[Code]],[1]!Tabla6[#Data],2,FALSE)</f>
        <v>Sublistop</v>
      </c>
      <c r="C362">
        <v>45</v>
      </c>
      <c r="D362" t="s">
        <v>1666</v>
      </c>
      <c r="E362" t="s">
        <v>1611</v>
      </c>
      <c r="F362" t="str">
        <f>VLOOKUP(Tabla5[[#This Row],[Code]],[1]!Tabla6[#Data],3,FALSE)</f>
        <v>Color</v>
      </c>
    </row>
    <row r="363" spans="1:6" x14ac:dyDescent="0.25">
      <c r="A363">
        <v>19</v>
      </c>
      <c r="B363" t="str">
        <f>VLOOKUP(Tabla5[[#This Row],[Code]],[1]!Tabla6[#Data],2,FALSE)</f>
        <v>Sublistop</v>
      </c>
      <c r="C363">
        <v>46</v>
      </c>
      <c r="D363" t="s">
        <v>1667</v>
      </c>
      <c r="E363" t="s">
        <v>1613</v>
      </c>
      <c r="F363" t="str">
        <f>VLOOKUP(Tabla5[[#This Row],[Code]],[1]!Tabla6[#Data],3,FALSE)</f>
        <v>Color</v>
      </c>
    </row>
    <row r="364" spans="1:6" x14ac:dyDescent="0.25">
      <c r="A364">
        <v>20</v>
      </c>
      <c r="B364" t="str">
        <f>VLOOKUP(Tabla5[[#This Row],[Code]],[1]!Tabla6[#Data],2,FALSE)</f>
        <v>Flock</v>
      </c>
      <c r="C364">
        <v>1</v>
      </c>
      <c r="D364" t="s">
        <v>22</v>
      </c>
      <c r="E364" t="s">
        <v>1387</v>
      </c>
      <c r="F364" t="str">
        <f>VLOOKUP(Tabla5[[#This Row],[Code]],[1]!Tabla6[#Data],3,FALSE)</f>
        <v>Color</v>
      </c>
    </row>
    <row r="365" spans="1:6" x14ac:dyDescent="0.25">
      <c r="A365">
        <v>20</v>
      </c>
      <c r="B365" t="str">
        <f>VLOOKUP(Tabla5[[#This Row],[Code]],[1]!Tabla6[#Data],2,FALSE)</f>
        <v>Flock</v>
      </c>
      <c r="C365">
        <v>2</v>
      </c>
      <c r="D365" t="s">
        <v>24</v>
      </c>
      <c r="E365" t="s">
        <v>1573</v>
      </c>
      <c r="F365" t="str">
        <f>VLOOKUP(Tabla5[[#This Row],[Code]],[1]!Tabla6[#Data],3,FALSE)</f>
        <v>Color</v>
      </c>
    </row>
    <row r="366" spans="1:6" x14ac:dyDescent="0.25">
      <c r="A366">
        <v>20</v>
      </c>
      <c r="B366" t="str">
        <f>VLOOKUP(Tabla5[[#This Row],[Code]],[1]!Tabla6[#Data],2,FALSE)</f>
        <v>Flock</v>
      </c>
      <c r="C366">
        <v>3</v>
      </c>
      <c r="D366" t="s">
        <v>865</v>
      </c>
      <c r="E366" t="s">
        <v>1572</v>
      </c>
      <c r="F366" t="str">
        <f>VLOOKUP(Tabla5[[#This Row],[Code]],[1]!Tabla6[#Data],3,FALSE)</f>
        <v>Color</v>
      </c>
    </row>
    <row r="367" spans="1:6" x14ac:dyDescent="0.25">
      <c r="A367">
        <v>20</v>
      </c>
      <c r="B367" t="str">
        <f>VLOOKUP(Tabla5[[#This Row],[Code]],[1]!Tabla6[#Data],2,FALSE)</f>
        <v>Flock</v>
      </c>
      <c r="C367">
        <v>4</v>
      </c>
      <c r="D367" t="s">
        <v>26</v>
      </c>
      <c r="E367" t="s">
        <v>1668</v>
      </c>
      <c r="F367" t="str">
        <f>VLOOKUP(Tabla5[[#This Row],[Code]],[1]!Tabla6[#Data],3,FALSE)</f>
        <v>Color</v>
      </c>
    </row>
    <row r="368" spans="1:6" x14ac:dyDescent="0.25">
      <c r="A368">
        <v>20</v>
      </c>
      <c r="B368" t="str">
        <f>VLOOKUP(Tabla5[[#This Row],[Code]],[1]!Tabla6[#Data],2,FALSE)</f>
        <v>Flock</v>
      </c>
      <c r="C368">
        <v>5</v>
      </c>
      <c r="D368" t="s">
        <v>28</v>
      </c>
      <c r="E368" t="s">
        <v>1495</v>
      </c>
      <c r="F368" t="str">
        <f>VLOOKUP(Tabla5[[#This Row],[Code]],[1]!Tabla6[#Data],3,FALSE)</f>
        <v>Color</v>
      </c>
    </row>
    <row r="369" spans="1:6" x14ac:dyDescent="0.25">
      <c r="A369">
        <v>20</v>
      </c>
      <c r="B369" t="str">
        <f>VLOOKUP(Tabla5[[#This Row],[Code]],[1]!Tabla6[#Data],2,FALSE)</f>
        <v>Flock</v>
      </c>
      <c r="C369">
        <v>6</v>
      </c>
      <c r="D369" t="s">
        <v>867</v>
      </c>
      <c r="E369" t="s">
        <v>1669</v>
      </c>
      <c r="F369" t="str">
        <f>VLOOKUP(Tabla5[[#This Row],[Code]],[1]!Tabla6[#Data],3,FALSE)</f>
        <v>Color</v>
      </c>
    </row>
    <row r="370" spans="1:6" x14ac:dyDescent="0.25">
      <c r="A370">
        <v>20</v>
      </c>
      <c r="B370" t="str">
        <f>VLOOKUP(Tabla5[[#This Row],[Code]],[1]!Tabla6[#Data],2,FALSE)</f>
        <v>Flock</v>
      </c>
      <c r="C370">
        <v>7</v>
      </c>
      <c r="D370" t="s">
        <v>1670</v>
      </c>
      <c r="E370" t="s">
        <v>1416</v>
      </c>
      <c r="F370" t="str">
        <f>VLOOKUP(Tabla5[[#This Row],[Code]],[1]!Tabla6[#Data],3,FALSE)</f>
        <v>Color</v>
      </c>
    </row>
    <row r="371" spans="1:6" x14ac:dyDescent="0.25">
      <c r="A371">
        <v>20</v>
      </c>
      <c r="B371" t="str">
        <f>VLOOKUP(Tabla5[[#This Row],[Code]],[1]!Tabla6[#Data],2,FALSE)</f>
        <v>Flock</v>
      </c>
      <c r="C371">
        <v>8</v>
      </c>
      <c r="D371" t="s">
        <v>30</v>
      </c>
      <c r="E371" t="s">
        <v>1577</v>
      </c>
      <c r="F371" t="str">
        <f>VLOOKUP(Tabla5[[#This Row],[Code]],[1]!Tabla6[#Data],3,FALSE)</f>
        <v>Color</v>
      </c>
    </row>
    <row r="372" spans="1:6" x14ac:dyDescent="0.25">
      <c r="A372">
        <v>20</v>
      </c>
      <c r="B372" t="str">
        <f>VLOOKUP(Tabla5[[#This Row],[Code]],[1]!Tabla6[#Data],2,FALSE)</f>
        <v>Flock</v>
      </c>
      <c r="C372">
        <v>9</v>
      </c>
      <c r="D372" t="s">
        <v>869</v>
      </c>
      <c r="E372" t="s">
        <v>1578</v>
      </c>
      <c r="F372" t="str">
        <f>VLOOKUP(Tabla5[[#This Row],[Code]],[1]!Tabla6[#Data],3,FALSE)</f>
        <v>Color</v>
      </c>
    </row>
    <row r="373" spans="1:6" x14ac:dyDescent="0.25">
      <c r="A373">
        <v>20</v>
      </c>
      <c r="B373" t="str">
        <f>VLOOKUP(Tabla5[[#This Row],[Code]],[1]!Tabla6[#Data],2,FALSE)</f>
        <v>Flock</v>
      </c>
      <c r="C373">
        <v>10</v>
      </c>
      <c r="D373" t="s">
        <v>34</v>
      </c>
      <c r="E373" t="s">
        <v>1489</v>
      </c>
      <c r="F373" t="str">
        <f>VLOOKUP(Tabla5[[#This Row],[Code]],[1]!Tabla6[#Data],3,FALSE)</f>
        <v>Color</v>
      </c>
    </row>
    <row r="374" spans="1:6" x14ac:dyDescent="0.25">
      <c r="A374">
        <v>20</v>
      </c>
      <c r="B374" t="str">
        <f>VLOOKUP(Tabla5[[#This Row],[Code]],[1]!Tabla6[#Data],2,FALSE)</f>
        <v>Flock</v>
      </c>
      <c r="C374">
        <v>11</v>
      </c>
      <c r="D374" t="s">
        <v>32</v>
      </c>
      <c r="E374" t="s">
        <v>1580</v>
      </c>
      <c r="F374" t="str">
        <f>VLOOKUP(Tabla5[[#This Row],[Code]],[1]!Tabla6[#Data],3,FALSE)</f>
        <v>Color</v>
      </c>
    </row>
    <row r="375" spans="1:6" x14ac:dyDescent="0.25">
      <c r="A375">
        <v>20</v>
      </c>
      <c r="B375" t="str">
        <f>VLOOKUP(Tabla5[[#This Row],[Code]],[1]!Tabla6[#Data],2,FALSE)</f>
        <v>Flock</v>
      </c>
      <c r="C375">
        <v>12</v>
      </c>
      <c r="D375" t="s">
        <v>38</v>
      </c>
      <c r="E375" t="s">
        <v>1671</v>
      </c>
      <c r="F375" t="str">
        <f>VLOOKUP(Tabla5[[#This Row],[Code]],[1]!Tabla6[#Data],3,FALSE)</f>
        <v>Color</v>
      </c>
    </row>
    <row r="376" spans="1:6" x14ac:dyDescent="0.25">
      <c r="A376">
        <v>20</v>
      </c>
      <c r="B376" t="str">
        <f>VLOOKUP(Tabla5[[#This Row],[Code]],[1]!Tabla6[#Data],2,FALSE)</f>
        <v>Flock</v>
      </c>
      <c r="C376">
        <v>13</v>
      </c>
      <c r="D376" t="s">
        <v>36</v>
      </c>
      <c r="E376" t="s">
        <v>1672</v>
      </c>
      <c r="F376" t="str">
        <f>VLOOKUP(Tabla5[[#This Row],[Code]],[1]!Tabla6[#Data],3,FALSE)</f>
        <v>Color</v>
      </c>
    </row>
    <row r="377" spans="1:6" x14ac:dyDescent="0.25">
      <c r="A377">
        <v>20</v>
      </c>
      <c r="B377" t="str">
        <f>VLOOKUP(Tabla5[[#This Row],[Code]],[1]!Tabla6[#Data],2,FALSE)</f>
        <v>Flock</v>
      </c>
      <c r="C377">
        <v>14</v>
      </c>
      <c r="D377" t="s">
        <v>40</v>
      </c>
      <c r="E377" t="s">
        <v>1470</v>
      </c>
      <c r="F377" t="str">
        <f>VLOOKUP(Tabla5[[#This Row],[Code]],[1]!Tabla6[#Data],3,FALSE)</f>
        <v>Color</v>
      </c>
    </row>
    <row r="378" spans="1:6" x14ac:dyDescent="0.25">
      <c r="A378">
        <v>20</v>
      </c>
      <c r="B378" t="str">
        <f>VLOOKUP(Tabla5[[#This Row],[Code]],[1]!Tabla6[#Data],2,FALSE)</f>
        <v>Flock</v>
      </c>
      <c r="C378">
        <v>15</v>
      </c>
      <c r="D378" t="s">
        <v>42</v>
      </c>
      <c r="E378" t="s">
        <v>1586</v>
      </c>
      <c r="F378" t="str">
        <f>VLOOKUP(Tabla5[[#This Row],[Code]],[1]!Tabla6[#Data],3,FALSE)</f>
        <v>Color</v>
      </c>
    </row>
    <row r="379" spans="1:6" x14ac:dyDescent="0.25">
      <c r="A379">
        <v>20</v>
      </c>
      <c r="B379" t="str">
        <f>VLOOKUP(Tabla5[[#This Row],[Code]],[1]!Tabla6[#Data],2,FALSE)</f>
        <v>Flock</v>
      </c>
      <c r="C379">
        <v>16</v>
      </c>
      <c r="D379" t="s">
        <v>46</v>
      </c>
      <c r="E379" t="s">
        <v>1673</v>
      </c>
      <c r="F379" t="str">
        <f>VLOOKUP(Tabla5[[#This Row],[Code]],[1]!Tabla6[#Data],3,FALSE)</f>
        <v>Color</v>
      </c>
    </row>
    <row r="380" spans="1:6" x14ac:dyDescent="0.25">
      <c r="A380">
        <v>20</v>
      </c>
      <c r="B380" t="str">
        <f>VLOOKUP(Tabla5[[#This Row],[Code]],[1]!Tabla6[#Data],2,FALSE)</f>
        <v>Flock</v>
      </c>
      <c r="C380">
        <v>17</v>
      </c>
      <c r="D380" t="s">
        <v>44</v>
      </c>
      <c r="E380" t="s">
        <v>1588</v>
      </c>
      <c r="F380" t="str">
        <f>VLOOKUP(Tabla5[[#This Row],[Code]],[1]!Tabla6[#Data],3,FALSE)</f>
        <v>Color</v>
      </c>
    </row>
    <row r="381" spans="1:6" x14ac:dyDescent="0.25">
      <c r="A381">
        <v>20</v>
      </c>
      <c r="B381" t="str">
        <f>VLOOKUP(Tabla5[[#This Row],[Code]],[1]!Tabla6[#Data],2,FALSE)</f>
        <v>Flock</v>
      </c>
      <c r="C381">
        <v>18</v>
      </c>
      <c r="D381" t="s">
        <v>871</v>
      </c>
      <c r="E381" t="s">
        <v>1475</v>
      </c>
      <c r="F381" t="str">
        <f>VLOOKUP(Tabla5[[#This Row],[Code]],[1]!Tabla6[#Data],3,FALSE)</f>
        <v>Color</v>
      </c>
    </row>
    <row r="382" spans="1:6" x14ac:dyDescent="0.25">
      <c r="A382">
        <v>20</v>
      </c>
      <c r="B382" t="str">
        <f>VLOOKUP(Tabla5[[#This Row],[Code]],[1]!Tabla6[#Data],2,FALSE)</f>
        <v>Flock</v>
      </c>
      <c r="C382">
        <v>19</v>
      </c>
      <c r="D382" t="s">
        <v>48</v>
      </c>
      <c r="E382" t="s">
        <v>1674</v>
      </c>
      <c r="F382" t="str">
        <f>VLOOKUP(Tabla5[[#This Row],[Code]],[1]!Tabla6[#Data],3,FALSE)</f>
        <v>Color</v>
      </c>
    </row>
    <row r="383" spans="1:6" x14ac:dyDescent="0.25">
      <c r="A383">
        <v>20</v>
      </c>
      <c r="B383" t="str">
        <f>VLOOKUP(Tabla5[[#This Row],[Code]],[1]!Tabla6[#Data],2,FALSE)</f>
        <v>Flock</v>
      </c>
      <c r="C383">
        <v>20</v>
      </c>
      <c r="D383" t="s">
        <v>855</v>
      </c>
      <c r="E383" t="s">
        <v>1675</v>
      </c>
      <c r="F383" t="str">
        <f>VLOOKUP(Tabla5[[#This Row],[Code]],[1]!Tabla6[#Data],3,FALSE)</f>
        <v>Color</v>
      </c>
    </row>
    <row r="384" spans="1:6" x14ac:dyDescent="0.25">
      <c r="A384">
        <v>20</v>
      </c>
      <c r="B384" t="str">
        <f>VLOOKUP(Tabla5[[#This Row],[Code]],[1]!Tabla6[#Data],2,FALSE)</f>
        <v>Flock</v>
      </c>
      <c r="C384">
        <v>21</v>
      </c>
      <c r="D384" t="s">
        <v>857</v>
      </c>
      <c r="E384" t="s">
        <v>1482</v>
      </c>
      <c r="F384" t="str">
        <f>VLOOKUP(Tabla5[[#This Row],[Code]],[1]!Tabla6[#Data],3,FALSE)</f>
        <v>Color</v>
      </c>
    </row>
    <row r="385" spans="1:6" x14ac:dyDescent="0.25">
      <c r="A385">
        <v>20</v>
      </c>
      <c r="B385" t="str">
        <f>VLOOKUP(Tabla5[[#This Row],[Code]],[1]!Tabla6[#Data],2,FALSE)</f>
        <v>Flock</v>
      </c>
      <c r="C385">
        <v>22</v>
      </c>
      <c r="D385" t="s">
        <v>863</v>
      </c>
      <c r="E385" t="s">
        <v>1401</v>
      </c>
      <c r="F385" t="str">
        <f>VLOOKUP(Tabla5[[#This Row],[Code]],[1]!Tabla6[#Data],3,FALSE)</f>
        <v>Color</v>
      </c>
    </row>
    <row r="386" spans="1:6" x14ac:dyDescent="0.25">
      <c r="A386">
        <v>20</v>
      </c>
      <c r="B386" t="str">
        <f>VLOOKUP(Tabla5[[#This Row],[Code]],[1]!Tabla6[#Data],2,FALSE)</f>
        <v>Flock</v>
      </c>
      <c r="C386">
        <v>23</v>
      </c>
      <c r="D386" t="s">
        <v>859</v>
      </c>
      <c r="E386" t="s">
        <v>1458</v>
      </c>
      <c r="F386" t="str">
        <f>VLOOKUP(Tabla5[[#This Row],[Code]],[1]!Tabla6[#Data],3,FALSE)</f>
        <v>Color</v>
      </c>
    </row>
    <row r="387" spans="1:6" x14ac:dyDescent="0.25">
      <c r="A387">
        <v>20</v>
      </c>
      <c r="B387" t="str">
        <f>VLOOKUP(Tabla5[[#This Row],[Code]],[1]!Tabla6[#Data],2,FALSE)</f>
        <v>Flock</v>
      </c>
      <c r="C387">
        <v>24</v>
      </c>
      <c r="D387" t="s">
        <v>861</v>
      </c>
      <c r="E387" t="s">
        <v>1596</v>
      </c>
      <c r="F387" t="str">
        <f>VLOOKUP(Tabla5[[#This Row],[Code]],[1]!Tabla6[#Data],3,FALSE)</f>
        <v>Color</v>
      </c>
    </row>
    <row r="388" spans="1:6" x14ac:dyDescent="0.25">
      <c r="A388">
        <v>20</v>
      </c>
      <c r="B388" t="str">
        <f>VLOOKUP(Tabla5[[#This Row],[Code]],[1]!Tabla6[#Data],2,FALSE)</f>
        <v>Flock</v>
      </c>
      <c r="C388">
        <v>25</v>
      </c>
      <c r="D388" t="s">
        <v>1676</v>
      </c>
      <c r="E388" t="s">
        <v>1677</v>
      </c>
      <c r="F388" t="str">
        <f>VLOOKUP(Tabla5[[#This Row],[Code]],[1]!Tabla6[#Data],3,FALSE)</f>
        <v>Color</v>
      </c>
    </row>
    <row r="389" spans="1:6" x14ac:dyDescent="0.25">
      <c r="A389">
        <v>20</v>
      </c>
      <c r="B389" t="str">
        <f>VLOOKUP(Tabla5[[#This Row],[Code]],[1]!Tabla6[#Data],2,FALSE)</f>
        <v>Flock</v>
      </c>
      <c r="C389">
        <v>26</v>
      </c>
      <c r="D389" t="s">
        <v>1678</v>
      </c>
      <c r="E389" t="s">
        <v>1679</v>
      </c>
      <c r="F389" t="str">
        <f>VLOOKUP(Tabla5[[#This Row],[Code]],[1]!Tabla6[#Data],3,FALSE)</f>
        <v>Color</v>
      </c>
    </row>
    <row r="390" spans="1:6" x14ac:dyDescent="0.25">
      <c r="A390">
        <v>20</v>
      </c>
      <c r="B390" t="str">
        <f>VLOOKUP(Tabla5[[#This Row],[Code]],[1]!Tabla6[#Data],2,FALSE)</f>
        <v>Flock</v>
      </c>
      <c r="C390">
        <v>27</v>
      </c>
      <c r="D390" t="s">
        <v>1680</v>
      </c>
      <c r="E390" t="s">
        <v>1681</v>
      </c>
      <c r="F390" t="str">
        <f>VLOOKUP(Tabla5[[#This Row],[Code]],[1]!Tabla6[#Data],3,FALSE)</f>
        <v>Color</v>
      </c>
    </row>
    <row r="391" spans="1:6" x14ac:dyDescent="0.25">
      <c r="A391">
        <v>20</v>
      </c>
      <c r="B391" t="str">
        <f>VLOOKUP(Tabla5[[#This Row],[Code]],[1]!Tabla6[#Data],2,FALSE)</f>
        <v>Flock</v>
      </c>
      <c r="C391">
        <v>28</v>
      </c>
      <c r="D391" t="s">
        <v>1682</v>
      </c>
      <c r="E391" t="s">
        <v>1683</v>
      </c>
      <c r="F391" t="str">
        <f>VLOOKUP(Tabla5[[#This Row],[Code]],[1]!Tabla6[#Data],3,FALSE)</f>
        <v>Color</v>
      </c>
    </row>
    <row r="392" spans="1:6" x14ac:dyDescent="0.25">
      <c r="A392">
        <v>21</v>
      </c>
      <c r="B392" t="str">
        <f>VLOOKUP(Tabla5[[#This Row],[Code]],[1]!Tabla6[#Data],2,FALSE)</f>
        <v>M4 Brillo</v>
      </c>
      <c r="C392">
        <v>1</v>
      </c>
      <c r="D392" t="s">
        <v>1684</v>
      </c>
      <c r="E392" t="s">
        <v>1387</v>
      </c>
      <c r="F392" t="str">
        <f>VLOOKUP(Tabla5[[#This Row],[Code]],[1]!Tabla6[#Data],3,FALSE)</f>
        <v>Color</v>
      </c>
    </row>
    <row r="393" spans="1:6" x14ac:dyDescent="0.25">
      <c r="A393">
        <v>21</v>
      </c>
      <c r="B393" t="str">
        <f>VLOOKUP(Tabla5[[#This Row],[Code]],[1]!Tabla6[#Data],2,FALSE)</f>
        <v>M4 Brillo</v>
      </c>
      <c r="C393">
        <v>2</v>
      </c>
      <c r="D393" t="s">
        <v>1685</v>
      </c>
      <c r="E393" t="s">
        <v>1387</v>
      </c>
      <c r="F393" t="str">
        <f>VLOOKUP(Tabla5[[#This Row],[Code]],[1]!Tabla6[#Data],3,FALSE)</f>
        <v>Color</v>
      </c>
    </row>
    <row r="394" spans="1:6" x14ac:dyDescent="0.25">
      <c r="A394">
        <v>21</v>
      </c>
      <c r="B394" t="str">
        <f>VLOOKUP(Tabla5[[#This Row],[Code]],[1]!Tabla6[#Data],2,FALSE)</f>
        <v>M4 Brillo</v>
      </c>
      <c r="C394">
        <v>3</v>
      </c>
      <c r="D394" t="s">
        <v>1686</v>
      </c>
      <c r="E394" t="s">
        <v>1401</v>
      </c>
      <c r="F394" t="str">
        <f>VLOOKUP(Tabla5[[#This Row],[Code]],[1]!Tabla6[#Data],3,FALSE)</f>
        <v>Color</v>
      </c>
    </row>
    <row r="395" spans="1:6" x14ac:dyDescent="0.25">
      <c r="A395">
        <v>21</v>
      </c>
      <c r="B395" t="str">
        <f>VLOOKUP(Tabla5[[#This Row],[Code]],[1]!Tabla6[#Data],2,FALSE)</f>
        <v>M4 Brillo</v>
      </c>
      <c r="C395">
        <v>4</v>
      </c>
      <c r="D395" t="s">
        <v>1687</v>
      </c>
      <c r="E395" t="s">
        <v>1458</v>
      </c>
      <c r="F395" t="str">
        <f>VLOOKUP(Tabla5[[#This Row],[Code]],[1]!Tabla6[#Data],3,FALSE)</f>
        <v>Color</v>
      </c>
    </row>
    <row r="396" spans="1:6" x14ac:dyDescent="0.25">
      <c r="A396">
        <v>21</v>
      </c>
      <c r="B396" t="str">
        <f>VLOOKUP(Tabla5[[#This Row],[Code]],[1]!Tabla6[#Data],2,FALSE)</f>
        <v>M4 Brillo</v>
      </c>
      <c r="C396">
        <v>5</v>
      </c>
      <c r="D396" t="s">
        <v>1688</v>
      </c>
      <c r="E396" t="s">
        <v>1492</v>
      </c>
      <c r="F396" t="str">
        <f>VLOOKUP(Tabla5[[#This Row],[Code]],[1]!Tabla6[#Data],3,FALSE)</f>
        <v>Color</v>
      </c>
    </row>
    <row r="397" spans="1:6" x14ac:dyDescent="0.25">
      <c r="A397">
        <v>21</v>
      </c>
      <c r="B397" t="str">
        <f>VLOOKUP(Tabla5[[#This Row],[Code]],[1]!Tabla6[#Data],2,FALSE)</f>
        <v>M4 Brillo</v>
      </c>
      <c r="C397">
        <v>6</v>
      </c>
      <c r="D397" t="s">
        <v>1689</v>
      </c>
      <c r="E397" t="s">
        <v>1450</v>
      </c>
      <c r="F397" t="str">
        <f>VLOOKUP(Tabla5[[#This Row],[Code]],[1]!Tabla6[#Data],3,FALSE)</f>
        <v>Color</v>
      </c>
    </row>
    <row r="398" spans="1:6" x14ac:dyDescent="0.25">
      <c r="A398">
        <v>21</v>
      </c>
      <c r="B398" t="str">
        <f>VLOOKUP(Tabla5[[#This Row],[Code]],[1]!Tabla6[#Data],2,FALSE)</f>
        <v>M4 Brillo</v>
      </c>
      <c r="C398">
        <v>7</v>
      </c>
      <c r="D398" t="s">
        <v>1690</v>
      </c>
      <c r="E398" t="s">
        <v>1411</v>
      </c>
      <c r="F398" t="str">
        <f>VLOOKUP(Tabla5[[#This Row],[Code]],[1]!Tabla6[#Data],3,FALSE)</f>
        <v>Color</v>
      </c>
    </row>
    <row r="399" spans="1:6" x14ac:dyDescent="0.25">
      <c r="A399">
        <v>21</v>
      </c>
      <c r="B399" t="str">
        <f>VLOOKUP(Tabla5[[#This Row],[Code]],[1]!Tabla6[#Data],2,FALSE)</f>
        <v>M4 Brillo</v>
      </c>
      <c r="C399">
        <v>8</v>
      </c>
      <c r="D399" t="s">
        <v>1691</v>
      </c>
      <c r="E399" t="s">
        <v>1462</v>
      </c>
      <c r="F399" t="str">
        <f>VLOOKUP(Tabla5[[#This Row],[Code]],[1]!Tabla6[#Data],3,FALSE)</f>
        <v>Color</v>
      </c>
    </row>
    <row r="400" spans="1:6" x14ac:dyDescent="0.25">
      <c r="A400">
        <v>21</v>
      </c>
      <c r="B400" t="str">
        <f>VLOOKUP(Tabla5[[#This Row],[Code]],[1]!Tabla6[#Data],2,FALSE)</f>
        <v>M4 Brillo</v>
      </c>
      <c r="C400">
        <v>9</v>
      </c>
      <c r="D400" t="s">
        <v>1692</v>
      </c>
      <c r="E400" t="s">
        <v>1463</v>
      </c>
      <c r="F400" t="str">
        <f>VLOOKUP(Tabla5[[#This Row],[Code]],[1]!Tabla6[#Data],3,FALSE)</f>
        <v>Color</v>
      </c>
    </row>
    <row r="401" spans="1:6" x14ac:dyDescent="0.25">
      <c r="A401">
        <v>21</v>
      </c>
      <c r="B401" t="str">
        <f>VLOOKUP(Tabla5[[#This Row],[Code]],[1]!Tabla6[#Data],2,FALSE)</f>
        <v>M4 Brillo</v>
      </c>
      <c r="C401">
        <v>10</v>
      </c>
      <c r="D401" t="s">
        <v>1693</v>
      </c>
      <c r="E401" t="s">
        <v>1413</v>
      </c>
      <c r="F401" t="str">
        <f>VLOOKUP(Tabla5[[#This Row],[Code]],[1]!Tabla6[#Data],3,FALSE)</f>
        <v>Color</v>
      </c>
    </row>
    <row r="402" spans="1:6" x14ac:dyDescent="0.25">
      <c r="A402">
        <v>21</v>
      </c>
      <c r="B402" t="str">
        <f>VLOOKUP(Tabla5[[#This Row],[Code]],[1]!Tabla6[#Data],2,FALSE)</f>
        <v>M4 Brillo</v>
      </c>
      <c r="C402">
        <v>11</v>
      </c>
      <c r="D402" t="s">
        <v>1694</v>
      </c>
      <c r="E402" t="s">
        <v>1465</v>
      </c>
      <c r="F402" t="str">
        <f>VLOOKUP(Tabla5[[#This Row],[Code]],[1]!Tabla6[#Data],3,FALSE)</f>
        <v>Color</v>
      </c>
    </row>
    <row r="403" spans="1:6" x14ac:dyDescent="0.25">
      <c r="A403">
        <v>21</v>
      </c>
      <c r="B403" t="str">
        <f>VLOOKUP(Tabla5[[#This Row],[Code]],[1]!Tabla6[#Data],2,FALSE)</f>
        <v>M4 Brillo</v>
      </c>
      <c r="C403">
        <v>12</v>
      </c>
      <c r="D403" t="s">
        <v>1695</v>
      </c>
      <c r="E403" t="s">
        <v>1466</v>
      </c>
      <c r="F403" t="str">
        <f>VLOOKUP(Tabla5[[#This Row],[Code]],[1]!Tabla6[#Data],3,FALSE)</f>
        <v>Color</v>
      </c>
    </row>
    <row r="404" spans="1:6" x14ac:dyDescent="0.25">
      <c r="A404">
        <v>21</v>
      </c>
      <c r="B404" t="str">
        <f>VLOOKUP(Tabla5[[#This Row],[Code]],[1]!Tabla6[#Data],2,FALSE)</f>
        <v>M4 Brillo</v>
      </c>
      <c r="C404">
        <v>13</v>
      </c>
      <c r="D404" t="s">
        <v>1696</v>
      </c>
      <c r="E404" t="s">
        <v>1417</v>
      </c>
      <c r="F404" t="str">
        <f>VLOOKUP(Tabla5[[#This Row],[Code]],[1]!Tabla6[#Data],3,FALSE)</f>
        <v>Color</v>
      </c>
    </row>
    <row r="405" spans="1:6" x14ac:dyDescent="0.25">
      <c r="A405">
        <v>21</v>
      </c>
      <c r="B405" t="str">
        <f>VLOOKUP(Tabla5[[#This Row],[Code]],[1]!Tabla6[#Data],2,FALSE)</f>
        <v>M4 Brillo</v>
      </c>
      <c r="C405">
        <v>14</v>
      </c>
      <c r="D405" t="s">
        <v>1697</v>
      </c>
      <c r="E405" t="s">
        <v>1469</v>
      </c>
      <c r="F405" t="str">
        <f>VLOOKUP(Tabla5[[#This Row],[Code]],[1]!Tabla6[#Data],3,FALSE)</f>
        <v>Color</v>
      </c>
    </row>
    <row r="406" spans="1:6" x14ac:dyDescent="0.25">
      <c r="A406">
        <v>21</v>
      </c>
      <c r="B406" t="str">
        <f>VLOOKUP(Tabla5[[#This Row],[Code]],[1]!Tabla6[#Data],2,FALSE)</f>
        <v>M4 Brillo</v>
      </c>
      <c r="C406">
        <v>15</v>
      </c>
      <c r="D406" t="s">
        <v>1698</v>
      </c>
      <c r="E406" t="s">
        <v>1416</v>
      </c>
      <c r="F406" t="str">
        <f>VLOOKUP(Tabla5[[#This Row],[Code]],[1]!Tabla6[#Data],3,FALSE)</f>
        <v>Color</v>
      </c>
    </row>
    <row r="407" spans="1:6" x14ac:dyDescent="0.25">
      <c r="A407">
        <v>21</v>
      </c>
      <c r="B407" t="str">
        <f>VLOOKUP(Tabla5[[#This Row],[Code]],[1]!Tabla6[#Data],2,FALSE)</f>
        <v>M4 Brillo</v>
      </c>
      <c r="C407">
        <v>16</v>
      </c>
      <c r="D407" t="s">
        <v>310</v>
      </c>
      <c r="E407" t="s">
        <v>1467</v>
      </c>
      <c r="F407" t="str">
        <f>VLOOKUP(Tabla5[[#This Row],[Code]],[1]!Tabla6[#Data],3,FALSE)</f>
        <v>Color</v>
      </c>
    </row>
    <row r="408" spans="1:6" x14ac:dyDescent="0.25">
      <c r="A408">
        <v>21</v>
      </c>
      <c r="B408" t="str">
        <f>VLOOKUP(Tabla5[[#This Row],[Code]],[1]!Tabla6[#Data],2,FALSE)</f>
        <v>M4 Brillo</v>
      </c>
      <c r="C408">
        <v>17</v>
      </c>
      <c r="D408" t="s">
        <v>1699</v>
      </c>
      <c r="E408" t="s">
        <v>1470</v>
      </c>
      <c r="F408" t="str">
        <f>VLOOKUP(Tabla5[[#This Row],[Code]],[1]!Tabla6[#Data],3,FALSE)</f>
        <v>Color</v>
      </c>
    </row>
    <row r="409" spans="1:6" x14ac:dyDescent="0.25">
      <c r="A409">
        <v>21</v>
      </c>
      <c r="B409" t="str">
        <f>VLOOKUP(Tabla5[[#This Row],[Code]],[1]!Tabla6[#Data],2,FALSE)</f>
        <v>M4 Brillo</v>
      </c>
      <c r="C409">
        <v>18</v>
      </c>
      <c r="D409" t="s">
        <v>1700</v>
      </c>
      <c r="E409" t="s">
        <v>1471</v>
      </c>
      <c r="F409" t="str">
        <f>VLOOKUP(Tabla5[[#This Row],[Code]],[1]!Tabla6[#Data],3,FALSE)</f>
        <v>Color</v>
      </c>
    </row>
    <row r="410" spans="1:6" x14ac:dyDescent="0.25">
      <c r="A410">
        <v>21</v>
      </c>
      <c r="B410" t="str">
        <f>VLOOKUP(Tabla5[[#This Row],[Code]],[1]!Tabla6[#Data],2,FALSE)</f>
        <v>M4 Brillo</v>
      </c>
      <c r="C410">
        <v>19</v>
      </c>
      <c r="D410" t="s">
        <v>1701</v>
      </c>
      <c r="E410" t="s">
        <v>1419</v>
      </c>
      <c r="F410" t="str">
        <f>VLOOKUP(Tabla5[[#This Row],[Code]],[1]!Tabla6[#Data],3,FALSE)</f>
        <v>Color</v>
      </c>
    </row>
    <row r="411" spans="1:6" x14ac:dyDescent="0.25">
      <c r="A411">
        <v>21</v>
      </c>
      <c r="B411" t="str">
        <f>VLOOKUP(Tabla5[[#This Row],[Code]],[1]!Tabla6[#Data],2,FALSE)</f>
        <v>M4 Brillo</v>
      </c>
      <c r="C411">
        <v>20</v>
      </c>
      <c r="D411" t="s">
        <v>1702</v>
      </c>
      <c r="E411" t="s">
        <v>1420</v>
      </c>
      <c r="F411" t="str">
        <f>VLOOKUP(Tabla5[[#This Row],[Code]],[1]!Tabla6[#Data],3,FALSE)</f>
        <v>Color</v>
      </c>
    </row>
    <row r="412" spans="1:6" x14ac:dyDescent="0.25">
      <c r="A412">
        <v>21</v>
      </c>
      <c r="B412" t="str">
        <f>VLOOKUP(Tabla5[[#This Row],[Code]],[1]!Tabla6[#Data],2,FALSE)</f>
        <v>M4 Brillo</v>
      </c>
      <c r="C412">
        <v>21</v>
      </c>
      <c r="D412" t="s">
        <v>1703</v>
      </c>
      <c r="E412" t="s">
        <v>1704</v>
      </c>
      <c r="F412" t="str">
        <f>VLOOKUP(Tabla5[[#This Row],[Code]],[1]!Tabla6[#Data],3,FALSE)</f>
        <v>Color</v>
      </c>
    </row>
    <row r="413" spans="1:6" x14ac:dyDescent="0.25">
      <c r="A413">
        <v>21</v>
      </c>
      <c r="B413" t="str">
        <f>VLOOKUP(Tabla5[[#This Row],[Code]],[1]!Tabla6[#Data],2,FALSE)</f>
        <v>M4 Brillo</v>
      </c>
      <c r="C413">
        <v>22</v>
      </c>
      <c r="D413" t="s">
        <v>1705</v>
      </c>
      <c r="E413" t="s">
        <v>1565</v>
      </c>
      <c r="F413" t="str">
        <f>VLOOKUP(Tabla5[[#This Row],[Code]],[1]!Tabla6[#Data],3,FALSE)</f>
        <v>Color</v>
      </c>
    </row>
    <row r="414" spans="1:6" x14ac:dyDescent="0.25">
      <c r="A414">
        <v>21</v>
      </c>
      <c r="B414" t="str">
        <f>VLOOKUP(Tabla5[[#This Row],[Code]],[1]!Tabla6[#Data],2,FALSE)</f>
        <v>M4 Brillo</v>
      </c>
      <c r="C414">
        <v>23</v>
      </c>
      <c r="D414" t="s">
        <v>1706</v>
      </c>
      <c r="E414" t="s">
        <v>1476</v>
      </c>
      <c r="F414" t="str">
        <f>VLOOKUP(Tabla5[[#This Row],[Code]],[1]!Tabla6[#Data],3,FALSE)</f>
        <v>Color</v>
      </c>
    </row>
    <row r="415" spans="1:6" x14ac:dyDescent="0.25">
      <c r="A415">
        <v>21</v>
      </c>
      <c r="B415" t="str">
        <f>VLOOKUP(Tabla5[[#This Row],[Code]],[1]!Tabla6[#Data],2,FALSE)</f>
        <v>M4 Brillo</v>
      </c>
      <c r="C415">
        <v>24</v>
      </c>
      <c r="D415" t="s">
        <v>1707</v>
      </c>
      <c r="E415" t="s">
        <v>1478</v>
      </c>
      <c r="F415" t="str">
        <f>VLOOKUP(Tabla5[[#This Row],[Code]],[1]!Tabla6[#Data],3,FALSE)</f>
        <v>Color</v>
      </c>
    </row>
    <row r="416" spans="1:6" x14ac:dyDescent="0.25">
      <c r="A416">
        <v>21</v>
      </c>
      <c r="B416" t="str">
        <f>VLOOKUP(Tabla5[[#This Row],[Code]],[1]!Tabla6[#Data],2,FALSE)</f>
        <v>M4 Brillo</v>
      </c>
      <c r="C416">
        <v>25</v>
      </c>
      <c r="D416" t="s">
        <v>1708</v>
      </c>
      <c r="E416" t="s">
        <v>1422</v>
      </c>
      <c r="F416" t="str">
        <f>VLOOKUP(Tabla5[[#This Row],[Code]],[1]!Tabla6[#Data],3,FALSE)</f>
        <v>Color</v>
      </c>
    </row>
    <row r="417" spans="1:6" x14ac:dyDescent="0.25">
      <c r="A417">
        <v>21</v>
      </c>
      <c r="B417" t="str">
        <f>VLOOKUP(Tabla5[[#This Row],[Code]],[1]!Tabla6[#Data],2,FALSE)</f>
        <v>M4 Brillo</v>
      </c>
      <c r="C417">
        <v>26</v>
      </c>
      <c r="D417" t="s">
        <v>1709</v>
      </c>
      <c r="E417" t="s">
        <v>1479</v>
      </c>
      <c r="F417" t="str">
        <f>VLOOKUP(Tabla5[[#This Row],[Code]],[1]!Tabla6[#Data],3,FALSE)</f>
        <v>Color</v>
      </c>
    </row>
    <row r="418" spans="1:6" x14ac:dyDescent="0.25">
      <c r="A418">
        <v>21</v>
      </c>
      <c r="B418" t="str">
        <f>VLOOKUP(Tabla5[[#This Row],[Code]],[1]!Tabla6[#Data],2,FALSE)</f>
        <v>M4 Brillo</v>
      </c>
      <c r="C418">
        <v>27</v>
      </c>
      <c r="D418" t="s">
        <v>1710</v>
      </c>
      <c r="E418" t="s">
        <v>1566</v>
      </c>
      <c r="F418" t="str">
        <f>VLOOKUP(Tabla5[[#This Row],[Code]],[1]!Tabla6[#Data],3,FALSE)</f>
        <v>Color</v>
      </c>
    </row>
    <row r="419" spans="1:6" x14ac:dyDescent="0.25">
      <c r="A419">
        <v>21</v>
      </c>
      <c r="B419" t="str">
        <f>VLOOKUP(Tabla5[[#This Row],[Code]],[1]!Tabla6[#Data],2,FALSE)</f>
        <v>M4 Brillo</v>
      </c>
      <c r="C419">
        <v>28</v>
      </c>
      <c r="D419" t="s">
        <v>1711</v>
      </c>
      <c r="E419" t="s">
        <v>1478</v>
      </c>
      <c r="F419" t="str">
        <f>VLOOKUP(Tabla5[[#This Row],[Code]],[1]!Tabla6[#Data],3,FALSE)</f>
        <v>Color</v>
      </c>
    </row>
    <row r="420" spans="1:6" x14ac:dyDescent="0.25">
      <c r="A420">
        <v>21</v>
      </c>
      <c r="B420" t="str">
        <f>VLOOKUP(Tabla5[[#This Row],[Code]],[1]!Tabla6[#Data],2,FALSE)</f>
        <v>M4 Brillo</v>
      </c>
      <c r="C420">
        <v>29</v>
      </c>
      <c r="D420" t="s">
        <v>1712</v>
      </c>
      <c r="E420" t="s">
        <v>1477</v>
      </c>
      <c r="F420" t="str">
        <f>VLOOKUP(Tabla5[[#This Row],[Code]],[1]!Tabla6[#Data],3,FALSE)</f>
        <v>Color</v>
      </c>
    </row>
    <row r="421" spans="1:6" x14ac:dyDescent="0.25">
      <c r="A421">
        <v>21</v>
      </c>
      <c r="B421" t="str">
        <f>VLOOKUP(Tabla5[[#This Row],[Code]],[1]!Tabla6[#Data],2,FALSE)</f>
        <v>M4 Brillo</v>
      </c>
      <c r="C421">
        <v>30</v>
      </c>
      <c r="D421" t="s">
        <v>1713</v>
      </c>
      <c r="E421" t="s">
        <v>1481</v>
      </c>
      <c r="F421" t="str">
        <f>VLOOKUP(Tabla5[[#This Row],[Code]],[1]!Tabla6[#Data],3,FALSE)</f>
        <v>Color</v>
      </c>
    </row>
    <row r="422" spans="1:6" x14ac:dyDescent="0.25">
      <c r="A422">
        <v>21</v>
      </c>
      <c r="B422" t="str">
        <f>VLOOKUP(Tabla5[[#This Row],[Code]],[1]!Tabla6[#Data],2,FALSE)</f>
        <v>M4 Brillo</v>
      </c>
      <c r="C422">
        <v>31</v>
      </c>
      <c r="D422" t="s">
        <v>1714</v>
      </c>
      <c r="E422" t="s">
        <v>1482</v>
      </c>
      <c r="F422" t="str">
        <f>VLOOKUP(Tabla5[[#This Row],[Code]],[1]!Tabla6[#Data],3,FALSE)</f>
        <v>Color</v>
      </c>
    </row>
    <row r="423" spans="1:6" x14ac:dyDescent="0.25">
      <c r="A423">
        <v>21</v>
      </c>
      <c r="B423" t="str">
        <f>VLOOKUP(Tabla5[[#This Row],[Code]],[1]!Tabla6[#Data],2,FALSE)</f>
        <v>M4 Brillo</v>
      </c>
      <c r="C423">
        <v>32</v>
      </c>
      <c r="D423" t="s">
        <v>1715</v>
      </c>
      <c r="E423" t="s">
        <v>1483</v>
      </c>
      <c r="F423" t="str">
        <f>VLOOKUP(Tabla5[[#This Row],[Code]],[1]!Tabla6[#Data],3,FALSE)</f>
        <v>Color</v>
      </c>
    </row>
    <row r="424" spans="1:6" x14ac:dyDescent="0.25">
      <c r="A424">
        <v>21</v>
      </c>
      <c r="B424" t="str">
        <f>VLOOKUP(Tabla5[[#This Row],[Code]],[1]!Tabla6[#Data],2,FALSE)</f>
        <v>M4 Brillo</v>
      </c>
      <c r="C424">
        <v>33</v>
      </c>
      <c r="D424" t="s">
        <v>1716</v>
      </c>
      <c r="E424" t="s">
        <v>1484</v>
      </c>
      <c r="F424" t="str">
        <f>VLOOKUP(Tabla5[[#This Row],[Code]],[1]!Tabla6[#Data],3,FALSE)</f>
        <v>Color</v>
      </c>
    </row>
    <row r="425" spans="1:6" x14ac:dyDescent="0.25">
      <c r="A425">
        <v>21</v>
      </c>
      <c r="B425" t="str">
        <f>VLOOKUP(Tabla5[[#This Row],[Code]],[1]!Tabla6[#Data],2,FALSE)</f>
        <v>M4 Brillo</v>
      </c>
      <c r="C425">
        <v>34</v>
      </c>
      <c r="D425" t="s">
        <v>1717</v>
      </c>
      <c r="E425" t="s">
        <v>1565</v>
      </c>
      <c r="F425" t="str">
        <f>VLOOKUP(Tabla5[[#This Row],[Code]],[1]!Tabla6[#Data],3,FALSE)</f>
        <v>Color</v>
      </c>
    </row>
    <row r="426" spans="1:6" x14ac:dyDescent="0.25">
      <c r="A426">
        <v>21</v>
      </c>
      <c r="B426" t="str">
        <f>VLOOKUP(Tabla5[[#This Row],[Code]],[1]!Tabla6[#Data],2,FALSE)</f>
        <v>M4 Brillo</v>
      </c>
      <c r="C426">
        <v>35</v>
      </c>
      <c r="D426" t="s">
        <v>1718</v>
      </c>
      <c r="E426" t="s">
        <v>1485</v>
      </c>
      <c r="F426" t="str">
        <f>VLOOKUP(Tabla5[[#This Row],[Code]],[1]!Tabla6[#Data],3,FALSE)</f>
        <v>Color</v>
      </c>
    </row>
    <row r="427" spans="1:6" x14ac:dyDescent="0.25">
      <c r="A427">
        <v>21</v>
      </c>
      <c r="B427" t="str">
        <f>VLOOKUP(Tabla5[[#This Row],[Code]],[1]!Tabla6[#Data],2,FALSE)</f>
        <v>M4 Brillo</v>
      </c>
      <c r="C427">
        <v>36</v>
      </c>
      <c r="D427" t="s">
        <v>1719</v>
      </c>
      <c r="E427" t="s">
        <v>1486</v>
      </c>
      <c r="F427" t="str">
        <f>VLOOKUP(Tabla5[[#This Row],[Code]],[1]!Tabla6[#Data],3,FALSE)</f>
        <v>Color</v>
      </c>
    </row>
    <row r="428" spans="1:6" x14ac:dyDescent="0.25">
      <c r="A428">
        <v>21</v>
      </c>
      <c r="B428" t="str">
        <f>VLOOKUP(Tabla5[[#This Row],[Code]],[1]!Tabla6[#Data],2,FALSE)</f>
        <v>M4 Brillo</v>
      </c>
      <c r="C428">
        <v>37</v>
      </c>
      <c r="D428" t="s">
        <v>1720</v>
      </c>
      <c r="E428" t="s">
        <v>1489</v>
      </c>
      <c r="F428" t="str">
        <f>VLOOKUP(Tabla5[[#This Row],[Code]],[1]!Tabla6[#Data],3,FALSE)</f>
        <v>Color</v>
      </c>
    </row>
    <row r="429" spans="1:6" x14ac:dyDescent="0.25">
      <c r="A429">
        <v>21</v>
      </c>
      <c r="B429" t="str">
        <f>VLOOKUP(Tabla5[[#This Row],[Code]],[1]!Tabla6[#Data],2,FALSE)</f>
        <v>M4 Brillo</v>
      </c>
      <c r="C429">
        <v>38</v>
      </c>
      <c r="D429" t="s">
        <v>1721</v>
      </c>
      <c r="E429" t="s">
        <v>1722</v>
      </c>
      <c r="F429" t="str">
        <f>VLOOKUP(Tabla5[[#This Row],[Code]],[1]!Tabla6[#Data],3,FALSE)</f>
        <v>Color</v>
      </c>
    </row>
    <row r="430" spans="1:6" x14ac:dyDescent="0.25">
      <c r="A430">
        <v>21</v>
      </c>
      <c r="B430" t="str">
        <f>VLOOKUP(Tabla5[[#This Row],[Code]],[1]!Tabla6[#Data],2,FALSE)</f>
        <v>M4 Brillo</v>
      </c>
      <c r="C430">
        <v>39</v>
      </c>
      <c r="D430" t="s">
        <v>1723</v>
      </c>
      <c r="E430" t="s">
        <v>1492</v>
      </c>
      <c r="F430" t="str">
        <f>VLOOKUP(Tabla5[[#This Row],[Code]],[1]!Tabla6[#Data],3,FALSE)</f>
        <v>Color</v>
      </c>
    </row>
    <row r="431" spans="1:6" x14ac:dyDescent="0.25">
      <c r="A431">
        <v>21</v>
      </c>
      <c r="B431" t="str">
        <f>VLOOKUP(Tabla5[[#This Row],[Code]],[1]!Tabla6[#Data],2,FALSE)</f>
        <v>M4 Brillo</v>
      </c>
      <c r="C431">
        <v>40</v>
      </c>
      <c r="D431" t="s">
        <v>1724</v>
      </c>
      <c r="E431" t="s">
        <v>1493</v>
      </c>
      <c r="F431" t="str">
        <f>VLOOKUP(Tabla5[[#This Row],[Code]],[1]!Tabla6[#Data],3,FALSE)</f>
        <v>Color</v>
      </c>
    </row>
    <row r="432" spans="1:6" x14ac:dyDescent="0.25">
      <c r="A432">
        <v>21</v>
      </c>
      <c r="B432" t="str">
        <f>VLOOKUP(Tabla5[[#This Row],[Code]],[1]!Tabla6[#Data],2,FALSE)</f>
        <v>M4 Brillo</v>
      </c>
      <c r="C432">
        <v>41</v>
      </c>
      <c r="D432" t="s">
        <v>1725</v>
      </c>
      <c r="E432" t="s">
        <v>1461</v>
      </c>
      <c r="F432" t="str">
        <f>VLOOKUP(Tabla5[[#This Row],[Code]],[1]!Tabla6[#Data],3,FALSE)</f>
        <v>Color</v>
      </c>
    </row>
    <row r="433" spans="1:6" x14ac:dyDescent="0.25">
      <c r="A433">
        <v>22</v>
      </c>
      <c r="B433" t="str">
        <f>VLOOKUP(Tabla5[[#This Row],[Code]],[1]!Tabla6[#Data],2,FALSE)</f>
        <v>M4 Mate</v>
      </c>
      <c r="C433">
        <v>1</v>
      </c>
      <c r="D433" t="s">
        <v>1726</v>
      </c>
      <c r="E433" t="s">
        <v>1387</v>
      </c>
      <c r="F433" t="str">
        <f>VLOOKUP(Tabla5[[#This Row],[Code]],[1]!Tabla6[#Data],3,FALSE)</f>
        <v>Color</v>
      </c>
    </row>
    <row r="434" spans="1:6" x14ac:dyDescent="0.25">
      <c r="A434">
        <v>22</v>
      </c>
      <c r="B434" t="str">
        <f>VLOOKUP(Tabla5[[#This Row],[Code]],[1]!Tabla6[#Data],2,FALSE)</f>
        <v>M4 Mate</v>
      </c>
      <c r="C434">
        <v>2</v>
      </c>
      <c r="D434" t="s">
        <v>1727</v>
      </c>
      <c r="E434" t="s">
        <v>1401</v>
      </c>
      <c r="F434" t="str">
        <f>VLOOKUP(Tabla5[[#This Row],[Code]],[1]!Tabla6[#Data],3,FALSE)</f>
        <v>Color</v>
      </c>
    </row>
    <row r="435" spans="1:6" x14ac:dyDescent="0.25">
      <c r="A435">
        <v>22</v>
      </c>
      <c r="B435" t="str">
        <f>VLOOKUP(Tabla5[[#This Row],[Code]],[1]!Tabla6[#Data],2,FALSE)</f>
        <v>M4 Mate</v>
      </c>
      <c r="C435">
        <v>3</v>
      </c>
      <c r="D435" t="s">
        <v>1728</v>
      </c>
      <c r="E435" t="s">
        <v>1458</v>
      </c>
      <c r="F435" t="str">
        <f>VLOOKUP(Tabla5[[#This Row],[Code]],[1]!Tabla6[#Data],3,FALSE)</f>
        <v>Color</v>
      </c>
    </row>
    <row r="436" spans="1:6" x14ac:dyDescent="0.25">
      <c r="A436">
        <v>22</v>
      </c>
      <c r="B436" t="str">
        <f>VLOOKUP(Tabla5[[#This Row],[Code]],[1]!Tabla6[#Data],2,FALSE)</f>
        <v>M4 Mate</v>
      </c>
      <c r="C436">
        <v>4</v>
      </c>
      <c r="D436" t="s">
        <v>1729</v>
      </c>
      <c r="E436" t="s">
        <v>1450</v>
      </c>
      <c r="F436" t="str">
        <f>VLOOKUP(Tabla5[[#This Row],[Code]],[1]!Tabla6[#Data],3,FALSE)</f>
        <v>Color</v>
      </c>
    </row>
    <row r="437" spans="1:6" x14ac:dyDescent="0.25">
      <c r="A437">
        <v>22</v>
      </c>
      <c r="B437" t="str">
        <f>VLOOKUP(Tabla5[[#This Row],[Code]],[1]!Tabla6[#Data],2,FALSE)</f>
        <v>M4 Mate</v>
      </c>
      <c r="C437">
        <v>5</v>
      </c>
      <c r="D437" t="s">
        <v>1730</v>
      </c>
      <c r="E437" t="s">
        <v>1411</v>
      </c>
      <c r="F437" t="str">
        <f>VLOOKUP(Tabla5[[#This Row],[Code]],[1]!Tabla6[#Data],3,FALSE)</f>
        <v>Color</v>
      </c>
    </row>
    <row r="438" spans="1:6" x14ac:dyDescent="0.25">
      <c r="A438">
        <v>22</v>
      </c>
      <c r="B438" t="str">
        <f>VLOOKUP(Tabla5[[#This Row],[Code]],[1]!Tabla6[#Data],2,FALSE)</f>
        <v>M4 Mate</v>
      </c>
      <c r="C438">
        <v>6</v>
      </c>
      <c r="D438" t="s">
        <v>1731</v>
      </c>
      <c r="E438" t="s">
        <v>1462</v>
      </c>
      <c r="F438" t="str">
        <f>VLOOKUP(Tabla5[[#This Row],[Code]],[1]!Tabla6[#Data],3,FALSE)</f>
        <v>Color</v>
      </c>
    </row>
    <row r="439" spans="1:6" x14ac:dyDescent="0.25">
      <c r="A439">
        <v>22</v>
      </c>
      <c r="B439" t="str">
        <f>VLOOKUP(Tabla5[[#This Row],[Code]],[1]!Tabla6[#Data],2,FALSE)</f>
        <v>M4 Mate</v>
      </c>
      <c r="C439">
        <v>7</v>
      </c>
      <c r="D439" t="s">
        <v>1732</v>
      </c>
      <c r="E439" t="s">
        <v>1463</v>
      </c>
      <c r="F439" t="str">
        <f>VLOOKUP(Tabla5[[#This Row],[Code]],[1]!Tabla6[#Data],3,FALSE)</f>
        <v>Color</v>
      </c>
    </row>
    <row r="440" spans="1:6" x14ac:dyDescent="0.25">
      <c r="A440">
        <v>22</v>
      </c>
      <c r="B440" t="str">
        <f>VLOOKUP(Tabla5[[#This Row],[Code]],[1]!Tabla6[#Data],2,FALSE)</f>
        <v>M4 Mate</v>
      </c>
      <c r="C440">
        <v>8</v>
      </c>
      <c r="D440" t="s">
        <v>1733</v>
      </c>
      <c r="E440" t="s">
        <v>1413</v>
      </c>
      <c r="F440" t="str">
        <f>VLOOKUP(Tabla5[[#This Row],[Code]],[1]!Tabla6[#Data],3,FALSE)</f>
        <v>Color</v>
      </c>
    </row>
    <row r="441" spans="1:6" x14ac:dyDescent="0.25">
      <c r="A441">
        <v>22</v>
      </c>
      <c r="B441" t="str">
        <f>VLOOKUP(Tabla5[[#This Row],[Code]],[1]!Tabla6[#Data],2,FALSE)</f>
        <v>M4 Mate</v>
      </c>
      <c r="C441">
        <v>9</v>
      </c>
      <c r="D441" t="s">
        <v>1734</v>
      </c>
      <c r="E441" t="s">
        <v>1466</v>
      </c>
      <c r="F441" t="str">
        <f>VLOOKUP(Tabla5[[#This Row],[Code]],[1]!Tabla6[#Data],3,FALSE)</f>
        <v>Color</v>
      </c>
    </row>
    <row r="442" spans="1:6" x14ac:dyDescent="0.25">
      <c r="A442">
        <v>22</v>
      </c>
      <c r="B442" t="str">
        <f>VLOOKUP(Tabla5[[#This Row],[Code]],[1]!Tabla6[#Data],2,FALSE)</f>
        <v>M4 Mate</v>
      </c>
      <c r="C442">
        <v>10</v>
      </c>
      <c r="D442" t="s">
        <v>1735</v>
      </c>
      <c r="E442" t="s">
        <v>1416</v>
      </c>
      <c r="F442" t="str">
        <f>VLOOKUP(Tabla5[[#This Row],[Code]],[1]!Tabla6[#Data],3,FALSE)</f>
        <v>Color</v>
      </c>
    </row>
    <row r="443" spans="1:6" x14ac:dyDescent="0.25">
      <c r="A443">
        <v>22</v>
      </c>
      <c r="B443" t="str">
        <f>VLOOKUP(Tabla5[[#This Row],[Code]],[1]!Tabla6[#Data],2,FALSE)</f>
        <v>M4 Mate</v>
      </c>
      <c r="C443">
        <v>11</v>
      </c>
      <c r="D443" t="s">
        <v>1736</v>
      </c>
      <c r="E443" t="s">
        <v>1417</v>
      </c>
      <c r="F443" t="str">
        <f>VLOOKUP(Tabla5[[#This Row],[Code]],[1]!Tabla6[#Data],3,FALSE)</f>
        <v>Color</v>
      </c>
    </row>
    <row r="444" spans="1:6" x14ac:dyDescent="0.25">
      <c r="A444">
        <v>22</v>
      </c>
      <c r="B444" t="str">
        <f>VLOOKUP(Tabla5[[#This Row],[Code]],[1]!Tabla6[#Data],2,FALSE)</f>
        <v>M4 Mate</v>
      </c>
      <c r="C444">
        <v>12</v>
      </c>
      <c r="D444" t="s">
        <v>1737</v>
      </c>
      <c r="E444" t="s">
        <v>1469</v>
      </c>
      <c r="F444" t="str">
        <f>VLOOKUP(Tabla5[[#This Row],[Code]],[1]!Tabla6[#Data],3,FALSE)</f>
        <v>Color</v>
      </c>
    </row>
    <row r="445" spans="1:6" x14ac:dyDescent="0.25">
      <c r="A445">
        <v>22</v>
      </c>
      <c r="B445" t="str">
        <f>VLOOKUP(Tabla5[[#This Row],[Code]],[1]!Tabla6[#Data],2,FALSE)</f>
        <v>M4 Mate</v>
      </c>
      <c r="C445">
        <v>13</v>
      </c>
      <c r="D445" t="s">
        <v>1738</v>
      </c>
      <c r="E445" t="s">
        <v>1471</v>
      </c>
      <c r="F445" t="str">
        <f>VLOOKUP(Tabla5[[#This Row],[Code]],[1]!Tabla6[#Data],3,FALSE)</f>
        <v>Color</v>
      </c>
    </row>
    <row r="446" spans="1:6" x14ac:dyDescent="0.25">
      <c r="A446">
        <v>22</v>
      </c>
      <c r="B446" t="str">
        <f>VLOOKUP(Tabla5[[#This Row],[Code]],[1]!Tabla6[#Data],2,FALSE)</f>
        <v>M4 Mate</v>
      </c>
      <c r="C446">
        <v>14</v>
      </c>
      <c r="D446" t="s">
        <v>1739</v>
      </c>
      <c r="E446" t="s">
        <v>1472</v>
      </c>
      <c r="F446" t="str">
        <f>VLOOKUP(Tabla5[[#This Row],[Code]],[1]!Tabla6[#Data],3,FALSE)</f>
        <v>Color</v>
      </c>
    </row>
    <row r="447" spans="1:6" x14ac:dyDescent="0.25">
      <c r="A447">
        <v>22</v>
      </c>
      <c r="B447" t="str">
        <f>VLOOKUP(Tabla5[[#This Row],[Code]],[1]!Tabla6[#Data],2,FALSE)</f>
        <v>M4 Mate</v>
      </c>
      <c r="C447">
        <v>15</v>
      </c>
      <c r="D447" t="s">
        <v>1740</v>
      </c>
      <c r="E447" t="s">
        <v>1419</v>
      </c>
      <c r="F447" t="str">
        <f>VLOOKUP(Tabla5[[#This Row],[Code]],[1]!Tabla6[#Data],3,FALSE)</f>
        <v>Color</v>
      </c>
    </row>
    <row r="448" spans="1:6" x14ac:dyDescent="0.25">
      <c r="A448">
        <v>22</v>
      </c>
      <c r="B448" t="str">
        <f>VLOOKUP(Tabla5[[#This Row],[Code]],[1]!Tabla6[#Data],2,FALSE)</f>
        <v>M4 Mate</v>
      </c>
      <c r="C448">
        <v>16</v>
      </c>
      <c r="D448" t="s">
        <v>1741</v>
      </c>
      <c r="E448" t="s">
        <v>1420</v>
      </c>
      <c r="F448" t="str">
        <f>VLOOKUP(Tabla5[[#This Row],[Code]],[1]!Tabla6[#Data],3,FALSE)</f>
        <v>Color</v>
      </c>
    </row>
    <row r="449" spans="1:6" x14ac:dyDescent="0.25">
      <c r="A449">
        <v>22</v>
      </c>
      <c r="B449" t="str">
        <f>VLOOKUP(Tabla5[[#This Row],[Code]],[1]!Tabla6[#Data],2,FALSE)</f>
        <v>M4 Mate</v>
      </c>
      <c r="C449">
        <v>17</v>
      </c>
      <c r="D449" t="s">
        <v>1742</v>
      </c>
      <c r="E449" t="s">
        <v>1474</v>
      </c>
      <c r="F449" t="str">
        <f>VLOOKUP(Tabla5[[#This Row],[Code]],[1]!Tabla6[#Data],3,FALSE)</f>
        <v>Color</v>
      </c>
    </row>
    <row r="450" spans="1:6" x14ac:dyDescent="0.25">
      <c r="A450">
        <v>22</v>
      </c>
      <c r="B450" t="str">
        <f>VLOOKUP(Tabla5[[#This Row],[Code]],[1]!Tabla6[#Data],2,FALSE)</f>
        <v>M4 Mate</v>
      </c>
      <c r="C450">
        <v>18</v>
      </c>
      <c r="D450" t="s">
        <v>1743</v>
      </c>
      <c r="E450" t="s">
        <v>1565</v>
      </c>
      <c r="F450" t="str">
        <f>VLOOKUP(Tabla5[[#This Row],[Code]],[1]!Tabla6[#Data],3,FALSE)</f>
        <v>Color</v>
      </c>
    </row>
    <row r="451" spans="1:6" x14ac:dyDescent="0.25">
      <c r="A451">
        <v>22</v>
      </c>
      <c r="B451" t="str">
        <f>VLOOKUP(Tabla5[[#This Row],[Code]],[1]!Tabla6[#Data],2,FALSE)</f>
        <v>M4 Mate</v>
      </c>
      <c r="C451">
        <v>19</v>
      </c>
      <c r="D451" t="s">
        <v>1744</v>
      </c>
      <c r="E451" t="s">
        <v>1475</v>
      </c>
      <c r="F451" t="str">
        <f>VLOOKUP(Tabla5[[#This Row],[Code]],[1]!Tabla6[#Data],3,FALSE)</f>
        <v>Color</v>
      </c>
    </row>
    <row r="452" spans="1:6" x14ac:dyDescent="0.25">
      <c r="A452">
        <v>22</v>
      </c>
      <c r="B452" t="str">
        <f>VLOOKUP(Tabla5[[#This Row],[Code]],[1]!Tabla6[#Data],2,FALSE)</f>
        <v>M4 Mate</v>
      </c>
      <c r="C452">
        <v>20</v>
      </c>
      <c r="D452" t="s">
        <v>1745</v>
      </c>
      <c r="E452" t="s">
        <v>1476</v>
      </c>
      <c r="F452" t="str">
        <f>VLOOKUP(Tabla5[[#This Row],[Code]],[1]!Tabla6[#Data],3,FALSE)</f>
        <v>Color</v>
      </c>
    </row>
    <row r="453" spans="1:6" x14ac:dyDescent="0.25">
      <c r="A453">
        <v>22</v>
      </c>
      <c r="B453" t="str">
        <f>VLOOKUP(Tabla5[[#This Row],[Code]],[1]!Tabla6[#Data],2,FALSE)</f>
        <v>M4 Mate</v>
      </c>
      <c r="C453">
        <v>21</v>
      </c>
      <c r="D453" t="s">
        <v>1746</v>
      </c>
      <c r="E453" t="s">
        <v>1477</v>
      </c>
      <c r="F453" t="str">
        <f>VLOOKUP(Tabla5[[#This Row],[Code]],[1]!Tabla6[#Data],3,FALSE)</f>
        <v>Color</v>
      </c>
    </row>
    <row r="454" spans="1:6" x14ac:dyDescent="0.25">
      <c r="A454">
        <v>22</v>
      </c>
      <c r="B454" t="str">
        <f>VLOOKUP(Tabla5[[#This Row],[Code]],[1]!Tabla6[#Data],2,FALSE)</f>
        <v>M4 Mate</v>
      </c>
      <c r="C454">
        <v>22</v>
      </c>
      <c r="D454" t="s">
        <v>1747</v>
      </c>
      <c r="E454" t="s">
        <v>1422</v>
      </c>
      <c r="F454" t="str">
        <f>VLOOKUP(Tabla5[[#This Row],[Code]],[1]!Tabla6[#Data],3,FALSE)</f>
        <v>Color</v>
      </c>
    </row>
    <row r="455" spans="1:6" x14ac:dyDescent="0.25">
      <c r="A455">
        <v>22</v>
      </c>
      <c r="B455" t="str">
        <f>VLOOKUP(Tabla5[[#This Row],[Code]],[1]!Tabla6[#Data],2,FALSE)</f>
        <v>M4 Mate</v>
      </c>
      <c r="C455">
        <v>23</v>
      </c>
      <c r="D455" t="s">
        <v>1748</v>
      </c>
      <c r="E455" t="s">
        <v>1480</v>
      </c>
      <c r="F455" t="str">
        <f>VLOOKUP(Tabla5[[#This Row],[Code]],[1]!Tabla6[#Data],3,FALSE)</f>
        <v>Color</v>
      </c>
    </row>
    <row r="456" spans="1:6" x14ac:dyDescent="0.25">
      <c r="A456">
        <v>22</v>
      </c>
      <c r="B456" t="str">
        <f>VLOOKUP(Tabla5[[#This Row],[Code]],[1]!Tabla6[#Data],2,FALSE)</f>
        <v>M4 Mate</v>
      </c>
      <c r="C456">
        <v>24</v>
      </c>
      <c r="D456" t="s">
        <v>1749</v>
      </c>
      <c r="E456" t="s">
        <v>1478</v>
      </c>
      <c r="F456" t="str">
        <f>VLOOKUP(Tabla5[[#This Row],[Code]],[1]!Tabla6[#Data],3,FALSE)</f>
        <v>Color</v>
      </c>
    </row>
    <row r="457" spans="1:6" x14ac:dyDescent="0.25">
      <c r="A457">
        <v>22</v>
      </c>
      <c r="B457" t="str">
        <f>VLOOKUP(Tabla5[[#This Row],[Code]],[1]!Tabla6[#Data],2,FALSE)</f>
        <v>M4 Mate</v>
      </c>
      <c r="C457">
        <v>25</v>
      </c>
      <c r="D457" t="s">
        <v>1750</v>
      </c>
      <c r="E457" t="s">
        <v>1481</v>
      </c>
      <c r="F457" t="str">
        <f>VLOOKUP(Tabla5[[#This Row],[Code]],[1]!Tabla6[#Data],3,FALSE)</f>
        <v>Color</v>
      </c>
    </row>
    <row r="458" spans="1:6" x14ac:dyDescent="0.25">
      <c r="A458">
        <v>22</v>
      </c>
      <c r="B458" t="str">
        <f>VLOOKUP(Tabla5[[#This Row],[Code]],[1]!Tabla6[#Data],2,FALSE)</f>
        <v>M4 Mate</v>
      </c>
      <c r="C458">
        <v>26</v>
      </c>
      <c r="D458" t="s">
        <v>1751</v>
      </c>
      <c r="E458" t="s">
        <v>1482</v>
      </c>
      <c r="F458" t="str">
        <f>VLOOKUP(Tabla5[[#This Row],[Code]],[1]!Tabla6[#Data],3,FALSE)</f>
        <v>Color</v>
      </c>
    </row>
    <row r="459" spans="1:6" x14ac:dyDescent="0.25">
      <c r="A459">
        <v>22</v>
      </c>
      <c r="B459" t="str">
        <f>VLOOKUP(Tabla5[[#This Row],[Code]],[1]!Tabla6[#Data],2,FALSE)</f>
        <v>M4 Mate</v>
      </c>
      <c r="C459">
        <v>27</v>
      </c>
      <c r="D459" t="s">
        <v>1752</v>
      </c>
      <c r="E459" t="s">
        <v>1488</v>
      </c>
      <c r="F459" t="str">
        <f>VLOOKUP(Tabla5[[#This Row],[Code]],[1]!Tabla6[#Data],3,FALSE)</f>
        <v>Color</v>
      </c>
    </row>
    <row r="460" spans="1:6" x14ac:dyDescent="0.25">
      <c r="A460">
        <v>22</v>
      </c>
      <c r="B460" t="str">
        <f>VLOOKUP(Tabla5[[#This Row],[Code]],[1]!Tabla6[#Data],2,FALSE)</f>
        <v>M4 Mate</v>
      </c>
      <c r="C460">
        <v>28</v>
      </c>
      <c r="D460" t="s">
        <v>1753</v>
      </c>
      <c r="E460" t="s">
        <v>1489</v>
      </c>
      <c r="F460" t="str">
        <f>VLOOKUP(Tabla5[[#This Row],[Code]],[1]!Tabla6[#Data],3,FALSE)</f>
        <v>Color</v>
      </c>
    </row>
    <row r="461" spans="1:6" x14ac:dyDescent="0.25">
      <c r="A461">
        <v>22</v>
      </c>
      <c r="B461" t="str">
        <f>VLOOKUP(Tabla5[[#This Row],[Code]],[1]!Tabla6[#Data],2,FALSE)</f>
        <v>M4 Mate</v>
      </c>
      <c r="C461">
        <v>29</v>
      </c>
      <c r="D461" t="s">
        <v>1754</v>
      </c>
      <c r="E461" t="s">
        <v>1490</v>
      </c>
      <c r="F461" t="str">
        <f>VLOOKUP(Tabla5[[#This Row],[Code]],[1]!Tabla6[#Data],3,FALSE)</f>
        <v>Color</v>
      </c>
    </row>
    <row r="462" spans="1:6" x14ac:dyDescent="0.25">
      <c r="A462">
        <v>22</v>
      </c>
      <c r="B462" t="str">
        <f>VLOOKUP(Tabla5[[#This Row],[Code]],[1]!Tabla6[#Data],2,FALSE)</f>
        <v>M4 Mate</v>
      </c>
      <c r="C462">
        <v>30</v>
      </c>
      <c r="D462" t="s">
        <v>1755</v>
      </c>
      <c r="E462" t="s">
        <v>1492</v>
      </c>
      <c r="F462" t="str">
        <f>VLOOKUP(Tabla5[[#This Row],[Code]],[1]!Tabla6[#Data],3,FALSE)</f>
        <v>Color</v>
      </c>
    </row>
    <row r="463" spans="1:6" x14ac:dyDescent="0.25">
      <c r="A463">
        <v>22</v>
      </c>
      <c r="B463" t="str">
        <f>VLOOKUP(Tabla5[[#This Row],[Code]],[1]!Tabla6[#Data],2,FALSE)</f>
        <v>M4 Mate</v>
      </c>
      <c r="C463">
        <v>31</v>
      </c>
      <c r="D463" t="s">
        <v>486</v>
      </c>
      <c r="E463" t="s">
        <v>1493</v>
      </c>
      <c r="F463" t="str">
        <f>VLOOKUP(Tabla5[[#This Row],[Code]],[1]!Tabla6[#Data],3,FALSE)</f>
        <v>Color</v>
      </c>
    </row>
    <row r="464" spans="1:6" x14ac:dyDescent="0.25">
      <c r="A464">
        <v>23</v>
      </c>
      <c r="B464" t="str">
        <f>VLOOKUP(Tabla5[[#This Row],[Code]],[1]!Tabla6[#Data],2,FALSE)</f>
        <v>Tipo de Vinilo</v>
      </c>
      <c r="C464">
        <v>1</v>
      </c>
      <c r="D464" t="s">
        <v>110</v>
      </c>
      <c r="F464" t="str">
        <f>VLOOKUP(Tabla5[[#This Row],[Code]],[1]!Tabla6[#Data],3,FALSE)</f>
        <v>Select</v>
      </c>
    </row>
    <row r="465" spans="1:6" x14ac:dyDescent="0.25">
      <c r="A465">
        <v>23</v>
      </c>
      <c r="B465" t="str">
        <f>VLOOKUP(Tabla5[[#This Row],[Code]],[1]!Tabla6[#Data],2,FALSE)</f>
        <v>Tipo de Vinilo</v>
      </c>
      <c r="C465">
        <v>2</v>
      </c>
      <c r="D465" t="s">
        <v>136</v>
      </c>
      <c r="F465" t="str">
        <f>VLOOKUP(Tabla5[[#This Row],[Code]],[1]!Tabla6[#Data],3,FALSE)</f>
        <v>Select</v>
      </c>
    </row>
    <row r="466" spans="1:6" x14ac:dyDescent="0.25">
      <c r="A466">
        <v>23</v>
      </c>
      <c r="B466" t="str">
        <f>VLOOKUP(Tabla5[[#This Row],[Code]],[1]!Tabla6[#Data],2,FALSE)</f>
        <v>Tipo de Vinilo</v>
      </c>
      <c r="C466">
        <v>3</v>
      </c>
      <c r="D466" t="s">
        <v>91</v>
      </c>
      <c r="F466" t="str">
        <f>VLOOKUP(Tabla5[[#This Row],[Code]],[1]!Tabla6[#Data],3,FALSE)</f>
        <v>Select</v>
      </c>
    </row>
    <row r="467" spans="1:6" x14ac:dyDescent="0.25">
      <c r="A467">
        <v>23</v>
      </c>
      <c r="B467" t="str">
        <f>VLOOKUP(Tabla5[[#This Row],[Code]],[1]!Tabla6[#Data],2,FALSE)</f>
        <v>Tipo de Vinilo</v>
      </c>
      <c r="C467">
        <v>4</v>
      </c>
      <c r="D467" t="s">
        <v>133</v>
      </c>
      <c r="F467" t="str">
        <f>VLOOKUP(Tabla5[[#This Row],[Code]],[1]!Tabla6[#Data],3,FALSE)</f>
        <v>Select</v>
      </c>
    </row>
    <row r="468" spans="1:6" x14ac:dyDescent="0.25">
      <c r="A468">
        <v>23</v>
      </c>
      <c r="B468" t="str">
        <f>VLOOKUP(Tabla5[[#This Row],[Code]],[1]!Tabla6[#Data],2,FALSE)</f>
        <v>Tipo de Vinilo</v>
      </c>
      <c r="C468">
        <v>5</v>
      </c>
      <c r="D468" t="s">
        <v>1279</v>
      </c>
      <c r="F468" t="str">
        <f>VLOOKUP(Tabla5[[#This Row],[Code]],[1]!Tabla6[#Data],3,FALSE)</f>
        <v>Select</v>
      </c>
    </row>
    <row r="469" spans="1:6" x14ac:dyDescent="0.25">
      <c r="A469">
        <v>24</v>
      </c>
      <c r="B469" t="str">
        <f>VLOOKUP(Tabla5[[#This Row],[Code]],[1]!Tabla6[#Data],2,FALSE)</f>
        <v>Aplicación Vinilo Rotulación</v>
      </c>
      <c r="C469">
        <v>1</v>
      </c>
      <c r="D469" t="s">
        <v>389</v>
      </c>
      <c r="F469" t="str">
        <f>VLOOKUP(Tabla5[[#This Row],[Code]],[1]!Tabla6[#Data],3,FALSE)</f>
        <v>Select</v>
      </c>
    </row>
    <row r="470" spans="1:6" x14ac:dyDescent="0.25">
      <c r="A470">
        <v>24</v>
      </c>
      <c r="B470" t="str">
        <f>VLOOKUP(Tabla5[[#This Row],[Code]],[1]!Tabla6[#Data],2,FALSE)</f>
        <v>Aplicación Vinilo Rotulación</v>
      </c>
      <c r="C470">
        <v>2</v>
      </c>
      <c r="D470" t="s">
        <v>266</v>
      </c>
      <c r="F470" t="str">
        <f>VLOOKUP(Tabla5[[#This Row],[Code]],[1]!Tabla6[#Data],3,FALSE)</f>
        <v>Select</v>
      </c>
    </row>
    <row r="471" spans="1:6" x14ac:dyDescent="0.25">
      <c r="A471">
        <v>24</v>
      </c>
      <c r="B471" t="str">
        <f>VLOOKUP(Tabla5[[#This Row],[Code]],[1]!Tabla6[#Data],2,FALSE)</f>
        <v>Aplicación Vinilo Rotulación</v>
      </c>
      <c r="C471">
        <v>4</v>
      </c>
      <c r="D471" t="s">
        <v>489</v>
      </c>
      <c r="F471" t="str">
        <f>VLOOKUP(Tabla5[[#This Row],[Code]],[1]!Tabla6[#Data],3,FALSE)</f>
        <v>Select</v>
      </c>
    </row>
    <row r="472" spans="1:6" x14ac:dyDescent="0.25">
      <c r="A472">
        <v>24</v>
      </c>
      <c r="B472" t="str">
        <f>VLOOKUP(Tabla5[[#This Row],[Code]],[1]!Tabla6[#Data],2,FALSE)</f>
        <v>Aplicación Vinilo Rotulación</v>
      </c>
      <c r="C472">
        <v>5</v>
      </c>
      <c r="D472" t="s">
        <v>1381</v>
      </c>
      <c r="F472" t="str">
        <f>VLOOKUP(Tabla5[[#This Row],[Code]],[1]!Tabla6[#Data],3,FALSE)</f>
        <v>Select</v>
      </c>
    </row>
    <row r="473" spans="1:6" x14ac:dyDescent="0.25">
      <c r="A473">
        <v>24</v>
      </c>
      <c r="B473" t="str">
        <f>VLOOKUP(Tabla5[[#This Row],[Code]],[1]!Tabla6[#Data],2,FALSE)</f>
        <v>Aplicación Vinilo Rotulación</v>
      </c>
      <c r="C473">
        <v>6</v>
      </c>
      <c r="D473" t="s">
        <v>97</v>
      </c>
      <c r="F473" t="str">
        <f>VLOOKUP(Tabla5[[#This Row],[Code]],[1]!Tabla6[#Data],3,FALSE)</f>
        <v>Select</v>
      </c>
    </row>
    <row r="474" spans="1:6" x14ac:dyDescent="0.25">
      <c r="A474">
        <v>25</v>
      </c>
      <c r="B474" t="str">
        <f>VLOOKUP(Tabla5[[#This Row],[Code]],[1]!Tabla6[#Data],2,FALSE)</f>
        <v>Duración</v>
      </c>
      <c r="C474">
        <v>1</v>
      </c>
      <c r="D474" t="s">
        <v>161</v>
      </c>
      <c r="F474" t="str">
        <f>VLOOKUP(Tabla5[[#This Row],[Code]],[1]!Tabla6[#Data],3,FALSE)</f>
        <v>Select</v>
      </c>
    </row>
    <row r="475" spans="1:6" x14ac:dyDescent="0.25">
      <c r="A475">
        <v>25</v>
      </c>
      <c r="B475" t="str">
        <f>VLOOKUP(Tabla5[[#This Row],[Code]],[1]!Tabla6[#Data],2,FALSE)</f>
        <v>Duración</v>
      </c>
      <c r="C475">
        <v>2</v>
      </c>
      <c r="D475" t="s">
        <v>111</v>
      </c>
      <c r="F475" t="str">
        <f>VLOOKUP(Tabla5[[#This Row],[Code]],[1]!Tabla6[#Data],3,FALSE)</f>
        <v>Select</v>
      </c>
    </row>
    <row r="476" spans="1:6" x14ac:dyDescent="0.25">
      <c r="A476">
        <v>25</v>
      </c>
      <c r="B476" t="str">
        <f>VLOOKUP(Tabla5[[#This Row],[Code]],[1]!Tabla6[#Data],2,FALSE)</f>
        <v>Duración</v>
      </c>
      <c r="C476">
        <v>3</v>
      </c>
      <c r="D476" t="s">
        <v>134</v>
      </c>
      <c r="F476" t="str">
        <f>VLOOKUP(Tabla5[[#This Row],[Code]],[1]!Tabla6[#Data],3,FALSE)</f>
        <v>Select</v>
      </c>
    </row>
    <row r="477" spans="1:6" x14ac:dyDescent="0.25">
      <c r="A477">
        <v>25</v>
      </c>
      <c r="B477" t="str">
        <f>VLOOKUP(Tabla5[[#This Row],[Code]],[1]!Tabla6[#Data],2,FALSE)</f>
        <v>Duración</v>
      </c>
      <c r="C477">
        <v>4</v>
      </c>
      <c r="D477" t="s">
        <v>137</v>
      </c>
      <c r="F477" t="str">
        <f>VLOOKUP(Tabla5[[#This Row],[Code]],[1]!Tabla6[#Data],3,FALSE)</f>
        <v>Select</v>
      </c>
    </row>
    <row r="478" spans="1:6" x14ac:dyDescent="0.25">
      <c r="A478">
        <v>25</v>
      </c>
      <c r="B478" t="str">
        <f>VLOOKUP(Tabla5[[#This Row],[Code]],[1]!Tabla6[#Data],2,FALSE)</f>
        <v>Duración</v>
      </c>
      <c r="C478">
        <v>5</v>
      </c>
      <c r="D478" t="s">
        <v>168</v>
      </c>
      <c r="F478" t="str">
        <f>VLOOKUP(Tabla5[[#This Row],[Code]],[1]!Tabla6[#Data],3,FALSE)</f>
        <v>Select</v>
      </c>
    </row>
    <row r="479" spans="1:6" x14ac:dyDescent="0.25">
      <c r="A479">
        <v>25</v>
      </c>
      <c r="B479" t="str">
        <f>VLOOKUP(Tabla5[[#This Row],[Code]],[1]!Tabla6[#Data],2,FALSE)</f>
        <v>Duración</v>
      </c>
      <c r="C479">
        <v>6</v>
      </c>
      <c r="D479" t="s">
        <v>95</v>
      </c>
      <c r="F479" t="str">
        <f>VLOOKUP(Tabla5[[#This Row],[Code]],[1]!Tabla6[#Data],3,FALSE)</f>
        <v>Select</v>
      </c>
    </row>
    <row r="480" spans="1:6" x14ac:dyDescent="0.25">
      <c r="A480">
        <v>25</v>
      </c>
      <c r="B480" t="str">
        <f>VLOOKUP(Tabla5[[#This Row],[Code]],[1]!Tabla6[#Data],2,FALSE)</f>
        <v>Duración</v>
      </c>
      <c r="C480">
        <v>7</v>
      </c>
      <c r="D480" t="s">
        <v>1321</v>
      </c>
      <c r="F480" t="str">
        <f>VLOOKUP(Tabla5[[#This Row],[Code]],[1]!Tabla6[#Data],3,FALSE)</f>
        <v>Select</v>
      </c>
    </row>
    <row r="481" spans="1:6" x14ac:dyDescent="0.25">
      <c r="A481">
        <v>26</v>
      </c>
      <c r="B481" t="str">
        <f>VLOOKUP(Tabla5[[#This Row],[Code]],[1]!Tabla6[#Data],2,FALSE)</f>
        <v>Aplicación</v>
      </c>
      <c r="C481">
        <v>1</v>
      </c>
      <c r="D481" t="s">
        <v>1756</v>
      </c>
      <c r="F481" t="str">
        <f>VLOOKUP(Tabla5[[#This Row],[Code]],[1]!Tabla6[#Data],3,FALSE)</f>
        <v>Select</v>
      </c>
    </row>
    <row r="482" spans="1:6" x14ac:dyDescent="0.25">
      <c r="A482">
        <v>26</v>
      </c>
      <c r="B482" t="str">
        <f>VLOOKUP(Tabla5[[#This Row],[Code]],[1]!Tabla6[#Data],2,FALSE)</f>
        <v>Aplicación</v>
      </c>
      <c r="C482">
        <v>2</v>
      </c>
      <c r="D482" t="s">
        <v>1757</v>
      </c>
      <c r="F482" t="str">
        <f>VLOOKUP(Tabla5[[#This Row],[Code]],[1]!Tabla6[#Data],3,FALSE)</f>
        <v>Select</v>
      </c>
    </row>
    <row r="483" spans="1:6" x14ac:dyDescent="0.25">
      <c r="A483">
        <v>26</v>
      </c>
      <c r="B483" t="str">
        <f>VLOOKUP(Tabla5[[#This Row],[Code]],[1]!Tabla6[#Data],2,FALSE)</f>
        <v>Aplicación</v>
      </c>
      <c r="C483">
        <v>3</v>
      </c>
      <c r="D483" t="s">
        <v>113</v>
      </c>
      <c r="F483" t="str">
        <f>VLOOKUP(Tabla5[[#This Row],[Code]],[1]!Tabla6[#Data],3,FALSE)</f>
        <v>Select</v>
      </c>
    </row>
    <row r="484" spans="1:6" x14ac:dyDescent="0.25">
      <c r="A484">
        <v>26</v>
      </c>
      <c r="B484" t="str">
        <f>VLOOKUP(Tabla5[[#This Row],[Code]],[1]!Tabla6[#Data],2,FALSE)</f>
        <v>Aplicación</v>
      </c>
      <c r="C484">
        <v>4</v>
      </c>
      <c r="D484" t="s">
        <v>1027</v>
      </c>
      <c r="F484" t="str">
        <f>VLOOKUP(Tabla5[[#This Row],[Code]],[1]!Tabla6[#Data],3,FALSE)</f>
        <v>Select</v>
      </c>
    </row>
    <row r="485" spans="1:6" x14ac:dyDescent="0.25">
      <c r="A485">
        <v>26</v>
      </c>
      <c r="B485" t="str">
        <f>VLOOKUP(Tabla5[[#This Row],[Code]],[1]!Tabla6[#Data],2,FALSE)</f>
        <v>Aplicación</v>
      </c>
      <c r="C485">
        <v>5</v>
      </c>
      <c r="D485" t="s">
        <v>1187</v>
      </c>
      <c r="F485" t="str">
        <f>VLOOKUP(Tabla5[[#This Row],[Code]],[1]!Tabla6[#Data],3,FALSE)</f>
        <v>Select</v>
      </c>
    </row>
    <row r="486" spans="1:6" x14ac:dyDescent="0.25">
      <c r="A486">
        <v>27</v>
      </c>
      <c r="B486" t="str">
        <f>VLOOKUP(Tabla5[[#This Row],[Code]],[1]!Tabla6[#Data],2,FALSE)</f>
        <v>Compatibilidad</v>
      </c>
      <c r="C486">
        <v>1</v>
      </c>
      <c r="D486" t="s">
        <v>1758</v>
      </c>
      <c r="F486" t="str">
        <f>VLOOKUP(Tabla5[[#This Row],[Code]],[1]!Tabla6[#Data],3,FALSE)</f>
        <v>Select</v>
      </c>
    </row>
    <row r="487" spans="1:6" x14ac:dyDescent="0.25">
      <c r="A487">
        <v>27</v>
      </c>
      <c r="B487" t="str">
        <f>VLOOKUP(Tabla5[[#This Row],[Code]],[1]!Tabla6[#Data],2,FALSE)</f>
        <v>Compatibilidad</v>
      </c>
      <c r="C487">
        <v>2</v>
      </c>
      <c r="D487" t="s">
        <v>1759</v>
      </c>
      <c r="F487" t="str">
        <f>VLOOKUP(Tabla5[[#This Row],[Code]],[1]!Tabla6[#Data],3,FALSE)</f>
        <v>Select</v>
      </c>
    </row>
    <row r="488" spans="1:6" x14ac:dyDescent="0.25">
      <c r="A488">
        <v>27</v>
      </c>
      <c r="B488" t="str">
        <f>VLOOKUP(Tabla5[[#This Row],[Code]],[1]!Tabla6[#Data],2,FALSE)</f>
        <v>Compatibilidad</v>
      </c>
      <c r="C488">
        <v>3</v>
      </c>
      <c r="D488" t="s">
        <v>1760</v>
      </c>
      <c r="F488" t="str">
        <f>VLOOKUP(Tabla5[[#This Row],[Code]],[1]!Tabla6[#Data],3,FALSE)</f>
        <v>Select</v>
      </c>
    </row>
    <row r="489" spans="1:6" x14ac:dyDescent="0.25">
      <c r="A489">
        <v>28</v>
      </c>
      <c r="B489" t="str">
        <f>VLOOKUP(Tabla5[[#This Row],[Code]],[1]!Tabla6[#Data],2,FALSE)</f>
        <v>Acabado Rotulación</v>
      </c>
      <c r="C489">
        <v>1</v>
      </c>
      <c r="D489" t="s">
        <v>93</v>
      </c>
      <c r="F489" t="str">
        <f>VLOOKUP(Tabla5[[#This Row],[Code]],[1]!Tabla6[#Data],3,FALSE)</f>
        <v>Select</v>
      </c>
    </row>
    <row r="490" spans="1:6" x14ac:dyDescent="0.25">
      <c r="A490">
        <v>28</v>
      </c>
      <c r="B490" t="str">
        <f>VLOOKUP(Tabla5[[#This Row],[Code]],[1]!Tabla6[#Data],2,FALSE)</f>
        <v>Acabado Rotulación</v>
      </c>
      <c r="C490">
        <v>2</v>
      </c>
      <c r="D490" t="s">
        <v>102</v>
      </c>
      <c r="F490" t="str">
        <f>VLOOKUP(Tabla5[[#This Row],[Code]],[1]!Tabla6[#Data],3,FALSE)</f>
        <v>Select</v>
      </c>
    </row>
    <row r="491" spans="1:6" x14ac:dyDescent="0.25">
      <c r="A491">
        <v>29</v>
      </c>
      <c r="B491" t="str">
        <f>VLOOKUP(Tabla5[[#This Row],[Code]],[1]!Tabla6[#Data],2,FALSE)</f>
        <v>Tipo de Lona</v>
      </c>
      <c r="C491">
        <v>1</v>
      </c>
      <c r="D491" t="s">
        <v>1761</v>
      </c>
      <c r="F491" t="str">
        <f>VLOOKUP(Tabla5[[#This Row],[Code]],[1]!Tabla6[#Data],3,FALSE)</f>
        <v>Select</v>
      </c>
    </row>
    <row r="492" spans="1:6" x14ac:dyDescent="0.25">
      <c r="A492">
        <v>29</v>
      </c>
      <c r="B492" t="str">
        <f>VLOOKUP(Tabla5[[#This Row],[Code]],[1]!Tabla6[#Data],2,FALSE)</f>
        <v>Tipo de Lona</v>
      </c>
      <c r="C492">
        <v>2</v>
      </c>
      <c r="D492" t="s">
        <v>1762</v>
      </c>
      <c r="F492" t="str">
        <f>VLOOKUP(Tabla5[[#This Row],[Code]],[1]!Tabla6[#Data],3,FALSE)</f>
        <v>Select</v>
      </c>
    </row>
    <row r="493" spans="1:6" x14ac:dyDescent="0.25">
      <c r="A493">
        <v>29</v>
      </c>
      <c r="B493" t="str">
        <f>VLOOKUP(Tabla5[[#This Row],[Code]],[1]!Tabla6[#Data],2,FALSE)</f>
        <v>Tipo de Lona</v>
      </c>
      <c r="C493">
        <v>3</v>
      </c>
      <c r="D493" t="s">
        <v>53</v>
      </c>
      <c r="F493" t="str">
        <f>VLOOKUP(Tabla5[[#This Row],[Code]],[1]!Tabla6[#Data],3,FALSE)</f>
        <v>Select</v>
      </c>
    </row>
    <row r="494" spans="1:6" x14ac:dyDescent="0.25">
      <c r="A494">
        <v>29</v>
      </c>
      <c r="B494" t="str">
        <f>VLOOKUP(Tabla5[[#This Row],[Code]],[1]!Tabla6[#Data],2,FALSE)</f>
        <v>Tipo de Lona</v>
      </c>
      <c r="C494">
        <v>4</v>
      </c>
      <c r="D494" t="s">
        <v>58</v>
      </c>
      <c r="F494" t="str">
        <f>VLOOKUP(Tabla5[[#This Row],[Code]],[1]!Tabla6[#Data],3,FALSE)</f>
        <v>Select</v>
      </c>
    </row>
    <row r="495" spans="1:6" x14ac:dyDescent="0.25">
      <c r="A495">
        <v>30</v>
      </c>
      <c r="B495" t="str">
        <f>VLOOKUP(Tabla5[[#This Row],[Code]],[1]!Tabla6[#Data],2,FALSE)</f>
        <v>Tipo de Laminado</v>
      </c>
      <c r="C495">
        <v>1</v>
      </c>
      <c r="D495" t="s">
        <v>1025</v>
      </c>
      <c r="F495" t="str">
        <f>VLOOKUP(Tabla5[[#This Row],[Code]],[1]!Tabla6[#Data],3,FALSE)</f>
        <v>Select</v>
      </c>
    </row>
    <row r="496" spans="1:6" x14ac:dyDescent="0.25">
      <c r="A496">
        <v>30</v>
      </c>
      <c r="B496" t="str">
        <f>VLOOKUP(Tabla5[[#This Row],[Code]],[1]!Tabla6[#Data],2,FALSE)</f>
        <v>Tipo de Laminado</v>
      </c>
      <c r="C496">
        <v>3</v>
      </c>
      <c r="D496" t="s">
        <v>1763</v>
      </c>
      <c r="F496" t="str">
        <f>VLOOKUP(Tabla5[[#This Row],[Code]],[1]!Tabla6[#Data],3,FALSE)</f>
        <v>Select</v>
      </c>
    </row>
    <row r="497" spans="1:6" x14ac:dyDescent="0.25">
      <c r="A497">
        <v>30</v>
      </c>
      <c r="B497" t="str">
        <f>VLOOKUP(Tabla5[[#This Row],[Code]],[1]!Tabla6[#Data],2,FALSE)</f>
        <v>Tipo de Laminado</v>
      </c>
      <c r="C497">
        <v>4</v>
      </c>
      <c r="D497" t="s">
        <v>210</v>
      </c>
      <c r="F497" t="str">
        <f>VLOOKUP(Tabla5[[#This Row],[Code]],[1]!Tabla6[#Data],3,FALSE)</f>
        <v>Select</v>
      </c>
    </row>
    <row r="498" spans="1:6" x14ac:dyDescent="0.25">
      <c r="A498">
        <v>30</v>
      </c>
      <c r="B498" t="str">
        <f>VLOOKUP(Tabla5[[#This Row],[Code]],[1]!Tabla6[#Data],2,FALSE)</f>
        <v>Tipo de Laminado</v>
      </c>
      <c r="C498">
        <v>5</v>
      </c>
      <c r="D498" t="s">
        <v>185</v>
      </c>
      <c r="F498" t="str">
        <f>VLOOKUP(Tabla5[[#This Row],[Code]],[1]!Tabla6[#Data],3,FALSE)</f>
        <v>Select</v>
      </c>
    </row>
    <row r="499" spans="1:6" x14ac:dyDescent="0.25">
      <c r="A499">
        <v>30</v>
      </c>
      <c r="B499" t="str">
        <f>VLOOKUP(Tabla5[[#This Row],[Code]],[1]!Tabla6[#Data],2,FALSE)</f>
        <v>Tipo de Laminado</v>
      </c>
      <c r="C499">
        <v>6</v>
      </c>
      <c r="D499" t="s">
        <v>190</v>
      </c>
      <c r="F499" t="str">
        <f>VLOOKUP(Tabla5[[#This Row],[Code]],[1]!Tabla6[#Data],3,FALSE)</f>
        <v>Select</v>
      </c>
    </row>
    <row r="500" spans="1:6" x14ac:dyDescent="0.25">
      <c r="A500">
        <v>30</v>
      </c>
      <c r="B500" t="str">
        <f>VLOOKUP(Tabla5[[#This Row],[Code]],[1]!Tabla6[#Data],2,FALSE)</f>
        <v>Tipo de Laminado</v>
      </c>
      <c r="C500">
        <v>7</v>
      </c>
      <c r="D500" t="s">
        <v>1194</v>
      </c>
      <c r="F500" t="str">
        <f>VLOOKUP(Tabla5[[#This Row],[Code]],[1]!Tabla6[#Data],3,FALSE)</f>
        <v>Select</v>
      </c>
    </row>
    <row r="501" spans="1:6" x14ac:dyDescent="0.25">
      <c r="A501">
        <v>31</v>
      </c>
      <c r="B501" t="str">
        <f>VLOOKUP(Tabla5[[#This Row],[Code]],[1]!Tabla6[#Data],2,FALSE)</f>
        <v>Tipo de Adhesivo</v>
      </c>
      <c r="C501">
        <v>1</v>
      </c>
      <c r="D501" t="s">
        <v>115</v>
      </c>
      <c r="F501" t="str">
        <f>VLOOKUP(Tabla5[[#This Row],[Code]],[1]!Tabla6[#Data],3,FALSE)</f>
        <v>Select</v>
      </c>
    </row>
    <row r="502" spans="1:6" x14ac:dyDescent="0.25">
      <c r="A502">
        <v>31</v>
      </c>
      <c r="B502" t="str">
        <f>VLOOKUP(Tabla5[[#This Row],[Code]],[1]!Tabla6[#Data],2,FALSE)</f>
        <v>Tipo de Adhesivo</v>
      </c>
      <c r="C502">
        <v>2</v>
      </c>
      <c r="D502" t="s">
        <v>129</v>
      </c>
      <c r="F502" t="str">
        <f>VLOOKUP(Tabla5[[#This Row],[Code]],[1]!Tabla6[#Data],3,FALSE)</f>
        <v>Select</v>
      </c>
    </row>
    <row r="503" spans="1:6" x14ac:dyDescent="0.25">
      <c r="A503">
        <v>31</v>
      </c>
      <c r="B503" t="str">
        <f>VLOOKUP(Tabla5[[#This Row],[Code]],[1]!Tabla6[#Data],2,FALSE)</f>
        <v>Tipo de Adhesivo</v>
      </c>
      <c r="C503">
        <v>3</v>
      </c>
      <c r="D503" t="s">
        <v>158</v>
      </c>
      <c r="F503" t="str">
        <f>VLOOKUP(Tabla5[[#This Row],[Code]],[1]!Tabla6[#Data],3,FALSE)</f>
        <v>Select</v>
      </c>
    </row>
    <row r="504" spans="1:6" x14ac:dyDescent="0.25">
      <c r="A504">
        <v>31</v>
      </c>
      <c r="B504" t="str">
        <f>VLOOKUP(Tabla5[[#This Row],[Code]],[1]!Tabla6[#Data],2,FALSE)</f>
        <v>Tipo de Adhesivo</v>
      </c>
      <c r="C504">
        <v>4</v>
      </c>
      <c r="D504" t="s">
        <v>176</v>
      </c>
      <c r="F504" t="str">
        <f>VLOOKUP(Tabla5[[#This Row],[Code]],[1]!Tabla6[#Data],3,FALSE)</f>
        <v>Select</v>
      </c>
    </row>
    <row r="505" spans="1:6" x14ac:dyDescent="0.25">
      <c r="A505">
        <v>31</v>
      </c>
      <c r="B505" t="str">
        <f>VLOOKUP(Tabla5[[#This Row],[Code]],[1]!Tabla6[#Data],2,FALSE)</f>
        <v>Tipo de Adhesivo</v>
      </c>
      <c r="C505">
        <v>5</v>
      </c>
      <c r="D505" t="s">
        <v>148</v>
      </c>
      <c r="F505" t="str">
        <f>VLOOKUP(Tabla5[[#This Row],[Code]],[1]!Tabla6[#Data],3,FALSE)</f>
        <v>Select</v>
      </c>
    </row>
    <row r="506" spans="1:6" x14ac:dyDescent="0.25">
      <c r="A506">
        <v>31</v>
      </c>
      <c r="B506" t="str">
        <f>VLOOKUP(Tabla5[[#This Row],[Code]],[1]!Tabla6[#Data],2,FALSE)</f>
        <v>Tipo de Adhesivo</v>
      </c>
      <c r="C506">
        <v>6</v>
      </c>
      <c r="D506" t="s">
        <v>154</v>
      </c>
      <c r="F506" t="str">
        <f>VLOOKUP(Tabla5[[#This Row],[Code]],[1]!Tabla6[#Data],3,FALSE)</f>
        <v>Select</v>
      </c>
    </row>
    <row r="507" spans="1:6" x14ac:dyDescent="0.25">
      <c r="A507">
        <v>31</v>
      </c>
      <c r="B507" t="str">
        <f>VLOOKUP(Tabla5[[#This Row],[Code]],[1]!Tabla6[#Data],2,FALSE)</f>
        <v>Tipo de Adhesivo</v>
      </c>
      <c r="C507">
        <v>7</v>
      </c>
      <c r="D507" t="s">
        <v>1764</v>
      </c>
      <c r="F507" t="str">
        <f>VLOOKUP(Tabla5[[#This Row],[Code]],[1]!Tabla6[#Data],3,FALSE)</f>
        <v>Select</v>
      </c>
    </row>
    <row r="508" spans="1:6" x14ac:dyDescent="0.25">
      <c r="A508">
        <v>31</v>
      </c>
      <c r="B508" t="str">
        <f>VLOOKUP(Tabla5[[#This Row],[Code]],[1]!Tabla6[#Data],2,FALSE)</f>
        <v>Tipo de Adhesivo</v>
      </c>
      <c r="C508">
        <v>8</v>
      </c>
      <c r="D508" t="s">
        <v>1765</v>
      </c>
      <c r="F508" t="str">
        <f>VLOOKUP(Tabla5[[#This Row],[Code]],[1]!Tabla6[#Data],3,FALSE)</f>
        <v>Select</v>
      </c>
    </row>
    <row r="509" spans="1:6" x14ac:dyDescent="0.25">
      <c r="A509">
        <v>31</v>
      </c>
      <c r="B509" t="str">
        <f>VLOOKUP(Tabla5[[#This Row],[Code]],[1]!Tabla6[#Data],2,FALSE)</f>
        <v>Tipo de Adhesivo</v>
      </c>
      <c r="C509">
        <v>9</v>
      </c>
      <c r="D509" t="s">
        <v>1766</v>
      </c>
      <c r="F509" t="str">
        <f>VLOOKUP(Tabla5[[#This Row],[Code]],[1]!Tabla6[#Data],3,FALSE)</f>
        <v>Select</v>
      </c>
    </row>
    <row r="510" spans="1:6" x14ac:dyDescent="0.25">
      <c r="A510">
        <v>31</v>
      </c>
      <c r="B510" t="str">
        <f>VLOOKUP(Tabla5[[#This Row],[Code]],[1]!Tabla6[#Data],2,FALSE)</f>
        <v>Tipo de Adhesivo</v>
      </c>
      <c r="C510">
        <v>10</v>
      </c>
      <c r="D510" t="s">
        <v>1767</v>
      </c>
      <c r="F510" t="str">
        <f>VLOOKUP(Tabla5[[#This Row],[Code]],[1]!Tabla6[#Data],3,FALSE)</f>
        <v>Select</v>
      </c>
    </row>
    <row r="511" spans="1:6" x14ac:dyDescent="0.25">
      <c r="A511">
        <v>31</v>
      </c>
      <c r="B511" t="str">
        <f>VLOOKUP(Tabla5[[#This Row],[Code]],[1]!Tabla6[#Data],2,FALSE)</f>
        <v>Tipo de Adhesivo</v>
      </c>
      <c r="C511">
        <v>11</v>
      </c>
      <c r="D511" t="s">
        <v>1768</v>
      </c>
      <c r="F511" t="str">
        <f>VLOOKUP(Tabla5[[#This Row],[Code]],[1]!Tabla6[#Data],3,FALSE)</f>
        <v>Select</v>
      </c>
    </row>
    <row r="512" spans="1:6" x14ac:dyDescent="0.25">
      <c r="A512">
        <v>31</v>
      </c>
      <c r="B512" t="str">
        <f>VLOOKUP(Tabla5[[#This Row],[Code]],[1]!Tabla6[#Data],2,FALSE)</f>
        <v>Tipo de Adhesivo</v>
      </c>
      <c r="C512">
        <v>12</v>
      </c>
      <c r="D512" t="s">
        <v>1769</v>
      </c>
      <c r="F512" t="str">
        <f>VLOOKUP(Tabla5[[#This Row],[Code]],[1]!Tabla6[#Data],3,FALSE)</f>
        <v>Select</v>
      </c>
    </row>
    <row r="513" spans="1:6" x14ac:dyDescent="0.25">
      <c r="A513">
        <v>31</v>
      </c>
      <c r="B513" t="str">
        <f>VLOOKUP(Tabla5[[#This Row],[Code]],[1]!Tabla6[#Data],2,FALSE)</f>
        <v>Tipo de Adhesivo</v>
      </c>
      <c r="C513">
        <v>13</v>
      </c>
      <c r="D513" t="s">
        <v>1188</v>
      </c>
      <c r="F513" t="str">
        <f>VLOOKUP(Tabla5[[#This Row],[Code]],[1]!Tabla6[#Data],3,FALSE)</f>
        <v>Select</v>
      </c>
    </row>
    <row r="514" spans="1:6" x14ac:dyDescent="0.25">
      <c r="A514">
        <v>31</v>
      </c>
      <c r="B514" t="str">
        <f>VLOOKUP(Tabla5[[#This Row],[Code]],[1]!Tabla6[#Data],2,FALSE)</f>
        <v>Tipo de Adhesivo</v>
      </c>
      <c r="C514">
        <v>14</v>
      </c>
      <c r="D514" t="s">
        <v>1322</v>
      </c>
      <c r="F514" t="str">
        <f>VLOOKUP(Tabla5[[#This Row],[Code]],[1]!Tabla6[#Data],3,FALSE)</f>
        <v>Select</v>
      </c>
    </row>
    <row r="515" spans="1:6" x14ac:dyDescent="0.25">
      <c r="A515">
        <v>33</v>
      </c>
      <c r="B515" t="str">
        <f>VLOOKUP(Tabla5[[#This Row],[Code]],[1]!Tabla6[#Data],2,FALSE)</f>
        <v>Soporte de Impresión</v>
      </c>
      <c r="C515">
        <v>1</v>
      </c>
      <c r="D515" t="s">
        <v>1770</v>
      </c>
      <c r="F515" t="str">
        <f>VLOOKUP(Tabla5[[#This Row],[Code]],[1]!Tabla6[#Data],3,FALSE)</f>
        <v>Select</v>
      </c>
    </row>
    <row r="516" spans="1:6" x14ac:dyDescent="0.25">
      <c r="A516">
        <v>33</v>
      </c>
      <c r="B516" t="str">
        <f>VLOOKUP(Tabla5[[#This Row],[Code]],[1]!Tabla6[#Data],2,FALSE)</f>
        <v>Soporte de Impresión</v>
      </c>
      <c r="C516">
        <v>2</v>
      </c>
      <c r="D516" t="s">
        <v>702</v>
      </c>
      <c r="F516" t="str">
        <f>VLOOKUP(Tabla5[[#This Row],[Code]],[1]!Tabla6[#Data],3,FALSE)</f>
        <v>Select</v>
      </c>
    </row>
    <row r="517" spans="1:6" x14ac:dyDescent="0.25">
      <c r="A517" s="1">
        <v>33</v>
      </c>
      <c r="B517" s="1" t="str">
        <f>VLOOKUP(Tabla5[[#This Row],[Code]],[1]!Tabla6[#Data],2,FALSE)</f>
        <v>Soporte de Impresión</v>
      </c>
      <c r="C517" s="1">
        <v>3</v>
      </c>
      <c r="D517" s="1" t="s">
        <v>1771</v>
      </c>
      <c r="F517" t="str">
        <f>VLOOKUP(Tabla5[[#This Row],[Code]],[1]!Tabla6[#Data],3,FALSE)</f>
        <v>Select</v>
      </c>
    </row>
    <row r="518" spans="1:6" x14ac:dyDescent="0.25">
      <c r="A518" s="1">
        <v>33</v>
      </c>
      <c r="B518" s="1" t="str">
        <f>VLOOKUP(Tabla5[[#This Row],[Code]],[1]!Tabla6[#Data],2,FALSE)</f>
        <v>Soporte de Impresión</v>
      </c>
      <c r="C518" s="1">
        <v>4</v>
      </c>
      <c r="D518" s="1" t="s">
        <v>489</v>
      </c>
      <c r="F518" t="str">
        <f>VLOOKUP(Tabla5[[#This Row],[Code]],[1]!Tabla6[#Data],3,FALSE)</f>
        <v>Select</v>
      </c>
    </row>
    <row r="519" spans="1:6" x14ac:dyDescent="0.25">
      <c r="A519">
        <v>34</v>
      </c>
      <c r="B519" t="str">
        <f>VLOOKUP(Tabla5[[#This Row],[Code]],[1]!Tabla6[#Data],2,FALSE)</f>
        <v>Reflectante</v>
      </c>
      <c r="C519">
        <v>2</v>
      </c>
      <c r="D519" t="s">
        <v>1772</v>
      </c>
      <c r="E519" t="s">
        <v>1773</v>
      </c>
      <c r="F519" t="str">
        <f>VLOOKUP(Tabla5[[#This Row],[Code]],[1]!Tabla6[#Data],3,FALSE)</f>
        <v>Color</v>
      </c>
    </row>
    <row r="520" spans="1:6" x14ac:dyDescent="0.25">
      <c r="A520">
        <v>34</v>
      </c>
      <c r="B520" t="str">
        <f>VLOOKUP(Tabla5[[#This Row],[Code]],[1]!Tabla6[#Data],2,FALSE)</f>
        <v>Reflectante</v>
      </c>
      <c r="C520">
        <v>4</v>
      </c>
      <c r="D520" t="s">
        <v>1774</v>
      </c>
      <c r="E520" t="s">
        <v>1775</v>
      </c>
      <c r="F520" t="str">
        <f>VLOOKUP(Tabla5[[#This Row],[Code]],[1]!Tabla6[#Data],3,FALSE)</f>
        <v>Color</v>
      </c>
    </row>
    <row r="521" spans="1:6" x14ac:dyDescent="0.25">
      <c r="A521">
        <v>34</v>
      </c>
      <c r="B521" t="str">
        <f>VLOOKUP(Tabla5[[#This Row],[Code]],[1]!Tabla6[#Data],2,FALSE)</f>
        <v>Reflectante</v>
      </c>
      <c r="C521">
        <v>5</v>
      </c>
      <c r="D521" t="s">
        <v>1776</v>
      </c>
      <c r="E521" t="s">
        <v>1777</v>
      </c>
      <c r="F521" t="str">
        <f>VLOOKUP(Tabla5[[#This Row],[Code]],[1]!Tabla6[#Data],3,FALSE)</f>
        <v>Color</v>
      </c>
    </row>
    <row r="522" spans="1:6" x14ac:dyDescent="0.25">
      <c r="A522">
        <v>35</v>
      </c>
      <c r="B522" t="str">
        <f>VLOOKUP(Tabla5[[#This Row],[Code]],[1]!Tabla6[#Data],2,FALSE)</f>
        <v>Talla</v>
      </c>
      <c r="C522">
        <v>1</v>
      </c>
      <c r="D522" t="s">
        <v>1778</v>
      </c>
      <c r="F522" t="str">
        <f>VLOOKUP(Tabla5[[#This Row],[Code]],[1]!Tabla6[#Data],3,FALSE)</f>
        <v>Select</v>
      </c>
    </row>
    <row r="523" spans="1:6" x14ac:dyDescent="0.25">
      <c r="A523">
        <v>35</v>
      </c>
      <c r="B523" t="str">
        <f>VLOOKUP(Tabla5[[#This Row],[Code]],[1]!Tabla6[#Data],2,FALSE)</f>
        <v>Talla</v>
      </c>
      <c r="C523">
        <v>2</v>
      </c>
      <c r="D523" t="s">
        <v>1779</v>
      </c>
      <c r="F523" t="str">
        <f>VLOOKUP(Tabla5[[#This Row],[Code]],[1]!Tabla6[#Data],3,FALSE)</f>
        <v>Select</v>
      </c>
    </row>
    <row r="524" spans="1:6" x14ac:dyDescent="0.25">
      <c r="A524">
        <v>35</v>
      </c>
      <c r="B524" t="str">
        <f>VLOOKUP(Tabla5[[#This Row],[Code]],[1]!Tabla6[#Data],2,FALSE)</f>
        <v>Talla</v>
      </c>
      <c r="C524">
        <v>3</v>
      </c>
      <c r="D524" t="s">
        <v>1780</v>
      </c>
      <c r="F524" t="str">
        <f>VLOOKUP(Tabla5[[#This Row],[Code]],[1]!Tabla6[#Data],3,FALSE)</f>
        <v>Select</v>
      </c>
    </row>
    <row r="525" spans="1:6" x14ac:dyDescent="0.25">
      <c r="A525">
        <v>36</v>
      </c>
      <c r="B525" t="str">
        <f>VLOOKUP(Tabla5[[#This Row],[Code]],[1]!Tabla6[#Data],2,FALSE)</f>
        <v>Tipo de Transportador</v>
      </c>
      <c r="C525">
        <v>3</v>
      </c>
      <c r="D525" t="s">
        <v>691</v>
      </c>
      <c r="F525" t="str">
        <f>VLOOKUP(Tabla5[[#This Row],[Code]],[1]!Tabla6[#Data],3,FALSE)</f>
        <v>Select</v>
      </c>
    </row>
    <row r="526" spans="1:6" x14ac:dyDescent="0.25">
      <c r="A526">
        <v>36</v>
      </c>
      <c r="B526" t="str">
        <f>VLOOKUP(Tabla5[[#This Row],[Code]],[1]!Tabla6[#Data],2,FALSE)</f>
        <v>Tipo de Transportador</v>
      </c>
      <c r="C526">
        <v>4</v>
      </c>
      <c r="D526" t="s">
        <v>697</v>
      </c>
      <c r="F526" t="str">
        <f>VLOOKUP(Tabla5[[#This Row],[Code]],[1]!Tabla6[#Data],3,FALSE)</f>
        <v>Select</v>
      </c>
    </row>
    <row r="527" spans="1:6" x14ac:dyDescent="0.25">
      <c r="A527">
        <v>37</v>
      </c>
      <c r="B527" t="str">
        <f>VLOOKUP(Tabla5[[#This Row],[Code]],[1]!Tabla6[#Data],2,FALSE)</f>
        <v>Metascape</v>
      </c>
      <c r="C527">
        <v>1</v>
      </c>
      <c r="D527" t="s">
        <v>1125</v>
      </c>
      <c r="F527" t="str">
        <f>VLOOKUP(Tabla5[[#This Row],[Code]],[1]!Tabla6[#Data],3,FALSE)</f>
        <v>Select</v>
      </c>
    </row>
    <row r="528" spans="1:6" x14ac:dyDescent="0.25">
      <c r="A528">
        <v>40</v>
      </c>
      <c r="B528" t="str">
        <f>VLOOKUP(Tabla5[[#This Row],[Code]],[1]!Tabla6[#Data],2,FALSE)</f>
        <v>Agarre</v>
      </c>
      <c r="C528">
        <v>1</v>
      </c>
      <c r="D528" t="s">
        <v>693</v>
      </c>
      <c r="F528" t="str">
        <f>VLOOKUP(Tabla5[[#This Row],[Code]],[1]!Tabla6[#Data],3,FALSE)</f>
        <v>Select</v>
      </c>
    </row>
    <row r="529" spans="1:6" x14ac:dyDescent="0.25">
      <c r="A529">
        <v>40</v>
      </c>
      <c r="B529" t="str">
        <f>VLOOKUP(Tabla5[[#This Row],[Code]],[1]!Tabla6[#Data],2,FALSE)</f>
        <v>Agarre</v>
      </c>
      <c r="C529">
        <v>2</v>
      </c>
      <c r="D529" t="s">
        <v>695</v>
      </c>
      <c r="F529" t="str">
        <f>VLOOKUP(Tabla5[[#This Row],[Code]],[1]!Tabla6[#Data],3,FALSE)</f>
        <v>Select</v>
      </c>
    </row>
    <row r="530" spans="1:6" x14ac:dyDescent="0.25">
      <c r="A530">
        <v>40</v>
      </c>
      <c r="B530" t="str">
        <f>VLOOKUP(Tabla5[[#This Row],[Code]],[1]!Tabla6[#Data],2,FALSE)</f>
        <v>Agarre</v>
      </c>
      <c r="C530">
        <v>4</v>
      </c>
      <c r="D530" t="s">
        <v>704</v>
      </c>
      <c r="F530" t="str">
        <f>VLOOKUP(Tabla5[[#This Row],[Code]],[1]!Tabla6[#Data],3,FALSE)</f>
        <v>Select</v>
      </c>
    </row>
    <row r="531" spans="1:6" x14ac:dyDescent="0.25">
      <c r="A531">
        <v>41</v>
      </c>
      <c r="B531" t="str">
        <f>VLOOKUP(Tabla5[[#This Row],[Code]],[1]!Tabla6[#Data],2,FALSE)</f>
        <v>Tipo de Impresión</v>
      </c>
      <c r="C531">
        <v>1</v>
      </c>
      <c r="D531" t="s">
        <v>1781</v>
      </c>
      <c r="F531" t="str">
        <f>VLOOKUP(Tabla5[[#This Row],[Code]],[1]!Tabla6[#Data],3,FALSE)</f>
        <v>Select</v>
      </c>
    </row>
    <row r="532" spans="1:6" x14ac:dyDescent="0.25">
      <c r="A532">
        <v>41</v>
      </c>
      <c r="B532" t="str">
        <f>VLOOKUP(Tabla5[[#This Row],[Code]],[1]!Tabla6[#Data],2,FALSE)</f>
        <v>Tipo de Impresión</v>
      </c>
      <c r="C532">
        <v>2</v>
      </c>
      <c r="D532" t="s">
        <v>1782</v>
      </c>
      <c r="F532" t="str">
        <f>VLOOKUP(Tabla5[[#This Row],[Code]],[1]!Tabla6[#Data],3,FALSE)</f>
        <v>Select</v>
      </c>
    </row>
    <row r="533" spans="1:6" x14ac:dyDescent="0.25">
      <c r="A533">
        <v>42</v>
      </c>
      <c r="B533" t="str">
        <f>VLOOKUP(Tabla5[[#This Row],[Code]],[1]!Tabla6[#Data],2,FALSE)</f>
        <v>Ancho de Impresión</v>
      </c>
      <c r="C533">
        <v>1</v>
      </c>
      <c r="D533" t="s">
        <v>1035</v>
      </c>
      <c r="F533" t="str">
        <f>VLOOKUP(Tabla5[[#This Row],[Code]],[1]!Tabla6[#Data],3,FALSE)</f>
        <v>Select</v>
      </c>
    </row>
    <row r="534" spans="1:6" x14ac:dyDescent="0.25">
      <c r="A534">
        <v>42</v>
      </c>
      <c r="B534" t="str">
        <f>VLOOKUP(Tabla5[[#This Row],[Code]],[1]!Tabla6[#Data],2,FALSE)</f>
        <v>Ancho de Impresión</v>
      </c>
      <c r="C534">
        <v>2</v>
      </c>
      <c r="D534" t="s">
        <v>1783</v>
      </c>
      <c r="F534" t="str">
        <f>VLOOKUP(Tabla5[[#This Row],[Code]],[1]!Tabla6[#Data],3,FALSE)</f>
        <v>Select</v>
      </c>
    </row>
    <row r="535" spans="1:6" x14ac:dyDescent="0.25">
      <c r="A535">
        <v>42</v>
      </c>
      <c r="B535" t="str">
        <f>VLOOKUP(Tabla5[[#This Row],[Code]],[1]!Tabla6[#Data],2,FALSE)</f>
        <v>Ancho de Impresión</v>
      </c>
      <c r="C535">
        <v>3</v>
      </c>
      <c r="D535" t="s">
        <v>1031</v>
      </c>
      <c r="F535" t="str">
        <f>VLOOKUP(Tabla5[[#This Row],[Code]],[1]!Tabla6[#Data],3,FALSE)</f>
        <v>Select</v>
      </c>
    </row>
    <row r="536" spans="1:6" x14ac:dyDescent="0.25">
      <c r="A536">
        <v>42</v>
      </c>
      <c r="B536" t="str">
        <f>VLOOKUP(Tabla5[[#This Row],[Code]],[1]!Tabla6[#Data],2,FALSE)</f>
        <v>Ancho de Impresión</v>
      </c>
      <c r="C536">
        <v>4</v>
      </c>
      <c r="D536" t="s">
        <v>1784</v>
      </c>
      <c r="F536" t="str">
        <f>VLOOKUP(Tabla5[[#This Row],[Code]],[1]!Tabla6[#Data],3,FALSE)</f>
        <v>Select</v>
      </c>
    </row>
    <row r="537" spans="1:6" x14ac:dyDescent="0.25">
      <c r="A537">
        <v>43</v>
      </c>
      <c r="B537" t="str">
        <f>VLOOKUP(Tabla5[[#This Row],[Code]],[1]!Tabla6[#Data],2,FALSE)</f>
        <v>Tipo de Cartucho</v>
      </c>
      <c r="C537">
        <v>1</v>
      </c>
      <c r="D537" t="s">
        <v>1785</v>
      </c>
      <c r="F537" t="str">
        <f>VLOOKUP(Tabla5[[#This Row],[Code]],[1]!Tabla6[#Data],3,FALSE)</f>
        <v>Select</v>
      </c>
    </row>
    <row r="538" spans="1:6" x14ac:dyDescent="0.25">
      <c r="A538">
        <v>43</v>
      </c>
      <c r="B538" t="str">
        <f>VLOOKUP(Tabla5[[#This Row],[Code]],[1]!Tabla6[#Data],2,FALSE)</f>
        <v>Tipo de Cartucho</v>
      </c>
      <c r="C538">
        <v>2</v>
      </c>
      <c r="D538" t="s">
        <v>1786</v>
      </c>
      <c r="F538" t="str">
        <f>VLOOKUP(Tabla5[[#This Row],[Code]],[1]!Tabla6[#Data],3,FALSE)</f>
        <v>Select</v>
      </c>
    </row>
    <row r="539" spans="1:6" x14ac:dyDescent="0.25">
      <c r="A539">
        <v>43</v>
      </c>
      <c r="B539" t="str">
        <f>VLOOKUP(Tabla5[[#This Row],[Code]],[1]!Tabla6[#Data],2,FALSE)</f>
        <v>Tipo de Cartucho</v>
      </c>
      <c r="C539">
        <v>3</v>
      </c>
      <c r="D539" t="s">
        <v>1787</v>
      </c>
      <c r="F539" t="str">
        <f>VLOOKUP(Tabla5[[#This Row],[Code]],[1]!Tabla6[#Data],3,FALSE)</f>
        <v>Select</v>
      </c>
    </row>
    <row r="540" spans="1:6" x14ac:dyDescent="0.25">
      <c r="A540">
        <v>43</v>
      </c>
      <c r="B540" t="str">
        <f>VLOOKUP(Tabla5[[#This Row],[Code]],[1]!Tabla6[#Data],2,FALSE)</f>
        <v>Tipo de Cartucho</v>
      </c>
      <c r="C540">
        <v>4</v>
      </c>
      <c r="D540" t="s">
        <v>1788</v>
      </c>
      <c r="F540" t="str">
        <f>VLOOKUP(Tabla5[[#This Row],[Code]],[1]!Tabla6[#Data],3,FALSE)</f>
        <v>Select</v>
      </c>
    </row>
    <row r="541" spans="1:6" x14ac:dyDescent="0.25">
      <c r="A541">
        <v>43</v>
      </c>
      <c r="B541" t="str">
        <f>VLOOKUP(Tabla5[[#This Row],[Code]],[1]!Tabla6[#Data],2,FALSE)</f>
        <v>Tipo de Cartucho</v>
      </c>
      <c r="C541">
        <v>5</v>
      </c>
      <c r="D541" t="s">
        <v>1789</v>
      </c>
      <c r="F541" t="str">
        <f>VLOOKUP(Tabla5[[#This Row],[Code]],[1]!Tabla6[#Data],3,FALSE)</f>
        <v>Select</v>
      </c>
    </row>
    <row r="542" spans="1:6" x14ac:dyDescent="0.25">
      <c r="A542">
        <v>43</v>
      </c>
      <c r="B542" t="str">
        <f>VLOOKUP(Tabla5[[#This Row],[Code]],[1]!Tabla6[#Data],2,FALSE)</f>
        <v>Tipo de Cartucho</v>
      </c>
      <c r="C542">
        <v>6</v>
      </c>
      <c r="D542" t="s">
        <v>1790</v>
      </c>
      <c r="F542" t="str">
        <f>VLOOKUP(Tabla5[[#This Row],[Code]],[1]!Tabla6[#Data],3,FALSE)</f>
        <v>Select</v>
      </c>
    </row>
    <row r="543" spans="1:6" x14ac:dyDescent="0.25">
      <c r="A543">
        <v>44</v>
      </c>
      <c r="B543" t="str">
        <f>VLOOKUP(Tabla5[[#This Row],[Code]],[1]!Tabla6[#Data],2,FALSE)</f>
        <v>Metros por Bobina</v>
      </c>
      <c r="C543">
        <v>1</v>
      </c>
      <c r="D543" t="s">
        <v>1190</v>
      </c>
      <c r="F543" t="str">
        <f>VLOOKUP(Tabla5[[#This Row],[Code]],[1]!Tabla6[#Data],3,FALSE)</f>
        <v>Select</v>
      </c>
    </row>
    <row r="544" spans="1:6" x14ac:dyDescent="0.25">
      <c r="A544">
        <v>44</v>
      </c>
      <c r="B544" t="str">
        <f>VLOOKUP(Tabla5[[#This Row],[Code]],[1]!Tabla6[#Data],2,FALSE)</f>
        <v>Metros por Bobina</v>
      </c>
      <c r="C544">
        <v>2</v>
      </c>
      <c r="D544" t="s">
        <v>1192</v>
      </c>
      <c r="F544" t="str">
        <f>VLOOKUP(Tabla5[[#This Row],[Code]],[1]!Tabla6[#Data],3,FALSE)</f>
        <v>Select</v>
      </c>
    </row>
    <row r="545" spans="1:6" x14ac:dyDescent="0.25">
      <c r="A545">
        <v>44</v>
      </c>
      <c r="B545" t="str">
        <f>VLOOKUP(Tabla5[[#This Row],[Code]],[1]!Tabla6[#Data],2,FALSE)</f>
        <v>Metros por Bobina</v>
      </c>
      <c r="C545">
        <v>3</v>
      </c>
      <c r="D545" t="s">
        <v>1200</v>
      </c>
      <c r="F545" t="str">
        <f>VLOOKUP(Tabla5[[#This Row],[Code]],[1]!Tabla6[#Data],3,FALSE)</f>
        <v>Select</v>
      </c>
    </row>
    <row r="546" spans="1:6" x14ac:dyDescent="0.25">
      <c r="A546" s="1">
        <v>44</v>
      </c>
      <c r="B546" s="1" t="str">
        <f>VLOOKUP(Tabla5[[#This Row],[Code]],[1]!Tabla6[#Data],2,FALSE)</f>
        <v>Metros por Bobina</v>
      </c>
      <c r="C546" s="1">
        <v>4</v>
      </c>
      <c r="D546" s="1" t="s">
        <v>1791</v>
      </c>
      <c r="E546" s="1"/>
      <c r="F546" s="1" t="str">
        <f>VLOOKUP(Tabla5[[#This Row],[Code]],[1]!Tabla6[#Data],3,FALSE)</f>
        <v>Select</v>
      </c>
    </row>
    <row r="547" spans="1:6" x14ac:dyDescent="0.25">
      <c r="A547" s="1">
        <v>44</v>
      </c>
      <c r="B547" s="1" t="str">
        <f>VLOOKUP(Tabla5[[#This Row],[Code]],[1]!Tabla6[#Data],2,FALSE)</f>
        <v>Metros por Bobina</v>
      </c>
      <c r="C547" s="1">
        <v>5</v>
      </c>
      <c r="D547" s="1" t="s">
        <v>1792</v>
      </c>
      <c r="E547" s="1"/>
      <c r="F547" s="1" t="str">
        <f>VLOOKUP(Tabla5[[#This Row],[Code]],[1]!Tabla6[#Data],3,FALSE)</f>
        <v>Select</v>
      </c>
    </row>
    <row r="548" spans="1:6" x14ac:dyDescent="0.25">
      <c r="A548">
        <v>45</v>
      </c>
      <c r="B548" t="str">
        <f>VLOOKUP(Tabla5[[#This Row],[Code]],[1]!Tabla6[#Data],2,FALSE)</f>
        <v>Colou Change</v>
      </c>
      <c r="C548">
        <v>1</v>
      </c>
      <c r="D548" t="s">
        <v>1793</v>
      </c>
      <c r="E548" t="s">
        <v>1794</v>
      </c>
      <c r="F548" t="str">
        <f>VLOOKUP(Tabla5[[#This Row],[Code]],[1]!Tabla6[#Data],3,FALSE)</f>
        <v>Select</v>
      </c>
    </row>
    <row r="549" spans="1:6" x14ac:dyDescent="0.25">
      <c r="A549">
        <v>45</v>
      </c>
      <c r="B549" t="str">
        <f>VLOOKUP(Tabla5[[#This Row],[Code]],[1]!Tabla6[#Data],2,FALSE)</f>
        <v>Colou Change</v>
      </c>
      <c r="C549">
        <v>2</v>
      </c>
      <c r="D549" t="s">
        <v>1795</v>
      </c>
      <c r="E549" t="s">
        <v>1796</v>
      </c>
      <c r="F549" t="str">
        <f>VLOOKUP(Tabla5[[#This Row],[Code]],[1]!Tabla6[#Data],3,FALSE)</f>
        <v>Select</v>
      </c>
    </row>
    <row r="550" spans="1:6" x14ac:dyDescent="0.25">
      <c r="A550">
        <v>45</v>
      </c>
      <c r="B550" t="str">
        <f>VLOOKUP(Tabla5[[#This Row],[Code]],[1]!Tabla6[#Data],2,FALSE)</f>
        <v>Colou Change</v>
      </c>
      <c r="C550">
        <v>3</v>
      </c>
      <c r="D550" t="s">
        <v>1797</v>
      </c>
      <c r="E550" t="s">
        <v>1798</v>
      </c>
      <c r="F550" t="str">
        <f>VLOOKUP(Tabla5[[#This Row],[Code]],[1]!Tabla6[#Data],3,FALSE)</f>
        <v>Select</v>
      </c>
    </row>
    <row r="551" spans="1:6" x14ac:dyDescent="0.25">
      <c r="A551">
        <v>45</v>
      </c>
      <c r="B551" t="str">
        <f>VLOOKUP(Tabla5[[#This Row],[Code]],[1]!Tabla6[#Data],2,FALSE)</f>
        <v>Colou Change</v>
      </c>
      <c r="C551">
        <v>4</v>
      </c>
      <c r="D551" t="s">
        <v>1799</v>
      </c>
      <c r="E551" t="s">
        <v>1387</v>
      </c>
      <c r="F551" t="str">
        <f>VLOOKUP(Tabla5[[#This Row],[Code]],[1]!Tabla6[#Data],3,FALSE)</f>
        <v>Select</v>
      </c>
    </row>
    <row r="552" spans="1:6" x14ac:dyDescent="0.25">
      <c r="A552">
        <v>45</v>
      </c>
      <c r="B552" t="str">
        <f>VLOOKUP(Tabla5[[#This Row],[Code]],[1]!Tabla6[#Data],2,FALSE)</f>
        <v>Colou Change</v>
      </c>
      <c r="C552">
        <v>5</v>
      </c>
      <c r="D552" t="s">
        <v>1800</v>
      </c>
      <c r="E552" t="s">
        <v>1387</v>
      </c>
      <c r="F552" t="str">
        <f>VLOOKUP(Tabla5[[#This Row],[Code]],[1]!Tabla6[#Data],3,FALSE)</f>
        <v>Select</v>
      </c>
    </row>
    <row r="553" spans="1:6" x14ac:dyDescent="0.25">
      <c r="A553">
        <v>45</v>
      </c>
      <c r="B553" t="str">
        <f>VLOOKUP(Tabla5[[#This Row],[Code]],[1]!Tabla6[#Data],2,FALSE)</f>
        <v>Colou Change</v>
      </c>
      <c r="C553">
        <v>6</v>
      </c>
      <c r="D553" t="s">
        <v>1801</v>
      </c>
      <c r="E553" t="s">
        <v>1450</v>
      </c>
      <c r="F553" t="str">
        <f>VLOOKUP(Tabla5[[#This Row],[Code]],[1]!Tabla6[#Data],3,FALSE)</f>
        <v>Select</v>
      </c>
    </row>
    <row r="554" spans="1:6" x14ac:dyDescent="0.25">
      <c r="A554">
        <v>45</v>
      </c>
      <c r="B554" t="str">
        <f>VLOOKUP(Tabla5[[#This Row],[Code]],[1]!Tabla6[#Data],2,FALSE)</f>
        <v>Colou Change</v>
      </c>
      <c r="C554">
        <v>7</v>
      </c>
      <c r="D554" t="s">
        <v>1802</v>
      </c>
      <c r="E554" t="s">
        <v>1803</v>
      </c>
      <c r="F554" t="str">
        <f>VLOOKUP(Tabla5[[#This Row],[Code]],[1]!Tabla6[#Data],3,FALSE)</f>
        <v>Select</v>
      </c>
    </row>
    <row r="555" spans="1:6" x14ac:dyDescent="0.25">
      <c r="A555">
        <v>45</v>
      </c>
      <c r="B555" t="str">
        <f>VLOOKUP(Tabla5[[#This Row],[Code]],[1]!Tabla6[#Data],2,FALSE)</f>
        <v>Colou Change</v>
      </c>
      <c r="C555">
        <v>8</v>
      </c>
      <c r="D555" t="s">
        <v>1804</v>
      </c>
      <c r="E555" t="s">
        <v>1805</v>
      </c>
      <c r="F555" t="str">
        <f>VLOOKUP(Tabla5[[#This Row],[Code]],[1]!Tabla6[#Data],3,FALSE)</f>
        <v>Select</v>
      </c>
    </row>
    <row r="556" spans="1:6" x14ac:dyDescent="0.25">
      <c r="A556">
        <v>45</v>
      </c>
      <c r="B556" t="str">
        <f>VLOOKUP(Tabla5[[#This Row],[Code]],[1]!Tabla6[#Data],2,FALSE)</f>
        <v>Colou Change</v>
      </c>
      <c r="C556">
        <v>9</v>
      </c>
      <c r="D556" t="s">
        <v>1806</v>
      </c>
      <c r="E556" t="s">
        <v>1807</v>
      </c>
      <c r="F556" t="str">
        <f>VLOOKUP(Tabla5[[#This Row],[Code]],[1]!Tabla6[#Data],3,FALSE)</f>
        <v>Select</v>
      </c>
    </row>
    <row r="557" spans="1:6" x14ac:dyDescent="0.25">
      <c r="A557">
        <v>45</v>
      </c>
      <c r="B557" t="str">
        <f>VLOOKUP(Tabla5[[#This Row],[Code]],[1]!Tabla6[#Data],2,FALSE)</f>
        <v>Colou Change</v>
      </c>
      <c r="C557">
        <v>10</v>
      </c>
      <c r="D557" t="s">
        <v>1808</v>
      </c>
      <c r="E557" t="s">
        <v>1809</v>
      </c>
      <c r="F557" t="str">
        <f>VLOOKUP(Tabla5[[#This Row],[Code]],[1]!Tabla6[#Data],3,FALSE)</f>
        <v>Select</v>
      </c>
    </row>
    <row r="558" spans="1:6" x14ac:dyDescent="0.25">
      <c r="A558">
        <v>45</v>
      </c>
      <c r="B558" t="str">
        <f>VLOOKUP(Tabla5[[#This Row],[Code]],[1]!Tabla6[#Data],2,FALSE)</f>
        <v>Colou Change</v>
      </c>
      <c r="C558">
        <v>11</v>
      </c>
      <c r="D558" t="s">
        <v>1810</v>
      </c>
      <c r="E558" t="s">
        <v>1811</v>
      </c>
      <c r="F558" t="str">
        <f>VLOOKUP(Tabla5[[#This Row],[Code]],[1]!Tabla6[#Data],3,FALSE)</f>
        <v>Select</v>
      </c>
    </row>
    <row r="559" spans="1:6" x14ac:dyDescent="0.25">
      <c r="A559">
        <v>45</v>
      </c>
      <c r="B559" t="str">
        <f>VLOOKUP(Tabla5[[#This Row],[Code]],[1]!Tabla6[#Data],2,FALSE)</f>
        <v>Colou Change</v>
      </c>
      <c r="C559">
        <v>12</v>
      </c>
      <c r="D559" t="s">
        <v>1812</v>
      </c>
      <c r="E559" t="s">
        <v>1413</v>
      </c>
      <c r="F559" t="str">
        <f>VLOOKUP(Tabla5[[#This Row],[Code]],[1]!Tabla6[#Data],3,FALSE)</f>
        <v>Select</v>
      </c>
    </row>
    <row r="560" spans="1:6" x14ac:dyDescent="0.25">
      <c r="A560">
        <v>45</v>
      </c>
      <c r="B560" t="str">
        <f>VLOOKUP(Tabla5[[#This Row],[Code]],[1]!Tabla6[#Data],2,FALSE)</f>
        <v>Colou Change</v>
      </c>
      <c r="C560">
        <v>13</v>
      </c>
      <c r="D560" t="s">
        <v>1813</v>
      </c>
      <c r="E560" t="s">
        <v>1814</v>
      </c>
      <c r="F560" t="str">
        <f>VLOOKUP(Tabla5[[#This Row],[Code]],[1]!Tabla6[#Data],3,FALSE)</f>
        <v>Select</v>
      </c>
    </row>
    <row r="561" spans="1:6" x14ac:dyDescent="0.25">
      <c r="A561">
        <v>45</v>
      </c>
      <c r="B561" t="str">
        <f>VLOOKUP(Tabla5[[#This Row],[Code]],[1]!Tabla6[#Data],2,FALSE)</f>
        <v>Colou Change</v>
      </c>
      <c r="C561">
        <v>14</v>
      </c>
      <c r="D561" t="s">
        <v>1815</v>
      </c>
      <c r="E561" t="s">
        <v>1816</v>
      </c>
      <c r="F561" t="str">
        <f>VLOOKUP(Tabla5[[#This Row],[Code]],[1]!Tabla6[#Data],3,FALSE)</f>
        <v>Select</v>
      </c>
    </row>
    <row r="562" spans="1:6" x14ac:dyDescent="0.25">
      <c r="A562">
        <v>45</v>
      </c>
      <c r="B562" t="str">
        <f>VLOOKUP(Tabla5[[#This Row],[Code]],[1]!Tabla6[#Data],2,FALSE)</f>
        <v>Colou Change</v>
      </c>
      <c r="C562">
        <v>15</v>
      </c>
      <c r="D562" t="s">
        <v>1817</v>
      </c>
      <c r="E562" t="s">
        <v>1818</v>
      </c>
      <c r="F562" t="str">
        <f>VLOOKUP(Tabla5[[#This Row],[Code]],[1]!Tabla6[#Data],3,FALSE)</f>
        <v>Select</v>
      </c>
    </row>
    <row r="563" spans="1:6" x14ac:dyDescent="0.25">
      <c r="A563">
        <v>45</v>
      </c>
      <c r="B563" t="str">
        <f>VLOOKUP(Tabla5[[#This Row],[Code]],[1]!Tabla6[#Data],2,FALSE)</f>
        <v>Colou Change</v>
      </c>
      <c r="C563">
        <v>16</v>
      </c>
      <c r="D563" t="s">
        <v>1819</v>
      </c>
      <c r="E563" t="s">
        <v>1820</v>
      </c>
      <c r="F563" t="str">
        <f>VLOOKUP(Tabla5[[#This Row],[Code]],[1]!Tabla6[#Data],3,FALSE)</f>
        <v>Select</v>
      </c>
    </row>
    <row r="564" spans="1:6" x14ac:dyDescent="0.25">
      <c r="A564">
        <v>45</v>
      </c>
      <c r="B564" t="str">
        <f>VLOOKUP(Tabla5[[#This Row],[Code]],[1]!Tabla6[#Data],2,FALSE)</f>
        <v>Colou Change</v>
      </c>
      <c r="C564">
        <v>17</v>
      </c>
      <c r="D564" t="s">
        <v>1821</v>
      </c>
      <c r="E564" t="s">
        <v>1822</v>
      </c>
      <c r="F564" t="str">
        <f>VLOOKUP(Tabla5[[#This Row],[Code]],[1]!Tabla6[#Data],3,FALSE)</f>
        <v>Select</v>
      </c>
    </row>
    <row r="565" spans="1:6" x14ac:dyDescent="0.25">
      <c r="A565">
        <v>45</v>
      </c>
      <c r="B565" t="str">
        <f>VLOOKUP(Tabla5[[#This Row],[Code]],[1]!Tabla6[#Data],2,FALSE)</f>
        <v>Colou Change</v>
      </c>
      <c r="C565">
        <v>18</v>
      </c>
      <c r="D565" t="s">
        <v>1823</v>
      </c>
      <c r="E565" t="s">
        <v>1824</v>
      </c>
      <c r="F565" t="str">
        <f>VLOOKUP(Tabla5[[#This Row],[Code]],[1]!Tabla6[#Data],3,FALSE)</f>
        <v>Select</v>
      </c>
    </row>
    <row r="566" spans="1:6" x14ac:dyDescent="0.25">
      <c r="A566">
        <v>45</v>
      </c>
      <c r="B566" t="str">
        <f>VLOOKUP(Tabla5[[#This Row],[Code]],[1]!Tabla6[#Data],2,FALSE)</f>
        <v>Colou Change</v>
      </c>
      <c r="C566">
        <v>19</v>
      </c>
      <c r="D566" t="s">
        <v>1825</v>
      </c>
      <c r="E566" t="s">
        <v>1471</v>
      </c>
      <c r="F566" t="str">
        <f>VLOOKUP(Tabla5[[#This Row],[Code]],[1]!Tabla6[#Data],3,FALSE)</f>
        <v>Select</v>
      </c>
    </row>
    <row r="567" spans="1:6" x14ac:dyDescent="0.25">
      <c r="A567">
        <v>45</v>
      </c>
      <c r="B567" t="str">
        <f>VLOOKUP(Tabla5[[#This Row],[Code]],[1]!Tabla6[#Data],2,FALSE)</f>
        <v>Colou Change</v>
      </c>
      <c r="C567">
        <v>20</v>
      </c>
      <c r="D567" t="s">
        <v>1826</v>
      </c>
      <c r="E567" t="s">
        <v>1827</v>
      </c>
      <c r="F567" t="str">
        <f>VLOOKUP(Tabla5[[#This Row],[Code]],[1]!Tabla6[#Data],3,FALSE)</f>
        <v>Select</v>
      </c>
    </row>
    <row r="568" spans="1:6" x14ac:dyDescent="0.25">
      <c r="A568">
        <v>46</v>
      </c>
      <c r="B568" t="str">
        <f>VLOOKUP(Tabla5[[#This Row],[Code]],[1]!Tabla6[#Data],2,FALSE)</f>
        <v>Glitter</v>
      </c>
      <c r="C568">
        <v>1</v>
      </c>
      <c r="D568" t="s">
        <v>1828</v>
      </c>
      <c r="F568" t="str">
        <f>VLOOKUP(Tabla5[[#This Row],[Code]],[1]!Tabla6[#Data],3,FALSE)</f>
        <v>Select</v>
      </c>
    </row>
    <row r="569" spans="1:6" x14ac:dyDescent="0.25">
      <c r="A569">
        <v>46</v>
      </c>
      <c r="B569" t="str">
        <f>VLOOKUP(Tabla5[[#This Row],[Code]],[1]!Tabla6[#Data],2,FALSE)</f>
        <v>Glitter</v>
      </c>
      <c r="C569">
        <v>2</v>
      </c>
      <c r="D569" t="s">
        <v>1829</v>
      </c>
      <c r="F569" t="str">
        <f>VLOOKUP(Tabla5[[#This Row],[Code]],[1]!Tabla6[#Data],3,FALSE)</f>
        <v>Select</v>
      </c>
    </row>
    <row r="570" spans="1:6" x14ac:dyDescent="0.25">
      <c r="A570">
        <v>46</v>
      </c>
      <c r="B570" t="str">
        <f>VLOOKUP(Tabla5[[#This Row],[Code]],[1]!Tabla6[#Data],2,FALSE)</f>
        <v>Glitter</v>
      </c>
      <c r="C570">
        <v>3</v>
      </c>
      <c r="D570" t="s">
        <v>1830</v>
      </c>
      <c r="F570" t="str">
        <f>VLOOKUP(Tabla5[[#This Row],[Code]],[1]!Tabla6[#Data],3,FALSE)</f>
        <v>Select</v>
      </c>
    </row>
    <row r="571" spans="1:6" x14ac:dyDescent="0.25">
      <c r="A571">
        <v>46</v>
      </c>
      <c r="B571" t="str">
        <f>VLOOKUP(Tabla5[[#This Row],[Code]],[1]!Tabla6[#Data],2,FALSE)</f>
        <v>Glitter</v>
      </c>
      <c r="C571">
        <v>4</v>
      </c>
      <c r="D571" t="s">
        <v>1831</v>
      </c>
      <c r="F571" t="str">
        <f>VLOOKUP(Tabla5[[#This Row],[Code]],[1]!Tabla6[#Data],3,FALSE)</f>
        <v>Select</v>
      </c>
    </row>
    <row r="572" spans="1:6" x14ac:dyDescent="0.25">
      <c r="A572">
        <v>46</v>
      </c>
      <c r="B572" t="str">
        <f>VLOOKUP(Tabla5[[#This Row],[Code]],[1]!Tabla6[#Data],2,FALSE)</f>
        <v>Glitter</v>
      </c>
      <c r="C572">
        <v>5</v>
      </c>
      <c r="D572" t="s">
        <v>1832</v>
      </c>
      <c r="F572" t="str">
        <f>VLOOKUP(Tabla5[[#This Row],[Code]],[1]!Tabla6[#Data],3,FALSE)</f>
        <v>Select</v>
      </c>
    </row>
    <row r="573" spans="1:6" x14ac:dyDescent="0.25">
      <c r="A573">
        <v>46</v>
      </c>
      <c r="B573" t="str">
        <f>VLOOKUP(Tabla5[[#This Row],[Code]],[1]!Tabla6[#Data],2,FALSE)</f>
        <v>Glitter</v>
      </c>
      <c r="C573">
        <v>6</v>
      </c>
      <c r="D573" t="s">
        <v>1833</v>
      </c>
      <c r="F573" t="str">
        <f>VLOOKUP(Tabla5[[#This Row],[Code]],[1]!Tabla6[#Data],3,FALSE)</f>
        <v>Select</v>
      </c>
    </row>
    <row r="574" spans="1:6" x14ac:dyDescent="0.25">
      <c r="A574">
        <v>46</v>
      </c>
      <c r="B574" t="str">
        <f>VLOOKUP(Tabla5[[#This Row],[Code]],[1]!Tabla6[#Data],2,FALSE)</f>
        <v>Glitter</v>
      </c>
      <c r="C574">
        <v>7</v>
      </c>
      <c r="D574" t="s">
        <v>1834</v>
      </c>
      <c r="F574" t="str">
        <f>VLOOKUP(Tabla5[[#This Row],[Code]],[1]!Tabla6[#Data],3,FALSE)</f>
        <v>Select</v>
      </c>
    </row>
    <row r="575" spans="1:6" x14ac:dyDescent="0.25">
      <c r="A575">
        <v>46</v>
      </c>
      <c r="B575" t="str">
        <f>VLOOKUP(Tabla5[[#This Row],[Code]],[1]!Tabla6[#Data],2,FALSE)</f>
        <v>Glitter</v>
      </c>
      <c r="C575">
        <v>8</v>
      </c>
      <c r="D575" t="s">
        <v>1835</v>
      </c>
      <c r="F575" t="str">
        <f>VLOOKUP(Tabla5[[#This Row],[Code]],[1]!Tabla6[#Data],3,FALSE)</f>
        <v>Select</v>
      </c>
    </row>
    <row r="576" spans="1:6" x14ac:dyDescent="0.25">
      <c r="A576">
        <v>46</v>
      </c>
      <c r="B576" t="str">
        <f>VLOOKUP(Tabla5[[#This Row],[Code]],[1]!Tabla6[#Data],2,FALSE)</f>
        <v>Glitter</v>
      </c>
      <c r="C576">
        <v>9</v>
      </c>
      <c r="D576" t="s">
        <v>1836</v>
      </c>
      <c r="F576" t="str">
        <f>VLOOKUP(Tabla5[[#This Row],[Code]],[1]!Tabla6[#Data],3,FALSE)</f>
        <v>Select</v>
      </c>
    </row>
    <row r="577" spans="1:6" x14ac:dyDescent="0.25">
      <c r="A577">
        <v>46</v>
      </c>
      <c r="B577" t="str">
        <f>VLOOKUP(Tabla5[[#This Row],[Code]],[1]!Tabla6[#Data],2,FALSE)</f>
        <v>Glitter</v>
      </c>
      <c r="C577">
        <v>10</v>
      </c>
      <c r="D577" t="s">
        <v>1837</v>
      </c>
      <c r="F577" t="str">
        <f>VLOOKUP(Tabla5[[#This Row],[Code]],[1]!Tabla6[#Data],3,FALSE)</f>
        <v>Select</v>
      </c>
    </row>
    <row r="578" spans="1:6" x14ac:dyDescent="0.25">
      <c r="A578">
        <v>46</v>
      </c>
      <c r="B578" t="str">
        <f>VLOOKUP(Tabla5[[#This Row],[Code]],[1]!Tabla6[#Data],2,FALSE)</f>
        <v>Glitter</v>
      </c>
      <c r="C578">
        <v>11</v>
      </c>
      <c r="D578" t="s">
        <v>1838</v>
      </c>
      <c r="F578" t="str">
        <f>VLOOKUP(Tabla5[[#This Row],[Code]],[1]!Tabla6[#Data],3,FALSE)</f>
        <v>Select</v>
      </c>
    </row>
    <row r="579" spans="1:6" x14ac:dyDescent="0.25">
      <c r="A579">
        <v>46</v>
      </c>
      <c r="B579" t="str">
        <f>VLOOKUP(Tabla5[[#This Row],[Code]],[1]!Tabla6[#Data],2,FALSE)</f>
        <v>Glitter</v>
      </c>
      <c r="C579">
        <v>12</v>
      </c>
      <c r="D579" t="s">
        <v>1839</v>
      </c>
      <c r="F579" t="str">
        <f>VLOOKUP(Tabla5[[#This Row],[Code]],[1]!Tabla6[#Data],3,FALSE)</f>
        <v>Select</v>
      </c>
    </row>
    <row r="580" spans="1:6" x14ac:dyDescent="0.25">
      <c r="A580">
        <v>46</v>
      </c>
      <c r="B580" t="str">
        <f>VLOOKUP(Tabla5[[#This Row],[Code]],[1]!Tabla6[#Data],2,FALSE)</f>
        <v>Glitter</v>
      </c>
      <c r="C580">
        <v>13</v>
      </c>
      <c r="D580" t="s">
        <v>1840</v>
      </c>
      <c r="F580" t="str">
        <f>VLOOKUP(Tabla5[[#This Row],[Code]],[1]!Tabla6[#Data],3,FALSE)</f>
        <v>Select</v>
      </c>
    </row>
    <row r="581" spans="1:6" x14ac:dyDescent="0.25">
      <c r="A581">
        <v>46</v>
      </c>
      <c r="B581" t="str">
        <f>VLOOKUP(Tabla5[[#This Row],[Code]],[1]!Tabla6[#Data],2,FALSE)</f>
        <v>Glitter</v>
      </c>
      <c r="C581">
        <v>14</v>
      </c>
      <c r="D581" t="s">
        <v>1841</v>
      </c>
      <c r="F581" t="str">
        <f>VLOOKUP(Tabla5[[#This Row],[Code]],[1]!Tabla6[#Data],3,FALSE)</f>
        <v>Select</v>
      </c>
    </row>
    <row r="582" spans="1:6" x14ac:dyDescent="0.25">
      <c r="A582">
        <v>46</v>
      </c>
      <c r="B582" t="str">
        <f>VLOOKUP(Tabla5[[#This Row],[Code]],[1]!Tabla6[#Data],2,FALSE)</f>
        <v>Glitter</v>
      </c>
      <c r="C582">
        <v>15</v>
      </c>
      <c r="D582" t="s">
        <v>1842</v>
      </c>
      <c r="F582" t="str">
        <f>VLOOKUP(Tabla5[[#This Row],[Code]],[1]!Tabla6[#Data],3,FALSE)</f>
        <v>Select</v>
      </c>
    </row>
    <row r="583" spans="1:6" x14ac:dyDescent="0.25">
      <c r="A583">
        <v>46</v>
      </c>
      <c r="B583" t="str">
        <f>VLOOKUP(Tabla5[[#This Row],[Code]],[1]!Tabla6[#Data],2,FALSE)</f>
        <v>Glitter</v>
      </c>
      <c r="C583">
        <v>16</v>
      </c>
      <c r="D583" t="s">
        <v>1843</v>
      </c>
      <c r="F583" t="str">
        <f>VLOOKUP(Tabla5[[#This Row],[Code]],[1]!Tabla6[#Data],3,FALSE)</f>
        <v>Select</v>
      </c>
    </row>
    <row r="584" spans="1:6" x14ac:dyDescent="0.25">
      <c r="A584">
        <v>46</v>
      </c>
      <c r="B584" t="str">
        <f>VLOOKUP(Tabla5[[#This Row],[Code]],[1]!Tabla6[#Data],2,FALSE)</f>
        <v>Glitter</v>
      </c>
      <c r="C584">
        <v>17</v>
      </c>
      <c r="D584" t="s">
        <v>1844</v>
      </c>
      <c r="F584" t="str">
        <f>VLOOKUP(Tabla5[[#This Row],[Code]],[1]!Tabla6[#Data],3,FALSE)</f>
        <v>Select</v>
      </c>
    </row>
    <row r="585" spans="1:6" x14ac:dyDescent="0.25">
      <c r="A585">
        <v>46</v>
      </c>
      <c r="B585" t="str">
        <f>VLOOKUP(Tabla5[[#This Row],[Code]],[1]!Tabla6[#Data],2,FALSE)</f>
        <v>Glitter</v>
      </c>
      <c r="C585">
        <v>18</v>
      </c>
      <c r="D585" t="s">
        <v>1845</v>
      </c>
      <c r="F585" t="str">
        <f>VLOOKUP(Tabla5[[#This Row],[Code]],[1]!Tabla6[#Data],3,FALSE)</f>
        <v>Select</v>
      </c>
    </row>
    <row r="586" spans="1:6" x14ac:dyDescent="0.25">
      <c r="A586">
        <v>46</v>
      </c>
      <c r="B586" t="str">
        <f>VLOOKUP(Tabla5[[#This Row],[Code]],[1]!Tabla6[#Data],2,FALSE)</f>
        <v>Glitter</v>
      </c>
      <c r="C586">
        <v>19</v>
      </c>
      <c r="D586" t="s">
        <v>1846</v>
      </c>
      <c r="F586" t="str">
        <f>VLOOKUP(Tabla5[[#This Row],[Code]],[1]!Tabla6[#Data],3,FALSE)</f>
        <v>Select</v>
      </c>
    </row>
    <row r="587" spans="1:6" x14ac:dyDescent="0.25">
      <c r="A587">
        <v>46</v>
      </c>
      <c r="B587" t="str">
        <f>VLOOKUP(Tabla5[[#This Row],[Code]],[1]!Tabla6[#Data],2,FALSE)</f>
        <v>Glitter</v>
      </c>
      <c r="C587">
        <v>20</v>
      </c>
      <c r="D587" t="s">
        <v>1847</v>
      </c>
      <c r="F587" t="str">
        <f>VLOOKUP(Tabla5[[#This Row],[Code]],[1]!Tabla6[#Data],3,FALSE)</f>
        <v>Select</v>
      </c>
    </row>
    <row r="588" spans="1:6" x14ac:dyDescent="0.25">
      <c r="A588">
        <v>46</v>
      </c>
      <c r="B588" t="str">
        <f>VLOOKUP(Tabla5[[#This Row],[Code]],[1]!Tabla6[#Data],2,FALSE)</f>
        <v>Glitter</v>
      </c>
      <c r="C588">
        <v>21</v>
      </c>
      <c r="D588" t="s">
        <v>1848</v>
      </c>
      <c r="F588" t="str">
        <f>VLOOKUP(Tabla5[[#This Row],[Code]],[1]!Tabla6[#Data],3,FALSE)</f>
        <v>Select</v>
      </c>
    </row>
    <row r="589" spans="1:6" x14ac:dyDescent="0.25">
      <c r="A589">
        <v>46</v>
      </c>
      <c r="B589" t="str">
        <f>VLOOKUP(Tabla5[[#This Row],[Code]],[1]!Tabla6[#Data],2,FALSE)</f>
        <v>Glitter</v>
      </c>
      <c r="C589">
        <v>22</v>
      </c>
      <c r="D589" t="s">
        <v>1849</v>
      </c>
      <c r="F589" t="str">
        <f>VLOOKUP(Tabla5[[#This Row],[Code]],[1]!Tabla6[#Data],3,FALSE)</f>
        <v>Select</v>
      </c>
    </row>
    <row r="590" spans="1:6" x14ac:dyDescent="0.25">
      <c r="A590">
        <v>46</v>
      </c>
      <c r="B590" t="str">
        <f>VLOOKUP(Tabla5[[#This Row],[Code]],[1]!Tabla6[#Data],2,FALSE)</f>
        <v>Glitter</v>
      </c>
      <c r="C590">
        <v>23</v>
      </c>
      <c r="D590" t="s">
        <v>1850</v>
      </c>
      <c r="F590" t="str">
        <f>VLOOKUP(Tabla5[[#This Row],[Code]],[1]!Tabla6[#Data],3,FALSE)</f>
        <v>Select</v>
      </c>
    </row>
    <row r="591" spans="1:6" x14ac:dyDescent="0.25">
      <c r="A591">
        <v>46</v>
      </c>
      <c r="B591" t="str">
        <f>VLOOKUP(Tabla5[[#This Row],[Code]],[1]!Tabla6[#Data],2,FALSE)</f>
        <v>Glitter</v>
      </c>
      <c r="C591">
        <v>24</v>
      </c>
      <c r="D591" t="s">
        <v>1851</v>
      </c>
      <c r="F591" t="str">
        <f>VLOOKUP(Tabla5[[#This Row],[Code]],[1]!Tabla6[#Data],3,FALSE)</f>
        <v>Select</v>
      </c>
    </row>
    <row r="592" spans="1:6" x14ac:dyDescent="0.25">
      <c r="A592">
        <v>46</v>
      </c>
      <c r="B592" t="str">
        <f>VLOOKUP(Tabla5[[#This Row],[Code]],[1]!Tabla6[#Data],2,FALSE)</f>
        <v>Glitter</v>
      </c>
      <c r="C592">
        <v>25</v>
      </c>
      <c r="D592" t="s">
        <v>1852</v>
      </c>
      <c r="F592" t="str">
        <f>VLOOKUP(Tabla5[[#This Row],[Code]],[1]!Tabla6[#Data],3,FALSE)</f>
        <v>Select</v>
      </c>
    </row>
    <row r="593" spans="1:6" x14ac:dyDescent="0.25">
      <c r="A593">
        <v>46</v>
      </c>
      <c r="B593" t="str">
        <f>VLOOKUP(Tabla5[[#This Row],[Code]],[1]!Tabla6[#Data],2,FALSE)</f>
        <v>Glitter</v>
      </c>
      <c r="C593">
        <v>26</v>
      </c>
      <c r="D593" t="s">
        <v>1853</v>
      </c>
      <c r="F593" t="str">
        <f>VLOOKUP(Tabla5[[#This Row],[Code]],[1]!Tabla6[#Data],3,FALSE)</f>
        <v>Select</v>
      </c>
    </row>
    <row r="594" spans="1:6" x14ac:dyDescent="0.25">
      <c r="A594">
        <v>46</v>
      </c>
      <c r="B594" t="str">
        <f>VLOOKUP(Tabla5[[#This Row],[Code]],[1]!Tabla6[#Data],2,FALSE)</f>
        <v>Glitter</v>
      </c>
      <c r="C594">
        <v>27</v>
      </c>
      <c r="D594" t="s">
        <v>1854</v>
      </c>
      <c r="F594" t="str">
        <f>VLOOKUP(Tabla5[[#This Row],[Code]],[1]!Tabla6[#Data],3,FALSE)</f>
        <v>Select</v>
      </c>
    </row>
    <row r="595" spans="1:6" x14ac:dyDescent="0.25">
      <c r="A595">
        <v>46</v>
      </c>
      <c r="B595" t="str">
        <f>VLOOKUP(Tabla5[[#This Row],[Code]],[1]!Tabla6[#Data],2,FALSE)</f>
        <v>Glitter</v>
      </c>
      <c r="C595">
        <v>28</v>
      </c>
      <c r="D595" t="s">
        <v>1855</v>
      </c>
      <c r="F595" t="str">
        <f>VLOOKUP(Tabla5[[#This Row],[Code]],[1]!Tabla6[#Data],3,FALSE)</f>
        <v>Select</v>
      </c>
    </row>
    <row r="596" spans="1:6" x14ac:dyDescent="0.25">
      <c r="A596">
        <v>46</v>
      </c>
      <c r="B596" t="str">
        <f>VLOOKUP(Tabla5[[#This Row],[Code]],[1]!Tabla6[#Data],2,FALSE)</f>
        <v>Glitter</v>
      </c>
      <c r="C596">
        <v>29</v>
      </c>
      <c r="D596" t="s">
        <v>1856</v>
      </c>
      <c r="F596" t="str">
        <f>VLOOKUP(Tabla5[[#This Row],[Code]],[1]!Tabla6[#Data],3,FALSE)</f>
        <v>Select</v>
      </c>
    </row>
    <row r="597" spans="1:6" x14ac:dyDescent="0.25">
      <c r="A597">
        <v>46</v>
      </c>
      <c r="B597" t="str">
        <f>VLOOKUP(Tabla5[[#This Row],[Code]],[1]!Tabla6[#Data],2,FALSE)</f>
        <v>Glitter</v>
      </c>
      <c r="C597">
        <v>30</v>
      </c>
      <c r="D597" t="s">
        <v>1857</v>
      </c>
      <c r="F597" t="str">
        <f>VLOOKUP(Tabla5[[#This Row],[Code]],[1]!Tabla6[#Data],3,FALSE)</f>
        <v>Select</v>
      </c>
    </row>
    <row r="598" spans="1:6" x14ac:dyDescent="0.25">
      <c r="A598">
        <v>46</v>
      </c>
      <c r="B598" t="str">
        <f>VLOOKUP(Tabla5[[#This Row],[Code]],[1]!Tabla6[#Data],2,FALSE)</f>
        <v>Glitter</v>
      </c>
      <c r="C598">
        <v>31</v>
      </c>
      <c r="D598" t="s">
        <v>1858</v>
      </c>
      <c r="F598" t="str">
        <f>VLOOKUP(Tabla5[[#This Row],[Code]],[1]!Tabla6[#Data],3,FALSE)</f>
        <v>Select</v>
      </c>
    </row>
    <row r="599" spans="1:6" x14ac:dyDescent="0.25">
      <c r="A599">
        <v>46</v>
      </c>
      <c r="B599" t="str">
        <f>VLOOKUP(Tabla5[[#This Row],[Code]],[1]!Tabla6[#Data],2,FALSE)</f>
        <v>Glitter</v>
      </c>
      <c r="C599">
        <v>32</v>
      </c>
      <c r="D599" t="s">
        <v>1859</v>
      </c>
      <c r="F599" t="str">
        <f>VLOOKUP(Tabla5[[#This Row],[Code]],[1]!Tabla6[#Data],3,FALSE)</f>
        <v>Select</v>
      </c>
    </row>
    <row r="600" spans="1:6" x14ac:dyDescent="0.25">
      <c r="A600">
        <v>46</v>
      </c>
      <c r="B600" t="str">
        <f>VLOOKUP(Tabla5[[#This Row],[Code]],[1]!Tabla6[#Data],2,FALSE)</f>
        <v>Glitter</v>
      </c>
      <c r="C600">
        <v>33</v>
      </c>
      <c r="D600" t="s">
        <v>1860</v>
      </c>
      <c r="F600" t="str">
        <f>VLOOKUP(Tabla5[[#This Row],[Code]],[1]!Tabla6[#Data],3,FALSE)</f>
        <v>Select</v>
      </c>
    </row>
    <row r="601" spans="1:6" x14ac:dyDescent="0.25">
      <c r="A601">
        <v>46</v>
      </c>
      <c r="B601" t="str">
        <f>VLOOKUP(Tabla5[[#This Row],[Code]],[1]!Tabla6[#Data],2,FALSE)</f>
        <v>Glitter</v>
      </c>
      <c r="C601">
        <v>34</v>
      </c>
      <c r="D601" t="s">
        <v>1861</v>
      </c>
      <c r="F601" t="str">
        <f>VLOOKUP(Tabla5[[#This Row],[Code]],[1]!Tabla6[#Data],3,FALSE)</f>
        <v>Select</v>
      </c>
    </row>
    <row r="602" spans="1:6" x14ac:dyDescent="0.25">
      <c r="A602">
        <v>46</v>
      </c>
      <c r="B602" t="str">
        <f>VLOOKUP(Tabla5[[#This Row],[Code]],[1]!Tabla6[#Data],2,FALSE)</f>
        <v>Glitter</v>
      </c>
      <c r="C602">
        <v>35</v>
      </c>
      <c r="D602" t="s">
        <v>1862</v>
      </c>
      <c r="F602" t="str">
        <f>VLOOKUP(Tabla5[[#This Row],[Code]],[1]!Tabla6[#Data],3,FALSE)</f>
        <v>Select</v>
      </c>
    </row>
    <row r="603" spans="1:6" x14ac:dyDescent="0.25">
      <c r="A603">
        <v>46</v>
      </c>
      <c r="B603" t="str">
        <f>VLOOKUP(Tabla5[[#This Row],[Code]],[1]!Tabla6[#Data],2,FALSE)</f>
        <v>Glitter</v>
      </c>
      <c r="C603">
        <v>36</v>
      </c>
      <c r="D603" t="s">
        <v>1863</v>
      </c>
      <c r="F603" t="str">
        <f>VLOOKUP(Tabla5[[#This Row],[Code]],[1]!Tabla6[#Data],3,FALSE)</f>
        <v>Select</v>
      </c>
    </row>
    <row r="604" spans="1:6" x14ac:dyDescent="0.25">
      <c r="A604">
        <v>46</v>
      </c>
      <c r="B604" t="str">
        <f>VLOOKUP(Tabla5[[#This Row],[Code]],[1]!Tabla6[#Data],2,FALSE)</f>
        <v>Glitter</v>
      </c>
      <c r="C604">
        <v>37</v>
      </c>
      <c r="D604" t="s">
        <v>1864</v>
      </c>
      <c r="F604" t="str">
        <f>VLOOKUP(Tabla5[[#This Row],[Code]],[1]!Tabla6[#Data],3,FALSE)</f>
        <v>Select</v>
      </c>
    </row>
    <row r="605" spans="1:6" x14ac:dyDescent="0.25">
      <c r="A605">
        <v>46</v>
      </c>
      <c r="B605" t="str">
        <f>VLOOKUP(Tabla5[[#This Row],[Code]],[1]!Tabla6[#Data],2,FALSE)</f>
        <v>Glitter</v>
      </c>
      <c r="C605">
        <v>38</v>
      </c>
      <c r="D605" t="s">
        <v>1865</v>
      </c>
      <c r="F605" t="str">
        <f>VLOOKUP(Tabla5[[#This Row],[Code]],[1]!Tabla6[#Data],3,FALSE)</f>
        <v>Select</v>
      </c>
    </row>
    <row r="606" spans="1:6" x14ac:dyDescent="0.25">
      <c r="A606">
        <v>46</v>
      </c>
      <c r="B606" t="str">
        <f>VLOOKUP(Tabla5[[#This Row],[Code]],[1]!Tabla6[#Data],2,FALSE)</f>
        <v>Glitter</v>
      </c>
      <c r="C606">
        <v>39</v>
      </c>
      <c r="D606" t="s">
        <v>1866</v>
      </c>
      <c r="F606" t="str">
        <f>VLOOKUP(Tabla5[[#This Row],[Code]],[1]!Tabla6[#Data],3,FALSE)</f>
        <v>Select</v>
      </c>
    </row>
    <row r="607" spans="1:6" x14ac:dyDescent="0.25">
      <c r="A607">
        <v>46</v>
      </c>
      <c r="B607" t="str">
        <f>VLOOKUP(Tabla5[[#This Row],[Code]],[1]!Tabla6[#Data],2,FALSE)</f>
        <v>Glitter</v>
      </c>
      <c r="C607">
        <v>40</v>
      </c>
      <c r="D607" t="s">
        <v>1867</v>
      </c>
      <c r="F607" t="str">
        <f>VLOOKUP(Tabla5[[#This Row],[Code]],[1]!Tabla6[#Data],3,FALSE)</f>
        <v>Select</v>
      </c>
    </row>
    <row r="608" spans="1:6" x14ac:dyDescent="0.25">
      <c r="A608">
        <v>46</v>
      </c>
      <c r="B608" t="str">
        <f>VLOOKUP(Tabla5[[#This Row],[Code]],[1]!Tabla6[#Data],2,FALSE)</f>
        <v>Glitter</v>
      </c>
      <c r="C608">
        <v>41</v>
      </c>
      <c r="D608" t="s">
        <v>1868</v>
      </c>
      <c r="F608" t="str">
        <f>VLOOKUP(Tabla5[[#This Row],[Code]],[1]!Tabla6[#Data],3,FALSE)</f>
        <v>Select</v>
      </c>
    </row>
    <row r="609" spans="1:6" x14ac:dyDescent="0.25">
      <c r="A609">
        <v>46</v>
      </c>
      <c r="B609" t="str">
        <f>VLOOKUP(Tabla5[[#This Row],[Code]],[1]!Tabla6[#Data],2,FALSE)</f>
        <v>Glitter</v>
      </c>
      <c r="C609">
        <v>42</v>
      </c>
      <c r="D609" t="s">
        <v>1869</v>
      </c>
      <c r="F609" t="str">
        <f>VLOOKUP(Tabla5[[#This Row],[Code]],[1]!Tabla6[#Data],3,FALSE)</f>
        <v>Select</v>
      </c>
    </row>
    <row r="610" spans="1:6" x14ac:dyDescent="0.25">
      <c r="A610">
        <v>46</v>
      </c>
      <c r="B610" t="str">
        <f>VLOOKUP(Tabla5[[#This Row],[Code]],[1]!Tabla6[#Data],2,FALSE)</f>
        <v>Glitter</v>
      </c>
      <c r="C610">
        <v>43</v>
      </c>
      <c r="D610" t="s">
        <v>1870</v>
      </c>
      <c r="F610" t="str">
        <f>VLOOKUP(Tabla5[[#This Row],[Code]],[1]!Tabla6[#Data],3,FALSE)</f>
        <v>Select</v>
      </c>
    </row>
    <row r="611" spans="1:6" x14ac:dyDescent="0.25">
      <c r="A611">
        <v>46</v>
      </c>
      <c r="B611" t="str">
        <f>VLOOKUP(Tabla5[[#This Row],[Code]],[1]!Tabla6[#Data],2,FALSE)</f>
        <v>Glitter</v>
      </c>
      <c r="C611">
        <v>44</v>
      </c>
      <c r="D611" t="s">
        <v>1871</v>
      </c>
      <c r="F611" t="str">
        <f>VLOOKUP(Tabla5[[#This Row],[Code]],[1]!Tabla6[#Data],3,FALSE)</f>
        <v>Select</v>
      </c>
    </row>
    <row r="612" spans="1:6" x14ac:dyDescent="0.25">
      <c r="A612">
        <v>46</v>
      </c>
      <c r="B612" t="str">
        <f>VLOOKUP(Tabla5[[#This Row],[Code]],[1]!Tabla6[#Data],2,FALSE)</f>
        <v>Glitter</v>
      </c>
      <c r="C612">
        <v>45</v>
      </c>
      <c r="D612" t="s">
        <v>1872</v>
      </c>
      <c r="F612" t="str">
        <f>VLOOKUP(Tabla5[[#This Row],[Code]],[1]!Tabla6[#Data],3,FALSE)</f>
        <v>Select</v>
      </c>
    </row>
    <row r="613" spans="1:6" x14ac:dyDescent="0.25">
      <c r="A613">
        <v>46</v>
      </c>
      <c r="B613" t="str">
        <f>VLOOKUP(Tabla5[[#This Row],[Code]],[1]!Tabla6[#Data],2,FALSE)</f>
        <v>Glitter</v>
      </c>
      <c r="C613">
        <v>46</v>
      </c>
      <c r="D613" t="s">
        <v>1873</v>
      </c>
      <c r="F613" t="str">
        <f>VLOOKUP(Tabla5[[#This Row],[Code]],[1]!Tabla6[#Data],3,FALSE)</f>
        <v>Select</v>
      </c>
    </row>
    <row r="614" spans="1:6" x14ac:dyDescent="0.25">
      <c r="A614">
        <v>46</v>
      </c>
      <c r="B614" t="str">
        <f>VLOOKUP(Tabla5[[#This Row],[Code]],[1]!Tabla6[#Data],2,FALSE)</f>
        <v>Glitter</v>
      </c>
      <c r="C614">
        <v>47</v>
      </c>
      <c r="D614" t="s">
        <v>1874</v>
      </c>
      <c r="F614" t="str">
        <f>VLOOKUP(Tabla5[[#This Row],[Code]],[1]!Tabla6[#Data],3,FALSE)</f>
        <v>Select</v>
      </c>
    </row>
    <row r="615" spans="1:6" x14ac:dyDescent="0.25">
      <c r="A615">
        <v>46</v>
      </c>
      <c r="B615" t="str">
        <f>VLOOKUP(Tabla5[[#This Row],[Code]],[1]!Tabla6[#Data],2,FALSE)</f>
        <v>Glitter</v>
      </c>
      <c r="C615">
        <v>48</v>
      </c>
      <c r="D615" t="s">
        <v>1875</v>
      </c>
      <c r="F615" t="str">
        <f>VLOOKUP(Tabla5[[#This Row],[Code]],[1]!Tabla6[#Data],3,FALSE)</f>
        <v>Select</v>
      </c>
    </row>
    <row r="616" spans="1:6" x14ac:dyDescent="0.25">
      <c r="A616">
        <v>46</v>
      </c>
      <c r="B616" t="str">
        <f>VLOOKUP(Tabla5[[#This Row],[Code]],[1]!Tabla6[#Data],2,FALSE)</f>
        <v>Glitter</v>
      </c>
      <c r="C616">
        <v>49</v>
      </c>
      <c r="D616" t="s">
        <v>1876</v>
      </c>
      <c r="F616" t="str">
        <f>VLOOKUP(Tabla5[[#This Row],[Code]],[1]!Tabla6[#Data],3,FALSE)</f>
        <v>Select</v>
      </c>
    </row>
    <row r="617" spans="1:6" x14ac:dyDescent="0.25">
      <c r="A617">
        <v>46</v>
      </c>
      <c r="B617" t="str">
        <f>VLOOKUP(Tabla5[[#This Row],[Code]],[1]!Tabla6[#Data],2,FALSE)</f>
        <v>Glitter</v>
      </c>
      <c r="C617">
        <v>50</v>
      </c>
      <c r="D617" t="s">
        <v>1877</v>
      </c>
      <c r="F617" t="str">
        <f>VLOOKUP(Tabla5[[#This Row],[Code]],[1]!Tabla6[#Data],3,FALSE)</f>
        <v>Select</v>
      </c>
    </row>
    <row r="618" spans="1:6" x14ac:dyDescent="0.25">
      <c r="A618">
        <v>46</v>
      </c>
      <c r="B618" t="str">
        <f>VLOOKUP(Tabla5[[#This Row],[Code]],[1]!Tabla6[#Data],2,FALSE)</f>
        <v>Glitter</v>
      </c>
      <c r="C618">
        <v>51</v>
      </c>
      <c r="D618" t="s">
        <v>1878</v>
      </c>
      <c r="F618" t="str">
        <f>VLOOKUP(Tabla5[[#This Row],[Code]],[1]!Tabla6[#Data],3,FALSE)</f>
        <v>Select</v>
      </c>
    </row>
    <row r="619" spans="1:6" x14ac:dyDescent="0.25">
      <c r="A619">
        <v>46</v>
      </c>
      <c r="B619" t="str">
        <f>VLOOKUP(Tabla5[[#This Row],[Code]],[1]!Tabla6[#Data],2,FALSE)</f>
        <v>Glitter</v>
      </c>
      <c r="C619">
        <v>52</v>
      </c>
      <c r="D619" t="s">
        <v>1879</v>
      </c>
      <c r="F619" t="str">
        <f>VLOOKUP(Tabla5[[#This Row],[Code]],[1]!Tabla6[#Data],3,FALSE)</f>
        <v>Select</v>
      </c>
    </row>
    <row r="620" spans="1:6" x14ac:dyDescent="0.25">
      <c r="A620">
        <v>46</v>
      </c>
      <c r="B620" t="str">
        <f>VLOOKUP(Tabla5[[#This Row],[Code]],[1]!Tabla6[#Data],2,FALSE)</f>
        <v>Glitter</v>
      </c>
      <c r="C620">
        <v>53</v>
      </c>
      <c r="D620" t="s">
        <v>1880</v>
      </c>
      <c r="F620" t="str">
        <f>VLOOKUP(Tabla5[[#This Row],[Code]],[1]!Tabla6[#Data],3,FALSE)</f>
        <v>Select</v>
      </c>
    </row>
    <row r="621" spans="1:6" x14ac:dyDescent="0.25">
      <c r="A621">
        <v>46</v>
      </c>
      <c r="B621" t="str">
        <f>VLOOKUP(Tabla5[[#This Row],[Code]],[1]!Tabla6[#Data],2,FALSE)</f>
        <v>Glitter</v>
      </c>
      <c r="C621">
        <v>54</v>
      </c>
      <c r="D621" t="s">
        <v>1881</v>
      </c>
      <c r="F621" t="str">
        <f>VLOOKUP(Tabla5[[#This Row],[Code]],[1]!Tabla6[#Data],3,FALSE)</f>
        <v>Select</v>
      </c>
    </row>
    <row r="622" spans="1:6" x14ac:dyDescent="0.25">
      <c r="A622">
        <v>46</v>
      </c>
      <c r="B622" t="str">
        <f>VLOOKUP(Tabla5[[#This Row],[Code]],[1]!Tabla6[#Data],2,FALSE)</f>
        <v>Glitter</v>
      </c>
      <c r="C622">
        <v>55</v>
      </c>
      <c r="D622" t="s">
        <v>1882</v>
      </c>
      <c r="F622" t="str">
        <f>VLOOKUP(Tabla5[[#This Row],[Code]],[1]!Tabla6[#Data],3,FALSE)</f>
        <v>Select</v>
      </c>
    </row>
    <row r="623" spans="1:6" x14ac:dyDescent="0.25">
      <c r="A623">
        <v>46</v>
      </c>
      <c r="B623" t="str">
        <f>VLOOKUP(Tabla5[[#This Row],[Code]],[1]!Tabla6[#Data],2,FALSE)</f>
        <v>Glitter</v>
      </c>
      <c r="C623">
        <v>56</v>
      </c>
      <c r="D623" t="s">
        <v>1883</v>
      </c>
      <c r="F623" t="str">
        <f>VLOOKUP(Tabla5[[#This Row],[Code]],[1]!Tabla6[#Data],3,FALSE)</f>
        <v>Select</v>
      </c>
    </row>
    <row r="624" spans="1:6" x14ac:dyDescent="0.25">
      <c r="A624">
        <v>47</v>
      </c>
      <c r="B624" t="str">
        <f>VLOOKUP(Tabla5[[#This Row],[Code]],[1]!Tabla6[#Data],2,FALSE)</f>
        <v>Effect</v>
      </c>
      <c r="C624">
        <v>1</v>
      </c>
      <c r="D624" t="s">
        <v>1884</v>
      </c>
      <c r="F624" t="str">
        <f>VLOOKUP(Tabla5[[#This Row],[Code]],[1]!Tabla6[#Data],3,FALSE)</f>
        <v>Select</v>
      </c>
    </row>
    <row r="625" spans="1:6" x14ac:dyDescent="0.25">
      <c r="A625">
        <v>47</v>
      </c>
      <c r="B625" t="str">
        <f>VLOOKUP(Tabla5[[#This Row],[Code]],[1]!Tabla6[#Data],2,FALSE)</f>
        <v>Effect</v>
      </c>
      <c r="C625">
        <v>2</v>
      </c>
      <c r="D625" t="s">
        <v>1885</v>
      </c>
      <c r="F625" t="str">
        <f>VLOOKUP(Tabla5[[#This Row],[Code]],[1]!Tabla6[#Data],3,FALSE)</f>
        <v>Select</v>
      </c>
    </row>
    <row r="626" spans="1:6" x14ac:dyDescent="0.25">
      <c r="A626">
        <v>47</v>
      </c>
      <c r="B626" t="str">
        <f>VLOOKUP(Tabla5[[#This Row],[Code]],[1]!Tabla6[#Data],2,FALSE)</f>
        <v>Effect</v>
      </c>
      <c r="C626">
        <v>3</v>
      </c>
      <c r="D626" t="s">
        <v>1886</v>
      </c>
      <c r="F626" t="str">
        <f>VLOOKUP(Tabla5[[#This Row],[Code]],[1]!Tabla6[#Data],3,FALSE)</f>
        <v>Select</v>
      </c>
    </row>
    <row r="627" spans="1:6" x14ac:dyDescent="0.25">
      <c r="A627">
        <v>47</v>
      </c>
      <c r="B627" t="str">
        <f>VLOOKUP(Tabla5[[#This Row],[Code]],[1]!Tabla6[#Data],2,FALSE)</f>
        <v>Effect</v>
      </c>
      <c r="C627">
        <v>4</v>
      </c>
      <c r="D627" t="s">
        <v>1887</v>
      </c>
      <c r="F627" t="str">
        <f>VLOOKUP(Tabla5[[#This Row],[Code]],[1]!Tabla6[#Data],3,FALSE)</f>
        <v>Select</v>
      </c>
    </row>
    <row r="628" spans="1:6" x14ac:dyDescent="0.25">
      <c r="A628">
        <v>47</v>
      </c>
      <c r="B628" t="str">
        <f>VLOOKUP(Tabla5[[#This Row],[Code]],[1]!Tabla6[#Data],2,FALSE)</f>
        <v>Effect</v>
      </c>
      <c r="C628">
        <v>5</v>
      </c>
      <c r="D628" t="s">
        <v>1888</v>
      </c>
      <c r="F628" t="str">
        <f>VLOOKUP(Tabla5[[#This Row],[Code]],[1]!Tabla6[#Data],3,FALSE)</f>
        <v>Select</v>
      </c>
    </row>
    <row r="629" spans="1:6" x14ac:dyDescent="0.25">
      <c r="A629">
        <v>47</v>
      </c>
      <c r="B629" t="str">
        <f>VLOOKUP(Tabla5[[#This Row],[Code]],[1]!Tabla6[#Data],2,FALSE)</f>
        <v>Effect</v>
      </c>
      <c r="C629">
        <v>6</v>
      </c>
      <c r="D629" t="s">
        <v>1889</v>
      </c>
      <c r="F629" t="str">
        <f>VLOOKUP(Tabla5[[#This Row],[Code]],[1]!Tabla6[#Data],3,FALSE)</f>
        <v>Select</v>
      </c>
    </row>
    <row r="630" spans="1:6" x14ac:dyDescent="0.25">
      <c r="A630">
        <v>47</v>
      </c>
      <c r="B630" t="str">
        <f>VLOOKUP(Tabla5[[#This Row],[Code]],[1]!Tabla6[#Data],2,FALSE)</f>
        <v>Effect</v>
      </c>
      <c r="C630">
        <v>7</v>
      </c>
      <c r="D630" t="s">
        <v>1890</v>
      </c>
      <c r="F630" t="str">
        <f>VLOOKUP(Tabla5[[#This Row],[Code]],[1]!Tabla6[#Data],3,FALSE)</f>
        <v>Select</v>
      </c>
    </row>
    <row r="631" spans="1:6" x14ac:dyDescent="0.25">
      <c r="A631">
        <v>47</v>
      </c>
      <c r="B631" t="str">
        <f>VLOOKUP(Tabla5[[#This Row],[Code]],[1]!Tabla6[#Data],2,FALSE)</f>
        <v>Effect</v>
      </c>
      <c r="C631">
        <v>8</v>
      </c>
      <c r="D631" t="s">
        <v>1891</v>
      </c>
      <c r="F631" t="str">
        <f>VLOOKUP(Tabla5[[#This Row],[Code]],[1]!Tabla6[#Data],3,FALSE)</f>
        <v>Select</v>
      </c>
    </row>
    <row r="632" spans="1:6" x14ac:dyDescent="0.25">
      <c r="A632">
        <v>47</v>
      </c>
      <c r="B632" t="str">
        <f>VLOOKUP(Tabla5[[#This Row],[Code]],[1]!Tabla6[#Data],2,FALSE)</f>
        <v>Effect</v>
      </c>
      <c r="C632">
        <v>9</v>
      </c>
      <c r="D632" t="s">
        <v>1892</v>
      </c>
      <c r="F632" t="str">
        <f>VLOOKUP(Tabla5[[#This Row],[Code]],[1]!Tabla6[#Data],3,FALSE)</f>
        <v>Select</v>
      </c>
    </row>
    <row r="633" spans="1:6" x14ac:dyDescent="0.25">
      <c r="A633">
        <v>47</v>
      </c>
      <c r="B633" t="str">
        <f>VLOOKUP(Tabla5[[#This Row],[Code]],[1]!Tabla6[#Data],2,FALSE)</f>
        <v>Effect</v>
      </c>
      <c r="C633">
        <v>10</v>
      </c>
      <c r="D633" t="s">
        <v>1893</v>
      </c>
      <c r="F633" t="str">
        <f>VLOOKUP(Tabla5[[#This Row],[Code]],[1]!Tabla6[#Data],3,FALSE)</f>
        <v>Select</v>
      </c>
    </row>
    <row r="634" spans="1:6" x14ac:dyDescent="0.25">
      <c r="A634">
        <v>47</v>
      </c>
      <c r="B634" t="str">
        <f>VLOOKUP(Tabla5[[#This Row],[Code]],[1]!Tabla6[#Data],2,FALSE)</f>
        <v>Effect</v>
      </c>
      <c r="C634">
        <v>11</v>
      </c>
      <c r="D634" t="s">
        <v>1894</v>
      </c>
      <c r="F634" t="str">
        <f>VLOOKUP(Tabla5[[#This Row],[Code]],[1]!Tabla6[#Data],3,FALSE)</f>
        <v>Select</v>
      </c>
    </row>
    <row r="635" spans="1:6" x14ac:dyDescent="0.25">
      <c r="A635">
        <v>47</v>
      </c>
      <c r="B635" t="str">
        <f>VLOOKUP(Tabla5[[#This Row],[Code]],[1]!Tabla6[#Data],2,FALSE)</f>
        <v>Effect</v>
      </c>
      <c r="C635">
        <v>12</v>
      </c>
      <c r="D635" t="s">
        <v>1895</v>
      </c>
      <c r="F635" t="str">
        <f>VLOOKUP(Tabla5[[#This Row],[Code]],[1]!Tabla6[#Data],3,FALSE)</f>
        <v>Select</v>
      </c>
    </row>
    <row r="636" spans="1:6" x14ac:dyDescent="0.25">
      <c r="A636">
        <v>47</v>
      </c>
      <c r="B636" t="str">
        <f>VLOOKUP(Tabla5[[#This Row],[Code]],[1]!Tabla6[#Data],2,FALSE)</f>
        <v>Effect</v>
      </c>
      <c r="C636">
        <v>13</v>
      </c>
      <c r="D636" t="s">
        <v>1896</v>
      </c>
      <c r="F636" t="str">
        <f>VLOOKUP(Tabla5[[#This Row],[Code]],[1]!Tabla6[#Data],3,FALSE)</f>
        <v>Select</v>
      </c>
    </row>
    <row r="637" spans="1:6" x14ac:dyDescent="0.25">
      <c r="A637">
        <v>48</v>
      </c>
      <c r="B637" t="str">
        <f>VLOOKUP(Tabla5[[#This Row],[Code]],[1]!Tabla6[#Data],2,FALSE)</f>
        <v>Vinyl Efx</v>
      </c>
      <c r="C637">
        <v>1</v>
      </c>
      <c r="D637" t="s">
        <v>1897</v>
      </c>
      <c r="F637" t="str">
        <f>VLOOKUP(Tabla5[[#This Row],[Code]],[1]!Tabla6[#Data],3,FALSE)</f>
        <v>Select</v>
      </c>
    </row>
    <row r="638" spans="1:6" x14ac:dyDescent="0.25">
      <c r="A638">
        <v>48</v>
      </c>
      <c r="B638" t="str">
        <f>VLOOKUP(Tabla5[[#This Row],[Code]],[1]!Tabla6[#Data],2,FALSE)</f>
        <v>Vinyl Efx</v>
      </c>
      <c r="C638">
        <v>2</v>
      </c>
      <c r="D638" t="s">
        <v>1898</v>
      </c>
      <c r="F638" t="str">
        <f>VLOOKUP(Tabla5[[#This Row],[Code]],[1]!Tabla6[#Data],3,FALSE)</f>
        <v>Select</v>
      </c>
    </row>
    <row r="639" spans="1:6" x14ac:dyDescent="0.25">
      <c r="A639">
        <v>48</v>
      </c>
      <c r="B639" t="str">
        <f>VLOOKUP(Tabla5[[#This Row],[Code]],[1]!Tabla6[#Data],2,FALSE)</f>
        <v>Vinyl Efx</v>
      </c>
      <c r="C639">
        <v>3</v>
      </c>
      <c r="D639" t="s">
        <v>1899</v>
      </c>
      <c r="F639" t="str">
        <f>VLOOKUP(Tabla5[[#This Row],[Code]],[1]!Tabla6[#Data],3,FALSE)</f>
        <v>Select</v>
      </c>
    </row>
    <row r="640" spans="1:6" x14ac:dyDescent="0.25">
      <c r="A640">
        <v>48</v>
      </c>
      <c r="B640" t="str">
        <f>VLOOKUP(Tabla5[[#This Row],[Code]],[1]!Tabla6[#Data],2,FALSE)</f>
        <v>Vinyl Efx</v>
      </c>
      <c r="C640">
        <v>4</v>
      </c>
      <c r="D640" t="s">
        <v>1900</v>
      </c>
      <c r="F640" t="str">
        <f>VLOOKUP(Tabla5[[#This Row],[Code]],[1]!Tabla6[#Data],3,FALSE)</f>
        <v>Select</v>
      </c>
    </row>
    <row r="641" spans="1:6" x14ac:dyDescent="0.25">
      <c r="A641">
        <v>48</v>
      </c>
      <c r="B641" t="str">
        <f>VLOOKUP(Tabla5[[#This Row],[Code]],[1]!Tabla6[#Data],2,FALSE)</f>
        <v>Vinyl Efx</v>
      </c>
      <c r="C641">
        <v>5</v>
      </c>
      <c r="D641" t="s">
        <v>1901</v>
      </c>
      <c r="F641" t="str">
        <f>VLOOKUP(Tabla5[[#This Row],[Code]],[1]!Tabla6[#Data],3,FALSE)</f>
        <v>Select</v>
      </c>
    </row>
    <row r="642" spans="1:6" x14ac:dyDescent="0.25">
      <c r="A642">
        <v>48</v>
      </c>
      <c r="B642" t="str">
        <f>VLOOKUP(Tabla5[[#This Row],[Code]],[1]!Tabla6[#Data],2,FALSE)</f>
        <v>Vinyl Efx</v>
      </c>
      <c r="C642">
        <v>6</v>
      </c>
      <c r="D642" t="s">
        <v>1902</v>
      </c>
      <c r="F642" t="str">
        <f>VLOOKUP(Tabla5[[#This Row],[Code]],[1]!Tabla6[#Data],3,FALSE)</f>
        <v>Select</v>
      </c>
    </row>
    <row r="643" spans="1:6" x14ac:dyDescent="0.25">
      <c r="A643">
        <v>48</v>
      </c>
      <c r="B643" t="str">
        <f>VLOOKUP(Tabla5[[#This Row],[Code]],[1]!Tabla6[#Data],2,FALSE)</f>
        <v>Vinyl Efx</v>
      </c>
      <c r="C643">
        <v>7</v>
      </c>
      <c r="D643" t="s">
        <v>1903</v>
      </c>
      <c r="F643" t="str">
        <f>VLOOKUP(Tabla5[[#This Row],[Code]],[1]!Tabla6[#Data],3,FALSE)</f>
        <v>Select</v>
      </c>
    </row>
    <row r="644" spans="1:6" x14ac:dyDescent="0.25">
      <c r="A644">
        <v>48</v>
      </c>
      <c r="B644" t="str">
        <f>VLOOKUP(Tabla5[[#This Row],[Code]],[1]!Tabla6[#Data],2,FALSE)</f>
        <v>Vinyl Efx</v>
      </c>
      <c r="C644">
        <v>8</v>
      </c>
      <c r="D644" t="s">
        <v>1904</v>
      </c>
      <c r="F644" t="str">
        <f>VLOOKUP(Tabla5[[#This Row],[Code]],[1]!Tabla6[#Data],3,FALSE)</f>
        <v>Select</v>
      </c>
    </row>
    <row r="645" spans="1:6" x14ac:dyDescent="0.25">
      <c r="A645">
        <v>48</v>
      </c>
      <c r="B645" t="str">
        <f>VLOOKUP(Tabla5[[#This Row],[Code]],[1]!Tabla6[#Data],2,FALSE)</f>
        <v>Vinyl Efx</v>
      </c>
      <c r="C645">
        <v>9</v>
      </c>
      <c r="D645" t="s">
        <v>1905</v>
      </c>
      <c r="F645" t="str">
        <f>VLOOKUP(Tabla5[[#This Row],[Code]],[1]!Tabla6[#Data],3,FALSE)</f>
        <v>Select</v>
      </c>
    </row>
    <row r="646" spans="1:6" x14ac:dyDescent="0.25">
      <c r="A646">
        <v>48</v>
      </c>
      <c r="B646" t="str">
        <f>VLOOKUP(Tabla5[[#This Row],[Code]],[1]!Tabla6[#Data],2,FALSE)</f>
        <v>Vinyl Efx</v>
      </c>
      <c r="C646">
        <v>10</v>
      </c>
      <c r="D646" t="s">
        <v>1906</v>
      </c>
      <c r="F646" t="str">
        <f>VLOOKUP(Tabla5[[#This Row],[Code]],[1]!Tabla6[#Data],3,FALSE)</f>
        <v>Select</v>
      </c>
    </row>
    <row r="647" spans="1:6" x14ac:dyDescent="0.25">
      <c r="A647">
        <v>48</v>
      </c>
      <c r="B647" t="str">
        <f>VLOOKUP(Tabla5[[#This Row],[Code]],[1]!Tabla6[#Data],2,FALSE)</f>
        <v>Vinyl Efx</v>
      </c>
      <c r="C647">
        <v>11</v>
      </c>
      <c r="D647" t="s">
        <v>1907</v>
      </c>
      <c r="F647" t="str">
        <f>VLOOKUP(Tabla5[[#This Row],[Code]],[1]!Tabla6[#Data],3,FALSE)</f>
        <v>Select</v>
      </c>
    </row>
    <row r="648" spans="1:6" x14ac:dyDescent="0.25">
      <c r="A648">
        <v>48</v>
      </c>
      <c r="B648" t="str">
        <f>VLOOKUP(Tabla5[[#This Row],[Code]],[1]!Tabla6[#Data],2,FALSE)</f>
        <v>Vinyl Efx</v>
      </c>
      <c r="C648">
        <v>12</v>
      </c>
      <c r="D648" t="s">
        <v>1908</v>
      </c>
      <c r="F648" t="str">
        <f>VLOOKUP(Tabla5[[#This Row],[Code]],[1]!Tabla6[#Data],3,FALSE)</f>
        <v>Select</v>
      </c>
    </row>
    <row r="649" spans="1:6" x14ac:dyDescent="0.25">
      <c r="A649">
        <v>48</v>
      </c>
      <c r="B649" t="str">
        <f>VLOOKUP(Tabla5[[#This Row],[Code]],[1]!Tabla6[#Data],2,FALSE)</f>
        <v>Vinyl Efx</v>
      </c>
      <c r="C649">
        <v>13</v>
      </c>
      <c r="D649" t="s">
        <v>1909</v>
      </c>
      <c r="F649" t="str">
        <f>VLOOKUP(Tabla5[[#This Row],[Code]],[1]!Tabla6[#Data],3,FALSE)</f>
        <v>Select</v>
      </c>
    </row>
    <row r="650" spans="1:6" x14ac:dyDescent="0.25">
      <c r="A650">
        <v>48</v>
      </c>
      <c r="B650" t="str">
        <f>VLOOKUP(Tabla5[[#This Row],[Code]],[1]!Tabla6[#Data],2,FALSE)</f>
        <v>Vinyl Efx</v>
      </c>
      <c r="C650">
        <v>14</v>
      </c>
      <c r="D650" t="s">
        <v>1910</v>
      </c>
      <c r="F650" t="str">
        <f>VLOOKUP(Tabla5[[#This Row],[Code]],[1]!Tabla6[#Data],3,FALSE)</f>
        <v>Select</v>
      </c>
    </row>
    <row r="651" spans="1:6" x14ac:dyDescent="0.25">
      <c r="A651">
        <v>48</v>
      </c>
      <c r="B651" t="str">
        <f>VLOOKUP(Tabla5[[#This Row],[Code]],[1]!Tabla6[#Data],2,FALSE)</f>
        <v>Vinyl Efx</v>
      </c>
      <c r="C651">
        <v>15</v>
      </c>
      <c r="D651" t="s">
        <v>1911</v>
      </c>
      <c r="F651" t="str">
        <f>VLOOKUP(Tabla5[[#This Row],[Code]],[1]!Tabla6[#Data],3,FALSE)</f>
        <v>Select</v>
      </c>
    </row>
    <row r="652" spans="1:6" x14ac:dyDescent="0.25">
      <c r="A652">
        <v>48</v>
      </c>
      <c r="B652" t="str">
        <f>VLOOKUP(Tabla5[[#This Row],[Code]],[1]!Tabla6[#Data],2,FALSE)</f>
        <v>Vinyl Efx</v>
      </c>
      <c r="C652">
        <v>16</v>
      </c>
      <c r="D652" t="s">
        <v>1912</v>
      </c>
      <c r="F652" t="str">
        <f>VLOOKUP(Tabla5[[#This Row],[Code]],[1]!Tabla6[#Data],3,FALSE)</f>
        <v>Select</v>
      </c>
    </row>
    <row r="653" spans="1:6" x14ac:dyDescent="0.25">
      <c r="A653">
        <v>48</v>
      </c>
      <c r="B653" t="str">
        <f>VLOOKUP(Tabla5[[#This Row],[Code]],[1]!Tabla6[#Data],2,FALSE)</f>
        <v>Vinyl Efx</v>
      </c>
      <c r="C653">
        <v>17</v>
      </c>
      <c r="D653" t="s">
        <v>1913</v>
      </c>
      <c r="F653" t="str">
        <f>VLOOKUP(Tabla5[[#This Row],[Code]],[1]!Tabla6[#Data],3,FALSE)</f>
        <v>Select</v>
      </c>
    </row>
    <row r="654" spans="1:6" x14ac:dyDescent="0.25">
      <c r="A654">
        <v>48</v>
      </c>
      <c r="B654" t="str">
        <f>VLOOKUP(Tabla5[[#This Row],[Code]],[1]!Tabla6[#Data],2,FALSE)</f>
        <v>Vinyl Efx</v>
      </c>
      <c r="C654">
        <v>18</v>
      </c>
      <c r="D654" t="s">
        <v>1914</v>
      </c>
      <c r="F654" t="str">
        <f>VLOOKUP(Tabla5[[#This Row],[Code]],[1]!Tabla6[#Data],3,FALSE)</f>
        <v>Select</v>
      </c>
    </row>
    <row r="655" spans="1:6" x14ac:dyDescent="0.25">
      <c r="A655">
        <v>48</v>
      </c>
      <c r="B655" t="str">
        <f>VLOOKUP(Tabla5[[#This Row],[Code]],[1]!Tabla6[#Data],2,FALSE)</f>
        <v>Vinyl Efx</v>
      </c>
      <c r="C655">
        <v>19</v>
      </c>
      <c r="D655" t="s">
        <v>1915</v>
      </c>
      <c r="F655" t="str">
        <f>VLOOKUP(Tabla5[[#This Row],[Code]],[1]!Tabla6[#Data],3,FALSE)</f>
        <v>Select</v>
      </c>
    </row>
    <row r="656" spans="1:6" x14ac:dyDescent="0.25">
      <c r="A656">
        <v>48</v>
      </c>
      <c r="B656" t="str">
        <f>VLOOKUP(Tabla5[[#This Row],[Code]],[1]!Tabla6[#Data],2,FALSE)</f>
        <v>Vinyl Efx</v>
      </c>
      <c r="C656">
        <v>20</v>
      </c>
      <c r="D656" t="s">
        <v>1916</v>
      </c>
      <c r="F656" t="str">
        <f>VLOOKUP(Tabla5[[#This Row],[Code]],[1]!Tabla6[#Data],3,FALSE)</f>
        <v>Select</v>
      </c>
    </row>
    <row r="657" spans="1:6" x14ac:dyDescent="0.25">
      <c r="A657">
        <v>48</v>
      </c>
      <c r="B657" t="str">
        <f>VLOOKUP(Tabla5[[#This Row],[Code]],[1]!Tabla6[#Data],2,FALSE)</f>
        <v>Vinyl Efx</v>
      </c>
      <c r="C657">
        <v>21</v>
      </c>
      <c r="D657" t="s">
        <v>1917</v>
      </c>
      <c r="F657" t="str">
        <f>VLOOKUP(Tabla5[[#This Row],[Code]],[1]!Tabla6[#Data],3,FALSE)</f>
        <v>Select</v>
      </c>
    </row>
    <row r="658" spans="1:6" x14ac:dyDescent="0.25">
      <c r="A658">
        <v>48</v>
      </c>
      <c r="B658" t="str">
        <f>VLOOKUP(Tabla5[[#This Row],[Code]],[1]!Tabla6[#Data],2,FALSE)</f>
        <v>Vinyl Efx</v>
      </c>
      <c r="C658">
        <v>22</v>
      </c>
      <c r="D658" t="s">
        <v>1918</v>
      </c>
      <c r="F658" t="str">
        <f>VLOOKUP(Tabla5[[#This Row],[Code]],[1]!Tabla6[#Data],3,FALSE)</f>
        <v>Select</v>
      </c>
    </row>
    <row r="659" spans="1:6" x14ac:dyDescent="0.25">
      <c r="A659">
        <v>48</v>
      </c>
      <c r="B659" t="str">
        <f>VLOOKUP(Tabla5[[#This Row],[Code]],[1]!Tabla6[#Data],2,FALSE)</f>
        <v>Vinyl Efx</v>
      </c>
      <c r="C659">
        <v>23</v>
      </c>
      <c r="D659" t="s">
        <v>1919</v>
      </c>
      <c r="F659" t="str">
        <f>VLOOKUP(Tabla5[[#This Row],[Code]],[1]!Tabla6[#Data],3,FALSE)</f>
        <v>Select</v>
      </c>
    </row>
    <row r="660" spans="1:6" x14ac:dyDescent="0.25">
      <c r="A660">
        <v>48</v>
      </c>
      <c r="B660" t="str">
        <f>VLOOKUP(Tabla5[[#This Row],[Code]],[1]!Tabla6[#Data],2,FALSE)</f>
        <v>Vinyl Efx</v>
      </c>
      <c r="C660">
        <v>24</v>
      </c>
      <c r="D660" t="s">
        <v>1920</v>
      </c>
      <c r="F660" t="str">
        <f>VLOOKUP(Tabla5[[#This Row],[Code]],[1]!Tabla6[#Data],3,FALSE)</f>
        <v>Select</v>
      </c>
    </row>
    <row r="661" spans="1:6" x14ac:dyDescent="0.25">
      <c r="A661">
        <v>48</v>
      </c>
      <c r="B661" t="str">
        <f>VLOOKUP(Tabla5[[#This Row],[Code]],[1]!Tabla6[#Data],2,FALSE)</f>
        <v>Vinyl Efx</v>
      </c>
      <c r="C661">
        <v>25</v>
      </c>
      <c r="D661" t="s">
        <v>1921</v>
      </c>
      <c r="F661" t="str">
        <f>VLOOKUP(Tabla5[[#This Row],[Code]],[1]!Tabla6[#Data],3,FALSE)</f>
        <v>Select</v>
      </c>
    </row>
    <row r="662" spans="1:6" x14ac:dyDescent="0.25">
      <c r="A662">
        <v>48</v>
      </c>
      <c r="B662" t="str">
        <f>VLOOKUP(Tabla5[[#This Row],[Code]],[1]!Tabla6[#Data],2,FALSE)</f>
        <v>Vinyl Efx</v>
      </c>
      <c r="C662">
        <v>26</v>
      </c>
      <c r="D662" t="s">
        <v>1922</v>
      </c>
      <c r="F662" t="str">
        <f>VLOOKUP(Tabla5[[#This Row],[Code]],[1]!Tabla6[#Data],3,FALSE)</f>
        <v>Select</v>
      </c>
    </row>
    <row r="663" spans="1:6" x14ac:dyDescent="0.25">
      <c r="A663">
        <v>49</v>
      </c>
      <c r="B663" t="str">
        <f>VLOOKUP(Tabla5[[#This Row],[Code]],[1]!Tabla6[#Data],2,FALSE)</f>
        <v>Fibra Carbono</v>
      </c>
      <c r="C663">
        <v>1</v>
      </c>
      <c r="D663" t="s">
        <v>1923</v>
      </c>
      <c r="F663" t="str">
        <f>VLOOKUP(Tabla5[[#This Row],[Code]],[1]!Tabla6[#Data],3,FALSE)</f>
        <v>Select</v>
      </c>
    </row>
    <row r="664" spans="1:6" x14ac:dyDescent="0.25">
      <c r="A664">
        <v>49</v>
      </c>
      <c r="B664" t="str">
        <f>VLOOKUP(Tabla5[[#This Row],[Code]],[1]!Tabla6[#Data],2,FALSE)</f>
        <v>Fibra Carbono</v>
      </c>
      <c r="C664">
        <v>2</v>
      </c>
      <c r="D664" t="s">
        <v>1924</v>
      </c>
      <c r="F664" t="str">
        <f>VLOOKUP(Tabla5[[#This Row],[Code]],[1]!Tabla6[#Data],3,FALSE)</f>
        <v>Select</v>
      </c>
    </row>
    <row r="665" spans="1:6" x14ac:dyDescent="0.25">
      <c r="A665">
        <v>49</v>
      </c>
      <c r="B665" t="str">
        <f>VLOOKUP(Tabla5[[#This Row],[Code]],[1]!Tabla6[#Data],2,FALSE)</f>
        <v>Fibra Carbono</v>
      </c>
      <c r="C665">
        <v>3</v>
      </c>
      <c r="D665" t="s">
        <v>1925</v>
      </c>
      <c r="F665" t="str">
        <f>VLOOKUP(Tabla5[[#This Row],[Code]],[1]!Tabla6[#Data],3,FALSE)</f>
        <v>Select</v>
      </c>
    </row>
    <row r="666" spans="1:6" x14ac:dyDescent="0.25">
      <c r="A666">
        <v>49</v>
      </c>
      <c r="B666" t="str">
        <f>VLOOKUP(Tabla5[[#This Row],[Code]],[1]!Tabla6[#Data],2,FALSE)</f>
        <v>Fibra Carbono</v>
      </c>
      <c r="C666">
        <v>4</v>
      </c>
      <c r="D666" t="s">
        <v>1926</v>
      </c>
      <c r="F666" t="str">
        <f>VLOOKUP(Tabla5[[#This Row],[Code]],[1]!Tabla6[#Data],3,FALSE)</f>
        <v>Select</v>
      </c>
    </row>
    <row r="667" spans="1:6" x14ac:dyDescent="0.25">
      <c r="A667">
        <v>49</v>
      </c>
      <c r="B667" t="str">
        <f>VLOOKUP(Tabla5[[#This Row],[Code]],[1]!Tabla6[#Data],2,FALSE)</f>
        <v>Fibra Carbono</v>
      </c>
      <c r="C667">
        <v>5</v>
      </c>
      <c r="D667" t="s">
        <v>1927</v>
      </c>
      <c r="F667" t="str">
        <f>VLOOKUP(Tabla5[[#This Row],[Code]],[1]!Tabla6[#Data],3,FALSE)</f>
        <v>Select</v>
      </c>
    </row>
    <row r="668" spans="1:6" x14ac:dyDescent="0.25">
      <c r="A668">
        <v>49</v>
      </c>
      <c r="B668" t="str">
        <f>VLOOKUP(Tabla5[[#This Row],[Code]],[1]!Tabla6[#Data],2,FALSE)</f>
        <v>Fibra Carbono</v>
      </c>
      <c r="C668">
        <v>6</v>
      </c>
      <c r="D668" t="s">
        <v>1928</v>
      </c>
      <c r="F668" t="str">
        <f>VLOOKUP(Tabla5[[#This Row],[Code]],[1]!Tabla6[#Data],3,FALSE)</f>
        <v>Select</v>
      </c>
    </row>
    <row r="669" spans="1:6" x14ac:dyDescent="0.25">
      <c r="A669">
        <v>50</v>
      </c>
      <c r="B669" t="str">
        <f>VLOOKUP(Tabla5[[#This Row],[Code]],[1]!Tabla6[#Data],2,FALSE)</f>
        <v>Glass</v>
      </c>
      <c r="C669">
        <v>1</v>
      </c>
      <c r="D669" t="s">
        <v>1929</v>
      </c>
      <c r="F669" t="str">
        <f>VLOOKUP(Tabla5[[#This Row],[Code]],[1]!Tabla6[#Data],3,FALSE)</f>
        <v>Select</v>
      </c>
    </row>
    <row r="670" spans="1:6" x14ac:dyDescent="0.25">
      <c r="A670">
        <v>50</v>
      </c>
      <c r="B670" t="str">
        <f>VLOOKUP(Tabla5[[#This Row],[Code]],[1]!Tabla6[#Data],2,FALSE)</f>
        <v>Glass</v>
      </c>
      <c r="C670">
        <v>2</v>
      </c>
      <c r="D670" t="s">
        <v>1930</v>
      </c>
      <c r="F670" t="str">
        <f>VLOOKUP(Tabla5[[#This Row],[Code]],[1]!Tabla6[#Data],3,FALSE)</f>
        <v>Select</v>
      </c>
    </row>
    <row r="671" spans="1:6" x14ac:dyDescent="0.25">
      <c r="A671">
        <v>50</v>
      </c>
      <c r="B671" t="str">
        <f>VLOOKUP(Tabla5[[#This Row],[Code]],[1]!Tabla6[#Data],2,FALSE)</f>
        <v>Glass</v>
      </c>
      <c r="C671">
        <v>3</v>
      </c>
      <c r="D671" t="s">
        <v>1931</v>
      </c>
      <c r="F671" t="str">
        <f>VLOOKUP(Tabla5[[#This Row],[Code]],[1]!Tabla6[#Data],3,FALSE)</f>
        <v>Select</v>
      </c>
    </row>
    <row r="672" spans="1:6" x14ac:dyDescent="0.25">
      <c r="A672">
        <v>50</v>
      </c>
      <c r="B672" t="str">
        <f>VLOOKUP(Tabla5[[#This Row],[Code]],[1]!Tabla6[#Data],2,FALSE)</f>
        <v>Glass</v>
      </c>
      <c r="C672">
        <v>4</v>
      </c>
      <c r="D672" t="s">
        <v>1932</v>
      </c>
      <c r="F672" t="str">
        <f>VLOOKUP(Tabla5[[#This Row],[Code]],[1]!Tabla6[#Data],3,FALSE)</f>
        <v>Select</v>
      </c>
    </row>
    <row r="673" spans="1:6" x14ac:dyDescent="0.25">
      <c r="A673">
        <v>50</v>
      </c>
      <c r="B673" t="str">
        <f>VLOOKUP(Tabla5[[#This Row],[Code]],[1]!Tabla6[#Data],2,FALSE)</f>
        <v>Glass</v>
      </c>
      <c r="C673">
        <v>5</v>
      </c>
      <c r="D673" t="s">
        <v>1933</v>
      </c>
      <c r="F673" t="str">
        <f>VLOOKUP(Tabla5[[#This Row],[Code]],[1]!Tabla6[#Data],3,FALSE)</f>
        <v>Select</v>
      </c>
    </row>
    <row r="674" spans="1:6" x14ac:dyDescent="0.25">
      <c r="A674">
        <v>51</v>
      </c>
      <c r="B674" t="str">
        <f>VLOOKUP(Tabla5[[#This Row],[Code]],[1]!Tabla6[#Data],2,FALSE)</f>
        <v>EZ Color Mate</v>
      </c>
      <c r="C674">
        <v>1</v>
      </c>
      <c r="D674" t="s">
        <v>1335</v>
      </c>
      <c r="E674" t="s">
        <v>1492</v>
      </c>
      <c r="F674" t="str">
        <f>VLOOKUP(Tabla5[[#This Row],[Code]],[1]!Tabla6[#Data],3,FALSE)</f>
        <v>Select</v>
      </c>
    </row>
    <row r="675" spans="1:6" x14ac:dyDescent="0.25">
      <c r="A675">
        <v>51</v>
      </c>
      <c r="B675" t="str">
        <f>VLOOKUP(Tabla5[[#This Row],[Code]],[1]!Tabla6[#Data],2,FALSE)</f>
        <v>EZ Color Mate</v>
      </c>
      <c r="C675">
        <v>2</v>
      </c>
      <c r="D675" t="s">
        <v>1338</v>
      </c>
      <c r="E675" t="s">
        <v>1462</v>
      </c>
      <c r="F675" t="str">
        <f>VLOOKUP(Tabla5[[#This Row],[Code]],[1]!Tabla6[#Data],3,FALSE)</f>
        <v>Select</v>
      </c>
    </row>
    <row r="676" spans="1:6" x14ac:dyDescent="0.25">
      <c r="A676">
        <v>51</v>
      </c>
      <c r="B676" t="str">
        <f>VLOOKUP(Tabla5[[#This Row],[Code]],[1]!Tabla6[#Data],2,FALSE)</f>
        <v>EZ Color Mate</v>
      </c>
      <c r="C676">
        <v>3</v>
      </c>
      <c r="D676" t="s">
        <v>1320</v>
      </c>
      <c r="E676" t="s">
        <v>1492</v>
      </c>
      <c r="F676" t="str">
        <f>VLOOKUP(Tabla5[[#This Row],[Code]],[1]!Tabla6[#Data],3,FALSE)</f>
        <v>Select</v>
      </c>
    </row>
    <row r="677" spans="1:6" x14ac:dyDescent="0.25">
      <c r="A677">
        <v>51</v>
      </c>
      <c r="B677" t="str">
        <f>VLOOKUP(Tabla5[[#This Row],[Code]],[1]!Tabla6[#Data],2,FALSE)</f>
        <v>EZ Color Mate</v>
      </c>
      <c r="C677">
        <v>4</v>
      </c>
      <c r="D677" t="s">
        <v>1330</v>
      </c>
      <c r="E677" t="s">
        <v>1478</v>
      </c>
      <c r="F677" t="str">
        <f>VLOOKUP(Tabla5[[#This Row],[Code]],[1]!Tabla6[#Data],3,FALSE)</f>
        <v>Select</v>
      </c>
    </row>
    <row r="678" spans="1:6" x14ac:dyDescent="0.25">
      <c r="A678">
        <v>51</v>
      </c>
      <c r="B678" t="str">
        <f>VLOOKUP(Tabla5[[#This Row],[Code]],[1]!Tabla6[#Data],2,FALSE)</f>
        <v>EZ Color Mate</v>
      </c>
      <c r="C678">
        <v>5</v>
      </c>
      <c r="D678" t="s">
        <v>1332</v>
      </c>
      <c r="E678" t="s">
        <v>1387</v>
      </c>
      <c r="F678" t="str">
        <f>VLOOKUP(Tabla5[[#This Row],[Code]],[1]!Tabla6[#Data],3,FALSE)</f>
        <v>Select</v>
      </c>
    </row>
    <row r="679" spans="1:6" x14ac:dyDescent="0.25">
      <c r="A679">
        <v>51</v>
      </c>
      <c r="B679" t="str">
        <f>VLOOKUP(Tabla5[[#This Row],[Code]],[1]!Tabla6[#Data],2,FALSE)</f>
        <v>EZ Color Mate</v>
      </c>
      <c r="C679">
        <v>6</v>
      </c>
      <c r="D679" t="s">
        <v>1352</v>
      </c>
      <c r="E679" t="s">
        <v>1493</v>
      </c>
      <c r="F679" t="str">
        <f>VLOOKUP(Tabla5[[#This Row],[Code]],[1]!Tabla6[#Data],3,FALSE)</f>
        <v>Select</v>
      </c>
    </row>
    <row r="680" spans="1:6" x14ac:dyDescent="0.25">
      <c r="A680">
        <v>51</v>
      </c>
      <c r="B680" t="str">
        <f>VLOOKUP(Tabla5[[#This Row],[Code]],[1]!Tabla6[#Data],2,FALSE)</f>
        <v>EZ Color Mate</v>
      </c>
      <c r="C680">
        <v>7</v>
      </c>
      <c r="D680" t="s">
        <v>1366</v>
      </c>
      <c r="E680" t="s">
        <v>1419</v>
      </c>
      <c r="F680" t="str">
        <f>VLOOKUP(Tabla5[[#This Row],[Code]],[1]!Tabla6[#Data],3,FALSE)</f>
        <v>Select</v>
      </c>
    </row>
    <row r="681" spans="1:6" x14ac:dyDescent="0.25">
      <c r="A681">
        <v>51</v>
      </c>
      <c r="B681" t="str">
        <f>VLOOKUP(Tabla5[[#This Row],[Code]],[1]!Tabla6[#Data],2,FALSE)</f>
        <v>EZ Color Mate</v>
      </c>
      <c r="C681">
        <v>8</v>
      </c>
      <c r="D681" t="s">
        <v>1369</v>
      </c>
      <c r="E681" t="s">
        <v>1463</v>
      </c>
      <c r="F681" t="str">
        <f>VLOOKUP(Tabla5[[#This Row],[Code]],[1]!Tabla6[#Data],3,FALSE)</f>
        <v>Select</v>
      </c>
    </row>
    <row r="682" spans="1:6" x14ac:dyDescent="0.25">
      <c r="A682">
        <v>51</v>
      </c>
      <c r="B682" t="str">
        <f>VLOOKUP(Tabla5[[#This Row],[Code]],[1]!Tabla6[#Data],2,FALSE)</f>
        <v>EZ Color Mate</v>
      </c>
      <c r="C682">
        <v>9</v>
      </c>
      <c r="D682" t="s">
        <v>1372</v>
      </c>
      <c r="E682" t="s">
        <v>1401</v>
      </c>
      <c r="F682" t="str">
        <f>VLOOKUP(Tabla5[[#This Row],[Code]],[1]!Tabla6[#Data],3,FALSE)</f>
        <v>Select</v>
      </c>
    </row>
    <row r="683" spans="1:6" x14ac:dyDescent="0.25">
      <c r="A683">
        <v>51</v>
      </c>
      <c r="B683" t="str">
        <f>VLOOKUP(Tabla5[[#This Row],[Code]],[1]!Tabla6[#Data],2,FALSE)</f>
        <v>EZ Color Mate</v>
      </c>
      <c r="C683">
        <v>10</v>
      </c>
      <c r="D683" t="s">
        <v>1375</v>
      </c>
      <c r="E683" t="s">
        <v>1417</v>
      </c>
      <c r="F683" t="str">
        <f>VLOOKUP(Tabla5[[#This Row],[Code]],[1]!Tabla6[#Data],3,FALSE)</f>
        <v>Select</v>
      </c>
    </row>
    <row r="684" spans="1:6" x14ac:dyDescent="0.25">
      <c r="A684">
        <v>51</v>
      </c>
      <c r="B684" t="str">
        <f>VLOOKUP(Tabla5[[#This Row],[Code]],[1]!Tabla6[#Data],2,FALSE)</f>
        <v>EZ Color Mate</v>
      </c>
      <c r="C684">
        <v>20</v>
      </c>
      <c r="F684" t="str">
        <f>VLOOKUP(Tabla5[[#This Row],[Code]],[1]!Tabla6[#Data],3,FALSE)</f>
        <v>Select</v>
      </c>
    </row>
    <row r="685" spans="1:6" x14ac:dyDescent="0.25">
      <c r="A685">
        <v>52</v>
      </c>
      <c r="B685" t="str">
        <f>VLOOKUP(Tabla5[[#This Row],[Code]],[1]!Tabla6[#Data],2,FALSE)</f>
        <v>EZ Color Brillo</v>
      </c>
      <c r="C685">
        <v>1</v>
      </c>
      <c r="D685" t="s">
        <v>1357</v>
      </c>
      <c r="E685" t="s">
        <v>1462</v>
      </c>
      <c r="F685" t="str">
        <f>VLOOKUP(Tabla5[[#This Row],[Code]],[1]!Tabla6[#Data],3,FALSE)</f>
        <v>Select</v>
      </c>
    </row>
    <row r="686" spans="1:6" x14ac:dyDescent="0.25">
      <c r="A686">
        <v>52</v>
      </c>
      <c r="B686" t="str">
        <f>VLOOKUP(Tabla5[[#This Row],[Code]],[1]!Tabla6[#Data],2,FALSE)</f>
        <v>EZ Color Brillo</v>
      </c>
      <c r="C686">
        <v>2</v>
      </c>
      <c r="D686" t="s">
        <v>1328</v>
      </c>
      <c r="E686" t="s">
        <v>1450</v>
      </c>
      <c r="F686" t="str">
        <f>VLOOKUP(Tabla5[[#This Row],[Code]],[1]!Tabla6[#Data],3,FALSE)</f>
        <v>Select</v>
      </c>
    </row>
    <row r="687" spans="1:6" x14ac:dyDescent="0.25">
      <c r="A687">
        <v>52</v>
      </c>
      <c r="B687" t="str">
        <f>VLOOKUP(Tabla5[[#This Row],[Code]],[1]!Tabla6[#Data],2,FALSE)</f>
        <v>EZ Color Brillo</v>
      </c>
      <c r="C687">
        <v>3</v>
      </c>
      <c r="D687" t="s">
        <v>1341</v>
      </c>
      <c r="E687" t="s">
        <v>1478</v>
      </c>
      <c r="F687" t="str">
        <f>VLOOKUP(Tabla5[[#This Row],[Code]],[1]!Tabla6[#Data],3,FALSE)</f>
        <v>Select</v>
      </c>
    </row>
    <row r="688" spans="1:6" x14ac:dyDescent="0.25">
      <c r="A688">
        <v>52</v>
      </c>
      <c r="B688" t="str">
        <f>VLOOKUP(Tabla5[[#This Row],[Code]],[1]!Tabla6[#Data],2,FALSE)</f>
        <v>EZ Color Brillo</v>
      </c>
      <c r="C688">
        <v>4</v>
      </c>
      <c r="D688" t="s">
        <v>1343</v>
      </c>
      <c r="E688" t="s">
        <v>1417</v>
      </c>
      <c r="F688" t="str">
        <f>VLOOKUP(Tabla5[[#This Row],[Code]],[1]!Tabla6[#Data],3,FALSE)</f>
        <v>Select</v>
      </c>
    </row>
    <row r="689" spans="1:6" x14ac:dyDescent="0.25">
      <c r="A689">
        <v>52</v>
      </c>
      <c r="B689" t="str">
        <f>VLOOKUP(Tabla5[[#This Row],[Code]],[1]!Tabla6[#Data],2,FALSE)</f>
        <v>EZ Color Brillo</v>
      </c>
      <c r="C689">
        <v>5</v>
      </c>
      <c r="D689" t="s">
        <v>1350</v>
      </c>
      <c r="E689" t="s">
        <v>1387</v>
      </c>
      <c r="F689" t="str">
        <f>VLOOKUP(Tabla5[[#This Row],[Code]],[1]!Tabla6[#Data],3,FALSE)</f>
        <v>Select</v>
      </c>
    </row>
    <row r="690" spans="1:6" x14ac:dyDescent="0.25">
      <c r="A690">
        <v>52</v>
      </c>
      <c r="B690" t="str">
        <f>VLOOKUP(Tabla5[[#This Row],[Code]],[1]!Tabla6[#Data],2,FALSE)</f>
        <v>EZ Color Brillo</v>
      </c>
      <c r="C690">
        <v>6</v>
      </c>
      <c r="D690" t="s">
        <v>1326</v>
      </c>
      <c r="E690" t="s">
        <v>1401</v>
      </c>
      <c r="F690" t="str">
        <f>VLOOKUP(Tabla5[[#This Row],[Code]],[1]!Tabla6[#Data],3,FALSE)</f>
        <v>Select</v>
      </c>
    </row>
    <row r="691" spans="1:6" x14ac:dyDescent="0.25">
      <c r="A691">
        <v>52</v>
      </c>
      <c r="B691" t="str">
        <f>VLOOKUP(Tabla5[[#This Row],[Code]],[1]!Tabla6[#Data],2,FALSE)</f>
        <v>EZ Color Brillo</v>
      </c>
      <c r="C691">
        <v>7</v>
      </c>
      <c r="D691" t="s">
        <v>1360</v>
      </c>
      <c r="E691" t="s">
        <v>1463</v>
      </c>
      <c r="F691" t="str">
        <f>VLOOKUP(Tabla5[[#This Row],[Code]],[1]!Tabla6[#Data],3,FALSE)</f>
        <v>Select</v>
      </c>
    </row>
    <row r="692" spans="1:6" x14ac:dyDescent="0.25">
      <c r="A692">
        <v>52</v>
      </c>
      <c r="B692" t="str">
        <f>VLOOKUP(Tabla5[[#This Row],[Code]],[1]!Tabla6[#Data],2,FALSE)</f>
        <v>EZ Color Brillo</v>
      </c>
      <c r="C692">
        <v>8</v>
      </c>
      <c r="D692" t="s">
        <v>1363</v>
      </c>
      <c r="E692" t="s">
        <v>1419</v>
      </c>
      <c r="F692" t="str">
        <f>VLOOKUP(Tabla5[[#This Row],[Code]],[1]!Tabla6[#Data],3,FALSE)</f>
        <v>Select</v>
      </c>
    </row>
    <row r="693" spans="1:6" x14ac:dyDescent="0.25">
      <c r="A693">
        <v>52</v>
      </c>
      <c r="B693" t="str">
        <f>VLOOKUP(Tabla5[[#This Row],[Code]],[1]!Tabla6[#Data],2,FALSE)</f>
        <v>EZ Color Brillo</v>
      </c>
      <c r="C693">
        <v>9</v>
      </c>
      <c r="D693" t="s">
        <v>1378</v>
      </c>
      <c r="E693" t="s">
        <v>1492</v>
      </c>
      <c r="F693" t="str">
        <f>VLOOKUP(Tabla5[[#This Row],[Code]],[1]!Tabla6[#Data],3,FALSE)</f>
        <v>Select</v>
      </c>
    </row>
    <row r="694" spans="1:6" x14ac:dyDescent="0.25">
      <c r="A694">
        <v>52</v>
      </c>
      <c r="B694" t="str">
        <f>VLOOKUP(Tabla5[[#This Row],[Code]],[1]!Tabla6[#Data],2,FALSE)</f>
        <v>EZ Color Brillo</v>
      </c>
      <c r="C694">
        <v>10</v>
      </c>
      <c r="D694" t="s">
        <v>1346</v>
      </c>
      <c r="E694" t="s">
        <v>1411</v>
      </c>
      <c r="F694" t="str">
        <f>VLOOKUP(Tabla5[[#This Row],[Code]],[1]!Tabla6[#Data],3,FALSE)</f>
        <v>Select</v>
      </c>
    </row>
    <row r="695" spans="1:6" x14ac:dyDescent="0.25">
      <c r="A695">
        <v>53</v>
      </c>
      <c r="B695" t="str">
        <f>VLOOKUP(Tabla5[[#This Row],[Code]],[1]!Tabla6[#Data],2,FALSE)</f>
        <v>Serie MCX</v>
      </c>
      <c r="C695">
        <v>1</v>
      </c>
      <c r="D695" t="s">
        <v>89</v>
      </c>
      <c r="E695" t="s">
        <v>1387</v>
      </c>
      <c r="F695" t="str">
        <f>VLOOKUP(Tabla5[[#This Row],[Code]],[1]!Tabla6[#Data],3,FALSE)</f>
        <v>Color</v>
      </c>
    </row>
    <row r="696" spans="1:6" x14ac:dyDescent="0.25">
      <c r="A696">
        <v>53</v>
      </c>
      <c r="B696" t="str">
        <f>VLOOKUP(Tabla5[[#This Row],[Code]],[1]!Tabla6[#Data],2,FALSE)</f>
        <v>Serie MCX</v>
      </c>
      <c r="C696">
        <v>2</v>
      </c>
      <c r="D696" t="s">
        <v>99</v>
      </c>
      <c r="E696" t="s">
        <v>1401</v>
      </c>
      <c r="F696" t="str">
        <f>VLOOKUP(Tabla5[[#This Row],[Code]],[1]!Tabla6[#Data],3,FALSE)</f>
        <v>Color</v>
      </c>
    </row>
    <row r="697" spans="1:6" x14ac:dyDescent="0.25">
      <c r="A697">
        <v>53</v>
      </c>
      <c r="B697" t="str">
        <f>VLOOKUP(Tabla5[[#This Row],[Code]],[1]!Tabla6[#Data],2,FALSE)</f>
        <v>Serie MCX</v>
      </c>
      <c r="C697">
        <v>3</v>
      </c>
      <c r="D697" t="s">
        <v>101</v>
      </c>
      <c r="E697" t="s">
        <v>1401</v>
      </c>
      <c r="F697" t="str">
        <f>VLOOKUP(Tabla5[[#This Row],[Code]],[1]!Tabla6[#Data],3,FALSE)</f>
        <v>Color</v>
      </c>
    </row>
    <row r="698" spans="1:6" x14ac:dyDescent="0.25">
      <c r="A698">
        <v>53</v>
      </c>
      <c r="B698" t="str">
        <f>VLOOKUP(Tabla5[[#This Row],[Code]],[1]!Tabla6[#Data],2,FALSE)</f>
        <v>Serie MCX</v>
      </c>
      <c r="C698">
        <v>4</v>
      </c>
      <c r="D698" t="s">
        <v>104</v>
      </c>
      <c r="E698" t="s">
        <v>1459</v>
      </c>
      <c r="F698" t="str">
        <f>VLOOKUP(Tabla5[[#This Row],[Code]],[1]!Tabla6[#Data],3,FALSE)</f>
        <v>Color</v>
      </c>
    </row>
    <row r="699" spans="1:6" x14ac:dyDescent="0.25">
      <c r="A699">
        <v>53</v>
      </c>
      <c r="B699" t="str">
        <f>VLOOKUP(Tabla5[[#This Row],[Code]],[1]!Tabla6[#Data],2,FALSE)</f>
        <v>Serie MCX</v>
      </c>
      <c r="C699">
        <v>5</v>
      </c>
      <c r="D699" t="s">
        <v>221</v>
      </c>
      <c r="E699" t="s">
        <v>1511</v>
      </c>
      <c r="F699" t="str">
        <f>VLOOKUP(Tabla5[[#This Row],[Code]],[1]!Tabla6[#Data],3,FALSE)</f>
        <v>Color</v>
      </c>
    </row>
    <row r="700" spans="1:6" x14ac:dyDescent="0.25">
      <c r="A700">
        <v>53</v>
      </c>
      <c r="B700" t="str">
        <f>VLOOKUP(Tabla5[[#This Row],[Code]],[1]!Tabla6[#Data],2,FALSE)</f>
        <v>Serie MCX</v>
      </c>
      <c r="C700">
        <v>6</v>
      </c>
      <c r="D700" t="s">
        <v>223</v>
      </c>
      <c r="E700" t="s">
        <v>1514</v>
      </c>
      <c r="F700" t="str">
        <f>VLOOKUP(Tabla5[[#This Row],[Code]],[1]!Tabla6[#Data],3,FALSE)</f>
        <v>Color</v>
      </c>
    </row>
    <row r="701" spans="1:6" x14ac:dyDescent="0.25">
      <c r="A701">
        <v>53</v>
      </c>
      <c r="B701" t="str">
        <f>VLOOKUP(Tabla5[[#This Row],[Code]],[1]!Tabla6[#Data],2,FALSE)</f>
        <v>Serie MCX</v>
      </c>
      <c r="C701">
        <v>7</v>
      </c>
      <c r="D701" t="s">
        <v>225</v>
      </c>
      <c r="E701" t="s">
        <v>1415</v>
      </c>
      <c r="F701" t="str">
        <f>VLOOKUP(Tabla5[[#This Row],[Code]],[1]!Tabla6[#Data],3,FALSE)</f>
        <v>Color</v>
      </c>
    </row>
    <row r="702" spans="1:6" x14ac:dyDescent="0.25">
      <c r="A702">
        <v>53</v>
      </c>
      <c r="B702" t="str">
        <f>VLOOKUP(Tabla5[[#This Row],[Code]],[1]!Tabla6[#Data],2,FALSE)</f>
        <v>Serie MCX</v>
      </c>
      <c r="C702">
        <v>8</v>
      </c>
      <c r="D702" t="s">
        <v>227</v>
      </c>
      <c r="E702" t="s">
        <v>1520</v>
      </c>
      <c r="F702" t="str">
        <f>VLOOKUP(Tabla5[[#This Row],[Code]],[1]!Tabla6[#Data],3,FALSE)</f>
        <v>Color</v>
      </c>
    </row>
    <row r="703" spans="1:6" x14ac:dyDescent="0.25">
      <c r="A703">
        <v>53</v>
      </c>
      <c r="B703" t="str">
        <f>VLOOKUP(Tabla5[[#This Row],[Code]],[1]!Tabla6[#Data],2,FALSE)</f>
        <v>Serie MCX</v>
      </c>
      <c r="C703">
        <v>9</v>
      </c>
      <c r="D703" t="s">
        <v>229</v>
      </c>
      <c r="E703" t="s">
        <v>1522</v>
      </c>
      <c r="F703" t="str">
        <f>VLOOKUP(Tabla5[[#This Row],[Code]],[1]!Tabla6[#Data],3,FALSE)</f>
        <v>Color</v>
      </c>
    </row>
    <row r="704" spans="1:6" x14ac:dyDescent="0.25">
      <c r="A704">
        <v>53</v>
      </c>
      <c r="B704" t="str">
        <f>VLOOKUP(Tabla5[[#This Row],[Code]],[1]!Tabla6[#Data],2,FALSE)</f>
        <v>Serie MCX</v>
      </c>
      <c r="C704">
        <v>10</v>
      </c>
      <c r="D704" t="s">
        <v>231</v>
      </c>
      <c r="E704" t="s">
        <v>1418</v>
      </c>
      <c r="F704" t="str">
        <f>VLOOKUP(Tabla5[[#This Row],[Code]],[1]!Tabla6[#Data],3,FALSE)</f>
        <v>Color</v>
      </c>
    </row>
    <row r="705" spans="1:6" x14ac:dyDescent="0.25">
      <c r="A705">
        <v>53</v>
      </c>
      <c r="B705" t="str">
        <f>VLOOKUP(Tabla5[[#This Row],[Code]],[1]!Tabla6[#Data],2,FALSE)</f>
        <v>Serie MCX</v>
      </c>
      <c r="C705">
        <v>11</v>
      </c>
      <c r="D705" t="s">
        <v>233</v>
      </c>
      <c r="E705" t="s">
        <v>1437</v>
      </c>
      <c r="F705" t="str">
        <f>VLOOKUP(Tabla5[[#This Row],[Code]],[1]!Tabla6[#Data],3,FALSE)</f>
        <v>Color</v>
      </c>
    </row>
    <row r="706" spans="1:6" x14ac:dyDescent="0.25">
      <c r="A706">
        <v>53</v>
      </c>
      <c r="B706" t="str">
        <f>VLOOKUP(Tabla5[[#This Row],[Code]],[1]!Tabla6[#Data],2,FALSE)</f>
        <v>Serie MCX</v>
      </c>
      <c r="C706">
        <v>12</v>
      </c>
      <c r="D706" t="s">
        <v>235</v>
      </c>
      <c r="E706" t="s">
        <v>1419</v>
      </c>
      <c r="F706" t="str">
        <f>VLOOKUP(Tabla5[[#This Row],[Code]],[1]!Tabla6[#Data],3,FALSE)</f>
        <v>Color</v>
      </c>
    </row>
    <row r="707" spans="1:6" x14ac:dyDescent="0.25">
      <c r="A707">
        <v>53</v>
      </c>
      <c r="B707" t="str">
        <f>VLOOKUP(Tabla5[[#This Row],[Code]],[1]!Tabla6[#Data],2,FALSE)</f>
        <v>Serie MCX</v>
      </c>
      <c r="C707">
        <v>13</v>
      </c>
      <c r="D707" t="s">
        <v>237</v>
      </c>
      <c r="E707" t="s">
        <v>1474</v>
      </c>
      <c r="F707" t="str">
        <f>VLOOKUP(Tabla5[[#This Row],[Code]],[1]!Tabla6[#Data],3,FALSE)</f>
        <v>Color</v>
      </c>
    </row>
    <row r="708" spans="1:6" x14ac:dyDescent="0.25">
      <c r="A708">
        <v>53</v>
      </c>
      <c r="B708" t="str">
        <f>VLOOKUP(Tabla5[[#This Row],[Code]],[1]!Tabla6[#Data],2,FALSE)</f>
        <v>Serie MCX</v>
      </c>
      <c r="C708">
        <v>14</v>
      </c>
      <c r="D708" t="s">
        <v>239</v>
      </c>
      <c r="E708" t="s">
        <v>1528</v>
      </c>
      <c r="F708" t="str">
        <f>VLOOKUP(Tabla5[[#This Row],[Code]],[1]!Tabla6[#Data],3,FALSE)</f>
        <v>Color</v>
      </c>
    </row>
    <row r="709" spans="1:6" x14ac:dyDescent="0.25">
      <c r="A709">
        <v>53</v>
      </c>
      <c r="B709" t="str">
        <f>VLOOKUP(Tabla5[[#This Row],[Code]],[1]!Tabla6[#Data],2,FALSE)</f>
        <v>Serie MCX</v>
      </c>
      <c r="C709">
        <v>15</v>
      </c>
      <c r="D709" t="s">
        <v>241</v>
      </c>
      <c r="E709" t="s">
        <v>1478</v>
      </c>
      <c r="F709" t="str">
        <f>VLOOKUP(Tabla5[[#This Row],[Code]],[1]!Tabla6[#Data],3,FALSE)</f>
        <v>Color</v>
      </c>
    </row>
    <row r="710" spans="1:6" x14ac:dyDescent="0.25">
      <c r="A710">
        <v>53</v>
      </c>
      <c r="B710" t="str">
        <f>VLOOKUP(Tabla5[[#This Row],[Code]],[1]!Tabla6[#Data],2,FALSE)</f>
        <v>Serie MCX</v>
      </c>
      <c r="C710">
        <v>16</v>
      </c>
      <c r="D710" t="s">
        <v>243</v>
      </c>
      <c r="E710" t="s">
        <v>1530</v>
      </c>
      <c r="F710" t="str">
        <f>VLOOKUP(Tabla5[[#This Row],[Code]],[1]!Tabla6[#Data],3,FALSE)</f>
        <v>Color</v>
      </c>
    </row>
    <row r="711" spans="1:6" x14ac:dyDescent="0.25">
      <c r="A711">
        <v>53</v>
      </c>
      <c r="B711" t="str">
        <f>VLOOKUP(Tabla5[[#This Row],[Code]],[1]!Tabla6[#Data],2,FALSE)</f>
        <v>Serie MCX</v>
      </c>
      <c r="C711">
        <v>17</v>
      </c>
      <c r="D711" t="s">
        <v>245</v>
      </c>
      <c r="E711" t="s">
        <v>1484</v>
      </c>
      <c r="F711" t="str">
        <f>VLOOKUP(Tabla5[[#This Row],[Code]],[1]!Tabla6[#Data],3,FALSE)</f>
        <v>Color</v>
      </c>
    </row>
    <row r="712" spans="1:6" x14ac:dyDescent="0.25">
      <c r="A712">
        <v>53</v>
      </c>
      <c r="B712" t="str">
        <f>VLOOKUP(Tabla5[[#This Row],[Code]],[1]!Tabla6[#Data],2,FALSE)</f>
        <v>Serie MCX</v>
      </c>
      <c r="C712">
        <v>18</v>
      </c>
      <c r="D712" t="s">
        <v>247</v>
      </c>
      <c r="E712" t="s">
        <v>1491</v>
      </c>
      <c r="F712" t="str">
        <f>VLOOKUP(Tabla5[[#This Row],[Code]],[1]!Tabla6[#Data],3,FALSE)</f>
        <v>Color</v>
      </c>
    </row>
    <row r="713" spans="1:6" x14ac:dyDescent="0.25">
      <c r="A713">
        <v>53</v>
      </c>
      <c r="B713" t="str">
        <f>VLOOKUP(Tabla5[[#This Row],[Code]],[1]!Tabla6[#Data],2,FALSE)</f>
        <v>Serie MCX</v>
      </c>
      <c r="C713">
        <v>19</v>
      </c>
      <c r="D713" t="s">
        <v>249</v>
      </c>
      <c r="E713" t="s">
        <v>1499</v>
      </c>
      <c r="F713" t="str">
        <f>VLOOKUP(Tabla5[[#This Row],[Code]],[1]!Tabla6[#Data],3,FALSE)</f>
        <v>Color</v>
      </c>
    </row>
    <row r="714" spans="1:6" x14ac:dyDescent="0.25">
      <c r="A714">
        <v>53</v>
      </c>
      <c r="B714" t="str">
        <f>VLOOKUP(Tabla5[[#This Row],[Code]],[1]!Tabla6[#Data],2,FALSE)</f>
        <v>Serie MCX</v>
      </c>
      <c r="C714">
        <v>20</v>
      </c>
      <c r="D714" t="s">
        <v>251</v>
      </c>
      <c r="E714" t="s">
        <v>1548</v>
      </c>
      <c r="F714" t="str">
        <f>VLOOKUP(Tabla5[[#This Row],[Code]],[1]!Tabla6[#Data],3,FALSE)</f>
        <v>Color</v>
      </c>
    </row>
    <row r="715" spans="1:6" x14ac:dyDescent="0.25">
      <c r="A715">
        <v>53</v>
      </c>
      <c r="B715" t="str">
        <f>VLOOKUP(Tabla5[[#This Row],[Code]],[1]!Tabla6[#Data],2,FALSE)</f>
        <v>Serie MCX</v>
      </c>
      <c r="C715">
        <v>21</v>
      </c>
      <c r="D715" t="s">
        <v>253</v>
      </c>
      <c r="E715" t="s">
        <v>1554</v>
      </c>
      <c r="F715" t="str">
        <f>VLOOKUP(Tabla5[[#This Row],[Code]],[1]!Tabla6[#Data],3,FALSE)</f>
        <v>Color</v>
      </c>
    </row>
    <row r="716" spans="1:6" x14ac:dyDescent="0.25">
      <c r="A716">
        <v>53</v>
      </c>
      <c r="B716" t="str">
        <f>VLOOKUP(Tabla5[[#This Row],[Code]],[1]!Tabla6[#Data],2,FALSE)</f>
        <v>Serie MCX</v>
      </c>
      <c r="C716">
        <v>22</v>
      </c>
      <c r="D716" t="s">
        <v>255</v>
      </c>
      <c r="E716" t="s">
        <v>1557</v>
      </c>
      <c r="F716" t="str">
        <f>VLOOKUP(Tabla5[[#This Row],[Code]],[1]!Tabla6[#Data],3,FALSE)</f>
        <v>Color</v>
      </c>
    </row>
    <row r="717" spans="1:6" x14ac:dyDescent="0.25">
      <c r="A717">
        <v>53</v>
      </c>
      <c r="B717" t="str">
        <f>VLOOKUP(Tabla5[[#This Row],[Code]],[1]!Tabla6[#Data],2,FALSE)</f>
        <v>Serie MCX</v>
      </c>
      <c r="C717">
        <v>23</v>
      </c>
      <c r="D717" t="s">
        <v>257</v>
      </c>
      <c r="E717" t="s">
        <v>1559</v>
      </c>
      <c r="F717" t="str">
        <f>VLOOKUP(Tabla5[[#This Row],[Code]],[1]!Tabla6[#Data],3,FALSE)</f>
        <v>Color</v>
      </c>
    </row>
    <row r="718" spans="1:6" x14ac:dyDescent="0.25">
      <c r="A718">
        <v>53</v>
      </c>
      <c r="B718" t="str">
        <f>VLOOKUP(Tabla5[[#This Row],[Code]],[1]!Tabla6[#Data],2,FALSE)</f>
        <v>Serie MCX</v>
      </c>
      <c r="C718">
        <v>24</v>
      </c>
      <c r="D718" t="s">
        <v>259</v>
      </c>
      <c r="E718" t="s">
        <v>1461</v>
      </c>
      <c r="F718" t="str">
        <f>VLOOKUP(Tabla5[[#This Row],[Code]],[1]!Tabla6[#Data],3,FALSE)</f>
        <v>Color</v>
      </c>
    </row>
    <row r="719" spans="1:6" x14ac:dyDescent="0.25">
      <c r="A719">
        <v>53</v>
      </c>
      <c r="B719" t="str">
        <f>VLOOKUP(Tabla5[[#This Row],[Code]],[1]!Tabla6[#Data],2,FALSE)</f>
        <v>Serie MCX</v>
      </c>
      <c r="C719">
        <v>25</v>
      </c>
      <c r="D719" t="s">
        <v>261</v>
      </c>
      <c r="E719" t="s">
        <v>1401</v>
      </c>
      <c r="F719" t="str">
        <f>VLOOKUP(Tabla5[[#This Row],[Code]],[1]!Tabla6[#Data],3,FALSE)</f>
        <v>Color</v>
      </c>
    </row>
    <row r="720" spans="1:6" x14ac:dyDescent="0.25">
      <c r="A720">
        <v>54</v>
      </c>
      <c r="B720" t="str">
        <f>VLOOKUP(Tabla5[[#This Row],[Code]],[1]!Tabla6[#Data],2,FALSE)</f>
        <v>MM-CC</v>
      </c>
      <c r="C720">
        <v>1</v>
      </c>
      <c r="D720" t="s">
        <v>1278</v>
      </c>
      <c r="E720" t="s">
        <v>1387</v>
      </c>
      <c r="F720" t="str">
        <f>VLOOKUP(Tabla5[[#This Row],[Code]],[1]!Tabla6[#Data],3,FALSE)</f>
        <v>Color</v>
      </c>
    </row>
    <row r="721" spans="1:6" x14ac:dyDescent="0.25">
      <c r="A721">
        <v>54</v>
      </c>
      <c r="B721" t="str">
        <f>VLOOKUP(Tabla5[[#This Row],[Code]],[1]!Tabla6[#Data],2,FALSE)</f>
        <v>MM-CC</v>
      </c>
      <c r="C721">
        <v>2</v>
      </c>
      <c r="D721" t="s">
        <v>1281</v>
      </c>
      <c r="E721" t="s">
        <v>1387</v>
      </c>
      <c r="F721" t="str">
        <f>VLOOKUP(Tabla5[[#This Row],[Code]],[1]!Tabla6[#Data],3,FALSE)</f>
        <v>Color</v>
      </c>
    </row>
    <row r="722" spans="1:6" x14ac:dyDescent="0.25">
      <c r="A722">
        <v>54</v>
      </c>
      <c r="B722" t="str">
        <f>VLOOKUP(Tabla5[[#This Row],[Code]],[1]!Tabla6[#Data],2,FALSE)</f>
        <v>MM-CC</v>
      </c>
      <c r="C722">
        <v>3</v>
      </c>
      <c r="D722" t="s">
        <v>1283</v>
      </c>
      <c r="E722" t="s">
        <v>1401</v>
      </c>
      <c r="F722" t="str">
        <f>VLOOKUP(Tabla5[[#This Row],[Code]],[1]!Tabla6[#Data],3,FALSE)</f>
        <v>Color</v>
      </c>
    </row>
    <row r="723" spans="1:6" x14ac:dyDescent="0.25">
      <c r="A723">
        <v>54</v>
      </c>
      <c r="B723" t="str">
        <f>VLOOKUP(Tabla5[[#This Row],[Code]],[1]!Tabla6[#Data],2,FALSE)</f>
        <v>MM-CC</v>
      </c>
      <c r="C723">
        <v>4</v>
      </c>
      <c r="D723" t="s">
        <v>1285</v>
      </c>
      <c r="E723" t="s">
        <v>1401</v>
      </c>
      <c r="F723" t="str">
        <f>VLOOKUP(Tabla5[[#This Row],[Code]],[1]!Tabla6[#Data],3,FALSE)</f>
        <v>Color</v>
      </c>
    </row>
    <row r="724" spans="1:6" x14ac:dyDescent="0.25">
      <c r="A724">
        <v>54</v>
      </c>
      <c r="B724" t="str">
        <f>VLOOKUP(Tabla5[[#This Row],[Code]],[1]!Tabla6[#Data],2,FALSE)</f>
        <v>MM-CC</v>
      </c>
      <c r="C724">
        <v>5</v>
      </c>
      <c r="D724" t="s">
        <v>1287</v>
      </c>
      <c r="E724" t="s">
        <v>1497</v>
      </c>
      <c r="F724" t="str">
        <f>VLOOKUP(Tabla5[[#This Row],[Code]],[1]!Tabla6[#Data],3,FALSE)</f>
        <v>Color</v>
      </c>
    </row>
    <row r="725" spans="1:6" x14ac:dyDescent="0.25">
      <c r="A725">
        <v>54</v>
      </c>
      <c r="B725" t="str">
        <f>VLOOKUP(Tabla5[[#This Row],[Code]],[1]!Tabla6[#Data],2,FALSE)</f>
        <v>MM-CC</v>
      </c>
      <c r="C725">
        <v>6</v>
      </c>
      <c r="D725" t="s">
        <v>1289</v>
      </c>
      <c r="E725" t="s">
        <v>1458</v>
      </c>
      <c r="F725" t="str">
        <f>VLOOKUP(Tabla5[[#This Row],[Code]],[1]!Tabla6[#Data],3,FALSE)</f>
        <v>Color</v>
      </c>
    </row>
    <row r="726" spans="1:6" x14ac:dyDescent="0.25">
      <c r="A726">
        <v>54</v>
      </c>
      <c r="B726" t="str">
        <f>VLOOKUP(Tabla5[[#This Row],[Code]],[1]!Tabla6[#Data],2,FALSE)</f>
        <v>MM-CC</v>
      </c>
      <c r="C726">
        <v>7</v>
      </c>
      <c r="D726" t="s">
        <v>1291</v>
      </c>
      <c r="E726" t="s">
        <v>1511</v>
      </c>
      <c r="F726" t="str">
        <f>VLOOKUP(Tabla5[[#This Row],[Code]],[1]!Tabla6[#Data],3,FALSE)</f>
        <v>Color</v>
      </c>
    </row>
    <row r="727" spans="1:6" x14ac:dyDescent="0.25">
      <c r="A727">
        <v>54</v>
      </c>
      <c r="B727" t="str">
        <f>VLOOKUP(Tabla5[[#This Row],[Code]],[1]!Tabla6[#Data],2,FALSE)</f>
        <v>MM-CC</v>
      </c>
      <c r="C727">
        <v>8</v>
      </c>
      <c r="D727" t="s">
        <v>1293</v>
      </c>
      <c r="E727" t="s">
        <v>1413</v>
      </c>
      <c r="F727" t="str">
        <f>VLOOKUP(Tabla5[[#This Row],[Code]],[1]!Tabla6[#Data],3,FALSE)</f>
        <v>Color</v>
      </c>
    </row>
    <row r="728" spans="1:6" x14ac:dyDescent="0.25">
      <c r="A728">
        <v>54</v>
      </c>
      <c r="B728" t="str">
        <f>VLOOKUP(Tabla5[[#This Row],[Code]],[1]!Tabla6[#Data],2,FALSE)</f>
        <v>MM-CC</v>
      </c>
      <c r="C728">
        <v>9</v>
      </c>
      <c r="D728" t="s">
        <v>1295</v>
      </c>
      <c r="E728" t="s">
        <v>1416</v>
      </c>
      <c r="F728" t="str">
        <f>VLOOKUP(Tabla5[[#This Row],[Code]],[1]!Tabla6[#Data],3,FALSE)</f>
        <v>Color</v>
      </c>
    </row>
    <row r="729" spans="1:6" x14ac:dyDescent="0.25">
      <c r="A729">
        <v>54</v>
      </c>
      <c r="B729" t="str">
        <f>VLOOKUP(Tabla5[[#This Row],[Code]],[1]!Tabla6[#Data],2,FALSE)</f>
        <v>MM-CC</v>
      </c>
      <c r="C729">
        <v>10</v>
      </c>
      <c r="D729" t="s">
        <v>1297</v>
      </c>
      <c r="E729" t="s">
        <v>1418</v>
      </c>
      <c r="F729" t="str">
        <f>VLOOKUP(Tabla5[[#This Row],[Code]],[1]!Tabla6[#Data],3,FALSE)</f>
        <v>Color</v>
      </c>
    </row>
    <row r="730" spans="1:6" x14ac:dyDescent="0.25">
      <c r="A730">
        <v>54</v>
      </c>
      <c r="B730" t="str">
        <f>VLOOKUP(Tabla5[[#This Row],[Code]],[1]!Tabla6[#Data],2,FALSE)</f>
        <v>MM-CC</v>
      </c>
      <c r="C730">
        <v>11</v>
      </c>
      <c r="D730" t="s">
        <v>1299</v>
      </c>
      <c r="E730" t="s">
        <v>1471</v>
      </c>
      <c r="F730" t="str">
        <f>VLOOKUP(Tabla5[[#This Row],[Code]],[1]!Tabla6[#Data],3,FALSE)</f>
        <v>Color</v>
      </c>
    </row>
    <row r="731" spans="1:6" x14ac:dyDescent="0.25">
      <c r="A731">
        <v>54</v>
      </c>
      <c r="B731" t="str">
        <f>VLOOKUP(Tabla5[[#This Row],[Code]],[1]!Tabla6[#Data],2,FALSE)</f>
        <v>MM-CC</v>
      </c>
      <c r="C731">
        <v>12</v>
      </c>
      <c r="D731" t="s">
        <v>1301</v>
      </c>
      <c r="E731" t="s">
        <v>1420</v>
      </c>
      <c r="F731" t="str">
        <f>VLOOKUP(Tabla5[[#This Row],[Code]],[1]!Tabla6[#Data],3,FALSE)</f>
        <v>Color</v>
      </c>
    </row>
    <row r="732" spans="1:6" x14ac:dyDescent="0.25">
      <c r="A732">
        <v>54</v>
      </c>
      <c r="B732" t="str">
        <f>VLOOKUP(Tabla5[[#This Row],[Code]],[1]!Tabla6[#Data],2,FALSE)</f>
        <v>MM-CC</v>
      </c>
      <c r="C732">
        <v>13</v>
      </c>
      <c r="D732" t="s">
        <v>1303</v>
      </c>
      <c r="E732" t="s">
        <v>1477</v>
      </c>
      <c r="F732" t="str">
        <f>VLOOKUP(Tabla5[[#This Row],[Code]],[1]!Tabla6[#Data],3,FALSE)</f>
        <v>Color</v>
      </c>
    </row>
    <row r="733" spans="1:6" x14ac:dyDescent="0.25">
      <c r="A733">
        <v>54</v>
      </c>
      <c r="B733" t="str">
        <f>VLOOKUP(Tabla5[[#This Row],[Code]],[1]!Tabla6[#Data],2,FALSE)</f>
        <v>MM-CC</v>
      </c>
      <c r="C733">
        <v>14</v>
      </c>
      <c r="D733" t="s">
        <v>1305</v>
      </c>
      <c r="E733" t="s">
        <v>1479</v>
      </c>
      <c r="F733" t="str">
        <f>VLOOKUP(Tabla5[[#This Row],[Code]],[1]!Tabla6[#Data],3,FALSE)</f>
        <v>Color</v>
      </c>
    </row>
    <row r="734" spans="1:6" x14ac:dyDescent="0.25">
      <c r="A734">
        <v>54</v>
      </c>
      <c r="B734" t="str">
        <f>VLOOKUP(Tabla5[[#This Row],[Code]],[1]!Tabla6[#Data],2,FALSE)</f>
        <v>MM-CC</v>
      </c>
      <c r="C734">
        <v>15</v>
      </c>
      <c r="D734" t="s">
        <v>1307</v>
      </c>
      <c r="E734" t="s">
        <v>1530</v>
      </c>
      <c r="F734" t="str">
        <f>VLOOKUP(Tabla5[[#This Row],[Code]],[1]!Tabla6[#Data],3,FALSE)</f>
        <v>Color</v>
      </c>
    </row>
    <row r="735" spans="1:6" x14ac:dyDescent="0.25">
      <c r="A735">
        <v>54</v>
      </c>
      <c r="B735" t="str">
        <f>VLOOKUP(Tabla5[[#This Row],[Code]],[1]!Tabla6[#Data],2,FALSE)</f>
        <v>MM-CC</v>
      </c>
      <c r="C735">
        <v>16</v>
      </c>
      <c r="D735" t="s">
        <v>1309</v>
      </c>
      <c r="E735" t="s">
        <v>1534</v>
      </c>
      <c r="F735" t="str">
        <f>VLOOKUP(Tabla5[[#This Row],[Code]],[1]!Tabla6[#Data],3,FALSE)</f>
        <v>Color</v>
      </c>
    </row>
    <row r="736" spans="1:6" x14ac:dyDescent="0.25">
      <c r="A736">
        <v>54</v>
      </c>
      <c r="B736" t="str">
        <f>VLOOKUP(Tabla5[[#This Row],[Code]],[1]!Tabla6[#Data],2,FALSE)</f>
        <v>MM-CC</v>
      </c>
      <c r="C736">
        <v>17</v>
      </c>
      <c r="D736" t="s">
        <v>1311</v>
      </c>
      <c r="E736" t="s">
        <v>1492</v>
      </c>
      <c r="F736" t="str">
        <f>VLOOKUP(Tabla5[[#This Row],[Code]],[1]!Tabla6[#Data],3,FALSE)</f>
        <v>Color</v>
      </c>
    </row>
    <row r="737" spans="1:6" x14ac:dyDescent="0.25">
      <c r="A737">
        <v>54</v>
      </c>
      <c r="B737" t="str">
        <f>VLOOKUP(Tabla5[[#This Row],[Code]],[1]!Tabla6[#Data],2,FALSE)</f>
        <v>MM-CC</v>
      </c>
      <c r="C737">
        <v>18</v>
      </c>
      <c r="D737" t="s">
        <v>1313</v>
      </c>
      <c r="E737" t="s">
        <v>1552</v>
      </c>
      <c r="F737" t="str">
        <f>VLOOKUP(Tabla5[[#This Row],[Code]],[1]!Tabla6[#Data],3,FALSE)</f>
        <v>Color</v>
      </c>
    </row>
    <row r="738" spans="1:6" x14ac:dyDescent="0.25">
      <c r="A738">
        <v>54</v>
      </c>
      <c r="B738" t="str">
        <f>VLOOKUP(Tabla5[[#This Row],[Code]],[1]!Tabla6[#Data],2,FALSE)</f>
        <v>MM-CC</v>
      </c>
      <c r="C738">
        <v>19</v>
      </c>
      <c r="D738" t="s">
        <v>1315</v>
      </c>
      <c r="E738" t="s">
        <v>1452</v>
      </c>
      <c r="F738" t="str">
        <f>VLOOKUP(Tabla5[[#This Row],[Code]],[1]!Tabla6[#Data],3,FALSE)</f>
        <v>Color</v>
      </c>
    </row>
    <row r="739" spans="1:6" x14ac:dyDescent="0.25">
      <c r="A739">
        <v>54</v>
      </c>
      <c r="B739" t="str">
        <f>VLOOKUP(Tabla5[[#This Row],[Code]],[1]!Tabla6[#Data],2,FALSE)</f>
        <v>MM-CC</v>
      </c>
      <c r="C739">
        <v>20</v>
      </c>
      <c r="D739" t="s">
        <v>1317</v>
      </c>
      <c r="E739" t="s">
        <v>1557</v>
      </c>
      <c r="F739" t="str">
        <f>VLOOKUP(Tabla5[[#This Row],[Code]],[1]!Tabla6[#Data],3,FALSE)</f>
        <v>Color</v>
      </c>
    </row>
    <row r="740" spans="1:6" x14ac:dyDescent="0.25">
      <c r="A740" s="1">
        <v>55</v>
      </c>
      <c r="B740" s="1" t="s">
        <v>1934</v>
      </c>
      <c r="C740" s="1">
        <v>1</v>
      </c>
      <c r="D740" s="1" t="s">
        <v>1935</v>
      </c>
      <c r="E740" s="1"/>
      <c r="F740" s="1" t="s">
        <v>1936</v>
      </c>
    </row>
    <row r="741" spans="1:6" x14ac:dyDescent="0.25">
      <c r="A741" s="1">
        <v>55</v>
      </c>
      <c r="B741" s="1" t="s">
        <v>1934</v>
      </c>
      <c r="C741" s="1">
        <v>2</v>
      </c>
      <c r="D741" s="1" t="s">
        <v>1937</v>
      </c>
      <c r="E741" s="1"/>
      <c r="F741" s="1" t="s">
        <v>1936</v>
      </c>
    </row>
    <row r="742" spans="1:6" x14ac:dyDescent="0.25">
      <c r="A742" s="1">
        <v>56</v>
      </c>
      <c r="B742" s="1" t="s">
        <v>1938</v>
      </c>
      <c r="C742" s="1">
        <v>1</v>
      </c>
      <c r="D742" s="1" t="s">
        <v>1939</v>
      </c>
      <c r="E742" s="1"/>
      <c r="F742" s="1" t="s">
        <v>1936</v>
      </c>
    </row>
    <row r="743" spans="1:6" x14ac:dyDescent="0.25">
      <c r="A743" s="1">
        <v>56</v>
      </c>
      <c r="B743" s="1" t="s">
        <v>1938</v>
      </c>
      <c r="C743" s="1">
        <v>2</v>
      </c>
      <c r="D743" s="1" t="s">
        <v>1940</v>
      </c>
      <c r="E743" s="1"/>
      <c r="F743" s="1" t="s">
        <v>1936</v>
      </c>
    </row>
    <row r="744" spans="1:6" x14ac:dyDescent="0.25">
      <c r="A744" s="1">
        <v>57</v>
      </c>
      <c r="B744" s="1" t="s">
        <v>1941</v>
      </c>
      <c r="C744" s="1">
        <v>1</v>
      </c>
      <c r="D744" s="1" t="s">
        <v>1942</v>
      </c>
      <c r="E744" s="1"/>
      <c r="F744" s="1" t="s">
        <v>1936</v>
      </c>
    </row>
    <row r="745" spans="1:6" x14ac:dyDescent="0.25">
      <c r="A745" s="1">
        <v>57</v>
      </c>
      <c r="B745" s="1" t="s">
        <v>1941</v>
      </c>
      <c r="C745" s="1">
        <v>2</v>
      </c>
      <c r="D745" s="1" t="s">
        <v>1943</v>
      </c>
      <c r="E745" s="1"/>
      <c r="F745" s="1" t="s">
        <v>1936</v>
      </c>
    </row>
    <row r="746" spans="1:6" x14ac:dyDescent="0.25">
      <c r="A746" s="1">
        <v>57</v>
      </c>
      <c r="B746" s="1" t="s">
        <v>1941</v>
      </c>
      <c r="C746" s="1">
        <v>3</v>
      </c>
      <c r="D746" s="1" t="s">
        <v>1944</v>
      </c>
      <c r="E746" s="1"/>
      <c r="F746" s="1" t="s">
        <v>1936</v>
      </c>
    </row>
    <row r="747" spans="1:6" x14ac:dyDescent="0.25">
      <c r="A747" s="1">
        <v>57</v>
      </c>
      <c r="B747" s="1" t="s">
        <v>1941</v>
      </c>
      <c r="C747" s="1">
        <v>4</v>
      </c>
      <c r="D747" s="1" t="s">
        <v>1945</v>
      </c>
      <c r="E747" s="1"/>
      <c r="F747" s="1" t="s">
        <v>1936</v>
      </c>
    </row>
    <row r="748" spans="1:6" x14ac:dyDescent="0.25">
      <c r="B748" t="e">
        <f>VLOOKUP(Tabla5[[#This Row],[Code]],[1]!Tabla6[#Data],2,FALSE)</f>
        <v>#N/A</v>
      </c>
      <c r="F748" t="e">
        <f>VLOOKUP(Tabla5[[#This Row],[Code]],[1]!Tabla6[#Data],3,FALSE)</f>
        <v>#N/A</v>
      </c>
    </row>
  </sheetData>
  <pageMargins left="0.7" right="0.7" top="0.75" bottom="0.75" header="0.3" footer="0.3"/>
  <pageSetup paperSize="9" scale="10" orientation="landscape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55A9-2761-4DF6-8E38-836A5A02A17A}">
  <dimension ref="A1:I3912"/>
  <sheetViews>
    <sheetView workbookViewId="0">
      <selection activeCell="E5" sqref="E5"/>
    </sheetView>
  </sheetViews>
  <sheetFormatPr baseColWidth="10" defaultRowHeight="15" x14ac:dyDescent="0.25"/>
  <cols>
    <col min="1" max="1" width="9.28515625" bestFit="1" customWidth="1"/>
    <col min="2" max="2" width="53.140625" customWidth="1"/>
    <col min="4" max="4" width="39.140625" bestFit="1" customWidth="1"/>
    <col min="5" max="5" width="15.140625" bestFit="1" customWidth="1"/>
    <col min="6" max="6" width="8.7109375" bestFit="1" customWidth="1"/>
    <col min="7" max="7" width="12.42578125" bestFit="1" customWidth="1"/>
    <col min="8" max="8" width="53.7109375" bestFit="1" customWidth="1"/>
    <col min="9" max="9" width="12.42578125" bestFit="1" customWidth="1"/>
    <col min="10" max="10" width="53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tr">
        <f>VLOOKUP(Tabla1[[#This Row],[Code]],[1]!Tabla4[#Data],2,FALSE)</f>
        <v>ML Cad-Cut Premium Plus 241 Neon Rosa 500mm</v>
      </c>
      <c r="C2">
        <v>2</v>
      </c>
      <c r="D2" t="s">
        <v>10</v>
      </c>
      <c r="E2" t="str">
        <f>VLOOKUP(Tabla1[[#This Row],[Cód. Atributo]],[1]!Tabla5[#Data],6,FALSE)</f>
        <v>Select</v>
      </c>
      <c r="F2">
        <v>1</v>
      </c>
      <c r="G2">
        <v>1</v>
      </c>
      <c r="H2" t="s">
        <v>11</v>
      </c>
      <c r="I2" t="str">
        <f>VLOOKUP(Tabla1[[#This Row],[Code]],'[1]Articulos Precio'!$A:$E,5,FALSE)</f>
        <v>A0000644</v>
      </c>
    </row>
    <row r="3" spans="1:9" x14ac:dyDescent="0.25">
      <c r="A3" t="s">
        <v>9</v>
      </c>
      <c r="B3" t="str">
        <f>VLOOKUP(Tabla1[[#This Row],[Code]],[1]!Tabla4[#Data],2,FALSE)</f>
        <v>ML Cad-Cut Premium Plus 241 Neon Rosa 500mm</v>
      </c>
      <c r="C3">
        <v>16</v>
      </c>
      <c r="D3" t="s">
        <v>12</v>
      </c>
      <c r="E3" t="str">
        <f>VLOOKUP(Tabla1[[#This Row],[Cód. Atributo]],[1]!Tabla5[#Data],6,FALSE)</f>
        <v>Color</v>
      </c>
      <c r="F3">
        <v>2</v>
      </c>
      <c r="G3">
        <v>13</v>
      </c>
      <c r="H3" t="s">
        <v>13</v>
      </c>
      <c r="I3" t="str">
        <f>VLOOKUP(Tabla1[[#This Row],[Code]],'[1]Articulos Precio'!$A:$E,5,FALSE)</f>
        <v>A0000644</v>
      </c>
    </row>
    <row r="4" spans="1:9" x14ac:dyDescent="0.25">
      <c r="A4" t="s">
        <v>14</v>
      </c>
      <c r="B4" t="str">
        <f>VLOOKUP(Tabla1[[#This Row],[Code]],[1]!Tabla4[#Data],2,FALSE)</f>
        <v>ML Cad-Cut Premium Plus 181 Neon Naranja 500mm</v>
      </c>
      <c r="C4">
        <v>2</v>
      </c>
      <c r="D4" t="s">
        <v>10</v>
      </c>
      <c r="E4" t="str">
        <f>VLOOKUP(Tabla1[[#This Row],[Cód. Atributo]],[1]!Tabla5[#Data],6,FALSE)</f>
        <v>Select</v>
      </c>
      <c r="F4">
        <v>1</v>
      </c>
      <c r="G4">
        <v>1</v>
      </c>
      <c r="H4" t="s">
        <v>11</v>
      </c>
      <c r="I4" t="str">
        <f>VLOOKUP(Tabla1[[#This Row],[Code]],'[1]Articulos Precio'!$A:$E,5,FALSE)</f>
        <v>A0000644</v>
      </c>
    </row>
    <row r="5" spans="1:9" x14ac:dyDescent="0.25">
      <c r="A5" t="s">
        <v>14</v>
      </c>
      <c r="B5" t="str">
        <f>VLOOKUP(Tabla1[[#This Row],[Code]],[1]!Tabla4[#Data],2,FALSE)</f>
        <v>ML Cad-Cut Premium Plus 181 Neon Naranja 500mm</v>
      </c>
      <c r="C5">
        <v>16</v>
      </c>
      <c r="D5" t="s">
        <v>12</v>
      </c>
      <c r="E5" t="str">
        <f>VLOOKUP(Tabla1[[#This Row],[Cód. Atributo]],[1]!Tabla5[#Data],6,FALSE)</f>
        <v>Color</v>
      </c>
      <c r="F5">
        <v>2</v>
      </c>
      <c r="G5">
        <v>9</v>
      </c>
      <c r="H5" t="s">
        <v>15</v>
      </c>
      <c r="I5" t="str">
        <f>VLOOKUP(Tabla1[[#This Row],[Code]],'[1]Articulos Precio'!$A:$E,5,FALSE)</f>
        <v>A0000644</v>
      </c>
    </row>
    <row r="6" spans="1:9" x14ac:dyDescent="0.25">
      <c r="A6" t="s">
        <v>16</v>
      </c>
      <c r="B6" t="str">
        <f>VLOOKUP(Tabla1[[#This Row],[Code]],[1]!Tabla4[#Data],2,FALSE)</f>
        <v>ML Cad-Cut Premium Plus 301 Neon Azul 500mm</v>
      </c>
      <c r="C6">
        <v>2</v>
      </c>
      <c r="D6" t="s">
        <v>10</v>
      </c>
      <c r="E6" t="str">
        <f>VLOOKUP(Tabla1[[#This Row],[Cód. Atributo]],[1]!Tabla5[#Data],6,FALSE)</f>
        <v>Select</v>
      </c>
      <c r="F6">
        <v>1</v>
      </c>
      <c r="G6">
        <v>1</v>
      </c>
      <c r="H6" t="s">
        <v>11</v>
      </c>
      <c r="I6" t="str">
        <f>VLOOKUP(Tabla1[[#This Row],[Code]],'[1]Articulos Precio'!$A:$E,5,FALSE)</f>
        <v>A0000644</v>
      </c>
    </row>
    <row r="7" spans="1:9" x14ac:dyDescent="0.25">
      <c r="A7" t="s">
        <v>16</v>
      </c>
      <c r="B7" t="str">
        <f>VLOOKUP(Tabla1[[#This Row],[Code]],[1]!Tabla4[#Data],2,FALSE)</f>
        <v>ML Cad-Cut Premium Plus 301 Neon Azul 500mm</v>
      </c>
      <c r="C7">
        <v>16</v>
      </c>
      <c r="D7" t="s">
        <v>12</v>
      </c>
      <c r="E7" t="str">
        <f>VLOOKUP(Tabla1[[#This Row],[Cód. Atributo]],[1]!Tabla5[#Data],6,FALSE)</f>
        <v>Color</v>
      </c>
      <c r="F7">
        <v>2</v>
      </c>
      <c r="G7">
        <v>21</v>
      </c>
      <c r="H7" t="s">
        <v>17</v>
      </c>
      <c r="I7" t="str">
        <f>VLOOKUP(Tabla1[[#This Row],[Code]],'[1]Articulos Precio'!$A:$E,5,FALSE)</f>
        <v>A0000644</v>
      </c>
    </row>
    <row r="8" spans="1:9" x14ac:dyDescent="0.25">
      <c r="A8" t="s">
        <v>18</v>
      </c>
      <c r="B8" t="str">
        <f>VLOOKUP(Tabla1[[#This Row],[Code]],[1]!Tabla4[#Data],2,FALSE)</f>
        <v>ML Cad-Cut Premium Plus 401 Neon Verde 500mm</v>
      </c>
      <c r="C8">
        <v>2</v>
      </c>
      <c r="D8" t="s">
        <v>10</v>
      </c>
      <c r="E8" t="str">
        <f>VLOOKUP(Tabla1[[#This Row],[Cód. Atributo]],[1]!Tabla5[#Data],6,FALSE)</f>
        <v>Select</v>
      </c>
      <c r="F8">
        <v>1</v>
      </c>
      <c r="G8">
        <v>1</v>
      </c>
      <c r="H8" t="s">
        <v>11</v>
      </c>
      <c r="I8" t="str">
        <f>VLOOKUP(Tabla1[[#This Row],[Code]],'[1]Articulos Precio'!$A:$E,5,FALSE)</f>
        <v>A0000644</v>
      </c>
    </row>
    <row r="9" spans="1:9" x14ac:dyDescent="0.25">
      <c r="A9" t="s">
        <v>18</v>
      </c>
      <c r="B9" t="str">
        <f>VLOOKUP(Tabla1[[#This Row],[Code]],[1]!Tabla4[#Data],2,FALSE)</f>
        <v>ML Cad-Cut Premium Plus 401 Neon Verde 500mm</v>
      </c>
      <c r="C9">
        <v>16</v>
      </c>
      <c r="D9" t="s">
        <v>12</v>
      </c>
      <c r="E9" t="str">
        <f>VLOOKUP(Tabla1[[#This Row],[Cód. Atributo]],[1]!Tabla5[#Data],6,FALSE)</f>
        <v>Color</v>
      </c>
      <c r="F9">
        <v>2</v>
      </c>
      <c r="G9">
        <v>27</v>
      </c>
      <c r="H9" t="s">
        <v>19</v>
      </c>
      <c r="I9" t="str">
        <f>VLOOKUP(Tabla1[[#This Row],[Code]],'[1]Articulos Precio'!$A:$E,5,FALSE)</f>
        <v>A0000644</v>
      </c>
    </row>
    <row r="10" spans="1:9" x14ac:dyDescent="0.25">
      <c r="A10" t="s">
        <v>20</v>
      </c>
      <c r="B10" t="str">
        <f>VLOOKUP(Tabla1[[#This Row],[Code]],[1]!Tabla4[#Data],2,FALSE)</f>
        <v>ML Cad-Cut Flock 001 Blanco 500mm</v>
      </c>
      <c r="C10">
        <v>2</v>
      </c>
      <c r="D10" t="s">
        <v>10</v>
      </c>
      <c r="E10" t="str">
        <f>VLOOKUP(Tabla1[[#This Row],[Cód. Atributo]],[1]!Tabla5[#Data],6,FALSE)</f>
        <v>Select</v>
      </c>
      <c r="F10">
        <v>1</v>
      </c>
      <c r="G10">
        <v>1</v>
      </c>
      <c r="H10" t="s">
        <v>11</v>
      </c>
      <c r="I10" t="str">
        <f>VLOOKUP(Tabla1[[#This Row],[Code]],'[1]Articulos Precio'!$A:$E,5,FALSE)</f>
        <v>A0000007</v>
      </c>
    </row>
    <row r="11" spans="1:9" x14ac:dyDescent="0.25">
      <c r="A11" t="s">
        <v>20</v>
      </c>
      <c r="B11" t="str">
        <f>VLOOKUP(Tabla1[[#This Row],[Code]],[1]!Tabla4[#Data],2,FALSE)</f>
        <v>ML Cad-Cut Flock 001 Blanco 500mm</v>
      </c>
      <c r="C11">
        <v>20</v>
      </c>
      <c r="D11" t="s">
        <v>21</v>
      </c>
      <c r="E11" t="str">
        <f>VLOOKUP(Tabla1[[#This Row],[Cód. Atributo]],[1]!Tabla5[#Data],6,FALSE)</f>
        <v>Color</v>
      </c>
      <c r="F11">
        <v>2</v>
      </c>
      <c r="G11">
        <v>1</v>
      </c>
      <c r="H11" t="s">
        <v>22</v>
      </c>
      <c r="I11" t="str">
        <f>VLOOKUP(Tabla1[[#This Row],[Code]],'[1]Articulos Precio'!$A:$E,5,FALSE)</f>
        <v>A0000007</v>
      </c>
    </row>
    <row r="12" spans="1:9" x14ac:dyDescent="0.25">
      <c r="A12" t="s">
        <v>23</v>
      </c>
      <c r="B12" t="str">
        <f>VLOOKUP(Tabla1[[#This Row],[Code]],[1]!Tabla4[#Data],2,FALSE)</f>
        <v>ML Cad-Cut Flock 100 Amarillo Limón 500mm</v>
      </c>
      <c r="C12">
        <v>2</v>
      </c>
      <c r="D12" t="s">
        <v>10</v>
      </c>
      <c r="E12" t="str">
        <f>VLOOKUP(Tabla1[[#This Row],[Cód. Atributo]],[1]!Tabla5[#Data],6,FALSE)</f>
        <v>Select</v>
      </c>
      <c r="F12">
        <v>1</v>
      </c>
      <c r="G12">
        <v>1</v>
      </c>
      <c r="H12" t="s">
        <v>11</v>
      </c>
      <c r="I12" t="str">
        <f>VLOOKUP(Tabla1[[#This Row],[Code]],'[1]Articulos Precio'!$A:$E,5,FALSE)</f>
        <v>A0000007</v>
      </c>
    </row>
    <row r="13" spans="1:9" x14ac:dyDescent="0.25">
      <c r="A13" t="s">
        <v>23</v>
      </c>
      <c r="B13" t="str">
        <f>VLOOKUP(Tabla1[[#This Row],[Code]],[1]!Tabla4[#Data],2,FALSE)</f>
        <v>ML Cad-Cut Flock 100 Amarillo Limón 500mm</v>
      </c>
      <c r="C13">
        <v>20</v>
      </c>
      <c r="D13" t="s">
        <v>21</v>
      </c>
      <c r="E13" t="str">
        <f>VLOOKUP(Tabla1[[#This Row],[Cód. Atributo]],[1]!Tabla5[#Data],6,FALSE)</f>
        <v>Color</v>
      </c>
      <c r="F13">
        <v>2</v>
      </c>
      <c r="G13">
        <v>2</v>
      </c>
      <c r="H13" t="s">
        <v>24</v>
      </c>
      <c r="I13" t="str">
        <f>VLOOKUP(Tabla1[[#This Row],[Code]],'[1]Articulos Precio'!$A:$E,5,FALSE)</f>
        <v>A0000007</v>
      </c>
    </row>
    <row r="14" spans="1:9" x14ac:dyDescent="0.25">
      <c r="A14" t="s">
        <v>25</v>
      </c>
      <c r="B14" t="str">
        <f>VLOOKUP(Tabla1[[#This Row],[Code]],[1]!Tabla4[#Data],2,FALSE)</f>
        <v>ML Cad-Cut Flock 110 Amarillo 500mm</v>
      </c>
      <c r="C14">
        <v>2</v>
      </c>
      <c r="D14" t="s">
        <v>10</v>
      </c>
      <c r="E14" t="str">
        <f>VLOOKUP(Tabla1[[#This Row],[Cód. Atributo]],[1]!Tabla5[#Data],6,FALSE)</f>
        <v>Select</v>
      </c>
      <c r="F14">
        <v>1</v>
      </c>
      <c r="G14">
        <v>1</v>
      </c>
      <c r="H14" t="s">
        <v>11</v>
      </c>
      <c r="I14" t="str">
        <f>VLOOKUP(Tabla1[[#This Row],[Code]],'[1]Articulos Precio'!$A:$E,5,FALSE)</f>
        <v>A0000007</v>
      </c>
    </row>
    <row r="15" spans="1:9" x14ac:dyDescent="0.25">
      <c r="A15" t="s">
        <v>25</v>
      </c>
      <c r="B15" t="str">
        <f>VLOOKUP(Tabla1[[#This Row],[Code]],[1]!Tabla4[#Data],2,FALSE)</f>
        <v>ML Cad-Cut Flock 110 Amarillo 500mm</v>
      </c>
      <c r="C15">
        <v>20</v>
      </c>
      <c r="D15" t="s">
        <v>21</v>
      </c>
      <c r="E15" t="str">
        <f>VLOOKUP(Tabla1[[#This Row],[Cód. Atributo]],[1]!Tabla5[#Data],6,FALSE)</f>
        <v>Color</v>
      </c>
      <c r="F15">
        <v>2</v>
      </c>
      <c r="G15">
        <v>4</v>
      </c>
      <c r="H15" t="s">
        <v>26</v>
      </c>
      <c r="I15" t="str">
        <f>VLOOKUP(Tabla1[[#This Row],[Code]],'[1]Articulos Precio'!$A:$E,5,FALSE)</f>
        <v>A0000007</v>
      </c>
    </row>
    <row r="16" spans="1:9" x14ac:dyDescent="0.25">
      <c r="A16" t="s">
        <v>27</v>
      </c>
      <c r="B16" t="str">
        <f>VLOOKUP(Tabla1[[#This Row],[Code]],[1]!Tabla4[#Data],2,FALSE)</f>
        <v>ML Cad-Cut Flock 180 Naranja 500mm</v>
      </c>
      <c r="C16">
        <v>2</v>
      </c>
      <c r="D16" t="s">
        <v>10</v>
      </c>
      <c r="E16" t="str">
        <f>VLOOKUP(Tabla1[[#This Row],[Cód. Atributo]],[1]!Tabla5[#Data],6,FALSE)</f>
        <v>Select</v>
      </c>
      <c r="F16">
        <v>1</v>
      </c>
      <c r="G16">
        <v>1</v>
      </c>
      <c r="H16" t="s">
        <v>11</v>
      </c>
      <c r="I16" t="str">
        <f>VLOOKUP(Tabla1[[#This Row],[Code]],'[1]Articulos Precio'!$A:$E,5,FALSE)</f>
        <v>A0000007</v>
      </c>
    </row>
    <row r="17" spans="1:9" x14ac:dyDescent="0.25">
      <c r="A17" t="s">
        <v>27</v>
      </c>
      <c r="B17" t="str">
        <f>VLOOKUP(Tabla1[[#This Row],[Code]],[1]!Tabla4[#Data],2,FALSE)</f>
        <v>ML Cad-Cut Flock 180 Naranja 500mm</v>
      </c>
      <c r="C17">
        <v>20</v>
      </c>
      <c r="D17" t="s">
        <v>21</v>
      </c>
      <c r="E17" t="str">
        <f>VLOOKUP(Tabla1[[#This Row],[Cód. Atributo]],[1]!Tabla5[#Data],6,FALSE)</f>
        <v>Color</v>
      </c>
      <c r="F17">
        <v>2</v>
      </c>
      <c r="G17">
        <v>5</v>
      </c>
      <c r="H17" t="s">
        <v>28</v>
      </c>
      <c r="I17" t="str">
        <f>VLOOKUP(Tabla1[[#This Row],[Code]],'[1]Articulos Precio'!$A:$E,5,FALSE)</f>
        <v>A0000007</v>
      </c>
    </row>
    <row r="18" spans="1:9" x14ac:dyDescent="0.25">
      <c r="A18" t="s">
        <v>29</v>
      </c>
      <c r="B18" t="str">
        <f>VLOOKUP(Tabla1[[#This Row],[Code]],[1]!Tabla4[#Data],2,FALSE)</f>
        <v>ML Cad-Cut Flock 210 Rojo Señal 500mm</v>
      </c>
      <c r="C18">
        <v>2</v>
      </c>
      <c r="D18" t="s">
        <v>10</v>
      </c>
      <c r="E18" t="str">
        <f>VLOOKUP(Tabla1[[#This Row],[Cód. Atributo]],[1]!Tabla5[#Data],6,FALSE)</f>
        <v>Select</v>
      </c>
      <c r="F18">
        <v>1</v>
      </c>
      <c r="G18">
        <v>1</v>
      </c>
      <c r="H18" t="s">
        <v>11</v>
      </c>
      <c r="I18" t="str">
        <f>VLOOKUP(Tabla1[[#This Row],[Code]],'[1]Articulos Precio'!$A:$E,5,FALSE)</f>
        <v>A0000007</v>
      </c>
    </row>
    <row r="19" spans="1:9" x14ac:dyDescent="0.25">
      <c r="A19" t="s">
        <v>29</v>
      </c>
      <c r="B19" t="str">
        <f>VLOOKUP(Tabla1[[#This Row],[Code]],[1]!Tabla4[#Data],2,FALSE)</f>
        <v>ML Cad-Cut Flock 210 Rojo Señal 500mm</v>
      </c>
      <c r="C19">
        <v>20</v>
      </c>
      <c r="D19" t="s">
        <v>21</v>
      </c>
      <c r="E19" t="str">
        <f>VLOOKUP(Tabla1[[#This Row],[Cód. Atributo]],[1]!Tabla5[#Data],6,FALSE)</f>
        <v>Color</v>
      </c>
      <c r="F19">
        <v>2</v>
      </c>
      <c r="G19">
        <v>8</v>
      </c>
      <c r="H19" t="s">
        <v>30</v>
      </c>
      <c r="I19" t="str">
        <f>VLOOKUP(Tabla1[[#This Row],[Code]],'[1]Articulos Precio'!$A:$E,5,FALSE)</f>
        <v>A0000007</v>
      </c>
    </row>
    <row r="20" spans="1:9" x14ac:dyDescent="0.25">
      <c r="A20" t="s">
        <v>31</v>
      </c>
      <c r="B20" t="str">
        <f>VLOOKUP(Tabla1[[#This Row],[Code]],[1]!Tabla4[#Data],2,FALSE)</f>
        <v>ML Cad-Cut Flock 270 Rojo Borgoña 500mm</v>
      </c>
      <c r="C20">
        <v>2</v>
      </c>
      <c r="D20" t="s">
        <v>10</v>
      </c>
      <c r="E20" t="str">
        <f>VLOOKUP(Tabla1[[#This Row],[Cód. Atributo]],[1]!Tabla5[#Data],6,FALSE)</f>
        <v>Select</v>
      </c>
      <c r="F20">
        <v>1</v>
      </c>
      <c r="G20">
        <v>1</v>
      </c>
      <c r="H20" t="s">
        <v>11</v>
      </c>
      <c r="I20" t="str">
        <f>VLOOKUP(Tabla1[[#This Row],[Code]],'[1]Articulos Precio'!$A:$E,5,FALSE)</f>
        <v>A0000007</v>
      </c>
    </row>
    <row r="21" spans="1:9" x14ac:dyDescent="0.25">
      <c r="A21" t="s">
        <v>31</v>
      </c>
      <c r="B21" t="str">
        <f>VLOOKUP(Tabla1[[#This Row],[Code]],[1]!Tabla4[#Data],2,FALSE)</f>
        <v>ML Cad-Cut Flock 270 Rojo Borgoña 500mm</v>
      </c>
      <c r="C21">
        <v>20</v>
      </c>
      <c r="D21" t="s">
        <v>21</v>
      </c>
      <c r="E21" t="str">
        <f>VLOOKUP(Tabla1[[#This Row],[Cód. Atributo]],[1]!Tabla5[#Data],6,FALSE)</f>
        <v>Color</v>
      </c>
      <c r="F21">
        <v>2</v>
      </c>
      <c r="G21">
        <v>11</v>
      </c>
      <c r="H21" t="s">
        <v>32</v>
      </c>
      <c r="I21" t="str">
        <f>VLOOKUP(Tabla1[[#This Row],[Code]],'[1]Articulos Precio'!$A:$E,5,FALSE)</f>
        <v>A0000007</v>
      </c>
    </row>
    <row r="22" spans="1:9" x14ac:dyDescent="0.25">
      <c r="A22" t="s">
        <v>33</v>
      </c>
      <c r="B22" t="str">
        <f>VLOOKUP(Tabla1[[#This Row],[Code]],[1]!Tabla4[#Data],2,FALSE)</f>
        <v>ML Cad-Cut Flock 245 Magenta 500mm</v>
      </c>
      <c r="C22">
        <v>2</v>
      </c>
      <c r="D22" t="s">
        <v>10</v>
      </c>
      <c r="E22" t="str">
        <f>VLOOKUP(Tabla1[[#This Row],[Cód. Atributo]],[1]!Tabla5[#Data],6,FALSE)</f>
        <v>Select</v>
      </c>
      <c r="F22">
        <v>1</v>
      </c>
      <c r="G22">
        <v>1</v>
      </c>
      <c r="H22" t="s">
        <v>11</v>
      </c>
      <c r="I22" t="str">
        <f>VLOOKUP(Tabla1[[#This Row],[Code]],'[1]Articulos Precio'!$A:$E,5,FALSE)</f>
        <v>A0000007</v>
      </c>
    </row>
    <row r="23" spans="1:9" x14ac:dyDescent="0.25">
      <c r="A23" t="s">
        <v>33</v>
      </c>
      <c r="B23" t="str">
        <f>VLOOKUP(Tabla1[[#This Row],[Code]],[1]!Tabla4[#Data],2,FALSE)</f>
        <v>ML Cad-Cut Flock 245 Magenta 500mm</v>
      </c>
      <c r="C23">
        <v>20</v>
      </c>
      <c r="D23" t="s">
        <v>21</v>
      </c>
      <c r="E23" t="str">
        <f>VLOOKUP(Tabla1[[#This Row],[Cód. Atributo]],[1]!Tabla5[#Data],6,FALSE)</f>
        <v>Color</v>
      </c>
      <c r="F23">
        <v>2</v>
      </c>
      <c r="G23">
        <v>10</v>
      </c>
      <c r="H23" t="s">
        <v>34</v>
      </c>
      <c r="I23" t="str">
        <f>VLOOKUP(Tabla1[[#This Row],[Code]],'[1]Articulos Precio'!$A:$E,5,FALSE)</f>
        <v>A0000007</v>
      </c>
    </row>
    <row r="24" spans="1:9" x14ac:dyDescent="0.25">
      <c r="A24" t="s">
        <v>35</v>
      </c>
      <c r="B24" t="str">
        <f>VLOOKUP(Tabla1[[#This Row],[Code]],[1]!Tabla4[#Data],2,FALSE)</f>
        <v>ML Cad-Cut Flock 310 Azul Hielo 500mm</v>
      </c>
      <c r="C24">
        <v>2</v>
      </c>
      <c r="D24" t="s">
        <v>10</v>
      </c>
      <c r="E24" t="str">
        <f>VLOOKUP(Tabla1[[#This Row],[Cód. Atributo]],[1]!Tabla5[#Data],6,FALSE)</f>
        <v>Select</v>
      </c>
      <c r="F24">
        <v>1</v>
      </c>
      <c r="G24">
        <v>1</v>
      </c>
      <c r="H24" t="s">
        <v>11</v>
      </c>
      <c r="I24" t="str">
        <f>VLOOKUP(Tabla1[[#This Row],[Code]],'[1]Articulos Precio'!$A:$E,5,FALSE)</f>
        <v>A0000007</v>
      </c>
    </row>
    <row r="25" spans="1:9" x14ac:dyDescent="0.25">
      <c r="A25" t="s">
        <v>35</v>
      </c>
      <c r="B25" t="str">
        <f>VLOOKUP(Tabla1[[#This Row],[Code]],[1]!Tabla4[#Data],2,FALSE)</f>
        <v>ML Cad-Cut Flock 310 Azul Hielo 500mm</v>
      </c>
      <c r="C25">
        <v>20</v>
      </c>
      <c r="D25" t="s">
        <v>21</v>
      </c>
      <c r="E25" t="str">
        <f>VLOOKUP(Tabla1[[#This Row],[Cód. Atributo]],[1]!Tabla5[#Data],6,FALSE)</f>
        <v>Color</v>
      </c>
      <c r="F25">
        <v>2</v>
      </c>
      <c r="G25">
        <v>13</v>
      </c>
      <c r="H25" t="s">
        <v>36</v>
      </c>
      <c r="I25" t="str">
        <f>VLOOKUP(Tabla1[[#This Row],[Code]],'[1]Articulos Precio'!$A:$E,5,FALSE)</f>
        <v>A0000007</v>
      </c>
    </row>
    <row r="26" spans="1:9" x14ac:dyDescent="0.25">
      <c r="A26" t="s">
        <v>37</v>
      </c>
      <c r="B26" t="str">
        <f>VLOOKUP(Tabla1[[#This Row],[Code]],[1]!Tabla4[#Data],2,FALSE)</f>
        <v>ML Cad-Cut Flock 300 Azul Real 500mm</v>
      </c>
      <c r="C26">
        <v>2</v>
      </c>
      <c r="D26" t="s">
        <v>10</v>
      </c>
      <c r="E26" t="str">
        <f>VLOOKUP(Tabla1[[#This Row],[Cód. Atributo]],[1]!Tabla5[#Data],6,FALSE)</f>
        <v>Select</v>
      </c>
      <c r="F26">
        <v>1</v>
      </c>
      <c r="G26">
        <v>1</v>
      </c>
      <c r="H26" t="s">
        <v>11</v>
      </c>
      <c r="I26" t="str">
        <f>VLOOKUP(Tabla1[[#This Row],[Code]],'[1]Articulos Precio'!$A:$E,5,FALSE)</f>
        <v>A0000007</v>
      </c>
    </row>
    <row r="27" spans="1:9" x14ac:dyDescent="0.25">
      <c r="A27" t="s">
        <v>37</v>
      </c>
      <c r="B27" t="str">
        <f>VLOOKUP(Tabla1[[#This Row],[Code]],[1]!Tabla4[#Data],2,FALSE)</f>
        <v>ML Cad-Cut Flock 300 Azul Real 500mm</v>
      </c>
      <c r="C27">
        <v>20</v>
      </c>
      <c r="D27" t="s">
        <v>21</v>
      </c>
      <c r="E27" t="str">
        <f>VLOOKUP(Tabla1[[#This Row],[Cód. Atributo]],[1]!Tabla5[#Data],6,FALSE)</f>
        <v>Color</v>
      </c>
      <c r="F27">
        <v>2</v>
      </c>
      <c r="G27">
        <v>12</v>
      </c>
      <c r="H27" t="s">
        <v>38</v>
      </c>
      <c r="I27" t="str">
        <f>VLOOKUP(Tabla1[[#This Row],[Code]],'[1]Articulos Precio'!$A:$E,5,FALSE)</f>
        <v>A0000007</v>
      </c>
    </row>
    <row r="28" spans="1:9" x14ac:dyDescent="0.25">
      <c r="A28" t="s">
        <v>39</v>
      </c>
      <c r="B28" t="str">
        <f>VLOOKUP(Tabla1[[#This Row],[Code]],[1]!Tabla4[#Data],2,FALSE)</f>
        <v>ML Cad-Cut Flock 320 Azul Cielo 500mm</v>
      </c>
      <c r="C28">
        <v>2</v>
      </c>
      <c r="D28" t="s">
        <v>10</v>
      </c>
      <c r="E28" t="str">
        <f>VLOOKUP(Tabla1[[#This Row],[Cód. Atributo]],[1]!Tabla5[#Data],6,FALSE)</f>
        <v>Select</v>
      </c>
      <c r="F28">
        <v>1</v>
      </c>
      <c r="G28">
        <v>1</v>
      </c>
      <c r="H28" t="s">
        <v>11</v>
      </c>
      <c r="I28" t="str">
        <f>VLOOKUP(Tabla1[[#This Row],[Code]],'[1]Articulos Precio'!$A:$E,5,FALSE)</f>
        <v>A0000007</v>
      </c>
    </row>
    <row r="29" spans="1:9" x14ac:dyDescent="0.25">
      <c r="A29" t="s">
        <v>39</v>
      </c>
      <c r="B29" t="str">
        <f>VLOOKUP(Tabla1[[#This Row],[Code]],[1]!Tabla4[#Data],2,FALSE)</f>
        <v>ML Cad-Cut Flock 320 Azul Cielo 500mm</v>
      </c>
      <c r="C29">
        <v>20</v>
      </c>
      <c r="D29" t="s">
        <v>21</v>
      </c>
      <c r="E29" t="str">
        <f>VLOOKUP(Tabla1[[#This Row],[Cód. Atributo]],[1]!Tabla5[#Data],6,FALSE)</f>
        <v>Color</v>
      </c>
      <c r="F29">
        <v>2</v>
      </c>
      <c r="G29">
        <v>14</v>
      </c>
      <c r="H29" t="s">
        <v>40</v>
      </c>
      <c r="I29" t="str">
        <f>VLOOKUP(Tabla1[[#This Row],[Code]],'[1]Articulos Precio'!$A:$E,5,FALSE)</f>
        <v>A0000007</v>
      </c>
    </row>
    <row r="30" spans="1:9" x14ac:dyDescent="0.25">
      <c r="A30" t="s">
        <v>41</v>
      </c>
      <c r="B30" t="str">
        <f>VLOOKUP(Tabla1[[#This Row],[Code]],[1]!Tabla4[#Data],2,FALSE)</f>
        <v>ML Cad-Cut Flock 350 Azul Naval 500mm</v>
      </c>
      <c r="C30">
        <v>2</v>
      </c>
      <c r="D30" t="s">
        <v>10</v>
      </c>
      <c r="E30" t="str">
        <f>VLOOKUP(Tabla1[[#This Row],[Cód. Atributo]],[1]!Tabla5[#Data],6,FALSE)</f>
        <v>Select</v>
      </c>
      <c r="F30">
        <v>1</v>
      </c>
      <c r="G30">
        <v>1</v>
      </c>
      <c r="H30" t="s">
        <v>11</v>
      </c>
      <c r="I30" t="str">
        <f>VLOOKUP(Tabla1[[#This Row],[Code]],'[1]Articulos Precio'!$A:$E,5,FALSE)</f>
        <v>A0000007</v>
      </c>
    </row>
    <row r="31" spans="1:9" x14ac:dyDescent="0.25">
      <c r="A31" t="s">
        <v>41</v>
      </c>
      <c r="B31" t="str">
        <f>VLOOKUP(Tabla1[[#This Row],[Code]],[1]!Tabla4[#Data],2,FALSE)</f>
        <v>ML Cad-Cut Flock 350 Azul Naval 500mm</v>
      </c>
      <c r="C31">
        <v>20</v>
      </c>
      <c r="D31" t="s">
        <v>21</v>
      </c>
      <c r="E31" t="str">
        <f>VLOOKUP(Tabla1[[#This Row],[Cód. Atributo]],[1]!Tabla5[#Data],6,FALSE)</f>
        <v>Color</v>
      </c>
      <c r="F31">
        <v>2</v>
      </c>
      <c r="G31">
        <v>15</v>
      </c>
      <c r="H31" t="s">
        <v>42</v>
      </c>
      <c r="I31" t="str">
        <f>VLOOKUP(Tabla1[[#This Row],[Code]],'[1]Articulos Precio'!$A:$E,5,FALSE)</f>
        <v>A0000007</v>
      </c>
    </row>
    <row r="32" spans="1:9" x14ac:dyDescent="0.25">
      <c r="A32" t="s">
        <v>43</v>
      </c>
      <c r="B32" t="str">
        <f>VLOOKUP(Tabla1[[#This Row],[Code]],[1]!Tabla4[#Data],2,FALSE)</f>
        <v>ML Cad-Cut Flock 400 Verde 500mm</v>
      </c>
      <c r="C32">
        <v>2</v>
      </c>
      <c r="D32" t="s">
        <v>10</v>
      </c>
      <c r="E32" t="str">
        <f>VLOOKUP(Tabla1[[#This Row],[Cód. Atributo]],[1]!Tabla5[#Data],6,FALSE)</f>
        <v>Select</v>
      </c>
      <c r="F32">
        <v>1</v>
      </c>
      <c r="G32">
        <v>1</v>
      </c>
      <c r="H32" t="s">
        <v>11</v>
      </c>
      <c r="I32" t="str">
        <f>VLOOKUP(Tabla1[[#This Row],[Code]],'[1]Articulos Precio'!$A:$E,5,FALSE)</f>
        <v>A0000007</v>
      </c>
    </row>
    <row r="33" spans="1:9" x14ac:dyDescent="0.25">
      <c r="A33" t="s">
        <v>43</v>
      </c>
      <c r="B33" t="str">
        <f>VLOOKUP(Tabla1[[#This Row],[Code]],[1]!Tabla4[#Data],2,FALSE)</f>
        <v>ML Cad-Cut Flock 400 Verde 500mm</v>
      </c>
      <c r="C33">
        <v>20</v>
      </c>
      <c r="D33" t="s">
        <v>21</v>
      </c>
      <c r="E33" t="str">
        <f>VLOOKUP(Tabla1[[#This Row],[Cód. Atributo]],[1]!Tabla5[#Data],6,FALSE)</f>
        <v>Color</v>
      </c>
      <c r="F33">
        <v>2</v>
      </c>
      <c r="G33">
        <v>17</v>
      </c>
      <c r="H33" t="s">
        <v>44</v>
      </c>
      <c r="I33" t="str">
        <f>VLOOKUP(Tabla1[[#This Row],[Code]],'[1]Articulos Precio'!$A:$E,5,FALSE)</f>
        <v>A0000007</v>
      </c>
    </row>
    <row r="34" spans="1:9" x14ac:dyDescent="0.25">
      <c r="A34" t="s">
        <v>45</v>
      </c>
      <c r="B34" t="str">
        <f>VLOOKUP(Tabla1[[#This Row],[Code]],[1]!Tabla4[#Data],2,FALSE)</f>
        <v>ML Cad-Cut Flock 390 Aqua 500mm</v>
      </c>
      <c r="C34">
        <v>2</v>
      </c>
      <c r="D34" t="s">
        <v>10</v>
      </c>
      <c r="E34" t="str">
        <f>VLOOKUP(Tabla1[[#This Row],[Cód. Atributo]],[1]!Tabla5[#Data],6,FALSE)</f>
        <v>Select</v>
      </c>
      <c r="F34">
        <v>1</v>
      </c>
      <c r="G34">
        <v>1</v>
      </c>
      <c r="H34" t="s">
        <v>11</v>
      </c>
      <c r="I34" t="str">
        <f>VLOOKUP(Tabla1[[#This Row],[Code]],'[1]Articulos Precio'!$A:$E,5,FALSE)</f>
        <v>A0000007</v>
      </c>
    </row>
    <row r="35" spans="1:9" x14ac:dyDescent="0.25">
      <c r="A35" t="s">
        <v>45</v>
      </c>
      <c r="B35" t="str">
        <f>VLOOKUP(Tabla1[[#This Row],[Code]],[1]!Tabla4[#Data],2,FALSE)</f>
        <v>ML Cad-Cut Flock 390 Aqua 500mm</v>
      </c>
      <c r="C35">
        <v>20</v>
      </c>
      <c r="D35" t="s">
        <v>21</v>
      </c>
      <c r="E35" t="str">
        <f>VLOOKUP(Tabla1[[#This Row],[Cód. Atributo]],[1]!Tabla5[#Data],6,FALSE)</f>
        <v>Color</v>
      </c>
      <c r="F35">
        <v>2</v>
      </c>
      <c r="G35">
        <v>16</v>
      </c>
      <c r="H35" t="s">
        <v>46</v>
      </c>
      <c r="I35" t="str">
        <f>VLOOKUP(Tabla1[[#This Row],[Code]],'[1]Articulos Precio'!$A:$E,5,FALSE)</f>
        <v>A0000007</v>
      </c>
    </row>
    <row r="36" spans="1:9" x14ac:dyDescent="0.25">
      <c r="A36" t="s">
        <v>47</v>
      </c>
      <c r="B36" t="str">
        <f>VLOOKUP(Tabla1[[#This Row],[Code]],[1]!Tabla4[#Data],2,FALSE)</f>
        <v>ML Cad-Cut Flock 405 Verde Lima 500mm</v>
      </c>
      <c r="C36">
        <v>2</v>
      </c>
      <c r="D36" t="s">
        <v>10</v>
      </c>
      <c r="E36" t="str">
        <f>VLOOKUP(Tabla1[[#This Row],[Cód. Atributo]],[1]!Tabla5[#Data],6,FALSE)</f>
        <v>Select</v>
      </c>
      <c r="F36">
        <v>1</v>
      </c>
      <c r="G36">
        <v>1</v>
      </c>
      <c r="H36" t="s">
        <v>11</v>
      </c>
      <c r="I36" t="str">
        <f>VLOOKUP(Tabla1[[#This Row],[Code]],'[1]Articulos Precio'!$A:$E,5,FALSE)</f>
        <v>A0000007</v>
      </c>
    </row>
    <row r="37" spans="1:9" x14ac:dyDescent="0.25">
      <c r="A37" t="s">
        <v>47</v>
      </c>
      <c r="B37" t="str">
        <f>VLOOKUP(Tabla1[[#This Row],[Code]],[1]!Tabla4[#Data],2,FALSE)</f>
        <v>ML Cad-Cut Flock 405 Verde Lima 500mm</v>
      </c>
      <c r="C37">
        <v>20</v>
      </c>
      <c r="D37" t="s">
        <v>21</v>
      </c>
      <c r="E37" t="str">
        <f>VLOOKUP(Tabla1[[#This Row],[Cód. Atributo]],[1]!Tabla5[#Data],6,FALSE)</f>
        <v>Color</v>
      </c>
      <c r="F37">
        <v>2</v>
      </c>
      <c r="G37">
        <v>19</v>
      </c>
      <c r="H37" t="s">
        <v>48</v>
      </c>
      <c r="I37" t="str">
        <f>VLOOKUP(Tabla1[[#This Row],[Code]],'[1]Articulos Precio'!$A:$E,5,FALSE)</f>
        <v>A0000007</v>
      </c>
    </row>
    <row r="38" spans="1:9" x14ac:dyDescent="0.25">
      <c r="A38" t="s">
        <v>49</v>
      </c>
      <c r="B38" t="str">
        <f>VLOOKUP(Tabla1[[#This Row],[Code]],[1]!Tabla4[#Data],2,FALSE)</f>
        <v>Lona CityWRAP con liner mate, Mesh 270g 1,37x50</v>
      </c>
      <c r="C38">
        <v>4</v>
      </c>
      <c r="D38" t="s">
        <v>50</v>
      </c>
      <c r="E38" t="str">
        <f>VLOOKUP(Tabla1[[#This Row],[Cód. Atributo]],[1]!Tabla5[#Data],6,FALSE)</f>
        <v>Select</v>
      </c>
      <c r="F38">
        <v>1</v>
      </c>
      <c r="G38">
        <v>2</v>
      </c>
      <c r="H38" t="s">
        <v>51</v>
      </c>
      <c r="I38" t="str">
        <f>VLOOKUP(Tabla1[[#This Row],[Code]],'[1]Articulos Precio'!$A:$E,5,FALSE)</f>
        <v>A0000050</v>
      </c>
    </row>
    <row r="39" spans="1:9" x14ac:dyDescent="0.25">
      <c r="A39" t="s">
        <v>49</v>
      </c>
      <c r="B39" t="str">
        <f>VLOOKUP(Tabla1[[#This Row],[Code]],[1]!Tabla4[#Data],2,FALSE)</f>
        <v>Lona CityWRAP con liner mate, Mesh 270g 1,37x50</v>
      </c>
      <c r="C39">
        <v>29</v>
      </c>
      <c r="D39" t="s">
        <v>52</v>
      </c>
      <c r="E39" t="str">
        <f>VLOOKUP(Tabla1[[#This Row],[Cód. Atributo]],[1]!Tabla5[#Data],6,FALSE)</f>
        <v>Select</v>
      </c>
      <c r="F39">
        <v>2</v>
      </c>
      <c r="G39">
        <v>3</v>
      </c>
      <c r="H39" t="s">
        <v>53</v>
      </c>
      <c r="I39" t="str">
        <f>VLOOKUP(Tabla1[[#This Row],[Code]],'[1]Articulos Precio'!$A:$E,5,FALSE)</f>
        <v>A0000050</v>
      </c>
    </row>
    <row r="40" spans="1:9" x14ac:dyDescent="0.25">
      <c r="A40" t="s">
        <v>54</v>
      </c>
      <c r="B40" t="str">
        <f>VLOOKUP(Tabla1[[#This Row],[Code]],[1]!Tabla4[#Data],2,FALSE)</f>
        <v>Lona CityWRAP con liner mate, Mesh 270g 1,60x50</v>
      </c>
      <c r="C40">
        <v>4</v>
      </c>
      <c r="D40" t="s">
        <v>50</v>
      </c>
      <c r="E40" t="str">
        <f>VLOOKUP(Tabla1[[#This Row],[Cód. Atributo]],[1]!Tabla5[#Data],6,FALSE)</f>
        <v>Select</v>
      </c>
      <c r="F40">
        <v>1</v>
      </c>
      <c r="G40">
        <v>3</v>
      </c>
      <c r="H40" t="s">
        <v>55</v>
      </c>
      <c r="I40" t="str">
        <f>VLOOKUP(Tabla1[[#This Row],[Code]],'[1]Articulos Precio'!$A:$E,5,FALSE)</f>
        <v>A0000050</v>
      </c>
    </row>
    <row r="41" spans="1:9" x14ac:dyDescent="0.25">
      <c r="A41" t="s">
        <v>54</v>
      </c>
      <c r="B41" t="str">
        <f>VLOOKUP(Tabla1[[#This Row],[Code]],[1]!Tabla4[#Data],2,FALSE)</f>
        <v>Lona CityWRAP con liner mate, Mesh 270g 1,60x50</v>
      </c>
      <c r="C41">
        <v>29</v>
      </c>
      <c r="D41" t="s">
        <v>52</v>
      </c>
      <c r="E41" t="str">
        <f>VLOOKUP(Tabla1[[#This Row],[Cód. Atributo]],[1]!Tabla5[#Data],6,FALSE)</f>
        <v>Select</v>
      </c>
      <c r="F41">
        <v>2</v>
      </c>
      <c r="G41">
        <v>3</v>
      </c>
      <c r="H41" t="s">
        <v>53</v>
      </c>
      <c r="I41" t="str">
        <f>VLOOKUP(Tabla1[[#This Row],[Code]],'[1]Articulos Precio'!$A:$E,5,FALSE)</f>
        <v>A0000050</v>
      </c>
    </row>
    <row r="42" spans="1:9" x14ac:dyDescent="0.25">
      <c r="A42" t="s">
        <v>56</v>
      </c>
      <c r="B42" t="str">
        <f>VLOOKUP(Tabla1[[#This Row],[Code]],[1]!Tabla4[#Data],2,FALSE)</f>
        <v>Lona DeluxeFront 510g,mate 1,06x50m</v>
      </c>
      <c r="C42">
        <v>4</v>
      </c>
      <c r="D42" t="s">
        <v>50</v>
      </c>
      <c r="E42" t="str">
        <f>VLOOKUP(Tabla1[[#This Row],[Cód. Atributo]],[1]!Tabla5[#Data],6,FALSE)</f>
        <v>Select</v>
      </c>
      <c r="F42">
        <v>1</v>
      </c>
      <c r="G42">
        <v>1</v>
      </c>
      <c r="H42" t="s">
        <v>57</v>
      </c>
      <c r="I42" t="str">
        <f>VLOOKUP(Tabla1[[#This Row],[Code]],'[1]Articulos Precio'!$A:$E,5,FALSE)</f>
        <v>A0000057</v>
      </c>
    </row>
    <row r="43" spans="1:9" x14ac:dyDescent="0.25">
      <c r="A43" t="s">
        <v>56</v>
      </c>
      <c r="B43" t="str">
        <f>VLOOKUP(Tabla1[[#This Row],[Code]],[1]!Tabla4[#Data],2,FALSE)</f>
        <v>Lona DeluxeFront 510g,mate 1,06x50m</v>
      </c>
      <c r="C43">
        <v>29</v>
      </c>
      <c r="D43" t="s">
        <v>52</v>
      </c>
      <c r="E43" t="str">
        <f>VLOOKUP(Tabla1[[#This Row],[Cód. Atributo]],[1]!Tabla5[#Data],6,FALSE)</f>
        <v>Select</v>
      </c>
      <c r="F43">
        <v>2</v>
      </c>
      <c r="G43">
        <v>4</v>
      </c>
      <c r="H43" t="s">
        <v>58</v>
      </c>
      <c r="I43" t="str">
        <f>VLOOKUP(Tabla1[[#This Row],[Code]],'[1]Articulos Precio'!$A:$E,5,FALSE)</f>
        <v>A0000057</v>
      </c>
    </row>
    <row r="44" spans="1:9" x14ac:dyDescent="0.25">
      <c r="A44" t="s">
        <v>59</v>
      </c>
      <c r="B44" t="str">
        <f>VLOOKUP(Tabla1[[#This Row],[Code]],[1]!Tabla4[#Data],2,FALSE)</f>
        <v>Lona DeluxeFront 510g,mate 1,37x50m</v>
      </c>
      <c r="C44">
        <v>4</v>
      </c>
      <c r="D44" t="s">
        <v>50</v>
      </c>
      <c r="E44" t="str">
        <f>VLOOKUP(Tabla1[[#This Row],[Cód. Atributo]],[1]!Tabla5[#Data],6,FALSE)</f>
        <v>Select</v>
      </c>
      <c r="F44">
        <v>1</v>
      </c>
      <c r="G44">
        <v>2</v>
      </c>
      <c r="H44" t="s">
        <v>51</v>
      </c>
      <c r="I44" t="str">
        <f>VLOOKUP(Tabla1[[#This Row],[Code]],'[1]Articulos Precio'!$A:$E,5,FALSE)</f>
        <v>A0000057</v>
      </c>
    </row>
    <row r="45" spans="1:9" x14ac:dyDescent="0.25">
      <c r="A45" t="s">
        <v>59</v>
      </c>
      <c r="B45" t="str">
        <f>VLOOKUP(Tabla1[[#This Row],[Code]],[1]!Tabla4[#Data],2,FALSE)</f>
        <v>Lona DeluxeFront 510g,mate 1,37x50m</v>
      </c>
      <c r="C45">
        <v>29</v>
      </c>
      <c r="D45" t="s">
        <v>52</v>
      </c>
      <c r="E45" t="str">
        <f>VLOOKUP(Tabla1[[#This Row],[Cód. Atributo]],[1]!Tabla5[#Data],6,FALSE)</f>
        <v>Select</v>
      </c>
      <c r="F45">
        <v>2</v>
      </c>
      <c r="G45">
        <v>4</v>
      </c>
      <c r="H45" t="s">
        <v>58</v>
      </c>
      <c r="I45" t="str">
        <f>VLOOKUP(Tabla1[[#This Row],[Code]],'[1]Articulos Precio'!$A:$E,5,FALSE)</f>
        <v>A0000057</v>
      </c>
    </row>
    <row r="46" spans="1:9" x14ac:dyDescent="0.25">
      <c r="A46" t="s">
        <v>60</v>
      </c>
      <c r="B46" t="str">
        <f>VLOOKUP(Tabla1[[#This Row],[Code]],[1]!Tabla4[#Data],2,FALSE)</f>
        <v>Lona DeluxeFront 510g,mate 1,60m x 50m</v>
      </c>
      <c r="C46">
        <v>4</v>
      </c>
      <c r="D46" t="s">
        <v>50</v>
      </c>
      <c r="E46" t="str">
        <f>VLOOKUP(Tabla1[[#This Row],[Cód. Atributo]],[1]!Tabla5[#Data],6,FALSE)</f>
        <v>Select</v>
      </c>
      <c r="F46">
        <v>1</v>
      </c>
      <c r="G46">
        <v>3</v>
      </c>
      <c r="H46" t="s">
        <v>55</v>
      </c>
      <c r="I46" t="str">
        <f>VLOOKUP(Tabla1[[#This Row],[Code]],'[1]Articulos Precio'!$A:$E,5,FALSE)</f>
        <v>A0000057</v>
      </c>
    </row>
    <row r="47" spans="1:9" x14ac:dyDescent="0.25">
      <c r="A47" t="s">
        <v>60</v>
      </c>
      <c r="B47" t="str">
        <f>VLOOKUP(Tabla1[[#This Row],[Code]],[1]!Tabla4[#Data],2,FALSE)</f>
        <v>Lona DeluxeFront 510g,mate 1,60m x 50m</v>
      </c>
      <c r="C47">
        <v>29</v>
      </c>
      <c r="D47" t="s">
        <v>52</v>
      </c>
      <c r="E47" t="str">
        <f>VLOOKUP(Tabla1[[#This Row],[Cód. Atributo]],[1]!Tabla5[#Data],6,FALSE)</f>
        <v>Select</v>
      </c>
      <c r="F47">
        <v>2</v>
      </c>
      <c r="G47">
        <v>4</v>
      </c>
      <c r="H47" t="s">
        <v>58</v>
      </c>
      <c r="I47" t="str">
        <f>VLOOKUP(Tabla1[[#This Row],[Code]],'[1]Articulos Precio'!$A:$E,5,FALSE)</f>
        <v>A0000057</v>
      </c>
    </row>
    <row r="48" spans="1:9" x14ac:dyDescent="0.25">
      <c r="A48" t="s">
        <v>61</v>
      </c>
      <c r="B48" t="str">
        <f>VLOOKUP(Tabla1[[#This Row],[Code]],[1]!Tabla4[#Data],2,FALSE)</f>
        <v>Cartucho Ecopure 440ml EM2 Amarillo</v>
      </c>
      <c r="C48">
        <v>9</v>
      </c>
      <c r="D48" t="s">
        <v>62</v>
      </c>
      <c r="E48" t="str">
        <f>VLOOKUP(Tabla1[[#This Row],[Cód. Atributo]],[1]!Tabla5[#Data],6,FALSE)</f>
        <v>Select</v>
      </c>
      <c r="F48">
        <v>1</v>
      </c>
      <c r="G48">
        <v>2</v>
      </c>
      <c r="H48" t="s">
        <v>63</v>
      </c>
      <c r="I48" t="str">
        <f>VLOOKUP(Tabla1[[#This Row],[Code]],'[1]Articulos Precio'!$A:$E,5,FALSE)</f>
        <v>A0001242</v>
      </c>
    </row>
    <row r="49" spans="1:9" x14ac:dyDescent="0.25">
      <c r="A49" t="s">
        <v>61</v>
      </c>
      <c r="B49" t="str">
        <f>VLOOKUP(Tabla1[[#This Row],[Code]],[1]!Tabla4[#Data],2,FALSE)</f>
        <v>Cartucho Ecopure 440ml EM2 Amarillo</v>
      </c>
      <c r="C49">
        <v>43</v>
      </c>
      <c r="D49" t="s">
        <v>64</v>
      </c>
      <c r="E49" t="str">
        <f>VLOOKUP(Tabla1[[#This Row],[Cód. Atributo]],[1]!Tabla5[#Data],6,FALSE)</f>
        <v>Select</v>
      </c>
      <c r="F49">
        <v>2</v>
      </c>
      <c r="G49">
        <v>2</v>
      </c>
      <c r="H49" t="s">
        <v>65</v>
      </c>
      <c r="I49" t="str">
        <f>VLOOKUP(Tabla1[[#This Row],[Code]],'[1]Articulos Precio'!$A:$E,5,FALSE)</f>
        <v>A0001242</v>
      </c>
    </row>
    <row r="50" spans="1:9" x14ac:dyDescent="0.25">
      <c r="A50" t="s">
        <v>61</v>
      </c>
      <c r="B50" t="str">
        <f>VLOOKUP(Tabla1[[#This Row],[Code]],[1]!Tabla4[#Data],2,FALSE)</f>
        <v>Cartucho Ecopure 440ml EM2 Amarillo</v>
      </c>
      <c r="C50">
        <v>10</v>
      </c>
      <c r="D50" t="s">
        <v>66</v>
      </c>
      <c r="E50" t="str">
        <f>VLOOKUP(Tabla1[[#This Row],[Cód. Atributo]],[1]!Tabla5[#Data],6,FALSE)</f>
        <v>Color</v>
      </c>
      <c r="F50">
        <v>3</v>
      </c>
      <c r="G50">
        <v>1</v>
      </c>
      <c r="H50" t="s">
        <v>67</v>
      </c>
      <c r="I50" t="str">
        <f>VLOOKUP(Tabla1[[#This Row],[Code]],'[1]Articulos Precio'!$A:$E,5,FALSE)</f>
        <v>A0001242</v>
      </c>
    </row>
    <row r="51" spans="1:9" x14ac:dyDescent="0.25">
      <c r="A51" t="s">
        <v>68</v>
      </c>
      <c r="B51" t="str">
        <f>VLOOKUP(Tabla1[[#This Row],[Code]],[1]!Tabla4[#Data],2,FALSE)</f>
        <v>Cartucho Ecopure 440ml EM2 Cyan</v>
      </c>
      <c r="C51">
        <v>9</v>
      </c>
      <c r="D51" t="s">
        <v>62</v>
      </c>
      <c r="E51" t="str">
        <f>VLOOKUP(Tabla1[[#This Row],[Cód. Atributo]],[1]!Tabla5[#Data],6,FALSE)</f>
        <v>Select</v>
      </c>
      <c r="F51">
        <v>1</v>
      </c>
      <c r="G51">
        <v>2</v>
      </c>
      <c r="H51" t="s">
        <v>63</v>
      </c>
      <c r="I51" t="str">
        <f>VLOOKUP(Tabla1[[#This Row],[Code]],'[1]Articulos Precio'!$A:$E,5,FALSE)</f>
        <v>A0001242</v>
      </c>
    </row>
    <row r="52" spans="1:9" x14ac:dyDescent="0.25">
      <c r="A52" t="s">
        <v>68</v>
      </c>
      <c r="B52" t="str">
        <f>VLOOKUP(Tabla1[[#This Row],[Code]],[1]!Tabla4[#Data],2,FALSE)</f>
        <v>Cartucho Ecopure 440ml EM2 Cyan</v>
      </c>
      <c r="C52">
        <v>43</v>
      </c>
      <c r="D52" t="s">
        <v>64</v>
      </c>
      <c r="E52" t="str">
        <f>VLOOKUP(Tabla1[[#This Row],[Cód. Atributo]],[1]!Tabla5[#Data],6,FALSE)</f>
        <v>Select</v>
      </c>
      <c r="F52">
        <v>2</v>
      </c>
      <c r="G52">
        <v>2</v>
      </c>
      <c r="H52" t="s">
        <v>65</v>
      </c>
      <c r="I52" t="str">
        <f>VLOOKUP(Tabla1[[#This Row],[Code]],'[1]Articulos Precio'!$A:$E,5,FALSE)</f>
        <v>A0001242</v>
      </c>
    </row>
    <row r="53" spans="1:9" x14ac:dyDescent="0.25">
      <c r="A53" t="s">
        <v>68</v>
      </c>
      <c r="B53" t="str">
        <f>VLOOKUP(Tabla1[[#This Row],[Code]],[1]!Tabla4[#Data],2,FALSE)</f>
        <v>Cartucho Ecopure 440ml EM2 Cyan</v>
      </c>
      <c r="C53">
        <v>10</v>
      </c>
      <c r="D53" t="s">
        <v>66</v>
      </c>
      <c r="E53" t="str">
        <f>VLOOKUP(Tabla1[[#This Row],[Cód. Atributo]],[1]!Tabla5[#Data],6,FALSE)</f>
        <v>Color</v>
      </c>
      <c r="F53">
        <v>3</v>
      </c>
      <c r="G53">
        <v>3</v>
      </c>
      <c r="H53" t="s">
        <v>69</v>
      </c>
      <c r="I53" t="str">
        <f>VLOOKUP(Tabla1[[#This Row],[Code]],'[1]Articulos Precio'!$A:$E,5,FALSE)</f>
        <v>A0001242</v>
      </c>
    </row>
    <row r="54" spans="1:9" x14ac:dyDescent="0.25">
      <c r="A54" t="s">
        <v>70</v>
      </c>
      <c r="B54" t="str">
        <f>VLOOKUP(Tabla1[[#This Row],[Code]],[1]!Tabla4[#Data],2,FALSE)</f>
        <v>Cartucho Ecopure 440ml EM2 Light Cyan</v>
      </c>
      <c r="C54">
        <v>9</v>
      </c>
      <c r="D54" t="s">
        <v>62</v>
      </c>
      <c r="E54" t="str">
        <f>VLOOKUP(Tabla1[[#This Row],[Cód. Atributo]],[1]!Tabla5[#Data],6,FALSE)</f>
        <v>Select</v>
      </c>
      <c r="F54">
        <v>1</v>
      </c>
      <c r="G54">
        <v>2</v>
      </c>
      <c r="H54" t="s">
        <v>63</v>
      </c>
      <c r="I54" t="str">
        <f>VLOOKUP(Tabla1[[#This Row],[Code]],'[1]Articulos Precio'!$A:$E,5,FALSE)</f>
        <v>A0001242</v>
      </c>
    </row>
    <row r="55" spans="1:9" x14ac:dyDescent="0.25">
      <c r="A55" t="s">
        <v>70</v>
      </c>
      <c r="B55" t="str">
        <f>VLOOKUP(Tabla1[[#This Row],[Code]],[1]!Tabla4[#Data],2,FALSE)</f>
        <v>Cartucho Ecopure 440ml EM2 Light Cyan</v>
      </c>
      <c r="C55">
        <v>43</v>
      </c>
      <c r="D55" t="s">
        <v>64</v>
      </c>
      <c r="E55" t="str">
        <f>VLOOKUP(Tabla1[[#This Row],[Cód. Atributo]],[1]!Tabla5[#Data],6,FALSE)</f>
        <v>Select</v>
      </c>
      <c r="F55">
        <v>2</v>
      </c>
      <c r="G55">
        <v>2</v>
      </c>
      <c r="H55" t="s">
        <v>65</v>
      </c>
      <c r="I55" t="str">
        <f>VLOOKUP(Tabla1[[#This Row],[Code]],'[1]Articulos Precio'!$A:$E,5,FALSE)</f>
        <v>A0001242</v>
      </c>
    </row>
    <row r="56" spans="1:9" x14ac:dyDescent="0.25">
      <c r="A56" t="s">
        <v>70</v>
      </c>
      <c r="B56" t="str">
        <f>VLOOKUP(Tabla1[[#This Row],[Code]],[1]!Tabla4[#Data],2,FALSE)</f>
        <v>Cartucho Ecopure 440ml EM2 Light Cyan</v>
      </c>
      <c r="C56">
        <v>10</v>
      </c>
      <c r="D56" t="s">
        <v>66</v>
      </c>
      <c r="E56" t="str">
        <f>VLOOKUP(Tabla1[[#This Row],[Cód. Atributo]],[1]!Tabla5[#Data],6,FALSE)</f>
        <v>Color</v>
      </c>
      <c r="F56">
        <v>3</v>
      </c>
      <c r="G56">
        <v>4</v>
      </c>
      <c r="H56" t="s">
        <v>71</v>
      </c>
      <c r="I56" t="str">
        <f>VLOOKUP(Tabla1[[#This Row],[Code]],'[1]Articulos Precio'!$A:$E,5,FALSE)</f>
        <v>A0001242</v>
      </c>
    </row>
    <row r="57" spans="1:9" x14ac:dyDescent="0.25">
      <c r="A57" t="s">
        <v>72</v>
      </c>
      <c r="B57" t="str">
        <f>VLOOKUP(Tabla1[[#This Row],[Code]],[1]!Tabla4[#Data],2,FALSE)</f>
        <v>Cartucho Ecopure 440ml EM2 Light Magenta</v>
      </c>
      <c r="C57">
        <v>9</v>
      </c>
      <c r="D57" t="s">
        <v>62</v>
      </c>
      <c r="E57" t="str">
        <f>VLOOKUP(Tabla1[[#This Row],[Cód. Atributo]],[1]!Tabla5[#Data],6,FALSE)</f>
        <v>Select</v>
      </c>
      <c r="F57">
        <v>1</v>
      </c>
      <c r="G57">
        <v>2</v>
      </c>
      <c r="H57" t="s">
        <v>63</v>
      </c>
      <c r="I57" t="str">
        <f>VLOOKUP(Tabla1[[#This Row],[Code]],'[1]Articulos Precio'!$A:$E,5,FALSE)</f>
        <v>A0001242</v>
      </c>
    </row>
    <row r="58" spans="1:9" x14ac:dyDescent="0.25">
      <c r="A58" t="s">
        <v>72</v>
      </c>
      <c r="B58" t="str">
        <f>VLOOKUP(Tabla1[[#This Row],[Code]],[1]!Tabla4[#Data],2,FALSE)</f>
        <v>Cartucho Ecopure 440ml EM2 Light Magenta</v>
      </c>
      <c r="C58">
        <v>43</v>
      </c>
      <c r="D58" t="s">
        <v>64</v>
      </c>
      <c r="E58" t="str">
        <f>VLOOKUP(Tabla1[[#This Row],[Cód. Atributo]],[1]!Tabla5[#Data],6,FALSE)</f>
        <v>Select</v>
      </c>
      <c r="F58">
        <v>2</v>
      </c>
      <c r="G58">
        <v>2</v>
      </c>
      <c r="H58" t="s">
        <v>65</v>
      </c>
      <c r="I58" t="str">
        <f>VLOOKUP(Tabla1[[#This Row],[Code]],'[1]Articulos Precio'!$A:$E,5,FALSE)</f>
        <v>A0001242</v>
      </c>
    </row>
    <row r="59" spans="1:9" x14ac:dyDescent="0.25">
      <c r="A59" t="s">
        <v>72</v>
      </c>
      <c r="B59" t="str">
        <f>VLOOKUP(Tabla1[[#This Row],[Code]],[1]!Tabla4[#Data],2,FALSE)</f>
        <v>Cartucho Ecopure 440ml EM2 Light Magenta</v>
      </c>
      <c r="C59">
        <v>10</v>
      </c>
      <c r="D59" t="s">
        <v>66</v>
      </c>
      <c r="E59" t="str">
        <f>VLOOKUP(Tabla1[[#This Row],[Cód. Atributo]],[1]!Tabla5[#Data],6,FALSE)</f>
        <v>Color</v>
      </c>
      <c r="F59">
        <v>3</v>
      </c>
      <c r="G59">
        <v>5</v>
      </c>
      <c r="H59" t="s">
        <v>73</v>
      </c>
      <c r="I59" t="str">
        <f>VLOOKUP(Tabla1[[#This Row],[Code]],'[1]Articulos Precio'!$A:$E,5,FALSE)</f>
        <v>A0001242</v>
      </c>
    </row>
    <row r="60" spans="1:9" x14ac:dyDescent="0.25">
      <c r="A60" t="s">
        <v>74</v>
      </c>
      <c r="B60" t="str">
        <f>VLOOKUP(Tabla1[[#This Row],[Code]],[1]!Tabla4[#Data],2,FALSE)</f>
        <v>Cartucho Ecopure 440ml EM2 Magenta</v>
      </c>
      <c r="C60">
        <v>9</v>
      </c>
      <c r="D60" t="s">
        <v>62</v>
      </c>
      <c r="E60" t="str">
        <f>VLOOKUP(Tabla1[[#This Row],[Cód. Atributo]],[1]!Tabla5[#Data],6,FALSE)</f>
        <v>Select</v>
      </c>
      <c r="F60">
        <v>1</v>
      </c>
      <c r="G60">
        <v>2</v>
      </c>
      <c r="H60" t="s">
        <v>63</v>
      </c>
      <c r="I60" t="str">
        <f>VLOOKUP(Tabla1[[#This Row],[Code]],'[1]Articulos Precio'!$A:$E,5,FALSE)</f>
        <v>A0001242</v>
      </c>
    </row>
    <row r="61" spans="1:9" x14ac:dyDescent="0.25">
      <c r="A61" t="s">
        <v>74</v>
      </c>
      <c r="B61" t="str">
        <f>VLOOKUP(Tabla1[[#This Row],[Code]],[1]!Tabla4[#Data],2,FALSE)</f>
        <v>Cartucho Ecopure 440ml EM2 Magenta</v>
      </c>
      <c r="C61">
        <v>43</v>
      </c>
      <c r="D61" t="s">
        <v>64</v>
      </c>
      <c r="E61" t="str">
        <f>VLOOKUP(Tabla1[[#This Row],[Cód. Atributo]],[1]!Tabla5[#Data],6,FALSE)</f>
        <v>Select</v>
      </c>
      <c r="F61">
        <v>2</v>
      </c>
      <c r="G61">
        <v>2</v>
      </c>
      <c r="H61" t="s">
        <v>65</v>
      </c>
      <c r="I61" t="str">
        <f>VLOOKUP(Tabla1[[#This Row],[Code]],'[1]Articulos Precio'!$A:$E,5,FALSE)</f>
        <v>A0001242</v>
      </c>
    </row>
    <row r="62" spans="1:9" x14ac:dyDescent="0.25">
      <c r="A62" t="s">
        <v>74</v>
      </c>
      <c r="B62" t="str">
        <f>VLOOKUP(Tabla1[[#This Row],[Code]],[1]!Tabla4[#Data],2,FALSE)</f>
        <v>Cartucho Ecopure 440ml EM2 Magenta</v>
      </c>
      <c r="C62">
        <v>10</v>
      </c>
      <c r="D62" t="s">
        <v>66</v>
      </c>
      <c r="E62" t="str">
        <f>VLOOKUP(Tabla1[[#This Row],[Cód. Atributo]],[1]!Tabla5[#Data],6,FALSE)</f>
        <v>Color</v>
      </c>
      <c r="F62">
        <v>3</v>
      </c>
      <c r="G62">
        <v>7</v>
      </c>
      <c r="H62" t="s">
        <v>75</v>
      </c>
      <c r="I62" t="str">
        <f>VLOOKUP(Tabla1[[#This Row],[Code]],'[1]Articulos Precio'!$A:$E,5,FALSE)</f>
        <v>A0001242</v>
      </c>
    </row>
    <row r="63" spans="1:9" x14ac:dyDescent="0.25">
      <c r="A63" t="s">
        <v>76</v>
      </c>
      <c r="B63" t="str">
        <f>VLOOKUP(Tabla1[[#This Row],[Code]],[1]!Tabla4[#Data],2,FALSE)</f>
        <v>Cartucho Ecopure 440ml EM2 Negro</v>
      </c>
      <c r="C63">
        <v>9</v>
      </c>
      <c r="D63" t="s">
        <v>62</v>
      </c>
      <c r="E63" t="str">
        <f>VLOOKUP(Tabla1[[#This Row],[Cód. Atributo]],[1]!Tabla5[#Data],6,FALSE)</f>
        <v>Select</v>
      </c>
      <c r="F63">
        <v>1</v>
      </c>
      <c r="G63">
        <v>2</v>
      </c>
      <c r="H63" t="s">
        <v>63</v>
      </c>
      <c r="I63" t="str">
        <f>VLOOKUP(Tabla1[[#This Row],[Code]],'[1]Articulos Precio'!$A:$E,5,FALSE)</f>
        <v>A0001242</v>
      </c>
    </row>
    <row r="64" spans="1:9" x14ac:dyDescent="0.25">
      <c r="A64" t="s">
        <v>76</v>
      </c>
      <c r="B64" t="str">
        <f>VLOOKUP(Tabla1[[#This Row],[Code]],[1]!Tabla4[#Data],2,FALSE)</f>
        <v>Cartucho Ecopure 440ml EM2 Negro</v>
      </c>
      <c r="C64">
        <v>43</v>
      </c>
      <c r="D64" t="s">
        <v>64</v>
      </c>
      <c r="E64" t="str">
        <f>VLOOKUP(Tabla1[[#This Row],[Cód. Atributo]],[1]!Tabla5[#Data],6,FALSE)</f>
        <v>Select</v>
      </c>
      <c r="F64">
        <v>2</v>
      </c>
      <c r="G64">
        <v>2</v>
      </c>
      <c r="H64" t="s">
        <v>65</v>
      </c>
      <c r="I64" t="str">
        <f>VLOOKUP(Tabla1[[#This Row],[Code]],'[1]Articulos Precio'!$A:$E,5,FALSE)</f>
        <v>A0001242</v>
      </c>
    </row>
    <row r="65" spans="1:9" x14ac:dyDescent="0.25">
      <c r="A65" t="s">
        <v>76</v>
      </c>
      <c r="B65" t="str">
        <f>VLOOKUP(Tabla1[[#This Row],[Code]],[1]!Tabla4[#Data],2,FALSE)</f>
        <v>Cartucho Ecopure 440ml EM2 Negro</v>
      </c>
      <c r="C65">
        <v>10</v>
      </c>
      <c r="D65" t="s">
        <v>66</v>
      </c>
      <c r="E65" t="str">
        <f>VLOOKUP(Tabla1[[#This Row],[Cód. Atributo]],[1]!Tabla5[#Data],6,FALSE)</f>
        <v>Color</v>
      </c>
      <c r="F65">
        <v>3</v>
      </c>
      <c r="G65">
        <v>8</v>
      </c>
      <c r="H65" t="s">
        <v>77</v>
      </c>
      <c r="I65" t="str">
        <f>VLOOKUP(Tabla1[[#This Row],[Code]],'[1]Articulos Precio'!$A:$E,5,FALSE)</f>
        <v>A0001242</v>
      </c>
    </row>
    <row r="66" spans="1:9" x14ac:dyDescent="0.25">
      <c r="A66" t="s">
        <v>78</v>
      </c>
      <c r="B66" t="str">
        <f>VLOOKUP(Tabla1[[#This Row],[Code]],[1]!Tabla4[#Data],2,FALSE)</f>
        <v>Cartucho Ecopure 880ml EM2 Amarillo</v>
      </c>
      <c r="C66">
        <v>9</v>
      </c>
      <c r="D66" t="s">
        <v>62</v>
      </c>
      <c r="E66" t="str">
        <f>VLOOKUP(Tabla1[[#This Row],[Cód. Atributo]],[1]!Tabla5[#Data],6,FALSE)</f>
        <v>Select</v>
      </c>
      <c r="F66">
        <v>1</v>
      </c>
      <c r="G66">
        <v>4</v>
      </c>
      <c r="H66" t="s">
        <v>79</v>
      </c>
      <c r="I66" t="str">
        <f>VLOOKUP(Tabla1[[#This Row],[Code]],'[1]Articulos Precio'!$A:$E,5,FALSE)</f>
        <v>A0001252</v>
      </c>
    </row>
    <row r="67" spans="1:9" x14ac:dyDescent="0.25">
      <c r="A67" t="s">
        <v>78</v>
      </c>
      <c r="B67" t="str">
        <f>VLOOKUP(Tabla1[[#This Row],[Code]],[1]!Tabla4[#Data],2,FALSE)</f>
        <v>Cartucho Ecopure 880ml EM2 Amarillo</v>
      </c>
      <c r="C67">
        <v>43</v>
      </c>
      <c r="D67" t="s">
        <v>64</v>
      </c>
      <c r="E67" t="str">
        <f>VLOOKUP(Tabla1[[#This Row],[Cód. Atributo]],[1]!Tabla5[#Data],6,FALSE)</f>
        <v>Select</v>
      </c>
      <c r="F67">
        <v>2</v>
      </c>
      <c r="G67">
        <v>2</v>
      </c>
      <c r="H67" t="s">
        <v>65</v>
      </c>
      <c r="I67" t="str">
        <f>VLOOKUP(Tabla1[[#This Row],[Code]],'[1]Articulos Precio'!$A:$E,5,FALSE)</f>
        <v>A0001252</v>
      </c>
    </row>
    <row r="68" spans="1:9" x14ac:dyDescent="0.25">
      <c r="A68" t="s">
        <v>78</v>
      </c>
      <c r="B68" t="str">
        <f>VLOOKUP(Tabla1[[#This Row],[Code]],[1]!Tabla4[#Data],2,FALSE)</f>
        <v>Cartucho Ecopure 880ml EM2 Amarillo</v>
      </c>
      <c r="C68">
        <v>10</v>
      </c>
      <c r="D68" t="s">
        <v>66</v>
      </c>
      <c r="E68" t="str">
        <f>VLOOKUP(Tabla1[[#This Row],[Cód. Atributo]],[1]!Tabla5[#Data],6,FALSE)</f>
        <v>Color</v>
      </c>
      <c r="F68">
        <v>3</v>
      </c>
      <c r="G68">
        <v>1</v>
      </c>
      <c r="H68" t="s">
        <v>67</v>
      </c>
      <c r="I68" t="str">
        <f>VLOOKUP(Tabla1[[#This Row],[Code]],'[1]Articulos Precio'!$A:$E,5,FALSE)</f>
        <v>A0001252</v>
      </c>
    </row>
    <row r="69" spans="1:9" x14ac:dyDescent="0.25">
      <c r="A69" t="s">
        <v>80</v>
      </c>
      <c r="B69" t="str">
        <f>VLOOKUP(Tabla1[[#This Row],[Code]],[1]!Tabla4[#Data],2,FALSE)</f>
        <v>Cartucho Ecopure 880ml EM2 Cyan</v>
      </c>
      <c r="C69">
        <v>9</v>
      </c>
      <c r="D69" t="s">
        <v>62</v>
      </c>
      <c r="E69" t="str">
        <f>VLOOKUP(Tabla1[[#This Row],[Cód. Atributo]],[1]!Tabla5[#Data],6,FALSE)</f>
        <v>Select</v>
      </c>
      <c r="F69">
        <v>1</v>
      </c>
      <c r="G69">
        <v>4</v>
      </c>
      <c r="H69" t="s">
        <v>79</v>
      </c>
      <c r="I69" t="str">
        <f>VLOOKUP(Tabla1[[#This Row],[Code]],'[1]Articulos Precio'!$A:$E,5,FALSE)</f>
        <v>A0001252</v>
      </c>
    </row>
    <row r="70" spans="1:9" x14ac:dyDescent="0.25">
      <c r="A70" t="s">
        <v>80</v>
      </c>
      <c r="B70" t="str">
        <f>VLOOKUP(Tabla1[[#This Row],[Code]],[1]!Tabla4[#Data],2,FALSE)</f>
        <v>Cartucho Ecopure 880ml EM2 Cyan</v>
      </c>
      <c r="C70">
        <v>43</v>
      </c>
      <c r="D70" t="s">
        <v>64</v>
      </c>
      <c r="E70" t="str">
        <f>VLOOKUP(Tabla1[[#This Row],[Cód. Atributo]],[1]!Tabla5[#Data],6,FALSE)</f>
        <v>Select</v>
      </c>
      <c r="F70">
        <v>2</v>
      </c>
      <c r="G70">
        <v>2</v>
      </c>
      <c r="H70" t="s">
        <v>65</v>
      </c>
      <c r="I70" t="str">
        <f>VLOOKUP(Tabla1[[#This Row],[Code]],'[1]Articulos Precio'!$A:$E,5,FALSE)</f>
        <v>A0001252</v>
      </c>
    </row>
    <row r="71" spans="1:9" x14ac:dyDescent="0.25">
      <c r="A71" t="s">
        <v>80</v>
      </c>
      <c r="B71" t="str">
        <f>VLOOKUP(Tabla1[[#This Row],[Code]],[1]!Tabla4[#Data],2,FALSE)</f>
        <v>Cartucho Ecopure 880ml EM2 Cyan</v>
      </c>
      <c r="C71">
        <v>10</v>
      </c>
      <c r="D71" t="s">
        <v>66</v>
      </c>
      <c r="E71" t="str">
        <f>VLOOKUP(Tabla1[[#This Row],[Cód. Atributo]],[1]!Tabla5[#Data],6,FALSE)</f>
        <v>Color</v>
      </c>
      <c r="F71">
        <v>3</v>
      </c>
      <c r="G71">
        <v>3</v>
      </c>
      <c r="H71" t="s">
        <v>69</v>
      </c>
      <c r="I71" t="str">
        <f>VLOOKUP(Tabla1[[#This Row],[Code]],'[1]Articulos Precio'!$A:$E,5,FALSE)</f>
        <v>A0001252</v>
      </c>
    </row>
    <row r="72" spans="1:9" x14ac:dyDescent="0.25">
      <c r="A72" t="s">
        <v>81</v>
      </c>
      <c r="B72" t="str">
        <f>VLOOKUP(Tabla1[[#This Row],[Code]],[1]!Tabla4[#Data],2,FALSE)</f>
        <v>Cartucho Ecopure 880ml EM2 Light Cyan</v>
      </c>
      <c r="C72">
        <v>9</v>
      </c>
      <c r="D72" t="s">
        <v>62</v>
      </c>
      <c r="E72" t="str">
        <f>VLOOKUP(Tabla1[[#This Row],[Cód. Atributo]],[1]!Tabla5[#Data],6,FALSE)</f>
        <v>Select</v>
      </c>
      <c r="F72">
        <v>1</v>
      </c>
      <c r="G72">
        <v>4</v>
      </c>
      <c r="H72" t="s">
        <v>79</v>
      </c>
      <c r="I72" t="str">
        <f>VLOOKUP(Tabla1[[#This Row],[Code]],'[1]Articulos Precio'!$A:$E,5,FALSE)</f>
        <v>A0001252</v>
      </c>
    </row>
    <row r="73" spans="1:9" x14ac:dyDescent="0.25">
      <c r="A73" t="s">
        <v>81</v>
      </c>
      <c r="B73" t="str">
        <f>VLOOKUP(Tabla1[[#This Row],[Code]],[1]!Tabla4[#Data],2,FALSE)</f>
        <v>Cartucho Ecopure 880ml EM2 Light Cyan</v>
      </c>
      <c r="C73">
        <v>43</v>
      </c>
      <c r="D73" t="s">
        <v>64</v>
      </c>
      <c r="E73" t="str">
        <f>VLOOKUP(Tabla1[[#This Row],[Cód. Atributo]],[1]!Tabla5[#Data],6,FALSE)</f>
        <v>Select</v>
      </c>
      <c r="F73">
        <v>2</v>
      </c>
      <c r="G73">
        <v>2</v>
      </c>
      <c r="H73" t="s">
        <v>65</v>
      </c>
      <c r="I73" t="str">
        <f>VLOOKUP(Tabla1[[#This Row],[Code]],'[1]Articulos Precio'!$A:$E,5,FALSE)</f>
        <v>A0001252</v>
      </c>
    </row>
    <row r="74" spans="1:9" x14ac:dyDescent="0.25">
      <c r="A74" t="s">
        <v>81</v>
      </c>
      <c r="B74" t="str">
        <f>VLOOKUP(Tabla1[[#This Row],[Code]],[1]!Tabla4[#Data],2,FALSE)</f>
        <v>Cartucho Ecopure 880ml EM2 Light Cyan</v>
      </c>
      <c r="C74">
        <v>10</v>
      </c>
      <c r="D74" t="s">
        <v>66</v>
      </c>
      <c r="E74" t="str">
        <f>VLOOKUP(Tabla1[[#This Row],[Cód. Atributo]],[1]!Tabla5[#Data],6,FALSE)</f>
        <v>Color</v>
      </c>
      <c r="F74">
        <v>3</v>
      </c>
      <c r="G74">
        <v>4</v>
      </c>
      <c r="H74" t="s">
        <v>71</v>
      </c>
      <c r="I74" t="str">
        <f>VLOOKUP(Tabla1[[#This Row],[Code]],'[1]Articulos Precio'!$A:$E,5,FALSE)</f>
        <v>A0001252</v>
      </c>
    </row>
    <row r="75" spans="1:9" x14ac:dyDescent="0.25">
      <c r="A75" t="s">
        <v>82</v>
      </c>
      <c r="B75" t="str">
        <f>VLOOKUP(Tabla1[[#This Row],[Code]],[1]!Tabla4[#Data],2,FALSE)</f>
        <v>Cartucho Ecopure 880ml EM2 Light Magenta</v>
      </c>
      <c r="C75">
        <v>9</v>
      </c>
      <c r="D75" t="s">
        <v>62</v>
      </c>
      <c r="E75" t="str">
        <f>VLOOKUP(Tabla1[[#This Row],[Cód. Atributo]],[1]!Tabla5[#Data],6,FALSE)</f>
        <v>Select</v>
      </c>
      <c r="F75">
        <v>1</v>
      </c>
      <c r="G75">
        <v>4</v>
      </c>
      <c r="H75" t="s">
        <v>79</v>
      </c>
      <c r="I75" t="str">
        <f>VLOOKUP(Tabla1[[#This Row],[Code]],'[1]Articulos Precio'!$A:$E,5,FALSE)</f>
        <v>A0001252</v>
      </c>
    </row>
    <row r="76" spans="1:9" x14ac:dyDescent="0.25">
      <c r="A76" t="s">
        <v>82</v>
      </c>
      <c r="B76" t="str">
        <f>VLOOKUP(Tabla1[[#This Row],[Code]],[1]!Tabla4[#Data],2,FALSE)</f>
        <v>Cartucho Ecopure 880ml EM2 Light Magenta</v>
      </c>
      <c r="C76">
        <v>43</v>
      </c>
      <c r="D76" t="s">
        <v>64</v>
      </c>
      <c r="E76" t="str">
        <f>VLOOKUP(Tabla1[[#This Row],[Cód. Atributo]],[1]!Tabla5[#Data],6,FALSE)</f>
        <v>Select</v>
      </c>
      <c r="F76">
        <v>2</v>
      </c>
      <c r="G76">
        <v>2</v>
      </c>
      <c r="H76" t="s">
        <v>65</v>
      </c>
      <c r="I76" t="str">
        <f>VLOOKUP(Tabla1[[#This Row],[Code]],'[1]Articulos Precio'!$A:$E,5,FALSE)</f>
        <v>A0001252</v>
      </c>
    </row>
    <row r="77" spans="1:9" x14ac:dyDescent="0.25">
      <c r="A77" t="s">
        <v>82</v>
      </c>
      <c r="B77" t="str">
        <f>VLOOKUP(Tabla1[[#This Row],[Code]],[1]!Tabla4[#Data],2,FALSE)</f>
        <v>Cartucho Ecopure 880ml EM2 Light Magenta</v>
      </c>
      <c r="C77">
        <v>10</v>
      </c>
      <c r="D77" t="s">
        <v>66</v>
      </c>
      <c r="E77" t="str">
        <f>VLOOKUP(Tabla1[[#This Row],[Cód. Atributo]],[1]!Tabla5[#Data],6,FALSE)</f>
        <v>Color</v>
      </c>
      <c r="F77">
        <v>3</v>
      </c>
      <c r="G77">
        <v>5</v>
      </c>
      <c r="H77" t="s">
        <v>73</v>
      </c>
      <c r="I77" t="str">
        <f>VLOOKUP(Tabla1[[#This Row],[Code]],'[1]Articulos Precio'!$A:$E,5,FALSE)</f>
        <v>A0001252</v>
      </c>
    </row>
    <row r="78" spans="1:9" x14ac:dyDescent="0.25">
      <c r="A78" t="s">
        <v>83</v>
      </c>
      <c r="B78" t="str">
        <f>VLOOKUP(Tabla1[[#This Row],[Code]],[1]!Tabla4[#Data],2,FALSE)</f>
        <v>Cartucho Ecopure 880ml EM2 Magenta</v>
      </c>
      <c r="C78">
        <v>9</v>
      </c>
      <c r="D78" t="s">
        <v>62</v>
      </c>
      <c r="E78" t="str">
        <f>VLOOKUP(Tabla1[[#This Row],[Cód. Atributo]],[1]!Tabla5[#Data],6,FALSE)</f>
        <v>Select</v>
      </c>
      <c r="F78">
        <v>1</v>
      </c>
      <c r="G78">
        <v>4</v>
      </c>
      <c r="H78" t="s">
        <v>79</v>
      </c>
      <c r="I78" t="str">
        <f>VLOOKUP(Tabla1[[#This Row],[Code]],'[1]Articulos Precio'!$A:$E,5,FALSE)</f>
        <v>A0001252</v>
      </c>
    </row>
    <row r="79" spans="1:9" x14ac:dyDescent="0.25">
      <c r="A79" t="s">
        <v>83</v>
      </c>
      <c r="B79" t="str">
        <f>VLOOKUP(Tabla1[[#This Row],[Code]],[1]!Tabla4[#Data],2,FALSE)</f>
        <v>Cartucho Ecopure 880ml EM2 Magenta</v>
      </c>
      <c r="C79">
        <v>43</v>
      </c>
      <c r="D79" t="s">
        <v>64</v>
      </c>
      <c r="E79" t="str">
        <f>VLOOKUP(Tabla1[[#This Row],[Cód. Atributo]],[1]!Tabla5[#Data],6,FALSE)</f>
        <v>Select</v>
      </c>
      <c r="F79">
        <v>2</v>
      </c>
      <c r="G79">
        <v>2</v>
      </c>
      <c r="H79" t="s">
        <v>65</v>
      </c>
      <c r="I79" t="str">
        <f>VLOOKUP(Tabla1[[#This Row],[Code]],'[1]Articulos Precio'!$A:$E,5,FALSE)</f>
        <v>A0001252</v>
      </c>
    </row>
    <row r="80" spans="1:9" x14ac:dyDescent="0.25">
      <c r="A80" t="s">
        <v>83</v>
      </c>
      <c r="B80" t="str">
        <f>VLOOKUP(Tabla1[[#This Row],[Code]],[1]!Tabla4[#Data],2,FALSE)</f>
        <v>Cartucho Ecopure 880ml EM2 Magenta</v>
      </c>
      <c r="C80">
        <v>10</v>
      </c>
      <c r="D80" t="s">
        <v>66</v>
      </c>
      <c r="E80" t="str">
        <f>VLOOKUP(Tabla1[[#This Row],[Cód. Atributo]],[1]!Tabla5[#Data],6,FALSE)</f>
        <v>Color</v>
      </c>
      <c r="F80">
        <v>3</v>
      </c>
      <c r="G80">
        <v>7</v>
      </c>
      <c r="H80" t="s">
        <v>75</v>
      </c>
      <c r="I80" t="str">
        <f>VLOOKUP(Tabla1[[#This Row],[Code]],'[1]Articulos Precio'!$A:$E,5,FALSE)</f>
        <v>A0001252</v>
      </c>
    </row>
    <row r="81" spans="1:9" x14ac:dyDescent="0.25">
      <c r="A81" t="s">
        <v>84</v>
      </c>
      <c r="B81" t="str">
        <f>VLOOKUP(Tabla1[[#This Row],[Code]],[1]!Tabla4[#Data],2,FALSE)</f>
        <v>Cartucho Ecopure 880ml EM2 Negro</v>
      </c>
      <c r="C81">
        <v>9</v>
      </c>
      <c r="D81" t="s">
        <v>62</v>
      </c>
      <c r="E81" t="str">
        <f>VLOOKUP(Tabla1[[#This Row],[Cód. Atributo]],[1]!Tabla5[#Data],6,FALSE)</f>
        <v>Select</v>
      </c>
      <c r="F81">
        <v>1</v>
      </c>
      <c r="G81">
        <v>4</v>
      </c>
      <c r="H81" t="s">
        <v>79</v>
      </c>
      <c r="I81" t="str">
        <f>VLOOKUP(Tabla1[[#This Row],[Code]],'[1]Articulos Precio'!$A:$E,5,FALSE)</f>
        <v>A0001252</v>
      </c>
    </row>
    <row r="82" spans="1:9" x14ac:dyDescent="0.25">
      <c r="A82" t="s">
        <v>84</v>
      </c>
      <c r="B82" t="str">
        <f>VLOOKUP(Tabla1[[#This Row],[Code]],[1]!Tabla4[#Data],2,FALSE)</f>
        <v>Cartucho Ecopure 880ml EM2 Negro</v>
      </c>
      <c r="C82">
        <v>43</v>
      </c>
      <c r="D82" t="s">
        <v>64</v>
      </c>
      <c r="E82" t="str">
        <f>VLOOKUP(Tabla1[[#This Row],[Cód. Atributo]],[1]!Tabla5[#Data],6,FALSE)</f>
        <v>Select</v>
      </c>
      <c r="F82">
        <v>2</v>
      </c>
      <c r="G82">
        <v>2</v>
      </c>
      <c r="H82" t="s">
        <v>65</v>
      </c>
      <c r="I82" t="str">
        <f>VLOOKUP(Tabla1[[#This Row],[Code]],'[1]Articulos Precio'!$A:$E,5,FALSE)</f>
        <v>A0001252</v>
      </c>
    </row>
    <row r="83" spans="1:9" x14ac:dyDescent="0.25">
      <c r="A83" t="s">
        <v>84</v>
      </c>
      <c r="B83" t="str">
        <f>VLOOKUP(Tabla1[[#This Row],[Code]],[1]!Tabla4[#Data],2,FALSE)</f>
        <v>Cartucho Ecopure 880ml EM2 Negro</v>
      </c>
      <c r="C83">
        <v>10</v>
      </c>
      <c r="D83" t="s">
        <v>66</v>
      </c>
      <c r="E83" t="str">
        <f>VLOOKUP(Tabla1[[#This Row],[Cód. Atributo]],[1]!Tabla5[#Data],6,FALSE)</f>
        <v>Color</v>
      </c>
      <c r="F83">
        <v>3</v>
      </c>
      <c r="G83">
        <v>8</v>
      </c>
      <c r="H83" t="s">
        <v>77</v>
      </c>
      <c r="I83" t="str">
        <f>VLOOKUP(Tabla1[[#This Row],[Code]],'[1]Articulos Precio'!$A:$E,5,FALSE)</f>
        <v>A0001252</v>
      </c>
    </row>
    <row r="84" spans="1:9" x14ac:dyDescent="0.25">
      <c r="A84" t="s">
        <v>85</v>
      </c>
      <c r="B84" t="str">
        <f>VLOOKUP(Tabla1[[#This Row],[Code]],[1]!Tabla4[#Data],2,FALSE)</f>
        <v>M2 MetaCast MCX 00 Blanco Brillo 1,52x30m</v>
      </c>
      <c r="C84">
        <v>8</v>
      </c>
      <c r="D84" t="s">
        <v>86</v>
      </c>
      <c r="E84" t="str">
        <f>VLOOKUP(Tabla1[[#This Row],[Cód. Atributo]],[1]!Tabla5[#Data],6,FALSE)</f>
        <v>Select</v>
      </c>
      <c r="F84">
        <v>1</v>
      </c>
      <c r="G84">
        <v>4</v>
      </c>
      <c r="H84" t="s">
        <v>87</v>
      </c>
      <c r="I84" t="str">
        <f>VLOOKUP(Tabla1[[#This Row],[Code]],'[1]Articulos Precio'!$A:$E,5,FALSE)</f>
        <v>A0002816</v>
      </c>
    </row>
    <row r="85" spans="1:9" x14ac:dyDescent="0.25">
      <c r="A85" t="s">
        <v>85</v>
      </c>
      <c r="B85" t="str">
        <f>VLOOKUP(Tabla1[[#This Row],[Code]],[1]!Tabla4[#Data],2,FALSE)</f>
        <v>M2 MetaCast MCX 00 Blanco Brillo 1,52x30m</v>
      </c>
      <c r="C85">
        <v>53</v>
      </c>
      <c r="D85" t="s">
        <v>88</v>
      </c>
      <c r="E85" t="str">
        <f>VLOOKUP(Tabla1[[#This Row],[Cód. Atributo]],[1]!Tabla5[#Data],6,FALSE)</f>
        <v>Color</v>
      </c>
      <c r="F85">
        <v>2</v>
      </c>
      <c r="G85">
        <v>1</v>
      </c>
      <c r="H85" t="s">
        <v>89</v>
      </c>
      <c r="I85" t="str">
        <f>VLOOKUP(Tabla1[[#This Row],[Code]],'[1]Articulos Precio'!$A:$E,5,FALSE)</f>
        <v>A0002816</v>
      </c>
    </row>
    <row r="86" spans="1:9" x14ac:dyDescent="0.25">
      <c r="A86" t="s">
        <v>85</v>
      </c>
      <c r="B86" t="str">
        <f>VLOOKUP(Tabla1[[#This Row],[Code]],[1]!Tabla4[#Data],2,FALSE)</f>
        <v>M2 MetaCast MCX 00 Blanco Brillo 1,52x30m</v>
      </c>
      <c r="C86">
        <v>23</v>
      </c>
      <c r="D86" t="s">
        <v>90</v>
      </c>
      <c r="E86" t="str">
        <f>VLOOKUP(Tabla1[[#This Row],[Cód. Atributo]],[1]!Tabla5[#Data],6,FALSE)</f>
        <v>Select</v>
      </c>
      <c r="F86">
        <v>3</v>
      </c>
      <c r="G86">
        <v>3</v>
      </c>
      <c r="H86" t="s">
        <v>91</v>
      </c>
      <c r="I86" t="str">
        <f>VLOOKUP(Tabla1[[#This Row],[Code]],'[1]Articulos Precio'!$A:$E,5,FALSE)</f>
        <v>A0002816</v>
      </c>
    </row>
    <row r="87" spans="1:9" x14ac:dyDescent="0.25">
      <c r="A87" t="s">
        <v>85</v>
      </c>
      <c r="B87" t="str">
        <f>VLOOKUP(Tabla1[[#This Row],[Code]],[1]!Tabla4[#Data],2,FALSE)</f>
        <v>M2 MetaCast MCX 00 Blanco Brillo 1,52x30m</v>
      </c>
      <c r="C87">
        <v>28</v>
      </c>
      <c r="D87" t="s">
        <v>92</v>
      </c>
      <c r="E87" t="str">
        <f>VLOOKUP(Tabla1[[#This Row],[Cód. Atributo]],[1]!Tabla5[#Data],6,FALSE)</f>
        <v>Select</v>
      </c>
      <c r="F87">
        <v>4</v>
      </c>
      <c r="G87">
        <v>1</v>
      </c>
      <c r="H87" t="s">
        <v>93</v>
      </c>
      <c r="I87" t="str">
        <f>VLOOKUP(Tabla1[[#This Row],[Code]],'[1]Articulos Precio'!$A:$E,5,FALSE)</f>
        <v>A0002816</v>
      </c>
    </row>
    <row r="88" spans="1:9" x14ac:dyDescent="0.25">
      <c r="A88" t="s">
        <v>85</v>
      </c>
      <c r="B88" t="str">
        <f>VLOOKUP(Tabla1[[#This Row],[Code]],[1]!Tabla4[#Data],2,FALSE)</f>
        <v>M2 MetaCast MCX 00 Blanco Brillo 1,52x30m</v>
      </c>
      <c r="C88">
        <v>25</v>
      </c>
      <c r="D88" t="s">
        <v>94</v>
      </c>
      <c r="E88" t="str">
        <f>VLOOKUP(Tabla1[[#This Row],[Cód. Atributo]],[1]!Tabla5[#Data],6,FALSE)</f>
        <v>Select</v>
      </c>
      <c r="F88">
        <v>5</v>
      </c>
      <c r="G88">
        <v>6</v>
      </c>
      <c r="H88" t="s">
        <v>95</v>
      </c>
      <c r="I88" t="str">
        <f>VLOOKUP(Tabla1[[#This Row],[Code]],'[1]Articulos Precio'!$A:$E,5,FALSE)</f>
        <v>A0002816</v>
      </c>
    </row>
    <row r="89" spans="1:9" x14ac:dyDescent="0.25">
      <c r="A89" t="s">
        <v>85</v>
      </c>
      <c r="B89" t="str">
        <f>VLOOKUP(Tabla1[[#This Row],[Code]],[1]!Tabla4[#Data],2,FALSE)</f>
        <v>M2 MetaCast MCX 00 Blanco Brillo 1,52x30m</v>
      </c>
      <c r="C89">
        <v>24</v>
      </c>
      <c r="D89" t="s">
        <v>96</v>
      </c>
      <c r="E89" t="str">
        <f>VLOOKUP(Tabla1[[#This Row],[Cód. Atributo]],[1]!Tabla5[#Data],6,FALSE)</f>
        <v>Select</v>
      </c>
      <c r="F89">
        <v>6</v>
      </c>
      <c r="G89">
        <v>6</v>
      </c>
      <c r="H89" t="s">
        <v>97</v>
      </c>
      <c r="I89" t="str">
        <f>VLOOKUP(Tabla1[[#This Row],[Code]],'[1]Articulos Precio'!$A:$E,5,FALSE)</f>
        <v>A0002816</v>
      </c>
    </row>
    <row r="90" spans="1:9" x14ac:dyDescent="0.25">
      <c r="A90" t="s">
        <v>98</v>
      </c>
      <c r="B90" t="str">
        <f>VLOOKUP(Tabla1[[#This Row],[Code]],[1]!Tabla4[#Data],2,FALSE)</f>
        <v>M2 MetaCast MCX 10 Negro Brillo 1,52x30m</v>
      </c>
      <c r="C90">
        <v>8</v>
      </c>
      <c r="D90" t="s">
        <v>86</v>
      </c>
      <c r="E90" t="str">
        <f>VLOOKUP(Tabla1[[#This Row],[Cód. Atributo]],[1]!Tabla5[#Data],6,FALSE)</f>
        <v>Select</v>
      </c>
      <c r="F90">
        <v>1</v>
      </c>
      <c r="G90">
        <v>4</v>
      </c>
      <c r="H90" t="s">
        <v>87</v>
      </c>
      <c r="I90" t="str">
        <f>VLOOKUP(Tabla1[[#This Row],[Code]],'[1]Articulos Precio'!$A:$E,5,FALSE)</f>
        <v>A0002816</v>
      </c>
    </row>
    <row r="91" spans="1:9" x14ac:dyDescent="0.25">
      <c r="A91" t="s">
        <v>98</v>
      </c>
      <c r="B91" t="str">
        <f>VLOOKUP(Tabla1[[#This Row],[Code]],[1]!Tabla4[#Data],2,FALSE)</f>
        <v>M2 MetaCast MCX 10 Negro Brillo 1,52x30m</v>
      </c>
      <c r="C91">
        <v>53</v>
      </c>
      <c r="D91" t="s">
        <v>88</v>
      </c>
      <c r="E91" t="str">
        <f>VLOOKUP(Tabla1[[#This Row],[Cód. Atributo]],[1]!Tabla5[#Data],6,FALSE)</f>
        <v>Color</v>
      </c>
      <c r="F91">
        <v>2</v>
      </c>
      <c r="G91">
        <v>2</v>
      </c>
      <c r="H91" t="s">
        <v>99</v>
      </c>
      <c r="I91" t="str">
        <f>VLOOKUP(Tabla1[[#This Row],[Code]],'[1]Articulos Precio'!$A:$E,5,FALSE)</f>
        <v>A0002816</v>
      </c>
    </row>
    <row r="92" spans="1:9" x14ac:dyDescent="0.25">
      <c r="A92" t="s">
        <v>98</v>
      </c>
      <c r="B92" t="str">
        <f>VLOOKUP(Tabla1[[#This Row],[Code]],[1]!Tabla4[#Data],2,FALSE)</f>
        <v>M2 MetaCast MCX 10 Negro Brillo 1,52x30m</v>
      </c>
      <c r="C92">
        <v>23</v>
      </c>
      <c r="D92" t="s">
        <v>90</v>
      </c>
      <c r="E92" t="str">
        <f>VLOOKUP(Tabla1[[#This Row],[Cód. Atributo]],[1]!Tabla5[#Data],6,FALSE)</f>
        <v>Select</v>
      </c>
      <c r="F92">
        <v>3</v>
      </c>
      <c r="G92">
        <v>3</v>
      </c>
      <c r="H92" t="s">
        <v>91</v>
      </c>
      <c r="I92" t="str">
        <f>VLOOKUP(Tabla1[[#This Row],[Code]],'[1]Articulos Precio'!$A:$E,5,FALSE)</f>
        <v>A0002816</v>
      </c>
    </row>
    <row r="93" spans="1:9" x14ac:dyDescent="0.25">
      <c r="A93" t="s">
        <v>98</v>
      </c>
      <c r="B93" t="str">
        <f>VLOOKUP(Tabla1[[#This Row],[Code]],[1]!Tabla4[#Data],2,FALSE)</f>
        <v>M2 MetaCast MCX 10 Negro Brillo 1,52x30m</v>
      </c>
      <c r="C93">
        <v>28</v>
      </c>
      <c r="D93" t="s">
        <v>92</v>
      </c>
      <c r="E93" t="str">
        <f>VLOOKUP(Tabla1[[#This Row],[Cód. Atributo]],[1]!Tabla5[#Data],6,FALSE)</f>
        <v>Select</v>
      </c>
      <c r="F93">
        <v>4</v>
      </c>
      <c r="G93">
        <v>1</v>
      </c>
      <c r="H93" t="s">
        <v>93</v>
      </c>
      <c r="I93" t="str">
        <f>VLOOKUP(Tabla1[[#This Row],[Code]],'[1]Articulos Precio'!$A:$E,5,FALSE)</f>
        <v>A0002816</v>
      </c>
    </row>
    <row r="94" spans="1:9" x14ac:dyDescent="0.25">
      <c r="A94" t="s">
        <v>98</v>
      </c>
      <c r="B94" t="str">
        <f>VLOOKUP(Tabla1[[#This Row],[Code]],[1]!Tabla4[#Data],2,FALSE)</f>
        <v>M2 MetaCast MCX 10 Negro Brillo 1,52x30m</v>
      </c>
      <c r="C94">
        <v>25</v>
      </c>
      <c r="D94" t="s">
        <v>94</v>
      </c>
      <c r="E94" t="str">
        <f>VLOOKUP(Tabla1[[#This Row],[Cód. Atributo]],[1]!Tabla5[#Data],6,FALSE)</f>
        <v>Select</v>
      </c>
      <c r="F94">
        <v>5</v>
      </c>
      <c r="G94">
        <v>6</v>
      </c>
      <c r="H94" t="s">
        <v>95</v>
      </c>
      <c r="I94" t="str">
        <f>VLOOKUP(Tabla1[[#This Row],[Code]],'[1]Articulos Precio'!$A:$E,5,FALSE)</f>
        <v>A0002816</v>
      </c>
    </row>
    <row r="95" spans="1:9" x14ac:dyDescent="0.25">
      <c r="A95" t="s">
        <v>98</v>
      </c>
      <c r="B95" t="str">
        <f>VLOOKUP(Tabla1[[#This Row],[Code]],[1]!Tabla4[#Data],2,FALSE)</f>
        <v>M2 MetaCast MCX 10 Negro Brillo 1,52x30m</v>
      </c>
      <c r="C95">
        <v>24</v>
      </c>
      <c r="D95" t="s">
        <v>96</v>
      </c>
      <c r="E95" t="str">
        <f>VLOOKUP(Tabla1[[#This Row],[Cód. Atributo]],[1]!Tabla5[#Data],6,FALSE)</f>
        <v>Select</v>
      </c>
      <c r="F95">
        <v>6</v>
      </c>
      <c r="G95">
        <v>6</v>
      </c>
      <c r="H95" t="s">
        <v>97</v>
      </c>
      <c r="I95" t="str">
        <f>VLOOKUP(Tabla1[[#This Row],[Code]],'[1]Articulos Precio'!$A:$E,5,FALSE)</f>
        <v>A0002816</v>
      </c>
    </row>
    <row r="96" spans="1:9" x14ac:dyDescent="0.25">
      <c r="A96" t="s">
        <v>100</v>
      </c>
      <c r="B96" t="str">
        <f>VLOOKUP(Tabla1[[#This Row],[Code]],[1]!Tabla4[#Data],2,FALSE)</f>
        <v>M2 MetaCast MCX 12 Negro Mate 1,52x30m</v>
      </c>
      <c r="C96">
        <v>8</v>
      </c>
      <c r="D96" t="s">
        <v>86</v>
      </c>
      <c r="E96" t="str">
        <f>VLOOKUP(Tabla1[[#This Row],[Cód. Atributo]],[1]!Tabla5[#Data],6,FALSE)</f>
        <v>Select</v>
      </c>
      <c r="F96">
        <v>1</v>
      </c>
      <c r="G96">
        <v>4</v>
      </c>
      <c r="H96" t="s">
        <v>87</v>
      </c>
      <c r="I96" t="str">
        <f>VLOOKUP(Tabla1[[#This Row],[Code]],'[1]Articulos Precio'!$A:$E,5,FALSE)</f>
        <v>A0002816</v>
      </c>
    </row>
    <row r="97" spans="1:9" x14ac:dyDescent="0.25">
      <c r="A97" t="s">
        <v>100</v>
      </c>
      <c r="B97" t="str">
        <f>VLOOKUP(Tabla1[[#This Row],[Code]],[1]!Tabla4[#Data],2,FALSE)</f>
        <v>M2 MetaCast MCX 12 Negro Mate 1,52x30m</v>
      </c>
      <c r="C97">
        <v>53</v>
      </c>
      <c r="D97" t="s">
        <v>88</v>
      </c>
      <c r="E97" t="str">
        <f>VLOOKUP(Tabla1[[#This Row],[Cód. Atributo]],[1]!Tabla5[#Data],6,FALSE)</f>
        <v>Color</v>
      </c>
      <c r="F97">
        <v>2</v>
      </c>
      <c r="G97">
        <v>3</v>
      </c>
      <c r="H97" t="s">
        <v>101</v>
      </c>
      <c r="I97" t="str">
        <f>VLOOKUP(Tabla1[[#This Row],[Code]],'[1]Articulos Precio'!$A:$E,5,FALSE)</f>
        <v>A0002816</v>
      </c>
    </row>
    <row r="98" spans="1:9" x14ac:dyDescent="0.25">
      <c r="A98" t="s">
        <v>100</v>
      </c>
      <c r="B98" t="str">
        <f>VLOOKUP(Tabla1[[#This Row],[Code]],[1]!Tabla4[#Data],2,FALSE)</f>
        <v>M2 MetaCast MCX 12 Negro Mate 1,52x30m</v>
      </c>
      <c r="C98">
        <v>23</v>
      </c>
      <c r="D98" t="s">
        <v>90</v>
      </c>
      <c r="E98" t="str">
        <f>VLOOKUP(Tabla1[[#This Row],[Cód. Atributo]],[1]!Tabla5[#Data],6,FALSE)</f>
        <v>Select</v>
      </c>
      <c r="F98">
        <v>3</v>
      </c>
      <c r="G98">
        <v>3</v>
      </c>
      <c r="H98" t="s">
        <v>91</v>
      </c>
      <c r="I98" t="str">
        <f>VLOOKUP(Tabla1[[#This Row],[Code]],'[1]Articulos Precio'!$A:$E,5,FALSE)</f>
        <v>A0002816</v>
      </c>
    </row>
    <row r="99" spans="1:9" x14ac:dyDescent="0.25">
      <c r="A99" t="s">
        <v>100</v>
      </c>
      <c r="B99" t="str">
        <f>VLOOKUP(Tabla1[[#This Row],[Code]],[1]!Tabla4[#Data],2,FALSE)</f>
        <v>M2 MetaCast MCX 12 Negro Mate 1,52x30m</v>
      </c>
      <c r="C99">
        <v>28</v>
      </c>
      <c r="D99" t="s">
        <v>92</v>
      </c>
      <c r="E99" t="str">
        <f>VLOOKUP(Tabla1[[#This Row],[Cód. Atributo]],[1]!Tabla5[#Data],6,FALSE)</f>
        <v>Select</v>
      </c>
      <c r="F99">
        <v>4</v>
      </c>
      <c r="G99">
        <v>2</v>
      </c>
      <c r="H99" t="s">
        <v>102</v>
      </c>
      <c r="I99" t="str">
        <f>VLOOKUP(Tabla1[[#This Row],[Code]],'[1]Articulos Precio'!$A:$E,5,FALSE)</f>
        <v>A0002816</v>
      </c>
    </row>
    <row r="100" spans="1:9" x14ac:dyDescent="0.25">
      <c r="A100" t="s">
        <v>100</v>
      </c>
      <c r="B100" t="str">
        <f>VLOOKUP(Tabla1[[#This Row],[Code]],[1]!Tabla4[#Data],2,FALSE)</f>
        <v>M2 MetaCast MCX 12 Negro Mate 1,52x30m</v>
      </c>
      <c r="C100">
        <v>25</v>
      </c>
      <c r="D100" t="s">
        <v>94</v>
      </c>
      <c r="E100" t="str">
        <f>VLOOKUP(Tabla1[[#This Row],[Cód. Atributo]],[1]!Tabla5[#Data],6,FALSE)</f>
        <v>Select</v>
      </c>
      <c r="F100">
        <v>5</v>
      </c>
      <c r="G100">
        <v>6</v>
      </c>
      <c r="H100" t="s">
        <v>95</v>
      </c>
      <c r="I100" t="str">
        <f>VLOOKUP(Tabla1[[#This Row],[Code]],'[1]Articulos Precio'!$A:$E,5,FALSE)</f>
        <v>A0002816</v>
      </c>
    </row>
    <row r="101" spans="1:9" x14ac:dyDescent="0.25">
      <c r="A101" t="s">
        <v>100</v>
      </c>
      <c r="B101" t="str">
        <f>VLOOKUP(Tabla1[[#This Row],[Code]],[1]!Tabla4[#Data],2,FALSE)</f>
        <v>M2 MetaCast MCX 12 Negro Mate 1,52x30m</v>
      </c>
      <c r="C101">
        <v>24</v>
      </c>
      <c r="D101" t="s">
        <v>96</v>
      </c>
      <c r="E101" t="str">
        <f>VLOOKUP(Tabla1[[#This Row],[Cód. Atributo]],[1]!Tabla5[#Data],6,FALSE)</f>
        <v>Select</v>
      </c>
      <c r="F101">
        <v>6</v>
      </c>
      <c r="G101">
        <v>6</v>
      </c>
      <c r="H101" t="s">
        <v>97</v>
      </c>
      <c r="I101" t="str">
        <f>VLOOKUP(Tabla1[[#This Row],[Code]],'[1]Articulos Precio'!$A:$E,5,FALSE)</f>
        <v>A0002816</v>
      </c>
    </row>
    <row r="102" spans="1:9" x14ac:dyDescent="0.25">
      <c r="A102" t="s">
        <v>103</v>
      </c>
      <c r="B102" t="str">
        <f>VLOOKUP(Tabla1[[#This Row],[Code]],[1]!Tabla4[#Data],2,FALSE)</f>
        <v>M2 MetaCast MCX 22 Chalk Grey Brillo 1,52x30m</v>
      </c>
      <c r="C102">
        <v>8</v>
      </c>
      <c r="D102" t="s">
        <v>86</v>
      </c>
      <c r="E102" t="str">
        <f>VLOOKUP(Tabla1[[#This Row],[Cód. Atributo]],[1]!Tabla5[#Data],6,FALSE)</f>
        <v>Select</v>
      </c>
      <c r="F102">
        <v>1</v>
      </c>
      <c r="G102">
        <v>4</v>
      </c>
      <c r="H102" t="s">
        <v>87</v>
      </c>
      <c r="I102" t="str">
        <f>VLOOKUP(Tabla1[[#This Row],[Code]],'[1]Articulos Precio'!$A:$E,5,FALSE)</f>
        <v>A0002816</v>
      </c>
    </row>
    <row r="103" spans="1:9" x14ac:dyDescent="0.25">
      <c r="A103" t="s">
        <v>103</v>
      </c>
      <c r="B103" t="str">
        <f>VLOOKUP(Tabla1[[#This Row],[Code]],[1]!Tabla4[#Data],2,FALSE)</f>
        <v>M2 MetaCast MCX 22 Chalk Grey Brillo 1,52x30m</v>
      </c>
      <c r="C103">
        <v>53</v>
      </c>
      <c r="D103" t="s">
        <v>88</v>
      </c>
      <c r="E103" t="str">
        <f>VLOOKUP(Tabla1[[#This Row],[Cód. Atributo]],[1]!Tabla5[#Data],6,FALSE)</f>
        <v>Color</v>
      </c>
      <c r="F103">
        <v>2</v>
      </c>
      <c r="G103">
        <v>4</v>
      </c>
      <c r="H103" t="s">
        <v>104</v>
      </c>
      <c r="I103" t="str">
        <f>VLOOKUP(Tabla1[[#This Row],[Code]],'[1]Articulos Precio'!$A:$E,5,FALSE)</f>
        <v>A0002816</v>
      </c>
    </row>
    <row r="104" spans="1:9" x14ac:dyDescent="0.25">
      <c r="A104" t="s">
        <v>103</v>
      </c>
      <c r="B104" t="str">
        <f>VLOOKUP(Tabla1[[#This Row],[Code]],[1]!Tabla4[#Data],2,FALSE)</f>
        <v>M2 MetaCast MCX 22 Chalk Grey Brillo 1,52x30m</v>
      </c>
      <c r="C104">
        <v>23</v>
      </c>
      <c r="D104" t="s">
        <v>90</v>
      </c>
      <c r="E104" t="str">
        <f>VLOOKUP(Tabla1[[#This Row],[Cód. Atributo]],[1]!Tabla5[#Data],6,FALSE)</f>
        <v>Select</v>
      </c>
      <c r="F104">
        <v>3</v>
      </c>
      <c r="G104">
        <v>3</v>
      </c>
      <c r="H104" t="s">
        <v>91</v>
      </c>
      <c r="I104" t="str">
        <f>VLOOKUP(Tabla1[[#This Row],[Code]],'[1]Articulos Precio'!$A:$E,5,FALSE)</f>
        <v>A0002816</v>
      </c>
    </row>
    <row r="105" spans="1:9" x14ac:dyDescent="0.25">
      <c r="A105" t="s">
        <v>103</v>
      </c>
      <c r="B105" t="str">
        <f>VLOOKUP(Tabla1[[#This Row],[Code]],[1]!Tabla4[#Data],2,FALSE)</f>
        <v>M2 MetaCast MCX 22 Chalk Grey Brillo 1,52x30m</v>
      </c>
      <c r="C105">
        <v>28</v>
      </c>
      <c r="D105" t="s">
        <v>92</v>
      </c>
      <c r="E105" t="str">
        <f>VLOOKUP(Tabla1[[#This Row],[Cód. Atributo]],[1]!Tabla5[#Data],6,FALSE)</f>
        <v>Select</v>
      </c>
      <c r="F105">
        <v>4</v>
      </c>
      <c r="G105">
        <v>1</v>
      </c>
      <c r="H105" t="s">
        <v>93</v>
      </c>
      <c r="I105" t="str">
        <f>VLOOKUP(Tabla1[[#This Row],[Code]],'[1]Articulos Precio'!$A:$E,5,FALSE)</f>
        <v>A0002816</v>
      </c>
    </row>
    <row r="106" spans="1:9" x14ac:dyDescent="0.25">
      <c r="A106" t="s">
        <v>103</v>
      </c>
      <c r="B106" t="str">
        <f>VLOOKUP(Tabla1[[#This Row],[Code]],[1]!Tabla4[#Data],2,FALSE)</f>
        <v>M2 MetaCast MCX 22 Chalk Grey Brillo 1,52x30m</v>
      </c>
      <c r="C106">
        <v>25</v>
      </c>
      <c r="D106" t="s">
        <v>94</v>
      </c>
      <c r="E106" t="str">
        <f>VLOOKUP(Tabla1[[#This Row],[Cód. Atributo]],[1]!Tabla5[#Data],6,FALSE)</f>
        <v>Select</v>
      </c>
      <c r="F106">
        <v>5</v>
      </c>
      <c r="G106">
        <v>6</v>
      </c>
      <c r="H106" t="s">
        <v>95</v>
      </c>
      <c r="I106" t="str">
        <f>VLOOKUP(Tabla1[[#This Row],[Code]],'[1]Articulos Precio'!$A:$E,5,FALSE)</f>
        <v>A0002816</v>
      </c>
    </row>
    <row r="107" spans="1:9" x14ac:dyDescent="0.25">
      <c r="A107" t="s">
        <v>103</v>
      </c>
      <c r="B107" t="str">
        <f>VLOOKUP(Tabla1[[#This Row],[Code]],[1]!Tabla4[#Data],2,FALSE)</f>
        <v>M2 MetaCast MCX 22 Chalk Grey Brillo 1,52x30m</v>
      </c>
      <c r="C107">
        <v>24</v>
      </c>
      <c r="D107" t="s">
        <v>96</v>
      </c>
      <c r="E107" t="str">
        <f>VLOOKUP(Tabla1[[#This Row],[Cód. Atributo]],[1]!Tabla5[#Data],6,FALSE)</f>
        <v>Select</v>
      </c>
      <c r="F107">
        <v>6</v>
      </c>
      <c r="G107">
        <v>6</v>
      </c>
      <c r="H107" t="s">
        <v>97</v>
      </c>
      <c r="I107" t="str">
        <f>VLOOKUP(Tabla1[[#This Row],[Code]],'[1]Articulos Precio'!$A:$E,5,FALSE)</f>
        <v>A0002816</v>
      </c>
    </row>
    <row r="108" spans="1:9" x14ac:dyDescent="0.25">
      <c r="A108" t="s">
        <v>105</v>
      </c>
      <c r="B108" t="str">
        <f>VLOOKUP(Tabla1[[#This Row],[Code]],[1]!Tabla4[#Data],2,FALSE)</f>
        <v>Rollo Metamark MD 100 (100mc) Brillo 1,6 x 50m</v>
      </c>
      <c r="C108">
        <v>1</v>
      </c>
      <c r="D108" t="s">
        <v>106</v>
      </c>
      <c r="E108" t="str">
        <f>VLOOKUP(Tabla1[[#This Row],[Cód. Atributo]],[1]!Tabla5[#Data],6,FALSE)</f>
        <v>Select</v>
      </c>
      <c r="F108">
        <v>1</v>
      </c>
      <c r="G108">
        <v>1</v>
      </c>
      <c r="H108" t="s">
        <v>107</v>
      </c>
      <c r="I108" t="str">
        <f>VLOOKUP(Tabla1[[#This Row],[Code]],'[1]Articulos Precio'!$A:$E,5,FALSE)</f>
        <v>A0000127</v>
      </c>
    </row>
    <row r="109" spans="1:9" x14ac:dyDescent="0.25">
      <c r="A109" t="s">
        <v>105</v>
      </c>
      <c r="B109" t="str">
        <f>VLOOKUP(Tabla1[[#This Row],[Code]],[1]!Tabla4[#Data],2,FALSE)</f>
        <v>Rollo Metamark MD 100 (100mc) Brillo 1,6 x 50m</v>
      </c>
      <c r="C109">
        <v>3</v>
      </c>
      <c r="D109" t="s">
        <v>108</v>
      </c>
      <c r="E109" t="str">
        <f>VLOOKUP(Tabla1[[#This Row],[Cód. Atributo]],[1]!Tabla5[#Data],6,FALSE)</f>
        <v>Select</v>
      </c>
      <c r="F109">
        <v>2</v>
      </c>
      <c r="G109">
        <v>4</v>
      </c>
      <c r="H109" t="s">
        <v>109</v>
      </c>
      <c r="I109" t="str">
        <f>VLOOKUP(Tabla1[[#This Row],[Code]],'[1]Articulos Precio'!$A:$E,5,FALSE)</f>
        <v>A0000127</v>
      </c>
    </row>
    <row r="110" spans="1:9" x14ac:dyDescent="0.25">
      <c r="A110" t="s">
        <v>105</v>
      </c>
      <c r="B110" t="str">
        <f>VLOOKUP(Tabla1[[#This Row],[Code]],[1]!Tabla4[#Data],2,FALSE)</f>
        <v>Rollo Metamark MD 100 (100mc) Brillo 1,6 x 50m</v>
      </c>
      <c r="C110">
        <v>23</v>
      </c>
      <c r="D110" t="s">
        <v>90</v>
      </c>
      <c r="E110" t="str">
        <f>VLOOKUP(Tabla1[[#This Row],[Cód. Atributo]],[1]!Tabla5[#Data],6,FALSE)</f>
        <v>Select</v>
      </c>
      <c r="F110">
        <v>3</v>
      </c>
      <c r="G110">
        <v>1</v>
      </c>
      <c r="H110" t="s">
        <v>110</v>
      </c>
      <c r="I110" t="str">
        <f>VLOOKUP(Tabla1[[#This Row],[Code]],'[1]Articulos Precio'!$A:$E,5,FALSE)</f>
        <v>A0000127</v>
      </c>
    </row>
    <row r="111" spans="1:9" x14ac:dyDescent="0.25">
      <c r="A111" t="s">
        <v>105</v>
      </c>
      <c r="B111" t="str">
        <f>VLOOKUP(Tabla1[[#This Row],[Code]],[1]!Tabla4[#Data],2,FALSE)</f>
        <v>Rollo Metamark MD 100 (100mc) Brillo 1,6 x 50m</v>
      </c>
      <c r="C111">
        <v>25</v>
      </c>
      <c r="D111" t="s">
        <v>94</v>
      </c>
      <c r="E111" t="str">
        <f>VLOOKUP(Tabla1[[#This Row],[Cód. Atributo]],[1]!Tabla5[#Data],6,FALSE)</f>
        <v>Select</v>
      </c>
      <c r="F111">
        <v>4</v>
      </c>
      <c r="G111">
        <v>2</v>
      </c>
      <c r="H111" t="s">
        <v>111</v>
      </c>
      <c r="I111" t="str">
        <f>VLOOKUP(Tabla1[[#This Row],[Code]],'[1]Articulos Precio'!$A:$E,5,FALSE)</f>
        <v>A0000127</v>
      </c>
    </row>
    <row r="112" spans="1:9" x14ac:dyDescent="0.25">
      <c r="A112" t="s">
        <v>105</v>
      </c>
      <c r="B112" t="str">
        <f>VLOOKUP(Tabla1[[#This Row],[Code]],[1]!Tabla4[#Data],2,FALSE)</f>
        <v>Rollo Metamark MD 100 (100mc) Brillo 1,6 x 50m</v>
      </c>
      <c r="C112">
        <v>26</v>
      </c>
      <c r="D112" t="s">
        <v>112</v>
      </c>
      <c r="E112" t="str">
        <f>VLOOKUP(Tabla1[[#This Row],[Cód. Atributo]],[1]!Tabla5[#Data],6,FALSE)</f>
        <v>Select</v>
      </c>
      <c r="F112">
        <v>5</v>
      </c>
      <c r="G112">
        <v>3</v>
      </c>
      <c r="H112" t="s">
        <v>113</v>
      </c>
      <c r="I112" t="str">
        <f>VLOOKUP(Tabla1[[#This Row],[Code]],'[1]Articulos Precio'!$A:$E,5,FALSE)</f>
        <v>A0000127</v>
      </c>
    </row>
    <row r="113" spans="1:9" x14ac:dyDescent="0.25">
      <c r="A113" t="s">
        <v>105</v>
      </c>
      <c r="B113" t="str">
        <f>VLOOKUP(Tabla1[[#This Row],[Code]],[1]!Tabla4[#Data],2,FALSE)</f>
        <v>Rollo Metamark MD 100 (100mc) Brillo 1,6 x 50m</v>
      </c>
      <c r="C113">
        <v>31</v>
      </c>
      <c r="D113" t="s">
        <v>114</v>
      </c>
      <c r="E113" t="str">
        <f>VLOOKUP(Tabla1[[#This Row],[Cód. Atributo]],[1]!Tabla5[#Data],6,FALSE)</f>
        <v>Select</v>
      </c>
      <c r="F113">
        <v>6</v>
      </c>
      <c r="G113">
        <v>1</v>
      </c>
      <c r="H113" t="s">
        <v>115</v>
      </c>
      <c r="I113" t="str">
        <f>VLOOKUP(Tabla1[[#This Row],[Code]],'[1]Articulos Precio'!$A:$E,5,FALSE)</f>
        <v>A0000127</v>
      </c>
    </row>
    <row r="114" spans="1:9" x14ac:dyDescent="0.25">
      <c r="A114" t="s">
        <v>116</v>
      </c>
      <c r="B114" t="str">
        <f>VLOOKUP(Tabla1[[#This Row],[Code]],[1]!Tabla4[#Data],2,FALSE)</f>
        <v>Rollo Metamark MD 100 (100mc) Brillo 1,37x50m</v>
      </c>
      <c r="C114">
        <v>1</v>
      </c>
      <c r="D114" t="s">
        <v>106</v>
      </c>
      <c r="E114" t="str">
        <f>VLOOKUP(Tabla1[[#This Row],[Cód. Atributo]],[1]!Tabla5[#Data],6,FALSE)</f>
        <v>Select</v>
      </c>
      <c r="F114">
        <v>1</v>
      </c>
      <c r="G114">
        <v>1</v>
      </c>
      <c r="H114" t="s">
        <v>107</v>
      </c>
      <c r="I114" t="str">
        <f>VLOOKUP(Tabla1[[#This Row],[Code]],'[1]Articulos Precio'!$A:$E,5,FALSE)</f>
        <v>A0000127</v>
      </c>
    </row>
    <row r="115" spans="1:9" x14ac:dyDescent="0.25">
      <c r="A115" t="s">
        <v>116</v>
      </c>
      <c r="B115" t="str">
        <f>VLOOKUP(Tabla1[[#This Row],[Code]],[1]!Tabla4[#Data],2,FALSE)</f>
        <v>Rollo Metamark MD 100 (100mc) Brillo 1,37x50m</v>
      </c>
      <c r="C115">
        <v>3</v>
      </c>
      <c r="D115" t="s">
        <v>108</v>
      </c>
      <c r="E115" t="str">
        <f>VLOOKUP(Tabla1[[#This Row],[Cód. Atributo]],[1]!Tabla5[#Data],6,FALSE)</f>
        <v>Select</v>
      </c>
      <c r="F115">
        <v>2</v>
      </c>
      <c r="G115">
        <v>3</v>
      </c>
      <c r="H115" t="s">
        <v>117</v>
      </c>
      <c r="I115" t="str">
        <f>VLOOKUP(Tabla1[[#This Row],[Code]],'[1]Articulos Precio'!$A:$E,5,FALSE)</f>
        <v>A0000127</v>
      </c>
    </row>
    <row r="116" spans="1:9" x14ac:dyDescent="0.25">
      <c r="A116" t="s">
        <v>116</v>
      </c>
      <c r="B116" t="str">
        <f>VLOOKUP(Tabla1[[#This Row],[Code]],[1]!Tabla4[#Data],2,FALSE)</f>
        <v>Rollo Metamark MD 100 (100mc) Brillo 1,37x50m</v>
      </c>
      <c r="C116">
        <v>23</v>
      </c>
      <c r="D116" t="s">
        <v>90</v>
      </c>
      <c r="E116" t="str">
        <f>VLOOKUP(Tabla1[[#This Row],[Cód. Atributo]],[1]!Tabla5[#Data],6,FALSE)</f>
        <v>Select</v>
      </c>
      <c r="F116">
        <v>3</v>
      </c>
      <c r="G116">
        <v>1</v>
      </c>
      <c r="H116" t="s">
        <v>110</v>
      </c>
      <c r="I116" t="str">
        <f>VLOOKUP(Tabla1[[#This Row],[Code]],'[1]Articulos Precio'!$A:$E,5,FALSE)</f>
        <v>A0000127</v>
      </c>
    </row>
    <row r="117" spans="1:9" x14ac:dyDescent="0.25">
      <c r="A117" t="s">
        <v>116</v>
      </c>
      <c r="B117" t="str">
        <f>VLOOKUP(Tabla1[[#This Row],[Code]],[1]!Tabla4[#Data],2,FALSE)</f>
        <v>Rollo Metamark MD 100 (100mc) Brillo 1,37x50m</v>
      </c>
      <c r="C117">
        <v>25</v>
      </c>
      <c r="D117" t="s">
        <v>94</v>
      </c>
      <c r="E117" t="str">
        <f>VLOOKUP(Tabla1[[#This Row],[Cód. Atributo]],[1]!Tabla5[#Data],6,FALSE)</f>
        <v>Select</v>
      </c>
      <c r="F117">
        <v>4</v>
      </c>
      <c r="G117">
        <v>2</v>
      </c>
      <c r="H117" t="s">
        <v>111</v>
      </c>
      <c r="I117" t="str">
        <f>VLOOKUP(Tabla1[[#This Row],[Code]],'[1]Articulos Precio'!$A:$E,5,FALSE)</f>
        <v>A0000127</v>
      </c>
    </row>
    <row r="118" spans="1:9" x14ac:dyDescent="0.25">
      <c r="A118" t="s">
        <v>116</v>
      </c>
      <c r="B118" t="str">
        <f>VLOOKUP(Tabla1[[#This Row],[Code]],[1]!Tabla4[#Data],2,FALSE)</f>
        <v>Rollo Metamark MD 100 (100mc) Brillo 1,37x50m</v>
      </c>
      <c r="C118">
        <v>26</v>
      </c>
      <c r="D118" t="s">
        <v>112</v>
      </c>
      <c r="E118" t="str">
        <f>VLOOKUP(Tabla1[[#This Row],[Cód. Atributo]],[1]!Tabla5[#Data],6,FALSE)</f>
        <v>Select</v>
      </c>
      <c r="F118">
        <v>5</v>
      </c>
      <c r="G118">
        <v>3</v>
      </c>
      <c r="H118" t="s">
        <v>113</v>
      </c>
      <c r="I118" t="str">
        <f>VLOOKUP(Tabla1[[#This Row],[Code]],'[1]Articulos Precio'!$A:$E,5,FALSE)</f>
        <v>A0000127</v>
      </c>
    </row>
    <row r="119" spans="1:9" x14ac:dyDescent="0.25">
      <c r="A119" t="s">
        <v>116</v>
      </c>
      <c r="B119" t="str">
        <f>VLOOKUP(Tabla1[[#This Row],[Code]],[1]!Tabla4[#Data],2,FALSE)</f>
        <v>Rollo Metamark MD 100 (100mc) Brillo 1,37x50m</v>
      </c>
      <c r="C119">
        <v>31</v>
      </c>
      <c r="D119" t="s">
        <v>114</v>
      </c>
      <c r="E119" t="str">
        <f>VLOOKUP(Tabla1[[#This Row],[Cód. Atributo]],[1]!Tabla5[#Data],6,FALSE)</f>
        <v>Select</v>
      </c>
      <c r="F119">
        <v>6</v>
      </c>
      <c r="G119">
        <v>1</v>
      </c>
      <c r="H119" t="s">
        <v>115</v>
      </c>
      <c r="I119" t="str">
        <f>VLOOKUP(Tabla1[[#This Row],[Code]],'[1]Articulos Precio'!$A:$E,5,FALSE)</f>
        <v>A0000127</v>
      </c>
    </row>
    <row r="120" spans="1:9" x14ac:dyDescent="0.25">
      <c r="A120" t="s">
        <v>118</v>
      </c>
      <c r="B120" t="str">
        <f>VLOOKUP(Tabla1[[#This Row],[Code]],[1]!Tabla4[#Data],2,FALSE)</f>
        <v>Rollo Metamark MD 100 (100mc) Brillo 1,05x50m</v>
      </c>
      <c r="C120">
        <v>1</v>
      </c>
      <c r="D120" t="s">
        <v>106</v>
      </c>
      <c r="E120" t="str">
        <f>VLOOKUP(Tabla1[[#This Row],[Cód. Atributo]],[1]!Tabla5[#Data],6,FALSE)</f>
        <v>Select</v>
      </c>
      <c r="F120">
        <v>1</v>
      </c>
      <c r="G120">
        <v>1</v>
      </c>
      <c r="H120" t="s">
        <v>107</v>
      </c>
      <c r="I120" t="str">
        <f>VLOOKUP(Tabla1[[#This Row],[Code]],'[1]Articulos Precio'!$A:$E,5,FALSE)</f>
        <v>A0000127</v>
      </c>
    </row>
    <row r="121" spans="1:9" x14ac:dyDescent="0.25">
      <c r="A121" t="s">
        <v>118</v>
      </c>
      <c r="B121" t="str">
        <f>VLOOKUP(Tabla1[[#This Row],[Code]],[1]!Tabla4[#Data],2,FALSE)</f>
        <v>Rollo Metamark MD 100 (100mc) Brillo 1,05x50m</v>
      </c>
      <c r="C121">
        <v>3</v>
      </c>
      <c r="D121" t="s">
        <v>108</v>
      </c>
      <c r="E121" t="str">
        <f>VLOOKUP(Tabla1[[#This Row],[Cód. Atributo]],[1]!Tabla5[#Data],6,FALSE)</f>
        <v>Select</v>
      </c>
      <c r="F121">
        <v>2</v>
      </c>
      <c r="G121">
        <v>2</v>
      </c>
      <c r="H121" t="s">
        <v>119</v>
      </c>
      <c r="I121" t="str">
        <f>VLOOKUP(Tabla1[[#This Row],[Code]],'[1]Articulos Precio'!$A:$E,5,FALSE)</f>
        <v>A0000127</v>
      </c>
    </row>
    <row r="122" spans="1:9" x14ac:dyDescent="0.25">
      <c r="A122" t="s">
        <v>118</v>
      </c>
      <c r="B122" t="str">
        <f>VLOOKUP(Tabla1[[#This Row],[Code]],[1]!Tabla4[#Data],2,FALSE)</f>
        <v>Rollo Metamark MD 100 (100mc) Brillo 1,05x50m</v>
      </c>
      <c r="C122">
        <v>23</v>
      </c>
      <c r="D122" t="s">
        <v>90</v>
      </c>
      <c r="E122" t="str">
        <f>VLOOKUP(Tabla1[[#This Row],[Cód. Atributo]],[1]!Tabla5[#Data],6,FALSE)</f>
        <v>Select</v>
      </c>
      <c r="F122">
        <v>3</v>
      </c>
      <c r="G122">
        <v>1</v>
      </c>
      <c r="H122" t="s">
        <v>110</v>
      </c>
      <c r="I122" t="str">
        <f>VLOOKUP(Tabla1[[#This Row],[Code]],'[1]Articulos Precio'!$A:$E,5,FALSE)</f>
        <v>A0000127</v>
      </c>
    </row>
    <row r="123" spans="1:9" x14ac:dyDescent="0.25">
      <c r="A123" t="s">
        <v>118</v>
      </c>
      <c r="B123" t="str">
        <f>VLOOKUP(Tabla1[[#This Row],[Code]],[1]!Tabla4[#Data],2,FALSE)</f>
        <v>Rollo Metamark MD 100 (100mc) Brillo 1,05x50m</v>
      </c>
      <c r="C123">
        <v>25</v>
      </c>
      <c r="D123" t="s">
        <v>94</v>
      </c>
      <c r="E123" t="str">
        <f>VLOOKUP(Tabla1[[#This Row],[Cód. Atributo]],[1]!Tabla5[#Data],6,FALSE)</f>
        <v>Select</v>
      </c>
      <c r="F123">
        <v>4</v>
      </c>
      <c r="G123">
        <v>2</v>
      </c>
      <c r="H123" t="s">
        <v>111</v>
      </c>
      <c r="I123" t="str">
        <f>VLOOKUP(Tabla1[[#This Row],[Code]],'[1]Articulos Precio'!$A:$E,5,FALSE)</f>
        <v>A0000127</v>
      </c>
    </row>
    <row r="124" spans="1:9" x14ac:dyDescent="0.25">
      <c r="A124" t="s">
        <v>118</v>
      </c>
      <c r="B124" t="str">
        <f>VLOOKUP(Tabla1[[#This Row],[Code]],[1]!Tabla4[#Data],2,FALSE)</f>
        <v>Rollo Metamark MD 100 (100mc) Brillo 1,05x50m</v>
      </c>
      <c r="C124">
        <v>26</v>
      </c>
      <c r="D124" t="s">
        <v>112</v>
      </c>
      <c r="E124" t="str">
        <f>VLOOKUP(Tabla1[[#This Row],[Cód. Atributo]],[1]!Tabla5[#Data],6,FALSE)</f>
        <v>Select</v>
      </c>
      <c r="F124">
        <v>5</v>
      </c>
      <c r="G124">
        <v>3</v>
      </c>
      <c r="H124" t="s">
        <v>113</v>
      </c>
      <c r="I124" t="str">
        <f>VLOOKUP(Tabla1[[#This Row],[Code]],'[1]Articulos Precio'!$A:$E,5,FALSE)</f>
        <v>A0000127</v>
      </c>
    </row>
    <row r="125" spans="1:9" x14ac:dyDescent="0.25">
      <c r="A125" t="s">
        <v>118</v>
      </c>
      <c r="B125" t="str">
        <f>VLOOKUP(Tabla1[[#This Row],[Code]],[1]!Tabla4[#Data],2,FALSE)</f>
        <v>Rollo Metamark MD 100 (100mc) Brillo 1,05x50m</v>
      </c>
      <c r="C125">
        <v>31</v>
      </c>
      <c r="D125" t="s">
        <v>114</v>
      </c>
      <c r="E125" t="str">
        <f>VLOOKUP(Tabla1[[#This Row],[Cód. Atributo]],[1]!Tabla5[#Data],6,FALSE)</f>
        <v>Select</v>
      </c>
      <c r="F125">
        <v>6</v>
      </c>
      <c r="G125">
        <v>1</v>
      </c>
      <c r="H125" t="s">
        <v>115</v>
      </c>
      <c r="I125" t="str">
        <f>VLOOKUP(Tabla1[[#This Row],[Code]],'[1]Articulos Precio'!$A:$E,5,FALSE)</f>
        <v>A0000127</v>
      </c>
    </row>
    <row r="126" spans="1:9" x14ac:dyDescent="0.25">
      <c r="A126" t="s">
        <v>120</v>
      </c>
      <c r="B126" t="str">
        <f>VLOOKUP(Tabla1[[#This Row],[Code]],[1]!Tabla4[#Data],2,FALSE)</f>
        <v>Rollo Metamark MD 101 (100mc) Mate 1,6 x 50m</v>
      </c>
      <c r="C126">
        <v>1</v>
      </c>
      <c r="D126" t="s">
        <v>106</v>
      </c>
      <c r="E126" t="str">
        <f>VLOOKUP(Tabla1[[#This Row],[Cód. Atributo]],[1]!Tabla5[#Data],6,FALSE)</f>
        <v>Select</v>
      </c>
      <c r="F126">
        <v>1</v>
      </c>
      <c r="G126">
        <v>2</v>
      </c>
      <c r="H126" t="s">
        <v>121</v>
      </c>
      <c r="I126" t="str">
        <f>VLOOKUP(Tabla1[[#This Row],[Code]],'[1]Articulos Precio'!$A:$E,5,FALSE)</f>
        <v>A0000127</v>
      </c>
    </row>
    <row r="127" spans="1:9" x14ac:dyDescent="0.25">
      <c r="A127" t="s">
        <v>120</v>
      </c>
      <c r="B127" t="str">
        <f>VLOOKUP(Tabla1[[#This Row],[Code]],[1]!Tabla4[#Data],2,FALSE)</f>
        <v>Rollo Metamark MD 101 (100mc) Mate 1,6 x 50m</v>
      </c>
      <c r="C127">
        <v>3</v>
      </c>
      <c r="D127" t="s">
        <v>108</v>
      </c>
      <c r="E127" t="str">
        <f>VLOOKUP(Tabla1[[#This Row],[Cód. Atributo]],[1]!Tabla5[#Data],6,FALSE)</f>
        <v>Select</v>
      </c>
      <c r="F127">
        <v>2</v>
      </c>
      <c r="G127">
        <v>4</v>
      </c>
      <c r="H127" t="s">
        <v>109</v>
      </c>
      <c r="I127" t="str">
        <f>VLOOKUP(Tabla1[[#This Row],[Code]],'[1]Articulos Precio'!$A:$E,5,FALSE)</f>
        <v>A0000127</v>
      </c>
    </row>
    <row r="128" spans="1:9" x14ac:dyDescent="0.25">
      <c r="A128" t="s">
        <v>120</v>
      </c>
      <c r="B128" t="str">
        <f>VLOOKUP(Tabla1[[#This Row],[Code]],[1]!Tabla4[#Data],2,FALSE)</f>
        <v>Rollo Metamark MD 101 (100mc) Mate 1,6 x 50m</v>
      </c>
      <c r="C128">
        <v>23</v>
      </c>
      <c r="D128" t="s">
        <v>90</v>
      </c>
      <c r="E128" t="str">
        <f>VLOOKUP(Tabla1[[#This Row],[Cód. Atributo]],[1]!Tabla5[#Data],6,FALSE)</f>
        <v>Select</v>
      </c>
      <c r="F128">
        <v>3</v>
      </c>
      <c r="G128">
        <v>1</v>
      </c>
      <c r="H128" t="s">
        <v>110</v>
      </c>
      <c r="I128" t="str">
        <f>VLOOKUP(Tabla1[[#This Row],[Code]],'[1]Articulos Precio'!$A:$E,5,FALSE)</f>
        <v>A0000127</v>
      </c>
    </row>
    <row r="129" spans="1:9" x14ac:dyDescent="0.25">
      <c r="A129" t="s">
        <v>120</v>
      </c>
      <c r="B129" t="str">
        <f>VLOOKUP(Tabla1[[#This Row],[Code]],[1]!Tabla4[#Data],2,FALSE)</f>
        <v>Rollo Metamark MD 101 (100mc) Mate 1,6 x 50m</v>
      </c>
      <c r="C129">
        <v>25</v>
      </c>
      <c r="D129" t="s">
        <v>94</v>
      </c>
      <c r="E129" t="str">
        <f>VLOOKUP(Tabla1[[#This Row],[Cód. Atributo]],[1]!Tabla5[#Data],6,FALSE)</f>
        <v>Select</v>
      </c>
      <c r="F129">
        <v>4</v>
      </c>
      <c r="G129">
        <v>2</v>
      </c>
      <c r="H129" t="s">
        <v>111</v>
      </c>
      <c r="I129" t="str">
        <f>VLOOKUP(Tabla1[[#This Row],[Code]],'[1]Articulos Precio'!$A:$E,5,FALSE)</f>
        <v>A0000127</v>
      </c>
    </row>
    <row r="130" spans="1:9" x14ac:dyDescent="0.25">
      <c r="A130" t="s">
        <v>120</v>
      </c>
      <c r="B130" t="str">
        <f>VLOOKUP(Tabla1[[#This Row],[Code]],[1]!Tabla4[#Data],2,FALSE)</f>
        <v>Rollo Metamark MD 101 (100mc) Mate 1,6 x 50m</v>
      </c>
      <c r="C130">
        <v>26</v>
      </c>
      <c r="D130" t="s">
        <v>112</v>
      </c>
      <c r="E130" t="str">
        <f>VLOOKUP(Tabla1[[#This Row],[Cód. Atributo]],[1]!Tabla5[#Data],6,FALSE)</f>
        <v>Select</v>
      </c>
      <c r="F130">
        <v>5</v>
      </c>
      <c r="G130">
        <v>3</v>
      </c>
      <c r="H130" t="s">
        <v>113</v>
      </c>
      <c r="I130" t="str">
        <f>VLOOKUP(Tabla1[[#This Row],[Code]],'[1]Articulos Precio'!$A:$E,5,FALSE)</f>
        <v>A0000127</v>
      </c>
    </row>
    <row r="131" spans="1:9" x14ac:dyDescent="0.25">
      <c r="A131" t="s">
        <v>120</v>
      </c>
      <c r="B131" t="str">
        <f>VLOOKUP(Tabla1[[#This Row],[Code]],[1]!Tabla4[#Data],2,FALSE)</f>
        <v>Rollo Metamark MD 101 (100mc) Mate 1,6 x 50m</v>
      </c>
      <c r="C131">
        <v>31</v>
      </c>
      <c r="D131" t="s">
        <v>114</v>
      </c>
      <c r="E131" t="str">
        <f>VLOOKUP(Tabla1[[#This Row],[Cód. Atributo]],[1]!Tabla5[#Data],6,FALSE)</f>
        <v>Select</v>
      </c>
      <c r="F131">
        <v>6</v>
      </c>
      <c r="G131">
        <v>1</v>
      </c>
      <c r="H131" t="s">
        <v>115</v>
      </c>
      <c r="I131" t="str">
        <f>VLOOKUP(Tabla1[[#This Row],[Code]],'[1]Articulos Precio'!$A:$E,5,FALSE)</f>
        <v>A0000127</v>
      </c>
    </row>
    <row r="132" spans="1:9" x14ac:dyDescent="0.25">
      <c r="A132" t="s">
        <v>122</v>
      </c>
      <c r="B132" t="str">
        <f>VLOOKUP(Tabla1[[#This Row],[Code]],[1]!Tabla4[#Data],2,FALSE)</f>
        <v>Rollo Metamark MD 101 (100mc) Mate 1,37x50m</v>
      </c>
      <c r="C132">
        <v>1</v>
      </c>
      <c r="D132" t="s">
        <v>106</v>
      </c>
      <c r="E132" t="str">
        <f>VLOOKUP(Tabla1[[#This Row],[Cód. Atributo]],[1]!Tabla5[#Data],6,FALSE)</f>
        <v>Select</v>
      </c>
      <c r="F132">
        <v>1</v>
      </c>
      <c r="G132">
        <v>2</v>
      </c>
      <c r="H132" t="s">
        <v>121</v>
      </c>
      <c r="I132" t="str">
        <f>VLOOKUP(Tabla1[[#This Row],[Code]],'[1]Articulos Precio'!$A:$E,5,FALSE)</f>
        <v>A0000127</v>
      </c>
    </row>
    <row r="133" spans="1:9" x14ac:dyDescent="0.25">
      <c r="A133" t="s">
        <v>122</v>
      </c>
      <c r="B133" t="str">
        <f>VLOOKUP(Tabla1[[#This Row],[Code]],[1]!Tabla4[#Data],2,FALSE)</f>
        <v>Rollo Metamark MD 101 (100mc) Mate 1,37x50m</v>
      </c>
      <c r="C133">
        <v>3</v>
      </c>
      <c r="D133" t="s">
        <v>108</v>
      </c>
      <c r="E133" t="str">
        <f>VLOOKUP(Tabla1[[#This Row],[Cód. Atributo]],[1]!Tabla5[#Data],6,FALSE)</f>
        <v>Select</v>
      </c>
      <c r="F133">
        <v>2</v>
      </c>
      <c r="G133">
        <v>3</v>
      </c>
      <c r="H133" t="s">
        <v>117</v>
      </c>
      <c r="I133" t="str">
        <f>VLOOKUP(Tabla1[[#This Row],[Code]],'[1]Articulos Precio'!$A:$E,5,FALSE)</f>
        <v>A0000127</v>
      </c>
    </row>
    <row r="134" spans="1:9" x14ac:dyDescent="0.25">
      <c r="A134" t="s">
        <v>122</v>
      </c>
      <c r="B134" t="str">
        <f>VLOOKUP(Tabla1[[#This Row],[Code]],[1]!Tabla4[#Data],2,FALSE)</f>
        <v>Rollo Metamark MD 101 (100mc) Mate 1,37x50m</v>
      </c>
      <c r="C134">
        <v>23</v>
      </c>
      <c r="D134" t="s">
        <v>90</v>
      </c>
      <c r="E134" t="str">
        <f>VLOOKUP(Tabla1[[#This Row],[Cód. Atributo]],[1]!Tabla5[#Data],6,FALSE)</f>
        <v>Select</v>
      </c>
      <c r="F134">
        <v>3</v>
      </c>
      <c r="G134">
        <v>1</v>
      </c>
      <c r="H134" t="s">
        <v>110</v>
      </c>
      <c r="I134" t="str">
        <f>VLOOKUP(Tabla1[[#This Row],[Code]],'[1]Articulos Precio'!$A:$E,5,FALSE)</f>
        <v>A0000127</v>
      </c>
    </row>
    <row r="135" spans="1:9" x14ac:dyDescent="0.25">
      <c r="A135" t="s">
        <v>122</v>
      </c>
      <c r="B135" t="str">
        <f>VLOOKUP(Tabla1[[#This Row],[Code]],[1]!Tabla4[#Data],2,FALSE)</f>
        <v>Rollo Metamark MD 101 (100mc) Mate 1,37x50m</v>
      </c>
      <c r="C135">
        <v>25</v>
      </c>
      <c r="D135" t="s">
        <v>94</v>
      </c>
      <c r="E135" t="str">
        <f>VLOOKUP(Tabla1[[#This Row],[Cód. Atributo]],[1]!Tabla5[#Data],6,FALSE)</f>
        <v>Select</v>
      </c>
      <c r="F135">
        <v>4</v>
      </c>
      <c r="G135">
        <v>2</v>
      </c>
      <c r="H135" t="s">
        <v>111</v>
      </c>
      <c r="I135" t="str">
        <f>VLOOKUP(Tabla1[[#This Row],[Code]],'[1]Articulos Precio'!$A:$E,5,FALSE)</f>
        <v>A0000127</v>
      </c>
    </row>
    <row r="136" spans="1:9" x14ac:dyDescent="0.25">
      <c r="A136" t="s">
        <v>122</v>
      </c>
      <c r="B136" t="str">
        <f>VLOOKUP(Tabla1[[#This Row],[Code]],[1]!Tabla4[#Data],2,FALSE)</f>
        <v>Rollo Metamark MD 101 (100mc) Mate 1,37x50m</v>
      </c>
      <c r="C136">
        <v>26</v>
      </c>
      <c r="D136" t="s">
        <v>112</v>
      </c>
      <c r="E136" t="str">
        <f>VLOOKUP(Tabla1[[#This Row],[Cód. Atributo]],[1]!Tabla5[#Data],6,FALSE)</f>
        <v>Select</v>
      </c>
      <c r="F136">
        <v>5</v>
      </c>
      <c r="G136">
        <v>3</v>
      </c>
      <c r="H136" t="s">
        <v>113</v>
      </c>
      <c r="I136" t="str">
        <f>VLOOKUP(Tabla1[[#This Row],[Code]],'[1]Articulos Precio'!$A:$E,5,FALSE)</f>
        <v>A0000127</v>
      </c>
    </row>
    <row r="137" spans="1:9" x14ac:dyDescent="0.25">
      <c r="A137" t="s">
        <v>122</v>
      </c>
      <c r="B137" t="str">
        <f>VLOOKUP(Tabla1[[#This Row],[Code]],[1]!Tabla4[#Data],2,FALSE)</f>
        <v>Rollo Metamark MD 101 (100mc) Mate 1,37x50m</v>
      </c>
      <c r="C137">
        <v>31</v>
      </c>
      <c r="D137" t="s">
        <v>114</v>
      </c>
      <c r="E137" t="str">
        <f>VLOOKUP(Tabla1[[#This Row],[Cód. Atributo]],[1]!Tabla5[#Data],6,FALSE)</f>
        <v>Select</v>
      </c>
      <c r="F137">
        <v>6</v>
      </c>
      <c r="G137">
        <v>1</v>
      </c>
      <c r="H137" t="s">
        <v>115</v>
      </c>
      <c r="I137" t="str">
        <f>VLOOKUP(Tabla1[[#This Row],[Code]],'[1]Articulos Precio'!$A:$E,5,FALSE)</f>
        <v>A0000127</v>
      </c>
    </row>
    <row r="138" spans="1:9" x14ac:dyDescent="0.25">
      <c r="A138" t="s">
        <v>123</v>
      </c>
      <c r="B138" t="str">
        <f>VLOOKUP(Tabla1[[#This Row],[Code]],[1]!Tabla4[#Data],2,FALSE)</f>
        <v>Rollo Metamark MD 101 (100mc) Mate 1,05x50m</v>
      </c>
      <c r="C138">
        <v>1</v>
      </c>
      <c r="D138" t="s">
        <v>106</v>
      </c>
      <c r="E138" t="str">
        <f>VLOOKUP(Tabla1[[#This Row],[Cód. Atributo]],[1]!Tabla5[#Data],6,FALSE)</f>
        <v>Select</v>
      </c>
      <c r="F138">
        <v>1</v>
      </c>
      <c r="G138">
        <v>2</v>
      </c>
      <c r="H138" t="s">
        <v>121</v>
      </c>
      <c r="I138" t="str">
        <f>VLOOKUP(Tabla1[[#This Row],[Code]],'[1]Articulos Precio'!$A:$E,5,FALSE)</f>
        <v>A0000127</v>
      </c>
    </row>
    <row r="139" spans="1:9" x14ac:dyDescent="0.25">
      <c r="A139" t="s">
        <v>123</v>
      </c>
      <c r="B139" t="str">
        <f>VLOOKUP(Tabla1[[#This Row],[Code]],[1]!Tabla4[#Data],2,FALSE)</f>
        <v>Rollo Metamark MD 101 (100mc) Mate 1,05x50m</v>
      </c>
      <c r="C139">
        <v>3</v>
      </c>
      <c r="D139" t="s">
        <v>108</v>
      </c>
      <c r="E139" t="str">
        <f>VLOOKUP(Tabla1[[#This Row],[Cód. Atributo]],[1]!Tabla5[#Data],6,FALSE)</f>
        <v>Select</v>
      </c>
      <c r="F139">
        <v>2</v>
      </c>
      <c r="G139">
        <v>2</v>
      </c>
      <c r="H139" t="s">
        <v>119</v>
      </c>
      <c r="I139" t="str">
        <f>VLOOKUP(Tabla1[[#This Row],[Code]],'[1]Articulos Precio'!$A:$E,5,FALSE)</f>
        <v>A0000127</v>
      </c>
    </row>
    <row r="140" spans="1:9" x14ac:dyDescent="0.25">
      <c r="A140" t="s">
        <v>123</v>
      </c>
      <c r="B140" t="str">
        <f>VLOOKUP(Tabla1[[#This Row],[Code]],[1]!Tabla4[#Data],2,FALSE)</f>
        <v>Rollo Metamark MD 101 (100mc) Mate 1,05x50m</v>
      </c>
      <c r="C140">
        <v>23</v>
      </c>
      <c r="D140" t="s">
        <v>90</v>
      </c>
      <c r="E140" t="str">
        <f>VLOOKUP(Tabla1[[#This Row],[Cód. Atributo]],[1]!Tabla5[#Data],6,FALSE)</f>
        <v>Select</v>
      </c>
      <c r="F140">
        <v>3</v>
      </c>
      <c r="G140">
        <v>1</v>
      </c>
      <c r="H140" t="s">
        <v>110</v>
      </c>
      <c r="I140" t="str">
        <f>VLOOKUP(Tabla1[[#This Row],[Code]],'[1]Articulos Precio'!$A:$E,5,FALSE)</f>
        <v>A0000127</v>
      </c>
    </row>
    <row r="141" spans="1:9" x14ac:dyDescent="0.25">
      <c r="A141" t="s">
        <v>123</v>
      </c>
      <c r="B141" t="str">
        <f>VLOOKUP(Tabla1[[#This Row],[Code]],[1]!Tabla4[#Data],2,FALSE)</f>
        <v>Rollo Metamark MD 101 (100mc) Mate 1,05x50m</v>
      </c>
      <c r="C141">
        <v>25</v>
      </c>
      <c r="D141" t="s">
        <v>94</v>
      </c>
      <c r="E141" t="str">
        <f>VLOOKUP(Tabla1[[#This Row],[Cód. Atributo]],[1]!Tabla5[#Data],6,FALSE)</f>
        <v>Select</v>
      </c>
      <c r="F141">
        <v>4</v>
      </c>
      <c r="G141">
        <v>2</v>
      </c>
      <c r="H141" t="s">
        <v>111</v>
      </c>
      <c r="I141" t="str">
        <f>VLOOKUP(Tabla1[[#This Row],[Code]],'[1]Articulos Precio'!$A:$E,5,FALSE)</f>
        <v>A0000127</v>
      </c>
    </row>
    <row r="142" spans="1:9" x14ac:dyDescent="0.25">
      <c r="A142" t="s">
        <v>123</v>
      </c>
      <c r="B142" t="str">
        <f>VLOOKUP(Tabla1[[#This Row],[Code]],[1]!Tabla4[#Data],2,FALSE)</f>
        <v>Rollo Metamark MD 101 (100mc) Mate 1,05x50m</v>
      </c>
      <c r="C142">
        <v>26</v>
      </c>
      <c r="D142" t="s">
        <v>112</v>
      </c>
      <c r="E142" t="str">
        <f>VLOOKUP(Tabla1[[#This Row],[Cód. Atributo]],[1]!Tabla5[#Data],6,FALSE)</f>
        <v>Select</v>
      </c>
      <c r="F142">
        <v>5</v>
      </c>
      <c r="G142">
        <v>3</v>
      </c>
      <c r="H142" t="s">
        <v>113</v>
      </c>
      <c r="I142" t="str">
        <f>VLOOKUP(Tabla1[[#This Row],[Code]],'[1]Articulos Precio'!$A:$E,5,FALSE)</f>
        <v>A0000127</v>
      </c>
    </row>
    <row r="143" spans="1:9" x14ac:dyDescent="0.25">
      <c r="A143" t="s">
        <v>123</v>
      </c>
      <c r="B143" t="str">
        <f>VLOOKUP(Tabla1[[#This Row],[Code]],[1]!Tabla4[#Data],2,FALSE)</f>
        <v>Rollo Metamark MD 101 (100mc) Mate 1,05x50m</v>
      </c>
      <c r="C143">
        <v>31</v>
      </c>
      <c r="D143" t="s">
        <v>114</v>
      </c>
      <c r="E143" t="str">
        <f>VLOOKUP(Tabla1[[#This Row],[Cód. Atributo]],[1]!Tabla5[#Data],6,FALSE)</f>
        <v>Select</v>
      </c>
      <c r="F143">
        <v>6</v>
      </c>
      <c r="G143">
        <v>1</v>
      </c>
      <c r="H143" t="s">
        <v>115</v>
      </c>
      <c r="I143" t="str">
        <f>VLOOKUP(Tabla1[[#This Row],[Code]],'[1]Articulos Precio'!$A:$E,5,FALSE)</f>
        <v>A0000127</v>
      </c>
    </row>
    <row r="144" spans="1:9" x14ac:dyDescent="0.25">
      <c r="A144" t="s">
        <v>124</v>
      </c>
      <c r="B144" t="str">
        <f>VLOOKUP(Tabla1[[#This Row],[Code]],[1]!Tabla4[#Data],2,FALSE)</f>
        <v>Rollo Metamark MD 100B (100mc Adh Gris) Brillo 1,6 x 50m</v>
      </c>
      <c r="C144">
        <v>1</v>
      </c>
      <c r="D144" t="s">
        <v>106</v>
      </c>
      <c r="E144" t="str">
        <f>VLOOKUP(Tabla1[[#This Row],[Cód. Atributo]],[1]!Tabla5[#Data],6,FALSE)</f>
        <v>Select</v>
      </c>
      <c r="F144">
        <v>1</v>
      </c>
      <c r="G144">
        <v>1</v>
      </c>
      <c r="H144" t="s">
        <v>107</v>
      </c>
      <c r="I144" t="str">
        <f>VLOOKUP(Tabla1[[#This Row],[Code]],'[1]Articulos Precio'!$A:$E,5,FALSE)</f>
        <v>A0000127</v>
      </c>
    </row>
    <row r="145" spans="1:9" x14ac:dyDescent="0.25">
      <c r="A145" t="s">
        <v>124</v>
      </c>
      <c r="B145" t="str">
        <f>VLOOKUP(Tabla1[[#This Row],[Code]],[1]!Tabla4[#Data],2,FALSE)</f>
        <v>Rollo Metamark MD 100B (100mc Adh Gris) Brillo 1,6 x 50m</v>
      </c>
      <c r="C145">
        <v>3</v>
      </c>
      <c r="D145" t="s">
        <v>108</v>
      </c>
      <c r="E145" t="str">
        <f>VLOOKUP(Tabla1[[#This Row],[Cód. Atributo]],[1]!Tabla5[#Data],6,FALSE)</f>
        <v>Select</v>
      </c>
      <c r="F145">
        <v>2</v>
      </c>
      <c r="G145">
        <v>4</v>
      </c>
      <c r="H145" t="s">
        <v>109</v>
      </c>
      <c r="I145" t="str">
        <f>VLOOKUP(Tabla1[[#This Row],[Code]],'[1]Articulos Precio'!$A:$E,5,FALSE)</f>
        <v>A0000127</v>
      </c>
    </row>
    <row r="146" spans="1:9" x14ac:dyDescent="0.25">
      <c r="A146" t="s">
        <v>124</v>
      </c>
      <c r="B146" t="str">
        <f>VLOOKUP(Tabla1[[#This Row],[Code]],[1]!Tabla4[#Data],2,FALSE)</f>
        <v>Rollo Metamark MD 100B (100mc Adh Gris) Brillo 1,6 x 50m</v>
      </c>
      <c r="C146">
        <v>23</v>
      </c>
      <c r="D146" t="s">
        <v>90</v>
      </c>
      <c r="E146" t="str">
        <f>VLOOKUP(Tabla1[[#This Row],[Cód. Atributo]],[1]!Tabla5[#Data],6,FALSE)</f>
        <v>Select</v>
      </c>
      <c r="F146">
        <v>3</v>
      </c>
      <c r="G146">
        <v>1</v>
      </c>
      <c r="H146" t="s">
        <v>110</v>
      </c>
      <c r="I146" t="str">
        <f>VLOOKUP(Tabla1[[#This Row],[Code]],'[1]Articulos Precio'!$A:$E,5,FALSE)</f>
        <v>A0000127</v>
      </c>
    </row>
    <row r="147" spans="1:9" x14ac:dyDescent="0.25">
      <c r="A147" t="s">
        <v>124</v>
      </c>
      <c r="B147" t="str">
        <f>VLOOKUP(Tabla1[[#This Row],[Code]],[1]!Tabla4[#Data],2,FALSE)</f>
        <v>Rollo Metamark MD 100B (100mc Adh Gris) Brillo 1,6 x 50m</v>
      </c>
      <c r="C147">
        <v>25</v>
      </c>
      <c r="D147" t="s">
        <v>94</v>
      </c>
      <c r="E147" t="str">
        <f>VLOOKUP(Tabla1[[#This Row],[Cód. Atributo]],[1]!Tabla5[#Data],6,FALSE)</f>
        <v>Select</v>
      </c>
      <c r="F147">
        <v>4</v>
      </c>
      <c r="G147">
        <v>2</v>
      </c>
      <c r="H147" t="s">
        <v>111</v>
      </c>
      <c r="I147" t="str">
        <f>VLOOKUP(Tabla1[[#This Row],[Code]],'[1]Articulos Precio'!$A:$E,5,FALSE)</f>
        <v>A0000127</v>
      </c>
    </row>
    <row r="148" spans="1:9" x14ac:dyDescent="0.25">
      <c r="A148" t="s">
        <v>124</v>
      </c>
      <c r="B148" t="str">
        <f>VLOOKUP(Tabla1[[#This Row],[Code]],[1]!Tabla4[#Data],2,FALSE)</f>
        <v>Rollo Metamark MD 100B (100mc Adh Gris) Brillo 1,6 x 50m</v>
      </c>
      <c r="C148">
        <v>26</v>
      </c>
      <c r="D148" t="s">
        <v>112</v>
      </c>
      <c r="E148" t="str">
        <f>VLOOKUP(Tabla1[[#This Row],[Cód. Atributo]],[1]!Tabla5[#Data],6,FALSE)</f>
        <v>Select</v>
      </c>
      <c r="F148">
        <v>5</v>
      </c>
      <c r="G148">
        <v>3</v>
      </c>
      <c r="H148" t="s">
        <v>113</v>
      </c>
      <c r="I148" t="str">
        <f>VLOOKUP(Tabla1[[#This Row],[Code]],'[1]Articulos Precio'!$A:$E,5,FALSE)</f>
        <v>A0000127</v>
      </c>
    </row>
    <row r="149" spans="1:9" x14ac:dyDescent="0.25">
      <c r="A149" t="s">
        <v>124</v>
      </c>
      <c r="B149" t="str">
        <f>VLOOKUP(Tabla1[[#This Row],[Code]],[1]!Tabla4[#Data],2,FALSE)</f>
        <v>Rollo Metamark MD 100B (100mc Adh Gris) Brillo 1,6 x 50m</v>
      </c>
      <c r="C149">
        <v>31</v>
      </c>
      <c r="D149" t="s">
        <v>114</v>
      </c>
      <c r="E149" t="str">
        <f>VLOOKUP(Tabla1[[#This Row],[Cód. Atributo]],[1]!Tabla5[#Data],6,FALSE)</f>
        <v>Select</v>
      </c>
      <c r="F149">
        <v>6</v>
      </c>
      <c r="G149">
        <v>7</v>
      </c>
      <c r="H149" t="s">
        <v>125</v>
      </c>
      <c r="I149" t="str">
        <f>VLOOKUP(Tabla1[[#This Row],[Code]],'[1]Articulos Precio'!$A:$E,5,FALSE)</f>
        <v>A0000127</v>
      </c>
    </row>
    <row r="150" spans="1:9" x14ac:dyDescent="0.25">
      <c r="A150" t="s">
        <v>126</v>
      </c>
      <c r="B150" t="str">
        <f>VLOOKUP(Tabla1[[#This Row],[Code]],[1]!Tabla4[#Data],2,FALSE)</f>
        <v>Rollo Metamark MD 100B (100mc Adh Gris) Brillo 1,37x50m</v>
      </c>
      <c r="C150">
        <v>1</v>
      </c>
      <c r="D150" t="s">
        <v>106</v>
      </c>
      <c r="E150" t="str">
        <f>VLOOKUP(Tabla1[[#This Row],[Cód. Atributo]],[1]!Tabla5[#Data],6,FALSE)</f>
        <v>Select</v>
      </c>
      <c r="F150">
        <v>1</v>
      </c>
      <c r="G150">
        <v>1</v>
      </c>
      <c r="H150" t="s">
        <v>107</v>
      </c>
      <c r="I150" t="str">
        <f>VLOOKUP(Tabla1[[#This Row],[Code]],'[1]Articulos Precio'!$A:$E,5,FALSE)</f>
        <v>A0000127</v>
      </c>
    </row>
    <row r="151" spans="1:9" x14ac:dyDescent="0.25">
      <c r="A151" t="s">
        <v>126</v>
      </c>
      <c r="B151" t="str">
        <f>VLOOKUP(Tabla1[[#This Row],[Code]],[1]!Tabla4[#Data],2,FALSE)</f>
        <v>Rollo Metamark MD 100B (100mc Adh Gris) Brillo 1,37x50m</v>
      </c>
      <c r="C151">
        <v>3</v>
      </c>
      <c r="D151" t="s">
        <v>108</v>
      </c>
      <c r="E151" t="str">
        <f>VLOOKUP(Tabla1[[#This Row],[Cód. Atributo]],[1]!Tabla5[#Data],6,FALSE)</f>
        <v>Select</v>
      </c>
      <c r="F151">
        <v>2</v>
      </c>
      <c r="G151">
        <v>3</v>
      </c>
      <c r="H151" t="s">
        <v>117</v>
      </c>
      <c r="I151" t="str">
        <f>VLOOKUP(Tabla1[[#This Row],[Code]],'[1]Articulos Precio'!$A:$E,5,FALSE)</f>
        <v>A0000127</v>
      </c>
    </row>
    <row r="152" spans="1:9" x14ac:dyDescent="0.25">
      <c r="A152" t="s">
        <v>126</v>
      </c>
      <c r="B152" t="str">
        <f>VLOOKUP(Tabla1[[#This Row],[Code]],[1]!Tabla4[#Data],2,FALSE)</f>
        <v>Rollo Metamark MD 100B (100mc Adh Gris) Brillo 1,37x50m</v>
      </c>
      <c r="C152">
        <v>23</v>
      </c>
      <c r="D152" t="s">
        <v>90</v>
      </c>
      <c r="E152" t="str">
        <f>VLOOKUP(Tabla1[[#This Row],[Cód. Atributo]],[1]!Tabla5[#Data],6,FALSE)</f>
        <v>Select</v>
      </c>
      <c r="F152">
        <v>3</v>
      </c>
      <c r="G152">
        <v>1</v>
      </c>
      <c r="H152" t="s">
        <v>110</v>
      </c>
      <c r="I152" t="str">
        <f>VLOOKUP(Tabla1[[#This Row],[Code]],'[1]Articulos Precio'!$A:$E,5,FALSE)</f>
        <v>A0000127</v>
      </c>
    </row>
    <row r="153" spans="1:9" x14ac:dyDescent="0.25">
      <c r="A153" t="s">
        <v>126</v>
      </c>
      <c r="B153" t="str">
        <f>VLOOKUP(Tabla1[[#This Row],[Code]],[1]!Tabla4[#Data],2,FALSE)</f>
        <v>Rollo Metamark MD 100B (100mc Adh Gris) Brillo 1,37x50m</v>
      </c>
      <c r="C153">
        <v>25</v>
      </c>
      <c r="D153" t="s">
        <v>94</v>
      </c>
      <c r="E153" t="str">
        <f>VLOOKUP(Tabla1[[#This Row],[Cód. Atributo]],[1]!Tabla5[#Data],6,FALSE)</f>
        <v>Select</v>
      </c>
      <c r="F153">
        <v>4</v>
      </c>
      <c r="G153">
        <v>2</v>
      </c>
      <c r="H153" t="s">
        <v>111</v>
      </c>
      <c r="I153" t="str">
        <f>VLOOKUP(Tabla1[[#This Row],[Code]],'[1]Articulos Precio'!$A:$E,5,FALSE)</f>
        <v>A0000127</v>
      </c>
    </row>
    <row r="154" spans="1:9" x14ac:dyDescent="0.25">
      <c r="A154" t="s">
        <v>126</v>
      </c>
      <c r="B154" t="str">
        <f>VLOOKUP(Tabla1[[#This Row],[Code]],[1]!Tabla4[#Data],2,FALSE)</f>
        <v>Rollo Metamark MD 100B (100mc Adh Gris) Brillo 1,37x50m</v>
      </c>
      <c r="C154">
        <v>26</v>
      </c>
      <c r="D154" t="s">
        <v>112</v>
      </c>
      <c r="E154" t="str">
        <f>VLOOKUP(Tabla1[[#This Row],[Cód. Atributo]],[1]!Tabla5[#Data],6,FALSE)</f>
        <v>Select</v>
      </c>
      <c r="F154">
        <v>5</v>
      </c>
      <c r="G154">
        <v>3</v>
      </c>
      <c r="H154" t="s">
        <v>113</v>
      </c>
      <c r="I154" t="str">
        <f>VLOOKUP(Tabla1[[#This Row],[Code]],'[1]Articulos Precio'!$A:$E,5,FALSE)</f>
        <v>A0000127</v>
      </c>
    </row>
    <row r="155" spans="1:9" x14ac:dyDescent="0.25">
      <c r="A155" t="s">
        <v>126</v>
      </c>
      <c r="B155" t="str">
        <f>VLOOKUP(Tabla1[[#This Row],[Code]],[1]!Tabla4[#Data],2,FALSE)</f>
        <v>Rollo Metamark MD 100B (100mc Adh Gris) Brillo 1,37x50m</v>
      </c>
      <c r="C155">
        <v>31</v>
      </c>
      <c r="D155" t="s">
        <v>114</v>
      </c>
      <c r="E155" t="str">
        <f>VLOOKUP(Tabla1[[#This Row],[Cód. Atributo]],[1]!Tabla5[#Data],6,FALSE)</f>
        <v>Select</v>
      </c>
      <c r="F155">
        <v>6</v>
      </c>
      <c r="G155">
        <v>7</v>
      </c>
      <c r="H155" t="s">
        <v>125</v>
      </c>
      <c r="I155" t="str">
        <f>VLOOKUP(Tabla1[[#This Row],[Code]],'[1]Articulos Precio'!$A:$E,5,FALSE)</f>
        <v>A0000127</v>
      </c>
    </row>
    <row r="156" spans="1:9" x14ac:dyDescent="0.25">
      <c r="A156" t="s">
        <v>127</v>
      </c>
      <c r="B156" t="str">
        <f>VLOOKUP(Tabla1[[#This Row],[Code]],[1]!Tabla4[#Data],2,FALSE)</f>
        <v>Rollo Metamark MD 100B (100mc Adh Gris) Brillo 1,05x50m</v>
      </c>
      <c r="C156">
        <v>1</v>
      </c>
      <c r="D156" t="s">
        <v>106</v>
      </c>
      <c r="E156" t="str">
        <f>VLOOKUP(Tabla1[[#This Row],[Cód. Atributo]],[1]!Tabla5[#Data],6,FALSE)</f>
        <v>Select</v>
      </c>
      <c r="F156">
        <v>1</v>
      </c>
      <c r="G156">
        <v>1</v>
      </c>
      <c r="H156" t="s">
        <v>107</v>
      </c>
      <c r="I156" t="str">
        <f>VLOOKUP(Tabla1[[#This Row],[Code]],'[1]Articulos Precio'!$A:$E,5,FALSE)</f>
        <v>A0000127</v>
      </c>
    </row>
    <row r="157" spans="1:9" x14ac:dyDescent="0.25">
      <c r="A157" t="s">
        <v>127</v>
      </c>
      <c r="B157" t="str">
        <f>VLOOKUP(Tabla1[[#This Row],[Code]],[1]!Tabla4[#Data],2,FALSE)</f>
        <v>Rollo Metamark MD 100B (100mc Adh Gris) Brillo 1,05x50m</v>
      </c>
      <c r="C157">
        <v>3</v>
      </c>
      <c r="D157" t="s">
        <v>108</v>
      </c>
      <c r="E157" t="str">
        <f>VLOOKUP(Tabla1[[#This Row],[Cód. Atributo]],[1]!Tabla5[#Data],6,FALSE)</f>
        <v>Select</v>
      </c>
      <c r="F157">
        <v>2</v>
      </c>
      <c r="G157">
        <v>2</v>
      </c>
      <c r="H157" t="s">
        <v>119</v>
      </c>
      <c r="I157" t="str">
        <f>VLOOKUP(Tabla1[[#This Row],[Code]],'[1]Articulos Precio'!$A:$E,5,FALSE)</f>
        <v>A0000127</v>
      </c>
    </row>
    <row r="158" spans="1:9" x14ac:dyDescent="0.25">
      <c r="A158" t="s">
        <v>127</v>
      </c>
      <c r="B158" t="str">
        <f>VLOOKUP(Tabla1[[#This Row],[Code]],[1]!Tabla4[#Data],2,FALSE)</f>
        <v>Rollo Metamark MD 100B (100mc Adh Gris) Brillo 1,05x50m</v>
      </c>
      <c r="C158">
        <v>23</v>
      </c>
      <c r="D158" t="s">
        <v>90</v>
      </c>
      <c r="E158" t="str">
        <f>VLOOKUP(Tabla1[[#This Row],[Cód. Atributo]],[1]!Tabla5[#Data],6,FALSE)</f>
        <v>Select</v>
      </c>
      <c r="F158">
        <v>3</v>
      </c>
      <c r="G158">
        <v>1</v>
      </c>
      <c r="H158" t="s">
        <v>110</v>
      </c>
      <c r="I158" t="str">
        <f>VLOOKUP(Tabla1[[#This Row],[Code]],'[1]Articulos Precio'!$A:$E,5,FALSE)</f>
        <v>A0000127</v>
      </c>
    </row>
    <row r="159" spans="1:9" x14ac:dyDescent="0.25">
      <c r="A159" t="s">
        <v>127</v>
      </c>
      <c r="B159" t="str">
        <f>VLOOKUP(Tabla1[[#This Row],[Code]],[1]!Tabla4[#Data],2,FALSE)</f>
        <v>Rollo Metamark MD 100B (100mc Adh Gris) Brillo 1,05x50m</v>
      </c>
      <c r="C159">
        <v>25</v>
      </c>
      <c r="D159" t="s">
        <v>94</v>
      </c>
      <c r="E159" t="str">
        <f>VLOOKUP(Tabla1[[#This Row],[Cód. Atributo]],[1]!Tabla5[#Data],6,FALSE)</f>
        <v>Select</v>
      </c>
      <c r="F159">
        <v>4</v>
      </c>
      <c r="G159">
        <v>2</v>
      </c>
      <c r="H159" t="s">
        <v>111</v>
      </c>
      <c r="I159" t="str">
        <f>VLOOKUP(Tabla1[[#This Row],[Code]],'[1]Articulos Precio'!$A:$E,5,FALSE)</f>
        <v>A0000127</v>
      </c>
    </row>
    <row r="160" spans="1:9" x14ac:dyDescent="0.25">
      <c r="A160" t="s">
        <v>127</v>
      </c>
      <c r="B160" t="str">
        <f>VLOOKUP(Tabla1[[#This Row],[Code]],[1]!Tabla4[#Data],2,FALSE)</f>
        <v>Rollo Metamark MD 100B (100mc Adh Gris) Brillo 1,05x50m</v>
      </c>
      <c r="C160">
        <v>26</v>
      </c>
      <c r="D160" t="s">
        <v>112</v>
      </c>
      <c r="E160" t="str">
        <f>VLOOKUP(Tabla1[[#This Row],[Cód. Atributo]],[1]!Tabla5[#Data],6,FALSE)</f>
        <v>Select</v>
      </c>
      <c r="F160">
        <v>5</v>
      </c>
      <c r="G160">
        <v>3</v>
      </c>
      <c r="H160" t="s">
        <v>113</v>
      </c>
      <c r="I160" t="str">
        <f>VLOOKUP(Tabla1[[#This Row],[Code]],'[1]Articulos Precio'!$A:$E,5,FALSE)</f>
        <v>A0000127</v>
      </c>
    </row>
    <row r="161" spans="1:9" x14ac:dyDescent="0.25">
      <c r="A161" t="s">
        <v>127</v>
      </c>
      <c r="B161" t="str">
        <f>VLOOKUP(Tabla1[[#This Row],[Code]],[1]!Tabla4[#Data],2,FALSE)</f>
        <v>Rollo Metamark MD 100B (100mc Adh Gris) Brillo 1,05x50m</v>
      </c>
      <c r="C161">
        <v>31</v>
      </c>
      <c r="D161" t="s">
        <v>114</v>
      </c>
      <c r="E161" t="str">
        <f>VLOOKUP(Tabla1[[#This Row],[Cód. Atributo]],[1]!Tabla5[#Data],6,FALSE)</f>
        <v>Select</v>
      </c>
      <c r="F161">
        <v>6</v>
      </c>
      <c r="G161">
        <v>7</v>
      </c>
      <c r="H161" t="s">
        <v>125</v>
      </c>
      <c r="I161" t="str">
        <f>VLOOKUP(Tabla1[[#This Row],[Code]],'[1]Articulos Precio'!$A:$E,5,FALSE)</f>
        <v>A0000127</v>
      </c>
    </row>
    <row r="162" spans="1:9" x14ac:dyDescent="0.25">
      <c r="A162" t="s">
        <v>128</v>
      </c>
      <c r="B162" t="str">
        <f>VLOOKUP(Tabla1[[#This Row],[Code]],[1]!Tabla4[#Data],2,FALSE)</f>
        <v>Rollo Metamark MD 100R (100mc Adh Removible) Brillo 1,6 x 50m</v>
      </c>
      <c r="C162">
        <v>1</v>
      </c>
      <c r="D162" t="s">
        <v>106</v>
      </c>
      <c r="E162" t="str">
        <f>VLOOKUP(Tabla1[[#This Row],[Cód. Atributo]],[1]!Tabla5[#Data],6,FALSE)</f>
        <v>Select</v>
      </c>
      <c r="F162">
        <v>1</v>
      </c>
      <c r="G162">
        <v>1</v>
      </c>
      <c r="H162" t="s">
        <v>107</v>
      </c>
      <c r="I162" t="str">
        <f>VLOOKUP(Tabla1[[#This Row],[Code]],'[1]Articulos Precio'!$A:$E,5,FALSE)</f>
        <v>A0000127</v>
      </c>
    </row>
    <row r="163" spans="1:9" x14ac:dyDescent="0.25">
      <c r="A163" t="s">
        <v>128</v>
      </c>
      <c r="B163" t="str">
        <f>VLOOKUP(Tabla1[[#This Row],[Code]],[1]!Tabla4[#Data],2,FALSE)</f>
        <v>Rollo Metamark MD 100R (100mc Adh Removible) Brillo 1,6 x 50m</v>
      </c>
      <c r="C163">
        <v>3</v>
      </c>
      <c r="D163" t="s">
        <v>108</v>
      </c>
      <c r="E163" t="str">
        <f>VLOOKUP(Tabla1[[#This Row],[Cód. Atributo]],[1]!Tabla5[#Data],6,FALSE)</f>
        <v>Select</v>
      </c>
      <c r="F163">
        <v>2</v>
      </c>
      <c r="G163">
        <v>4</v>
      </c>
      <c r="H163" t="s">
        <v>109</v>
      </c>
      <c r="I163" t="str">
        <f>VLOOKUP(Tabla1[[#This Row],[Code]],'[1]Articulos Precio'!$A:$E,5,FALSE)</f>
        <v>A0000127</v>
      </c>
    </row>
    <row r="164" spans="1:9" x14ac:dyDescent="0.25">
      <c r="A164" t="s">
        <v>128</v>
      </c>
      <c r="B164" t="str">
        <f>VLOOKUP(Tabla1[[#This Row],[Code]],[1]!Tabla4[#Data],2,FALSE)</f>
        <v>Rollo Metamark MD 100R (100mc Adh Removible) Brillo 1,6 x 50m</v>
      </c>
      <c r="C164">
        <v>23</v>
      </c>
      <c r="D164" t="s">
        <v>90</v>
      </c>
      <c r="E164" t="str">
        <f>VLOOKUP(Tabla1[[#This Row],[Cód. Atributo]],[1]!Tabla5[#Data],6,FALSE)</f>
        <v>Select</v>
      </c>
      <c r="F164">
        <v>3</v>
      </c>
      <c r="G164">
        <v>1</v>
      </c>
      <c r="H164" t="s">
        <v>110</v>
      </c>
      <c r="I164" t="str">
        <f>VLOOKUP(Tabla1[[#This Row],[Code]],'[1]Articulos Precio'!$A:$E,5,FALSE)</f>
        <v>A0000127</v>
      </c>
    </row>
    <row r="165" spans="1:9" x14ac:dyDescent="0.25">
      <c r="A165" t="s">
        <v>128</v>
      </c>
      <c r="B165" t="str">
        <f>VLOOKUP(Tabla1[[#This Row],[Code]],[1]!Tabla4[#Data],2,FALSE)</f>
        <v>Rollo Metamark MD 100R (100mc Adh Removible) Brillo 1,6 x 50m</v>
      </c>
      <c r="C165">
        <v>25</v>
      </c>
      <c r="D165" t="s">
        <v>94</v>
      </c>
      <c r="E165" t="str">
        <f>VLOOKUP(Tabla1[[#This Row],[Cód. Atributo]],[1]!Tabla5[#Data],6,FALSE)</f>
        <v>Select</v>
      </c>
      <c r="F165">
        <v>4</v>
      </c>
      <c r="G165">
        <v>2</v>
      </c>
      <c r="H165" t="s">
        <v>111</v>
      </c>
      <c r="I165" t="str">
        <f>VLOOKUP(Tabla1[[#This Row],[Code]],'[1]Articulos Precio'!$A:$E,5,FALSE)</f>
        <v>A0000127</v>
      </c>
    </row>
    <row r="166" spans="1:9" x14ac:dyDescent="0.25">
      <c r="A166" t="s">
        <v>128</v>
      </c>
      <c r="B166" t="str">
        <f>VLOOKUP(Tabla1[[#This Row],[Code]],[1]!Tabla4[#Data],2,FALSE)</f>
        <v>Rollo Metamark MD 100R (100mc Adh Removible) Brillo 1,6 x 50m</v>
      </c>
      <c r="C166">
        <v>26</v>
      </c>
      <c r="D166" t="s">
        <v>112</v>
      </c>
      <c r="E166" t="str">
        <f>VLOOKUP(Tabla1[[#This Row],[Cód. Atributo]],[1]!Tabla5[#Data],6,FALSE)</f>
        <v>Select</v>
      </c>
      <c r="F166">
        <v>5</v>
      </c>
      <c r="G166">
        <v>3</v>
      </c>
      <c r="H166" t="s">
        <v>113</v>
      </c>
      <c r="I166" t="str">
        <f>VLOOKUP(Tabla1[[#This Row],[Code]],'[1]Articulos Precio'!$A:$E,5,FALSE)</f>
        <v>A0000127</v>
      </c>
    </row>
    <row r="167" spans="1:9" x14ac:dyDescent="0.25">
      <c r="A167" t="s">
        <v>128</v>
      </c>
      <c r="B167" t="str">
        <f>VLOOKUP(Tabla1[[#This Row],[Code]],[1]!Tabla4[#Data],2,FALSE)</f>
        <v>Rollo Metamark MD 100R (100mc Adh Removible) Brillo 1,6 x 50m</v>
      </c>
      <c r="C167">
        <v>31</v>
      </c>
      <c r="D167" t="s">
        <v>114</v>
      </c>
      <c r="E167" t="str">
        <f>VLOOKUP(Tabla1[[#This Row],[Cód. Atributo]],[1]!Tabla5[#Data],6,FALSE)</f>
        <v>Select</v>
      </c>
      <c r="F167">
        <v>6</v>
      </c>
      <c r="G167">
        <v>2</v>
      </c>
      <c r="H167" t="s">
        <v>129</v>
      </c>
      <c r="I167" t="str">
        <f>VLOOKUP(Tabla1[[#This Row],[Code]],'[1]Articulos Precio'!$A:$E,5,FALSE)</f>
        <v>A0000127</v>
      </c>
    </row>
    <row r="168" spans="1:9" x14ac:dyDescent="0.25">
      <c r="A168" t="s">
        <v>130</v>
      </c>
      <c r="B168" t="str">
        <f>VLOOKUP(Tabla1[[#This Row],[Code]],[1]!Tabla4[#Data],2,FALSE)</f>
        <v>Rollo Metamark MD 100R (100mc Adh Removible) Brillo 1,37x50m</v>
      </c>
      <c r="C168">
        <v>1</v>
      </c>
      <c r="D168" t="s">
        <v>106</v>
      </c>
      <c r="E168" t="str">
        <f>VLOOKUP(Tabla1[[#This Row],[Cód. Atributo]],[1]!Tabla5[#Data],6,FALSE)</f>
        <v>Select</v>
      </c>
      <c r="F168">
        <v>1</v>
      </c>
      <c r="G168">
        <v>1</v>
      </c>
      <c r="H168" t="s">
        <v>107</v>
      </c>
      <c r="I168" t="str">
        <f>VLOOKUP(Tabla1[[#This Row],[Code]],'[1]Articulos Precio'!$A:$E,5,FALSE)</f>
        <v>A0000127</v>
      </c>
    </row>
    <row r="169" spans="1:9" x14ac:dyDescent="0.25">
      <c r="A169" t="s">
        <v>130</v>
      </c>
      <c r="B169" t="str">
        <f>VLOOKUP(Tabla1[[#This Row],[Code]],[1]!Tabla4[#Data],2,FALSE)</f>
        <v>Rollo Metamark MD 100R (100mc Adh Removible) Brillo 1,37x50m</v>
      </c>
      <c r="C169">
        <v>3</v>
      </c>
      <c r="D169" t="s">
        <v>108</v>
      </c>
      <c r="E169" t="str">
        <f>VLOOKUP(Tabla1[[#This Row],[Cód. Atributo]],[1]!Tabla5[#Data],6,FALSE)</f>
        <v>Select</v>
      </c>
      <c r="F169">
        <v>2</v>
      </c>
      <c r="G169">
        <v>3</v>
      </c>
      <c r="H169" t="s">
        <v>117</v>
      </c>
      <c r="I169" t="str">
        <f>VLOOKUP(Tabla1[[#This Row],[Code]],'[1]Articulos Precio'!$A:$E,5,FALSE)</f>
        <v>A0000127</v>
      </c>
    </row>
    <row r="170" spans="1:9" x14ac:dyDescent="0.25">
      <c r="A170" t="s">
        <v>130</v>
      </c>
      <c r="B170" t="str">
        <f>VLOOKUP(Tabla1[[#This Row],[Code]],[1]!Tabla4[#Data],2,FALSE)</f>
        <v>Rollo Metamark MD 100R (100mc Adh Removible) Brillo 1,37x50m</v>
      </c>
      <c r="C170">
        <v>23</v>
      </c>
      <c r="D170" t="s">
        <v>90</v>
      </c>
      <c r="E170" t="str">
        <f>VLOOKUP(Tabla1[[#This Row],[Cód. Atributo]],[1]!Tabla5[#Data],6,FALSE)</f>
        <v>Select</v>
      </c>
      <c r="F170">
        <v>3</v>
      </c>
      <c r="G170">
        <v>1</v>
      </c>
      <c r="H170" t="s">
        <v>110</v>
      </c>
      <c r="I170" t="str">
        <f>VLOOKUP(Tabla1[[#This Row],[Code]],'[1]Articulos Precio'!$A:$E,5,FALSE)</f>
        <v>A0000127</v>
      </c>
    </row>
    <row r="171" spans="1:9" x14ac:dyDescent="0.25">
      <c r="A171" t="s">
        <v>130</v>
      </c>
      <c r="B171" t="str">
        <f>VLOOKUP(Tabla1[[#This Row],[Code]],[1]!Tabla4[#Data],2,FALSE)</f>
        <v>Rollo Metamark MD 100R (100mc Adh Removible) Brillo 1,37x50m</v>
      </c>
      <c r="C171">
        <v>25</v>
      </c>
      <c r="D171" t="s">
        <v>94</v>
      </c>
      <c r="E171" t="str">
        <f>VLOOKUP(Tabla1[[#This Row],[Cód. Atributo]],[1]!Tabla5[#Data],6,FALSE)</f>
        <v>Select</v>
      </c>
      <c r="F171">
        <v>4</v>
      </c>
      <c r="G171">
        <v>2</v>
      </c>
      <c r="H171" t="s">
        <v>111</v>
      </c>
      <c r="I171" t="str">
        <f>VLOOKUP(Tabla1[[#This Row],[Code]],'[1]Articulos Precio'!$A:$E,5,FALSE)</f>
        <v>A0000127</v>
      </c>
    </row>
    <row r="172" spans="1:9" x14ac:dyDescent="0.25">
      <c r="A172" t="s">
        <v>130</v>
      </c>
      <c r="B172" t="str">
        <f>VLOOKUP(Tabla1[[#This Row],[Code]],[1]!Tabla4[#Data],2,FALSE)</f>
        <v>Rollo Metamark MD 100R (100mc Adh Removible) Brillo 1,37x50m</v>
      </c>
      <c r="C172">
        <v>26</v>
      </c>
      <c r="D172" t="s">
        <v>112</v>
      </c>
      <c r="E172" t="str">
        <f>VLOOKUP(Tabla1[[#This Row],[Cód. Atributo]],[1]!Tabla5[#Data],6,FALSE)</f>
        <v>Select</v>
      </c>
      <c r="F172">
        <v>5</v>
      </c>
      <c r="G172">
        <v>3</v>
      </c>
      <c r="H172" t="s">
        <v>113</v>
      </c>
      <c r="I172" t="str">
        <f>VLOOKUP(Tabla1[[#This Row],[Code]],'[1]Articulos Precio'!$A:$E,5,FALSE)</f>
        <v>A0000127</v>
      </c>
    </row>
    <row r="173" spans="1:9" x14ac:dyDescent="0.25">
      <c r="A173" t="s">
        <v>130</v>
      </c>
      <c r="B173" t="str">
        <f>VLOOKUP(Tabla1[[#This Row],[Code]],[1]!Tabla4[#Data],2,FALSE)</f>
        <v>Rollo Metamark MD 100R (100mc Adh Removible) Brillo 1,37x50m</v>
      </c>
      <c r="C173">
        <v>31</v>
      </c>
      <c r="D173" t="s">
        <v>114</v>
      </c>
      <c r="E173" t="str">
        <f>VLOOKUP(Tabla1[[#This Row],[Cód. Atributo]],[1]!Tabla5[#Data],6,FALSE)</f>
        <v>Select</v>
      </c>
      <c r="F173">
        <v>6</v>
      </c>
      <c r="G173">
        <v>2</v>
      </c>
      <c r="H173" t="s">
        <v>129</v>
      </c>
      <c r="I173" t="str">
        <f>VLOOKUP(Tabla1[[#This Row],[Code]],'[1]Articulos Precio'!$A:$E,5,FALSE)</f>
        <v>A0000127</v>
      </c>
    </row>
    <row r="174" spans="1:9" x14ac:dyDescent="0.25">
      <c r="A174" t="s">
        <v>131</v>
      </c>
      <c r="B174" t="str">
        <f>VLOOKUP(Tabla1[[#This Row],[Code]],[1]!Tabla4[#Data],2,FALSE)</f>
        <v>Rollo Metamark MD 100R (100mc Adh Removible) Brillo 1,05x50m</v>
      </c>
      <c r="C174">
        <v>1</v>
      </c>
      <c r="D174" t="s">
        <v>106</v>
      </c>
      <c r="E174" t="str">
        <f>VLOOKUP(Tabla1[[#This Row],[Cód. Atributo]],[1]!Tabla5[#Data],6,FALSE)</f>
        <v>Select</v>
      </c>
      <c r="F174">
        <v>1</v>
      </c>
      <c r="G174">
        <v>1</v>
      </c>
      <c r="H174" t="s">
        <v>107</v>
      </c>
      <c r="I174" t="str">
        <f>VLOOKUP(Tabla1[[#This Row],[Code]],'[1]Articulos Precio'!$A:$E,5,FALSE)</f>
        <v>A0000127</v>
      </c>
    </row>
    <row r="175" spans="1:9" x14ac:dyDescent="0.25">
      <c r="A175" t="s">
        <v>131</v>
      </c>
      <c r="B175" t="str">
        <f>VLOOKUP(Tabla1[[#This Row],[Code]],[1]!Tabla4[#Data],2,FALSE)</f>
        <v>Rollo Metamark MD 100R (100mc Adh Removible) Brillo 1,05x50m</v>
      </c>
      <c r="C175">
        <v>3</v>
      </c>
      <c r="D175" t="s">
        <v>108</v>
      </c>
      <c r="E175" t="str">
        <f>VLOOKUP(Tabla1[[#This Row],[Cód. Atributo]],[1]!Tabla5[#Data],6,FALSE)</f>
        <v>Select</v>
      </c>
      <c r="F175">
        <v>2</v>
      </c>
      <c r="G175">
        <v>2</v>
      </c>
      <c r="H175" t="s">
        <v>119</v>
      </c>
      <c r="I175" t="str">
        <f>VLOOKUP(Tabla1[[#This Row],[Code]],'[1]Articulos Precio'!$A:$E,5,FALSE)</f>
        <v>A0000127</v>
      </c>
    </row>
    <row r="176" spans="1:9" x14ac:dyDescent="0.25">
      <c r="A176" t="s">
        <v>131</v>
      </c>
      <c r="B176" t="str">
        <f>VLOOKUP(Tabla1[[#This Row],[Code]],[1]!Tabla4[#Data],2,FALSE)</f>
        <v>Rollo Metamark MD 100R (100mc Adh Removible) Brillo 1,05x50m</v>
      </c>
      <c r="C176">
        <v>23</v>
      </c>
      <c r="D176" t="s">
        <v>90</v>
      </c>
      <c r="E176" t="str">
        <f>VLOOKUP(Tabla1[[#This Row],[Cód. Atributo]],[1]!Tabla5[#Data],6,FALSE)</f>
        <v>Select</v>
      </c>
      <c r="F176">
        <v>3</v>
      </c>
      <c r="G176">
        <v>1</v>
      </c>
      <c r="H176" t="s">
        <v>110</v>
      </c>
      <c r="I176" t="str">
        <f>VLOOKUP(Tabla1[[#This Row],[Code]],'[1]Articulos Precio'!$A:$E,5,FALSE)</f>
        <v>A0000127</v>
      </c>
    </row>
    <row r="177" spans="1:9" x14ac:dyDescent="0.25">
      <c r="A177" t="s">
        <v>131</v>
      </c>
      <c r="B177" t="str">
        <f>VLOOKUP(Tabla1[[#This Row],[Code]],[1]!Tabla4[#Data],2,FALSE)</f>
        <v>Rollo Metamark MD 100R (100mc Adh Removible) Brillo 1,05x50m</v>
      </c>
      <c r="C177">
        <v>25</v>
      </c>
      <c r="D177" t="s">
        <v>94</v>
      </c>
      <c r="E177" t="str">
        <f>VLOOKUP(Tabla1[[#This Row],[Cód. Atributo]],[1]!Tabla5[#Data],6,FALSE)</f>
        <v>Select</v>
      </c>
      <c r="F177">
        <v>4</v>
      </c>
      <c r="G177">
        <v>2</v>
      </c>
      <c r="H177" t="s">
        <v>111</v>
      </c>
      <c r="I177" t="str">
        <f>VLOOKUP(Tabla1[[#This Row],[Code]],'[1]Articulos Precio'!$A:$E,5,FALSE)</f>
        <v>A0000127</v>
      </c>
    </row>
    <row r="178" spans="1:9" x14ac:dyDescent="0.25">
      <c r="A178" t="s">
        <v>131</v>
      </c>
      <c r="B178" t="str">
        <f>VLOOKUP(Tabla1[[#This Row],[Code]],[1]!Tabla4[#Data],2,FALSE)</f>
        <v>Rollo Metamark MD 100R (100mc Adh Removible) Brillo 1,05x50m</v>
      </c>
      <c r="C178">
        <v>26</v>
      </c>
      <c r="D178" t="s">
        <v>112</v>
      </c>
      <c r="E178" t="str">
        <f>VLOOKUP(Tabla1[[#This Row],[Cód. Atributo]],[1]!Tabla5[#Data],6,FALSE)</f>
        <v>Select</v>
      </c>
      <c r="F178">
        <v>5</v>
      </c>
      <c r="G178">
        <v>3</v>
      </c>
      <c r="H178" t="s">
        <v>113</v>
      </c>
      <c r="I178" t="str">
        <f>VLOOKUP(Tabla1[[#This Row],[Code]],'[1]Articulos Precio'!$A:$E,5,FALSE)</f>
        <v>A0000127</v>
      </c>
    </row>
    <row r="179" spans="1:9" x14ac:dyDescent="0.25">
      <c r="A179" t="s">
        <v>131</v>
      </c>
      <c r="B179" t="str">
        <f>VLOOKUP(Tabla1[[#This Row],[Code]],[1]!Tabla4[#Data],2,FALSE)</f>
        <v>Rollo Metamark MD 100R (100mc Adh Removible) Brillo 1,05x50m</v>
      </c>
      <c r="C179">
        <v>31</v>
      </c>
      <c r="D179" t="s">
        <v>114</v>
      </c>
      <c r="E179" t="str">
        <f>VLOOKUP(Tabla1[[#This Row],[Cód. Atributo]],[1]!Tabla5[#Data],6,FALSE)</f>
        <v>Select</v>
      </c>
      <c r="F179">
        <v>6</v>
      </c>
      <c r="G179">
        <v>2</v>
      </c>
      <c r="H179" t="s">
        <v>129</v>
      </c>
      <c r="I179" t="str">
        <f>VLOOKUP(Tabla1[[#This Row],[Code]],'[1]Articulos Precio'!$A:$E,5,FALSE)</f>
        <v>A0000127</v>
      </c>
    </row>
    <row r="180" spans="1:9" x14ac:dyDescent="0.25">
      <c r="A180" t="s">
        <v>132</v>
      </c>
      <c r="B180" t="str">
        <f>VLOOKUP(Tabla1[[#This Row],[Code]],[1]!Tabla4[#Data],2,FALSE)</f>
        <v>Rollo Metamark MD3 200 (70mc) Brillo 1,05x50m</v>
      </c>
      <c r="C180">
        <v>1</v>
      </c>
      <c r="D180" t="s">
        <v>106</v>
      </c>
      <c r="E180" t="str">
        <f>VLOOKUP(Tabla1[[#This Row],[Cód. Atributo]],[1]!Tabla5[#Data],6,FALSE)</f>
        <v>Select</v>
      </c>
      <c r="F180">
        <v>1</v>
      </c>
      <c r="G180">
        <v>1</v>
      </c>
      <c r="H180" t="s">
        <v>107</v>
      </c>
      <c r="I180" t="str">
        <f>VLOOKUP(Tabla1[[#This Row],[Code]],'[1]Articulos Precio'!$A:$E,5,FALSE)</f>
        <v>A0000131</v>
      </c>
    </row>
    <row r="181" spans="1:9" x14ac:dyDescent="0.25">
      <c r="A181" t="s">
        <v>132</v>
      </c>
      <c r="B181" t="str">
        <f>VLOOKUP(Tabla1[[#This Row],[Code]],[1]!Tabla4[#Data],2,FALSE)</f>
        <v>Rollo Metamark MD3 200 (70mc) Brillo 1,05x50m</v>
      </c>
      <c r="C181">
        <v>3</v>
      </c>
      <c r="D181" t="s">
        <v>108</v>
      </c>
      <c r="E181" t="str">
        <f>VLOOKUP(Tabla1[[#This Row],[Cód. Atributo]],[1]!Tabla5[#Data],6,FALSE)</f>
        <v>Select</v>
      </c>
      <c r="F181">
        <v>2</v>
      </c>
      <c r="G181">
        <v>2</v>
      </c>
      <c r="H181" t="s">
        <v>119</v>
      </c>
      <c r="I181" t="str">
        <f>VLOOKUP(Tabla1[[#This Row],[Code]],'[1]Articulos Precio'!$A:$E,5,FALSE)</f>
        <v>A0000131</v>
      </c>
    </row>
    <row r="182" spans="1:9" x14ac:dyDescent="0.25">
      <c r="A182" t="s">
        <v>132</v>
      </c>
      <c r="B182" t="str">
        <f>VLOOKUP(Tabla1[[#This Row],[Code]],[1]!Tabla4[#Data],2,FALSE)</f>
        <v>Rollo Metamark MD3 200 (70mc) Brillo 1,05x50m</v>
      </c>
      <c r="C182">
        <v>23</v>
      </c>
      <c r="D182" t="s">
        <v>90</v>
      </c>
      <c r="E182" t="str">
        <f>VLOOKUP(Tabla1[[#This Row],[Cód. Atributo]],[1]!Tabla5[#Data],6,FALSE)</f>
        <v>Select</v>
      </c>
      <c r="F182">
        <v>3</v>
      </c>
      <c r="G182">
        <v>4</v>
      </c>
      <c r="H182" t="s">
        <v>133</v>
      </c>
      <c r="I182" t="str">
        <f>VLOOKUP(Tabla1[[#This Row],[Code]],'[1]Articulos Precio'!$A:$E,5,FALSE)</f>
        <v>A0000131</v>
      </c>
    </row>
    <row r="183" spans="1:9" x14ac:dyDescent="0.25">
      <c r="A183" t="s">
        <v>132</v>
      </c>
      <c r="B183" t="str">
        <f>VLOOKUP(Tabla1[[#This Row],[Code]],[1]!Tabla4[#Data],2,FALSE)</f>
        <v>Rollo Metamark MD3 200 (70mc) Brillo 1,05x50m</v>
      </c>
      <c r="C183">
        <v>25</v>
      </c>
      <c r="D183" t="s">
        <v>94</v>
      </c>
      <c r="E183" t="str">
        <f>VLOOKUP(Tabla1[[#This Row],[Cód. Atributo]],[1]!Tabla5[#Data],6,FALSE)</f>
        <v>Select</v>
      </c>
      <c r="F183">
        <v>4</v>
      </c>
      <c r="G183">
        <v>3</v>
      </c>
      <c r="H183" t="s">
        <v>134</v>
      </c>
      <c r="I183" t="str">
        <f>VLOOKUP(Tabla1[[#This Row],[Code]],'[1]Articulos Precio'!$A:$E,5,FALSE)</f>
        <v>A0000131</v>
      </c>
    </row>
    <row r="184" spans="1:9" x14ac:dyDescent="0.25">
      <c r="A184" t="s">
        <v>132</v>
      </c>
      <c r="B184" t="str">
        <f>VLOOKUP(Tabla1[[#This Row],[Code]],[1]!Tabla4[#Data],2,FALSE)</f>
        <v>Rollo Metamark MD3 200 (70mc) Brillo 1,05x50m</v>
      </c>
      <c r="C184">
        <v>26</v>
      </c>
      <c r="D184" t="s">
        <v>112</v>
      </c>
      <c r="E184" t="str">
        <f>VLOOKUP(Tabla1[[#This Row],[Cód. Atributo]],[1]!Tabla5[#Data],6,FALSE)</f>
        <v>Select</v>
      </c>
      <c r="F184">
        <v>5</v>
      </c>
      <c r="G184">
        <v>3</v>
      </c>
      <c r="H184" t="s">
        <v>113</v>
      </c>
      <c r="I184" t="str">
        <f>VLOOKUP(Tabla1[[#This Row],[Code]],'[1]Articulos Precio'!$A:$E,5,FALSE)</f>
        <v>A0000131</v>
      </c>
    </row>
    <row r="185" spans="1:9" x14ac:dyDescent="0.25">
      <c r="A185" t="s">
        <v>132</v>
      </c>
      <c r="B185" t="str">
        <f>VLOOKUP(Tabla1[[#This Row],[Code]],[1]!Tabla4[#Data],2,FALSE)</f>
        <v>Rollo Metamark MD3 200 (70mc) Brillo 1,05x50m</v>
      </c>
      <c r="C185">
        <v>31</v>
      </c>
      <c r="D185" t="s">
        <v>114</v>
      </c>
      <c r="E185" t="str">
        <f>VLOOKUP(Tabla1[[#This Row],[Cód. Atributo]],[1]!Tabla5[#Data],6,FALSE)</f>
        <v>Select</v>
      </c>
      <c r="F185">
        <v>6</v>
      </c>
      <c r="G185">
        <v>1</v>
      </c>
      <c r="H185" t="s">
        <v>115</v>
      </c>
      <c r="I185" t="str">
        <f>VLOOKUP(Tabla1[[#This Row],[Code]],'[1]Articulos Precio'!$A:$E,5,FALSE)</f>
        <v>A0000131</v>
      </c>
    </row>
    <row r="186" spans="1:9" x14ac:dyDescent="0.25">
      <c r="A186" t="s">
        <v>135</v>
      </c>
      <c r="B186" t="str">
        <f>VLOOKUP(Tabla1[[#This Row],[Code]],[1]!Tabla4[#Data],2,FALSE)</f>
        <v>Rollo Metamark MD5 100 (70mc) Brillo 1,6 x 50m</v>
      </c>
      <c r="C186">
        <v>1</v>
      </c>
      <c r="D186" t="s">
        <v>106</v>
      </c>
      <c r="E186" t="str">
        <f>VLOOKUP(Tabla1[[#This Row],[Cód. Atributo]],[1]!Tabla5[#Data],6,FALSE)</f>
        <v>Select</v>
      </c>
      <c r="F186">
        <v>1</v>
      </c>
      <c r="G186">
        <v>1</v>
      </c>
      <c r="H186" t="s">
        <v>107</v>
      </c>
      <c r="I186" t="str">
        <f>VLOOKUP(Tabla1[[#This Row],[Code]],'[1]Articulos Precio'!$A:$E,5,FALSE)</f>
        <v>A0000994</v>
      </c>
    </row>
    <row r="187" spans="1:9" x14ac:dyDescent="0.25">
      <c r="A187" t="s">
        <v>135</v>
      </c>
      <c r="B187" t="str">
        <f>VLOOKUP(Tabla1[[#This Row],[Code]],[1]!Tabla4[#Data],2,FALSE)</f>
        <v>Rollo Metamark MD5 100 (70mc) Brillo 1,6 x 50m</v>
      </c>
      <c r="C187">
        <v>3</v>
      </c>
      <c r="D187" t="s">
        <v>108</v>
      </c>
      <c r="E187" t="str">
        <f>VLOOKUP(Tabla1[[#This Row],[Cód. Atributo]],[1]!Tabla5[#Data],6,FALSE)</f>
        <v>Select</v>
      </c>
      <c r="F187">
        <v>2</v>
      </c>
      <c r="G187">
        <v>4</v>
      </c>
      <c r="H187" t="s">
        <v>109</v>
      </c>
      <c r="I187" t="str">
        <f>VLOOKUP(Tabla1[[#This Row],[Code]],'[1]Articulos Precio'!$A:$E,5,FALSE)</f>
        <v>A0000994</v>
      </c>
    </row>
    <row r="188" spans="1:9" x14ac:dyDescent="0.25">
      <c r="A188" t="s">
        <v>135</v>
      </c>
      <c r="B188" t="str">
        <f>VLOOKUP(Tabla1[[#This Row],[Code]],[1]!Tabla4[#Data],2,FALSE)</f>
        <v>Rollo Metamark MD5 100 (70mc) Brillo 1,6 x 50m</v>
      </c>
      <c r="C188">
        <v>23</v>
      </c>
      <c r="D188" t="s">
        <v>90</v>
      </c>
      <c r="E188" t="str">
        <f>VLOOKUP(Tabla1[[#This Row],[Cód. Atributo]],[1]!Tabla5[#Data],6,FALSE)</f>
        <v>Select</v>
      </c>
      <c r="F188">
        <v>3</v>
      </c>
      <c r="G188">
        <v>2</v>
      </c>
      <c r="H188" t="s">
        <v>136</v>
      </c>
      <c r="I188" t="str">
        <f>VLOOKUP(Tabla1[[#This Row],[Code]],'[1]Articulos Precio'!$A:$E,5,FALSE)</f>
        <v>A0000994</v>
      </c>
    </row>
    <row r="189" spans="1:9" x14ac:dyDescent="0.25">
      <c r="A189" t="s">
        <v>135</v>
      </c>
      <c r="B189" t="str">
        <f>VLOOKUP(Tabla1[[#This Row],[Code]],[1]!Tabla4[#Data],2,FALSE)</f>
        <v>Rollo Metamark MD5 100 (70mc) Brillo 1,6 x 50m</v>
      </c>
      <c r="C189">
        <v>25</v>
      </c>
      <c r="D189" t="s">
        <v>94</v>
      </c>
      <c r="E189" t="str">
        <f>VLOOKUP(Tabla1[[#This Row],[Cód. Atributo]],[1]!Tabla5[#Data],6,FALSE)</f>
        <v>Select</v>
      </c>
      <c r="F189">
        <v>4</v>
      </c>
      <c r="G189">
        <v>4</v>
      </c>
      <c r="H189" t="s">
        <v>137</v>
      </c>
      <c r="I189" t="str">
        <f>VLOOKUP(Tabla1[[#This Row],[Code]],'[1]Articulos Precio'!$A:$E,5,FALSE)</f>
        <v>A0000994</v>
      </c>
    </row>
    <row r="190" spans="1:9" x14ac:dyDescent="0.25">
      <c r="A190" t="s">
        <v>135</v>
      </c>
      <c r="B190" t="str">
        <f>VLOOKUP(Tabla1[[#This Row],[Code]],[1]!Tabla4[#Data],2,FALSE)</f>
        <v>Rollo Metamark MD5 100 (70mc) Brillo 1,6 x 50m</v>
      </c>
      <c r="C190">
        <v>26</v>
      </c>
      <c r="D190" t="s">
        <v>112</v>
      </c>
      <c r="E190" t="str">
        <f>VLOOKUP(Tabla1[[#This Row],[Cód. Atributo]],[1]!Tabla5[#Data],6,FALSE)</f>
        <v>Select</v>
      </c>
      <c r="F190">
        <v>5</v>
      </c>
      <c r="G190">
        <v>3</v>
      </c>
      <c r="H190" t="s">
        <v>113</v>
      </c>
      <c r="I190" t="str">
        <f>VLOOKUP(Tabla1[[#This Row],[Code]],'[1]Articulos Precio'!$A:$E,5,FALSE)</f>
        <v>A0000994</v>
      </c>
    </row>
    <row r="191" spans="1:9" x14ac:dyDescent="0.25">
      <c r="A191" t="s">
        <v>135</v>
      </c>
      <c r="B191" t="str">
        <f>VLOOKUP(Tabla1[[#This Row],[Code]],[1]!Tabla4[#Data],2,FALSE)</f>
        <v>Rollo Metamark MD5 100 (70mc) Brillo 1,6 x 50m</v>
      </c>
      <c r="C191">
        <v>31</v>
      </c>
      <c r="D191" t="s">
        <v>114</v>
      </c>
      <c r="E191" t="str">
        <f>VLOOKUP(Tabla1[[#This Row],[Cód. Atributo]],[1]!Tabla5[#Data],6,FALSE)</f>
        <v>Select</v>
      </c>
      <c r="F191">
        <v>6</v>
      </c>
      <c r="G191">
        <v>1</v>
      </c>
      <c r="H191" t="s">
        <v>115</v>
      </c>
      <c r="I191" t="str">
        <f>VLOOKUP(Tabla1[[#This Row],[Code]],'[1]Articulos Precio'!$A:$E,5,FALSE)</f>
        <v>A0000994</v>
      </c>
    </row>
    <row r="192" spans="1:9" x14ac:dyDescent="0.25">
      <c r="A192" t="s">
        <v>138</v>
      </c>
      <c r="B192" t="str">
        <f>VLOOKUP(Tabla1[[#This Row],[Code]],[1]!Tabla4[#Data],2,FALSE)</f>
        <v>Rollo Metamark MD5 100 (70mc) Brillo 1,37x50m</v>
      </c>
      <c r="C192">
        <v>1</v>
      </c>
      <c r="D192" t="s">
        <v>106</v>
      </c>
      <c r="E192" t="str">
        <f>VLOOKUP(Tabla1[[#This Row],[Cód. Atributo]],[1]!Tabla5[#Data],6,FALSE)</f>
        <v>Select</v>
      </c>
      <c r="F192">
        <v>1</v>
      </c>
      <c r="G192">
        <v>1</v>
      </c>
      <c r="H192" t="s">
        <v>107</v>
      </c>
      <c r="I192" t="str">
        <f>VLOOKUP(Tabla1[[#This Row],[Code]],'[1]Articulos Precio'!$A:$E,5,FALSE)</f>
        <v>A0000994</v>
      </c>
    </row>
    <row r="193" spans="1:9" x14ac:dyDescent="0.25">
      <c r="A193" t="s">
        <v>138</v>
      </c>
      <c r="B193" t="str">
        <f>VLOOKUP(Tabla1[[#This Row],[Code]],[1]!Tabla4[#Data],2,FALSE)</f>
        <v>Rollo Metamark MD5 100 (70mc) Brillo 1,37x50m</v>
      </c>
      <c r="C193">
        <v>3</v>
      </c>
      <c r="D193" t="s">
        <v>108</v>
      </c>
      <c r="E193" t="str">
        <f>VLOOKUP(Tabla1[[#This Row],[Cód. Atributo]],[1]!Tabla5[#Data],6,FALSE)</f>
        <v>Select</v>
      </c>
      <c r="F193">
        <v>2</v>
      </c>
      <c r="G193">
        <v>3</v>
      </c>
      <c r="H193" t="s">
        <v>117</v>
      </c>
      <c r="I193" t="str">
        <f>VLOOKUP(Tabla1[[#This Row],[Code]],'[1]Articulos Precio'!$A:$E,5,FALSE)</f>
        <v>A0000994</v>
      </c>
    </row>
    <row r="194" spans="1:9" x14ac:dyDescent="0.25">
      <c r="A194" t="s">
        <v>138</v>
      </c>
      <c r="B194" t="str">
        <f>VLOOKUP(Tabla1[[#This Row],[Code]],[1]!Tabla4[#Data],2,FALSE)</f>
        <v>Rollo Metamark MD5 100 (70mc) Brillo 1,37x50m</v>
      </c>
      <c r="C194">
        <v>23</v>
      </c>
      <c r="D194" t="s">
        <v>90</v>
      </c>
      <c r="E194" t="str">
        <f>VLOOKUP(Tabla1[[#This Row],[Cód. Atributo]],[1]!Tabla5[#Data],6,FALSE)</f>
        <v>Select</v>
      </c>
      <c r="F194">
        <v>3</v>
      </c>
      <c r="G194">
        <v>2</v>
      </c>
      <c r="H194" t="s">
        <v>136</v>
      </c>
      <c r="I194" t="str">
        <f>VLOOKUP(Tabla1[[#This Row],[Code]],'[1]Articulos Precio'!$A:$E,5,FALSE)</f>
        <v>A0000994</v>
      </c>
    </row>
    <row r="195" spans="1:9" x14ac:dyDescent="0.25">
      <c r="A195" t="s">
        <v>138</v>
      </c>
      <c r="B195" t="str">
        <f>VLOOKUP(Tabla1[[#This Row],[Code]],[1]!Tabla4[#Data],2,FALSE)</f>
        <v>Rollo Metamark MD5 100 (70mc) Brillo 1,37x50m</v>
      </c>
      <c r="C195">
        <v>25</v>
      </c>
      <c r="D195" t="s">
        <v>94</v>
      </c>
      <c r="E195" t="str">
        <f>VLOOKUP(Tabla1[[#This Row],[Cód. Atributo]],[1]!Tabla5[#Data],6,FALSE)</f>
        <v>Select</v>
      </c>
      <c r="F195">
        <v>4</v>
      </c>
      <c r="G195">
        <v>4</v>
      </c>
      <c r="H195" t="s">
        <v>137</v>
      </c>
      <c r="I195" t="str">
        <f>VLOOKUP(Tabla1[[#This Row],[Code]],'[1]Articulos Precio'!$A:$E,5,FALSE)</f>
        <v>A0000994</v>
      </c>
    </row>
    <row r="196" spans="1:9" x14ac:dyDescent="0.25">
      <c r="A196" t="s">
        <v>138</v>
      </c>
      <c r="B196" t="str">
        <f>VLOOKUP(Tabla1[[#This Row],[Code]],[1]!Tabla4[#Data],2,FALSE)</f>
        <v>Rollo Metamark MD5 100 (70mc) Brillo 1,37x50m</v>
      </c>
      <c r="C196">
        <v>26</v>
      </c>
      <c r="D196" t="s">
        <v>112</v>
      </c>
      <c r="E196" t="str">
        <f>VLOOKUP(Tabla1[[#This Row],[Cód. Atributo]],[1]!Tabla5[#Data],6,FALSE)</f>
        <v>Select</v>
      </c>
      <c r="F196">
        <v>5</v>
      </c>
      <c r="G196">
        <v>3</v>
      </c>
      <c r="H196" t="s">
        <v>113</v>
      </c>
      <c r="I196" t="str">
        <f>VLOOKUP(Tabla1[[#This Row],[Code]],'[1]Articulos Precio'!$A:$E,5,FALSE)</f>
        <v>A0000994</v>
      </c>
    </row>
    <row r="197" spans="1:9" x14ac:dyDescent="0.25">
      <c r="A197" t="s">
        <v>138</v>
      </c>
      <c r="B197" t="str">
        <f>VLOOKUP(Tabla1[[#This Row],[Code]],[1]!Tabla4[#Data],2,FALSE)</f>
        <v>Rollo Metamark MD5 100 (70mc) Brillo 1,37x50m</v>
      </c>
      <c r="C197">
        <v>31</v>
      </c>
      <c r="D197" t="s">
        <v>114</v>
      </c>
      <c r="E197" t="str">
        <f>VLOOKUP(Tabla1[[#This Row],[Cód. Atributo]],[1]!Tabla5[#Data],6,FALSE)</f>
        <v>Select</v>
      </c>
      <c r="F197">
        <v>6</v>
      </c>
      <c r="G197">
        <v>1</v>
      </c>
      <c r="H197" t="s">
        <v>115</v>
      </c>
      <c r="I197" t="str">
        <f>VLOOKUP(Tabla1[[#This Row],[Code]],'[1]Articulos Precio'!$A:$E,5,FALSE)</f>
        <v>A0000994</v>
      </c>
    </row>
    <row r="198" spans="1:9" x14ac:dyDescent="0.25">
      <c r="A198" t="s">
        <v>139</v>
      </c>
      <c r="B198" t="str">
        <f>VLOOKUP(Tabla1[[#This Row],[Code]],[1]!Tabla4[#Data],2,FALSE)</f>
        <v>Rollo Metamark MD5 100 (70mc) Brillo 1,05x50m</v>
      </c>
      <c r="C198">
        <v>1</v>
      </c>
      <c r="D198" t="s">
        <v>106</v>
      </c>
      <c r="E198" t="str">
        <f>VLOOKUP(Tabla1[[#This Row],[Cód. Atributo]],[1]!Tabla5[#Data],6,FALSE)</f>
        <v>Select</v>
      </c>
      <c r="F198">
        <v>1</v>
      </c>
      <c r="G198">
        <v>1</v>
      </c>
      <c r="H198" t="s">
        <v>107</v>
      </c>
      <c r="I198" t="str">
        <f>VLOOKUP(Tabla1[[#This Row],[Code]],'[1]Articulos Precio'!$A:$E,5,FALSE)</f>
        <v>A0000994</v>
      </c>
    </row>
    <row r="199" spans="1:9" x14ac:dyDescent="0.25">
      <c r="A199" t="s">
        <v>139</v>
      </c>
      <c r="B199" t="str">
        <f>VLOOKUP(Tabla1[[#This Row],[Code]],[1]!Tabla4[#Data],2,FALSE)</f>
        <v>Rollo Metamark MD5 100 (70mc) Brillo 1,05x50m</v>
      </c>
      <c r="C199">
        <v>3</v>
      </c>
      <c r="D199" t="s">
        <v>108</v>
      </c>
      <c r="E199" t="str">
        <f>VLOOKUP(Tabla1[[#This Row],[Cód. Atributo]],[1]!Tabla5[#Data],6,FALSE)</f>
        <v>Select</v>
      </c>
      <c r="F199">
        <v>2</v>
      </c>
      <c r="G199">
        <v>2</v>
      </c>
      <c r="H199" t="s">
        <v>119</v>
      </c>
      <c r="I199" t="str">
        <f>VLOOKUP(Tabla1[[#This Row],[Code]],'[1]Articulos Precio'!$A:$E,5,FALSE)</f>
        <v>A0000994</v>
      </c>
    </row>
    <row r="200" spans="1:9" x14ac:dyDescent="0.25">
      <c r="A200" t="s">
        <v>139</v>
      </c>
      <c r="B200" t="str">
        <f>VLOOKUP(Tabla1[[#This Row],[Code]],[1]!Tabla4[#Data],2,FALSE)</f>
        <v>Rollo Metamark MD5 100 (70mc) Brillo 1,05x50m</v>
      </c>
      <c r="C200">
        <v>23</v>
      </c>
      <c r="D200" t="s">
        <v>90</v>
      </c>
      <c r="E200" t="str">
        <f>VLOOKUP(Tabla1[[#This Row],[Cód. Atributo]],[1]!Tabla5[#Data],6,FALSE)</f>
        <v>Select</v>
      </c>
      <c r="F200">
        <v>3</v>
      </c>
      <c r="G200">
        <v>2</v>
      </c>
      <c r="H200" t="s">
        <v>136</v>
      </c>
      <c r="I200" t="str">
        <f>VLOOKUP(Tabla1[[#This Row],[Code]],'[1]Articulos Precio'!$A:$E,5,FALSE)</f>
        <v>A0000994</v>
      </c>
    </row>
    <row r="201" spans="1:9" x14ac:dyDescent="0.25">
      <c r="A201" t="s">
        <v>139</v>
      </c>
      <c r="B201" t="str">
        <f>VLOOKUP(Tabla1[[#This Row],[Code]],[1]!Tabla4[#Data],2,FALSE)</f>
        <v>Rollo Metamark MD5 100 (70mc) Brillo 1,05x50m</v>
      </c>
      <c r="C201">
        <v>25</v>
      </c>
      <c r="D201" t="s">
        <v>94</v>
      </c>
      <c r="E201" t="str">
        <f>VLOOKUP(Tabla1[[#This Row],[Cód. Atributo]],[1]!Tabla5[#Data],6,FALSE)</f>
        <v>Select</v>
      </c>
      <c r="F201">
        <v>4</v>
      </c>
      <c r="G201">
        <v>4</v>
      </c>
      <c r="H201" t="s">
        <v>137</v>
      </c>
      <c r="I201" t="str">
        <f>VLOOKUP(Tabla1[[#This Row],[Code]],'[1]Articulos Precio'!$A:$E,5,FALSE)</f>
        <v>A0000994</v>
      </c>
    </row>
    <row r="202" spans="1:9" x14ac:dyDescent="0.25">
      <c r="A202" t="s">
        <v>139</v>
      </c>
      <c r="B202" t="str">
        <f>VLOOKUP(Tabla1[[#This Row],[Code]],[1]!Tabla4[#Data],2,FALSE)</f>
        <v>Rollo Metamark MD5 100 (70mc) Brillo 1,05x50m</v>
      </c>
      <c r="C202">
        <v>26</v>
      </c>
      <c r="D202" t="s">
        <v>112</v>
      </c>
      <c r="E202" t="str">
        <f>VLOOKUP(Tabla1[[#This Row],[Cód. Atributo]],[1]!Tabla5[#Data],6,FALSE)</f>
        <v>Select</v>
      </c>
      <c r="F202">
        <v>5</v>
      </c>
      <c r="G202">
        <v>3</v>
      </c>
      <c r="H202" t="s">
        <v>113</v>
      </c>
      <c r="I202" t="str">
        <f>VLOOKUP(Tabla1[[#This Row],[Code]],'[1]Articulos Precio'!$A:$E,5,FALSE)</f>
        <v>A0000994</v>
      </c>
    </row>
    <row r="203" spans="1:9" x14ac:dyDescent="0.25">
      <c r="A203" t="s">
        <v>139</v>
      </c>
      <c r="B203" t="str">
        <f>VLOOKUP(Tabla1[[#This Row],[Code]],[1]!Tabla4[#Data],2,FALSE)</f>
        <v>Rollo Metamark MD5 100 (70mc) Brillo 1,05x50m</v>
      </c>
      <c r="C203">
        <v>31</v>
      </c>
      <c r="D203" t="s">
        <v>114</v>
      </c>
      <c r="E203" t="str">
        <f>VLOOKUP(Tabla1[[#This Row],[Cód. Atributo]],[1]!Tabla5[#Data],6,FALSE)</f>
        <v>Select</v>
      </c>
      <c r="F203">
        <v>6</v>
      </c>
      <c r="G203">
        <v>1</v>
      </c>
      <c r="H203" t="s">
        <v>115</v>
      </c>
      <c r="I203" t="str">
        <f>VLOOKUP(Tabla1[[#This Row],[Code]],'[1]Articulos Precio'!$A:$E,5,FALSE)</f>
        <v>A0000994</v>
      </c>
    </row>
    <row r="204" spans="1:9" x14ac:dyDescent="0.25">
      <c r="A204" t="s">
        <v>140</v>
      </c>
      <c r="B204" t="str">
        <f>VLOOKUP(Tabla1[[#This Row],[Code]],[1]!Tabla4[#Data],2,FALSE)</f>
        <v>Rollo Metamark MD5 101M (70mc) Mate 1,6 x 50m</v>
      </c>
      <c r="C204">
        <v>1</v>
      </c>
      <c r="D204" t="s">
        <v>106</v>
      </c>
      <c r="E204" t="str">
        <f>VLOOKUP(Tabla1[[#This Row],[Cód. Atributo]],[1]!Tabla5[#Data],6,FALSE)</f>
        <v>Select</v>
      </c>
      <c r="F204">
        <v>1</v>
      </c>
      <c r="G204">
        <v>2</v>
      </c>
      <c r="H204" t="s">
        <v>121</v>
      </c>
      <c r="I204" t="str">
        <f>VLOOKUP(Tabla1[[#This Row],[Code]],'[1]Articulos Precio'!$A:$E,5,FALSE)</f>
        <v>A0000994</v>
      </c>
    </row>
    <row r="205" spans="1:9" x14ac:dyDescent="0.25">
      <c r="A205" t="s">
        <v>140</v>
      </c>
      <c r="B205" t="str">
        <f>VLOOKUP(Tabla1[[#This Row],[Code]],[1]!Tabla4[#Data],2,FALSE)</f>
        <v>Rollo Metamark MD5 101M (70mc) Mate 1,6 x 50m</v>
      </c>
      <c r="C205">
        <v>3</v>
      </c>
      <c r="D205" t="s">
        <v>108</v>
      </c>
      <c r="E205" t="str">
        <f>VLOOKUP(Tabla1[[#This Row],[Cód. Atributo]],[1]!Tabla5[#Data],6,FALSE)</f>
        <v>Select</v>
      </c>
      <c r="F205">
        <v>2</v>
      </c>
      <c r="G205">
        <v>4</v>
      </c>
      <c r="H205" t="s">
        <v>109</v>
      </c>
      <c r="I205" t="str">
        <f>VLOOKUP(Tabla1[[#This Row],[Code]],'[1]Articulos Precio'!$A:$E,5,FALSE)</f>
        <v>A0000994</v>
      </c>
    </row>
    <row r="206" spans="1:9" x14ac:dyDescent="0.25">
      <c r="A206" t="s">
        <v>140</v>
      </c>
      <c r="B206" t="str">
        <f>VLOOKUP(Tabla1[[#This Row],[Code]],[1]!Tabla4[#Data],2,FALSE)</f>
        <v>Rollo Metamark MD5 101M (70mc) Mate 1,6 x 50m</v>
      </c>
      <c r="C206">
        <v>23</v>
      </c>
      <c r="D206" t="s">
        <v>90</v>
      </c>
      <c r="E206" t="str">
        <f>VLOOKUP(Tabla1[[#This Row],[Cód. Atributo]],[1]!Tabla5[#Data],6,FALSE)</f>
        <v>Select</v>
      </c>
      <c r="F206">
        <v>3</v>
      </c>
      <c r="G206">
        <v>2</v>
      </c>
      <c r="H206" t="s">
        <v>136</v>
      </c>
      <c r="I206" t="str">
        <f>VLOOKUP(Tabla1[[#This Row],[Code]],'[1]Articulos Precio'!$A:$E,5,FALSE)</f>
        <v>A0000994</v>
      </c>
    </row>
    <row r="207" spans="1:9" x14ac:dyDescent="0.25">
      <c r="A207" t="s">
        <v>140</v>
      </c>
      <c r="B207" t="str">
        <f>VLOOKUP(Tabla1[[#This Row],[Code]],[1]!Tabla4[#Data],2,FALSE)</f>
        <v>Rollo Metamark MD5 101M (70mc) Mate 1,6 x 50m</v>
      </c>
      <c r="C207">
        <v>25</v>
      </c>
      <c r="D207" t="s">
        <v>94</v>
      </c>
      <c r="E207" t="str">
        <f>VLOOKUP(Tabla1[[#This Row],[Cód. Atributo]],[1]!Tabla5[#Data],6,FALSE)</f>
        <v>Select</v>
      </c>
      <c r="F207">
        <v>4</v>
      </c>
      <c r="G207">
        <v>4</v>
      </c>
      <c r="H207" t="s">
        <v>137</v>
      </c>
      <c r="I207" t="str">
        <f>VLOOKUP(Tabla1[[#This Row],[Code]],'[1]Articulos Precio'!$A:$E,5,FALSE)</f>
        <v>A0000994</v>
      </c>
    </row>
    <row r="208" spans="1:9" x14ac:dyDescent="0.25">
      <c r="A208" t="s">
        <v>140</v>
      </c>
      <c r="B208" t="str">
        <f>VLOOKUP(Tabla1[[#This Row],[Code]],[1]!Tabla4[#Data],2,FALSE)</f>
        <v>Rollo Metamark MD5 101M (70mc) Mate 1,6 x 50m</v>
      </c>
      <c r="C208">
        <v>26</v>
      </c>
      <c r="D208" t="s">
        <v>112</v>
      </c>
      <c r="E208" t="str">
        <f>VLOOKUP(Tabla1[[#This Row],[Cód. Atributo]],[1]!Tabla5[#Data],6,FALSE)</f>
        <v>Select</v>
      </c>
      <c r="F208">
        <v>5</v>
      </c>
      <c r="G208">
        <v>3</v>
      </c>
      <c r="H208" t="s">
        <v>113</v>
      </c>
      <c r="I208" t="str">
        <f>VLOOKUP(Tabla1[[#This Row],[Code]],'[1]Articulos Precio'!$A:$E,5,FALSE)</f>
        <v>A0000994</v>
      </c>
    </row>
    <row r="209" spans="1:9" x14ac:dyDescent="0.25">
      <c r="A209" t="s">
        <v>140</v>
      </c>
      <c r="B209" t="str">
        <f>VLOOKUP(Tabla1[[#This Row],[Code]],[1]!Tabla4[#Data],2,FALSE)</f>
        <v>Rollo Metamark MD5 101M (70mc) Mate 1,6 x 50m</v>
      </c>
      <c r="C209">
        <v>31</v>
      </c>
      <c r="D209" t="s">
        <v>114</v>
      </c>
      <c r="E209" t="str">
        <f>VLOOKUP(Tabla1[[#This Row],[Cód. Atributo]],[1]!Tabla5[#Data],6,FALSE)</f>
        <v>Select</v>
      </c>
      <c r="F209">
        <v>6</v>
      </c>
      <c r="G209">
        <v>1</v>
      </c>
      <c r="H209" t="s">
        <v>115</v>
      </c>
      <c r="I209" t="str">
        <f>VLOOKUP(Tabla1[[#This Row],[Code]],'[1]Articulos Precio'!$A:$E,5,FALSE)</f>
        <v>A0000994</v>
      </c>
    </row>
    <row r="210" spans="1:9" x14ac:dyDescent="0.25">
      <c r="A210" t="s">
        <v>141</v>
      </c>
      <c r="B210" t="str">
        <f>VLOOKUP(Tabla1[[#This Row],[Code]],[1]!Tabla4[#Data],2,FALSE)</f>
        <v>Rollo Metamark MD5 101M (70mc) Mate 1,37x50m</v>
      </c>
      <c r="C210">
        <v>1</v>
      </c>
      <c r="D210" t="s">
        <v>106</v>
      </c>
      <c r="E210" t="str">
        <f>VLOOKUP(Tabla1[[#This Row],[Cód. Atributo]],[1]!Tabla5[#Data],6,FALSE)</f>
        <v>Select</v>
      </c>
      <c r="F210">
        <v>1</v>
      </c>
      <c r="G210">
        <v>2</v>
      </c>
      <c r="H210" t="s">
        <v>121</v>
      </c>
      <c r="I210" t="str">
        <f>VLOOKUP(Tabla1[[#This Row],[Code]],'[1]Articulos Precio'!$A:$E,5,FALSE)</f>
        <v>A0000994</v>
      </c>
    </row>
    <row r="211" spans="1:9" x14ac:dyDescent="0.25">
      <c r="A211" t="s">
        <v>141</v>
      </c>
      <c r="B211" t="str">
        <f>VLOOKUP(Tabla1[[#This Row],[Code]],[1]!Tabla4[#Data],2,FALSE)</f>
        <v>Rollo Metamark MD5 101M (70mc) Mate 1,37x50m</v>
      </c>
      <c r="C211">
        <v>3</v>
      </c>
      <c r="D211" t="s">
        <v>108</v>
      </c>
      <c r="E211" t="str">
        <f>VLOOKUP(Tabla1[[#This Row],[Cód. Atributo]],[1]!Tabla5[#Data],6,FALSE)</f>
        <v>Select</v>
      </c>
      <c r="F211">
        <v>2</v>
      </c>
      <c r="G211">
        <v>3</v>
      </c>
      <c r="H211" t="s">
        <v>117</v>
      </c>
      <c r="I211" t="str">
        <f>VLOOKUP(Tabla1[[#This Row],[Code]],'[1]Articulos Precio'!$A:$E,5,FALSE)</f>
        <v>A0000994</v>
      </c>
    </row>
    <row r="212" spans="1:9" x14ac:dyDescent="0.25">
      <c r="A212" t="s">
        <v>141</v>
      </c>
      <c r="B212" t="str">
        <f>VLOOKUP(Tabla1[[#This Row],[Code]],[1]!Tabla4[#Data],2,FALSE)</f>
        <v>Rollo Metamark MD5 101M (70mc) Mate 1,37x50m</v>
      </c>
      <c r="C212">
        <v>23</v>
      </c>
      <c r="D212" t="s">
        <v>90</v>
      </c>
      <c r="E212" t="str">
        <f>VLOOKUP(Tabla1[[#This Row],[Cód. Atributo]],[1]!Tabla5[#Data],6,FALSE)</f>
        <v>Select</v>
      </c>
      <c r="F212">
        <v>3</v>
      </c>
      <c r="G212">
        <v>2</v>
      </c>
      <c r="H212" t="s">
        <v>136</v>
      </c>
      <c r="I212" t="str">
        <f>VLOOKUP(Tabla1[[#This Row],[Code]],'[1]Articulos Precio'!$A:$E,5,FALSE)</f>
        <v>A0000994</v>
      </c>
    </row>
    <row r="213" spans="1:9" x14ac:dyDescent="0.25">
      <c r="A213" t="s">
        <v>141</v>
      </c>
      <c r="B213" t="str">
        <f>VLOOKUP(Tabla1[[#This Row],[Code]],[1]!Tabla4[#Data],2,FALSE)</f>
        <v>Rollo Metamark MD5 101M (70mc) Mate 1,37x50m</v>
      </c>
      <c r="C213">
        <v>25</v>
      </c>
      <c r="D213" t="s">
        <v>94</v>
      </c>
      <c r="E213" t="str">
        <f>VLOOKUP(Tabla1[[#This Row],[Cód. Atributo]],[1]!Tabla5[#Data],6,FALSE)</f>
        <v>Select</v>
      </c>
      <c r="F213">
        <v>4</v>
      </c>
      <c r="G213">
        <v>4</v>
      </c>
      <c r="H213" t="s">
        <v>137</v>
      </c>
      <c r="I213" t="str">
        <f>VLOOKUP(Tabla1[[#This Row],[Code]],'[1]Articulos Precio'!$A:$E,5,FALSE)</f>
        <v>A0000994</v>
      </c>
    </row>
    <row r="214" spans="1:9" x14ac:dyDescent="0.25">
      <c r="A214" t="s">
        <v>141</v>
      </c>
      <c r="B214" t="str">
        <f>VLOOKUP(Tabla1[[#This Row],[Code]],[1]!Tabla4[#Data],2,FALSE)</f>
        <v>Rollo Metamark MD5 101M (70mc) Mate 1,37x50m</v>
      </c>
      <c r="C214">
        <v>26</v>
      </c>
      <c r="D214" t="s">
        <v>112</v>
      </c>
      <c r="E214" t="str">
        <f>VLOOKUP(Tabla1[[#This Row],[Cód. Atributo]],[1]!Tabla5[#Data],6,FALSE)</f>
        <v>Select</v>
      </c>
      <c r="F214">
        <v>5</v>
      </c>
      <c r="G214">
        <v>3</v>
      </c>
      <c r="H214" t="s">
        <v>113</v>
      </c>
      <c r="I214" t="str">
        <f>VLOOKUP(Tabla1[[#This Row],[Code]],'[1]Articulos Precio'!$A:$E,5,FALSE)</f>
        <v>A0000994</v>
      </c>
    </row>
    <row r="215" spans="1:9" x14ac:dyDescent="0.25">
      <c r="A215" t="s">
        <v>141</v>
      </c>
      <c r="B215" t="str">
        <f>VLOOKUP(Tabla1[[#This Row],[Code]],[1]!Tabla4[#Data],2,FALSE)</f>
        <v>Rollo Metamark MD5 101M (70mc) Mate 1,37x50m</v>
      </c>
      <c r="C215">
        <v>31</v>
      </c>
      <c r="D215" t="s">
        <v>114</v>
      </c>
      <c r="E215" t="str">
        <f>VLOOKUP(Tabla1[[#This Row],[Cód. Atributo]],[1]!Tabla5[#Data],6,FALSE)</f>
        <v>Select</v>
      </c>
      <c r="F215">
        <v>6</v>
      </c>
      <c r="G215">
        <v>1</v>
      </c>
      <c r="H215" t="s">
        <v>115</v>
      </c>
      <c r="I215" t="str">
        <f>VLOOKUP(Tabla1[[#This Row],[Code]],'[1]Articulos Precio'!$A:$E,5,FALSE)</f>
        <v>A0000994</v>
      </c>
    </row>
    <row r="216" spans="1:9" x14ac:dyDescent="0.25">
      <c r="A216" t="s">
        <v>142</v>
      </c>
      <c r="B216" t="str">
        <f>VLOOKUP(Tabla1[[#This Row],[Code]],[1]!Tabla4[#Data],2,FALSE)</f>
        <v>Rollo Metamark MD5 101M (70mc) Mate 1,05x50m</v>
      </c>
      <c r="C216">
        <v>1</v>
      </c>
      <c r="D216" t="s">
        <v>106</v>
      </c>
      <c r="E216" t="str">
        <f>VLOOKUP(Tabla1[[#This Row],[Cód. Atributo]],[1]!Tabla5[#Data],6,FALSE)</f>
        <v>Select</v>
      </c>
      <c r="F216">
        <v>1</v>
      </c>
      <c r="G216">
        <v>2</v>
      </c>
      <c r="H216" t="s">
        <v>121</v>
      </c>
      <c r="I216" t="str">
        <f>VLOOKUP(Tabla1[[#This Row],[Code]],'[1]Articulos Precio'!$A:$E,5,FALSE)</f>
        <v>A0000994</v>
      </c>
    </row>
    <row r="217" spans="1:9" x14ac:dyDescent="0.25">
      <c r="A217" t="s">
        <v>142</v>
      </c>
      <c r="B217" t="str">
        <f>VLOOKUP(Tabla1[[#This Row],[Code]],[1]!Tabla4[#Data],2,FALSE)</f>
        <v>Rollo Metamark MD5 101M (70mc) Mate 1,05x50m</v>
      </c>
      <c r="C217">
        <v>3</v>
      </c>
      <c r="D217" t="s">
        <v>108</v>
      </c>
      <c r="E217" t="str">
        <f>VLOOKUP(Tabla1[[#This Row],[Cód. Atributo]],[1]!Tabla5[#Data],6,FALSE)</f>
        <v>Select</v>
      </c>
      <c r="F217">
        <v>2</v>
      </c>
      <c r="G217">
        <v>2</v>
      </c>
      <c r="H217" t="s">
        <v>119</v>
      </c>
      <c r="I217" t="str">
        <f>VLOOKUP(Tabla1[[#This Row],[Code]],'[1]Articulos Precio'!$A:$E,5,FALSE)</f>
        <v>A0000994</v>
      </c>
    </row>
    <row r="218" spans="1:9" x14ac:dyDescent="0.25">
      <c r="A218" t="s">
        <v>142</v>
      </c>
      <c r="B218" t="str">
        <f>VLOOKUP(Tabla1[[#This Row],[Code]],[1]!Tabla4[#Data],2,FALSE)</f>
        <v>Rollo Metamark MD5 101M (70mc) Mate 1,05x50m</v>
      </c>
      <c r="C218">
        <v>23</v>
      </c>
      <c r="D218" t="s">
        <v>90</v>
      </c>
      <c r="E218" t="str">
        <f>VLOOKUP(Tabla1[[#This Row],[Cód. Atributo]],[1]!Tabla5[#Data],6,FALSE)</f>
        <v>Select</v>
      </c>
      <c r="F218">
        <v>3</v>
      </c>
      <c r="G218">
        <v>2</v>
      </c>
      <c r="H218" t="s">
        <v>136</v>
      </c>
      <c r="I218" t="str">
        <f>VLOOKUP(Tabla1[[#This Row],[Code]],'[1]Articulos Precio'!$A:$E,5,FALSE)</f>
        <v>A0000994</v>
      </c>
    </row>
    <row r="219" spans="1:9" x14ac:dyDescent="0.25">
      <c r="A219" t="s">
        <v>142</v>
      </c>
      <c r="B219" t="str">
        <f>VLOOKUP(Tabla1[[#This Row],[Code]],[1]!Tabla4[#Data],2,FALSE)</f>
        <v>Rollo Metamark MD5 101M (70mc) Mate 1,05x50m</v>
      </c>
      <c r="C219">
        <v>25</v>
      </c>
      <c r="D219" t="s">
        <v>94</v>
      </c>
      <c r="E219" t="str">
        <f>VLOOKUP(Tabla1[[#This Row],[Cód. Atributo]],[1]!Tabla5[#Data],6,FALSE)</f>
        <v>Select</v>
      </c>
      <c r="F219">
        <v>4</v>
      </c>
      <c r="G219">
        <v>4</v>
      </c>
      <c r="H219" t="s">
        <v>137</v>
      </c>
      <c r="I219" t="str">
        <f>VLOOKUP(Tabla1[[#This Row],[Code]],'[1]Articulos Precio'!$A:$E,5,FALSE)</f>
        <v>A0000994</v>
      </c>
    </row>
    <row r="220" spans="1:9" x14ac:dyDescent="0.25">
      <c r="A220" t="s">
        <v>142</v>
      </c>
      <c r="B220" t="str">
        <f>VLOOKUP(Tabla1[[#This Row],[Code]],[1]!Tabla4[#Data],2,FALSE)</f>
        <v>Rollo Metamark MD5 101M (70mc) Mate 1,05x50m</v>
      </c>
      <c r="C220">
        <v>26</v>
      </c>
      <c r="D220" t="s">
        <v>112</v>
      </c>
      <c r="E220" t="str">
        <f>VLOOKUP(Tabla1[[#This Row],[Cód. Atributo]],[1]!Tabla5[#Data],6,FALSE)</f>
        <v>Select</v>
      </c>
      <c r="F220">
        <v>5</v>
      </c>
      <c r="G220">
        <v>3</v>
      </c>
      <c r="H220" t="s">
        <v>113</v>
      </c>
      <c r="I220" t="str">
        <f>VLOOKUP(Tabla1[[#This Row],[Code]],'[1]Articulos Precio'!$A:$E,5,FALSE)</f>
        <v>A0000994</v>
      </c>
    </row>
    <row r="221" spans="1:9" x14ac:dyDescent="0.25">
      <c r="A221" t="s">
        <v>142</v>
      </c>
      <c r="B221" t="str">
        <f>VLOOKUP(Tabla1[[#This Row],[Code]],[1]!Tabla4[#Data],2,FALSE)</f>
        <v>Rollo Metamark MD5 101M (70mc) Mate 1,05x50m</v>
      </c>
      <c r="C221">
        <v>31</v>
      </c>
      <c r="D221" t="s">
        <v>114</v>
      </c>
      <c r="E221" t="str">
        <f>VLOOKUP(Tabla1[[#This Row],[Cód. Atributo]],[1]!Tabla5[#Data],6,FALSE)</f>
        <v>Select</v>
      </c>
      <c r="F221">
        <v>6</v>
      </c>
      <c r="G221">
        <v>1</v>
      </c>
      <c r="H221" t="s">
        <v>115</v>
      </c>
      <c r="I221" t="str">
        <f>VLOOKUP(Tabla1[[#This Row],[Code]],'[1]Articulos Precio'!$A:$E,5,FALSE)</f>
        <v>A0000994</v>
      </c>
    </row>
    <row r="222" spans="1:9" x14ac:dyDescent="0.25">
      <c r="A222" t="s">
        <v>143</v>
      </c>
      <c r="B222" t="str">
        <f>VLOOKUP(Tabla1[[#This Row],[Code]],[1]!Tabla4[#Data],2,FALSE)</f>
        <v>Rollo Metamark MD5 105 (70mc) Transparente 1,6 x 50m</v>
      </c>
      <c r="C222">
        <v>1</v>
      </c>
      <c r="D222" t="s">
        <v>106</v>
      </c>
      <c r="E222" t="str">
        <f>VLOOKUP(Tabla1[[#This Row],[Cód. Atributo]],[1]!Tabla5[#Data],6,FALSE)</f>
        <v>Select</v>
      </c>
      <c r="F222">
        <v>1</v>
      </c>
      <c r="G222">
        <v>3</v>
      </c>
      <c r="H222" t="s">
        <v>144</v>
      </c>
      <c r="I222" t="str">
        <f>VLOOKUP(Tabla1[[#This Row],[Code]],'[1]Articulos Precio'!$A:$E,5,FALSE)</f>
        <v>A0000994</v>
      </c>
    </row>
    <row r="223" spans="1:9" x14ac:dyDescent="0.25">
      <c r="A223" t="s">
        <v>143</v>
      </c>
      <c r="B223" t="str">
        <f>VLOOKUP(Tabla1[[#This Row],[Code]],[1]!Tabla4[#Data],2,FALSE)</f>
        <v>Rollo Metamark MD5 105 (70mc) Transparente 1,6 x 50m</v>
      </c>
      <c r="C223">
        <v>3</v>
      </c>
      <c r="D223" t="s">
        <v>108</v>
      </c>
      <c r="E223" t="str">
        <f>VLOOKUP(Tabla1[[#This Row],[Cód. Atributo]],[1]!Tabla5[#Data],6,FALSE)</f>
        <v>Select</v>
      </c>
      <c r="F223">
        <v>2</v>
      </c>
      <c r="G223">
        <v>4</v>
      </c>
      <c r="H223" t="s">
        <v>109</v>
      </c>
      <c r="I223" t="str">
        <f>VLOOKUP(Tabla1[[#This Row],[Code]],'[1]Articulos Precio'!$A:$E,5,FALSE)</f>
        <v>A0000994</v>
      </c>
    </row>
    <row r="224" spans="1:9" x14ac:dyDescent="0.25">
      <c r="A224" t="s">
        <v>143</v>
      </c>
      <c r="B224" t="str">
        <f>VLOOKUP(Tabla1[[#This Row],[Code]],[1]!Tabla4[#Data],2,FALSE)</f>
        <v>Rollo Metamark MD5 105 (70mc) Transparente 1,6 x 50m</v>
      </c>
      <c r="C224">
        <v>23</v>
      </c>
      <c r="D224" t="s">
        <v>90</v>
      </c>
      <c r="E224" t="str">
        <f>VLOOKUP(Tabla1[[#This Row],[Cód. Atributo]],[1]!Tabla5[#Data],6,FALSE)</f>
        <v>Select</v>
      </c>
      <c r="F224">
        <v>3</v>
      </c>
      <c r="G224">
        <v>2</v>
      </c>
      <c r="H224" t="s">
        <v>136</v>
      </c>
      <c r="I224" t="str">
        <f>VLOOKUP(Tabla1[[#This Row],[Code]],'[1]Articulos Precio'!$A:$E,5,FALSE)</f>
        <v>A0000994</v>
      </c>
    </row>
    <row r="225" spans="1:9" x14ac:dyDescent="0.25">
      <c r="A225" t="s">
        <v>143</v>
      </c>
      <c r="B225" t="str">
        <f>VLOOKUP(Tabla1[[#This Row],[Code]],[1]!Tabla4[#Data],2,FALSE)</f>
        <v>Rollo Metamark MD5 105 (70mc) Transparente 1,6 x 50m</v>
      </c>
      <c r="C225">
        <v>25</v>
      </c>
      <c r="D225" t="s">
        <v>94</v>
      </c>
      <c r="E225" t="str">
        <f>VLOOKUP(Tabla1[[#This Row],[Cód. Atributo]],[1]!Tabla5[#Data],6,FALSE)</f>
        <v>Select</v>
      </c>
      <c r="F225">
        <v>4</v>
      </c>
      <c r="G225">
        <v>4</v>
      </c>
      <c r="H225" t="s">
        <v>137</v>
      </c>
      <c r="I225" t="str">
        <f>VLOOKUP(Tabla1[[#This Row],[Code]],'[1]Articulos Precio'!$A:$E,5,FALSE)</f>
        <v>A0000994</v>
      </c>
    </row>
    <row r="226" spans="1:9" x14ac:dyDescent="0.25">
      <c r="A226" t="s">
        <v>143</v>
      </c>
      <c r="B226" t="str">
        <f>VLOOKUP(Tabla1[[#This Row],[Code]],[1]!Tabla4[#Data],2,FALSE)</f>
        <v>Rollo Metamark MD5 105 (70mc) Transparente 1,6 x 50m</v>
      </c>
      <c r="C226">
        <v>26</v>
      </c>
      <c r="D226" t="s">
        <v>112</v>
      </c>
      <c r="E226" t="str">
        <f>VLOOKUP(Tabla1[[#This Row],[Cód. Atributo]],[1]!Tabla5[#Data],6,FALSE)</f>
        <v>Select</v>
      </c>
      <c r="F226">
        <v>5</v>
      </c>
      <c r="G226">
        <v>3</v>
      </c>
      <c r="H226" t="s">
        <v>113</v>
      </c>
      <c r="I226" t="str">
        <f>VLOOKUP(Tabla1[[#This Row],[Code]],'[1]Articulos Precio'!$A:$E,5,FALSE)</f>
        <v>A0000994</v>
      </c>
    </row>
    <row r="227" spans="1:9" x14ac:dyDescent="0.25">
      <c r="A227" t="s">
        <v>143</v>
      </c>
      <c r="B227" t="str">
        <f>VLOOKUP(Tabla1[[#This Row],[Code]],[1]!Tabla4[#Data],2,FALSE)</f>
        <v>Rollo Metamark MD5 105 (70mc) Transparente 1,6 x 50m</v>
      </c>
      <c r="C227">
        <v>31</v>
      </c>
      <c r="D227" t="s">
        <v>114</v>
      </c>
      <c r="E227" t="str">
        <f>VLOOKUP(Tabla1[[#This Row],[Cód. Atributo]],[1]!Tabla5[#Data],6,FALSE)</f>
        <v>Select</v>
      </c>
      <c r="F227">
        <v>6</v>
      </c>
      <c r="G227">
        <v>1</v>
      </c>
      <c r="H227" t="s">
        <v>115</v>
      </c>
      <c r="I227" t="str">
        <f>VLOOKUP(Tabla1[[#This Row],[Code]],'[1]Articulos Precio'!$A:$E,5,FALSE)</f>
        <v>A0000994</v>
      </c>
    </row>
    <row r="228" spans="1:9" x14ac:dyDescent="0.25">
      <c r="A228" t="s">
        <v>145</v>
      </c>
      <c r="B228" t="str">
        <f>VLOOKUP(Tabla1[[#This Row],[Code]],[1]!Tabla4[#Data],2,FALSE)</f>
        <v>Rollo Metamark MD5 105 (70mc) Transparente 1,37x50m</v>
      </c>
      <c r="C228">
        <v>1</v>
      </c>
      <c r="D228" t="s">
        <v>106</v>
      </c>
      <c r="E228" t="str">
        <f>VLOOKUP(Tabla1[[#This Row],[Cód. Atributo]],[1]!Tabla5[#Data],6,FALSE)</f>
        <v>Select</v>
      </c>
      <c r="F228">
        <v>1</v>
      </c>
      <c r="G228">
        <v>3</v>
      </c>
      <c r="H228" t="s">
        <v>144</v>
      </c>
      <c r="I228" t="str">
        <f>VLOOKUP(Tabla1[[#This Row],[Code]],'[1]Articulos Precio'!$A:$E,5,FALSE)</f>
        <v>A0000994</v>
      </c>
    </row>
    <row r="229" spans="1:9" x14ac:dyDescent="0.25">
      <c r="A229" t="s">
        <v>145</v>
      </c>
      <c r="B229" t="str">
        <f>VLOOKUP(Tabla1[[#This Row],[Code]],[1]!Tabla4[#Data],2,FALSE)</f>
        <v>Rollo Metamark MD5 105 (70mc) Transparente 1,37x50m</v>
      </c>
      <c r="C229">
        <v>3</v>
      </c>
      <c r="D229" t="s">
        <v>108</v>
      </c>
      <c r="E229" t="str">
        <f>VLOOKUP(Tabla1[[#This Row],[Cód. Atributo]],[1]!Tabla5[#Data],6,FALSE)</f>
        <v>Select</v>
      </c>
      <c r="F229">
        <v>2</v>
      </c>
      <c r="G229">
        <v>3</v>
      </c>
      <c r="H229" t="s">
        <v>117</v>
      </c>
      <c r="I229" t="str">
        <f>VLOOKUP(Tabla1[[#This Row],[Code]],'[1]Articulos Precio'!$A:$E,5,FALSE)</f>
        <v>A0000994</v>
      </c>
    </row>
    <row r="230" spans="1:9" x14ac:dyDescent="0.25">
      <c r="A230" t="s">
        <v>145</v>
      </c>
      <c r="B230" t="str">
        <f>VLOOKUP(Tabla1[[#This Row],[Code]],[1]!Tabla4[#Data],2,FALSE)</f>
        <v>Rollo Metamark MD5 105 (70mc) Transparente 1,37x50m</v>
      </c>
      <c r="C230">
        <v>23</v>
      </c>
      <c r="D230" t="s">
        <v>90</v>
      </c>
      <c r="E230" t="str">
        <f>VLOOKUP(Tabla1[[#This Row],[Cód. Atributo]],[1]!Tabla5[#Data],6,FALSE)</f>
        <v>Select</v>
      </c>
      <c r="F230">
        <v>3</v>
      </c>
      <c r="G230">
        <v>2</v>
      </c>
      <c r="H230" t="s">
        <v>136</v>
      </c>
      <c r="I230" t="str">
        <f>VLOOKUP(Tabla1[[#This Row],[Code]],'[1]Articulos Precio'!$A:$E,5,FALSE)</f>
        <v>A0000994</v>
      </c>
    </row>
    <row r="231" spans="1:9" x14ac:dyDescent="0.25">
      <c r="A231" t="s">
        <v>145</v>
      </c>
      <c r="B231" t="str">
        <f>VLOOKUP(Tabla1[[#This Row],[Code]],[1]!Tabla4[#Data],2,FALSE)</f>
        <v>Rollo Metamark MD5 105 (70mc) Transparente 1,37x50m</v>
      </c>
      <c r="C231">
        <v>25</v>
      </c>
      <c r="D231" t="s">
        <v>94</v>
      </c>
      <c r="E231" t="str">
        <f>VLOOKUP(Tabla1[[#This Row],[Cód. Atributo]],[1]!Tabla5[#Data],6,FALSE)</f>
        <v>Select</v>
      </c>
      <c r="F231">
        <v>4</v>
      </c>
      <c r="G231">
        <v>4</v>
      </c>
      <c r="H231" t="s">
        <v>137</v>
      </c>
      <c r="I231" t="str">
        <f>VLOOKUP(Tabla1[[#This Row],[Code]],'[1]Articulos Precio'!$A:$E,5,FALSE)</f>
        <v>A0000994</v>
      </c>
    </row>
    <row r="232" spans="1:9" x14ac:dyDescent="0.25">
      <c r="A232" t="s">
        <v>145</v>
      </c>
      <c r="B232" t="str">
        <f>VLOOKUP(Tabla1[[#This Row],[Code]],[1]!Tabla4[#Data],2,FALSE)</f>
        <v>Rollo Metamark MD5 105 (70mc) Transparente 1,37x50m</v>
      </c>
      <c r="C232">
        <v>26</v>
      </c>
      <c r="D232" t="s">
        <v>112</v>
      </c>
      <c r="E232" t="str">
        <f>VLOOKUP(Tabla1[[#This Row],[Cód. Atributo]],[1]!Tabla5[#Data],6,FALSE)</f>
        <v>Select</v>
      </c>
      <c r="F232">
        <v>5</v>
      </c>
      <c r="G232">
        <v>3</v>
      </c>
      <c r="H232" t="s">
        <v>113</v>
      </c>
      <c r="I232" t="str">
        <f>VLOOKUP(Tabla1[[#This Row],[Code]],'[1]Articulos Precio'!$A:$E,5,FALSE)</f>
        <v>A0000994</v>
      </c>
    </row>
    <row r="233" spans="1:9" x14ac:dyDescent="0.25">
      <c r="A233" t="s">
        <v>145</v>
      </c>
      <c r="B233" t="str">
        <f>VLOOKUP(Tabla1[[#This Row],[Code]],[1]!Tabla4[#Data],2,FALSE)</f>
        <v>Rollo Metamark MD5 105 (70mc) Transparente 1,37x50m</v>
      </c>
      <c r="C233">
        <v>31</v>
      </c>
      <c r="D233" t="s">
        <v>114</v>
      </c>
      <c r="E233" t="str">
        <f>VLOOKUP(Tabla1[[#This Row],[Cód. Atributo]],[1]!Tabla5[#Data],6,FALSE)</f>
        <v>Select</v>
      </c>
      <c r="F233">
        <v>6</v>
      </c>
      <c r="G233">
        <v>1</v>
      </c>
      <c r="H233" t="s">
        <v>115</v>
      </c>
      <c r="I233" t="str">
        <f>VLOOKUP(Tabla1[[#This Row],[Code]],'[1]Articulos Precio'!$A:$E,5,FALSE)</f>
        <v>A0000994</v>
      </c>
    </row>
    <row r="234" spans="1:9" x14ac:dyDescent="0.25">
      <c r="A234" t="s">
        <v>146</v>
      </c>
      <c r="B234" t="str">
        <f>VLOOKUP(Tabla1[[#This Row],[Code]],[1]!Tabla4[#Data],2,FALSE)</f>
        <v>Rollo Metamark MD5 105 (70mc) Transparente 1,05x50m</v>
      </c>
      <c r="C234">
        <v>1</v>
      </c>
      <c r="D234" t="s">
        <v>106</v>
      </c>
      <c r="E234" t="str">
        <f>VLOOKUP(Tabla1[[#This Row],[Cód. Atributo]],[1]!Tabla5[#Data],6,FALSE)</f>
        <v>Select</v>
      </c>
      <c r="F234">
        <v>1</v>
      </c>
      <c r="G234">
        <v>3</v>
      </c>
      <c r="H234" t="s">
        <v>144</v>
      </c>
      <c r="I234" t="str">
        <f>VLOOKUP(Tabla1[[#This Row],[Code]],'[1]Articulos Precio'!$A:$E,5,FALSE)</f>
        <v>A0000994</v>
      </c>
    </row>
    <row r="235" spans="1:9" x14ac:dyDescent="0.25">
      <c r="A235" t="s">
        <v>146</v>
      </c>
      <c r="B235" t="str">
        <f>VLOOKUP(Tabla1[[#This Row],[Code]],[1]!Tabla4[#Data],2,FALSE)</f>
        <v>Rollo Metamark MD5 105 (70mc) Transparente 1,05x50m</v>
      </c>
      <c r="C235">
        <v>3</v>
      </c>
      <c r="D235" t="s">
        <v>108</v>
      </c>
      <c r="E235" t="str">
        <f>VLOOKUP(Tabla1[[#This Row],[Cód. Atributo]],[1]!Tabla5[#Data],6,FALSE)</f>
        <v>Select</v>
      </c>
      <c r="F235">
        <v>2</v>
      </c>
      <c r="G235">
        <v>2</v>
      </c>
      <c r="H235" t="s">
        <v>119</v>
      </c>
      <c r="I235" t="str">
        <f>VLOOKUP(Tabla1[[#This Row],[Code]],'[1]Articulos Precio'!$A:$E,5,FALSE)</f>
        <v>A0000994</v>
      </c>
    </row>
    <row r="236" spans="1:9" x14ac:dyDescent="0.25">
      <c r="A236" t="s">
        <v>146</v>
      </c>
      <c r="B236" t="str">
        <f>VLOOKUP(Tabla1[[#This Row],[Code]],[1]!Tabla4[#Data],2,FALSE)</f>
        <v>Rollo Metamark MD5 105 (70mc) Transparente 1,05x50m</v>
      </c>
      <c r="C236">
        <v>23</v>
      </c>
      <c r="D236" t="s">
        <v>90</v>
      </c>
      <c r="E236" t="str">
        <f>VLOOKUP(Tabla1[[#This Row],[Cód. Atributo]],[1]!Tabla5[#Data],6,FALSE)</f>
        <v>Select</v>
      </c>
      <c r="F236">
        <v>3</v>
      </c>
      <c r="G236">
        <v>2</v>
      </c>
      <c r="H236" t="s">
        <v>136</v>
      </c>
      <c r="I236" t="str">
        <f>VLOOKUP(Tabla1[[#This Row],[Code]],'[1]Articulos Precio'!$A:$E,5,FALSE)</f>
        <v>A0000994</v>
      </c>
    </row>
    <row r="237" spans="1:9" x14ac:dyDescent="0.25">
      <c r="A237" t="s">
        <v>146</v>
      </c>
      <c r="B237" t="str">
        <f>VLOOKUP(Tabla1[[#This Row],[Code]],[1]!Tabla4[#Data],2,FALSE)</f>
        <v>Rollo Metamark MD5 105 (70mc) Transparente 1,05x50m</v>
      </c>
      <c r="C237">
        <v>25</v>
      </c>
      <c r="D237" t="s">
        <v>94</v>
      </c>
      <c r="E237" t="str">
        <f>VLOOKUP(Tabla1[[#This Row],[Cód. Atributo]],[1]!Tabla5[#Data],6,FALSE)</f>
        <v>Select</v>
      </c>
      <c r="F237">
        <v>4</v>
      </c>
      <c r="G237">
        <v>4</v>
      </c>
      <c r="H237" t="s">
        <v>137</v>
      </c>
      <c r="I237" t="str">
        <f>VLOOKUP(Tabla1[[#This Row],[Code]],'[1]Articulos Precio'!$A:$E,5,FALSE)</f>
        <v>A0000994</v>
      </c>
    </row>
    <row r="238" spans="1:9" x14ac:dyDescent="0.25">
      <c r="A238" t="s">
        <v>146</v>
      </c>
      <c r="B238" t="str">
        <f>VLOOKUP(Tabla1[[#This Row],[Code]],[1]!Tabla4[#Data],2,FALSE)</f>
        <v>Rollo Metamark MD5 105 (70mc) Transparente 1,05x50m</v>
      </c>
      <c r="C238">
        <v>26</v>
      </c>
      <c r="D238" t="s">
        <v>112</v>
      </c>
      <c r="E238" t="str">
        <f>VLOOKUP(Tabla1[[#This Row],[Cód. Atributo]],[1]!Tabla5[#Data],6,FALSE)</f>
        <v>Select</v>
      </c>
      <c r="F238">
        <v>5</v>
      </c>
      <c r="G238">
        <v>3</v>
      </c>
      <c r="H238" t="s">
        <v>113</v>
      </c>
      <c r="I238" t="str">
        <f>VLOOKUP(Tabla1[[#This Row],[Code]],'[1]Articulos Precio'!$A:$E,5,FALSE)</f>
        <v>A0000994</v>
      </c>
    </row>
    <row r="239" spans="1:9" x14ac:dyDescent="0.25">
      <c r="A239" t="s">
        <v>146</v>
      </c>
      <c r="B239" t="str">
        <f>VLOOKUP(Tabla1[[#This Row],[Code]],[1]!Tabla4[#Data],2,FALSE)</f>
        <v>Rollo Metamark MD5 105 (70mc) Transparente 1,05x50m</v>
      </c>
      <c r="C239">
        <v>31</v>
      </c>
      <c r="D239" t="s">
        <v>114</v>
      </c>
      <c r="E239" t="str">
        <f>VLOOKUP(Tabla1[[#This Row],[Cód. Atributo]],[1]!Tabla5[#Data],6,FALSE)</f>
        <v>Select</v>
      </c>
      <c r="F239">
        <v>6</v>
      </c>
      <c r="G239">
        <v>1</v>
      </c>
      <c r="H239" t="s">
        <v>115</v>
      </c>
      <c r="I239" t="str">
        <f>VLOOKUP(Tabla1[[#This Row],[Code]],'[1]Articulos Precio'!$A:$E,5,FALSE)</f>
        <v>A0000994</v>
      </c>
    </row>
    <row r="240" spans="1:9" x14ac:dyDescent="0.25">
      <c r="A240" t="s">
        <v>147</v>
      </c>
      <c r="B240" t="str">
        <f>VLOOKUP(Tabla1[[#This Row],[Code]],[1]!Tabla4[#Data],2,FALSE)</f>
        <v>Rollo Metamark MD5A 100 (70mc) Brillo MetaScape 1,6 x 50m</v>
      </c>
      <c r="C240">
        <v>1</v>
      </c>
      <c r="D240" t="s">
        <v>106</v>
      </c>
      <c r="E240" t="str">
        <f>VLOOKUP(Tabla1[[#This Row],[Cód. Atributo]],[1]!Tabla5[#Data],6,FALSE)</f>
        <v>Select</v>
      </c>
      <c r="F240">
        <v>1</v>
      </c>
      <c r="G240">
        <v>1</v>
      </c>
      <c r="H240" t="s">
        <v>107</v>
      </c>
      <c r="I240" t="str">
        <f>VLOOKUP(Tabla1[[#This Row],[Code]],'[1]Articulos Precio'!$A:$E,5,FALSE)</f>
        <v>A0000994</v>
      </c>
    </row>
    <row r="241" spans="1:9" x14ac:dyDescent="0.25">
      <c r="A241" t="s">
        <v>147</v>
      </c>
      <c r="B241" t="str">
        <f>VLOOKUP(Tabla1[[#This Row],[Code]],[1]!Tabla4[#Data],2,FALSE)</f>
        <v>Rollo Metamark MD5A 100 (70mc) Brillo MetaScape 1,6 x 50m</v>
      </c>
      <c r="C241">
        <v>3</v>
      </c>
      <c r="D241" t="s">
        <v>108</v>
      </c>
      <c r="E241" t="str">
        <f>VLOOKUP(Tabla1[[#This Row],[Cód. Atributo]],[1]!Tabla5[#Data],6,FALSE)</f>
        <v>Select</v>
      </c>
      <c r="F241">
        <v>2</v>
      </c>
      <c r="G241">
        <v>4</v>
      </c>
      <c r="H241" t="s">
        <v>109</v>
      </c>
      <c r="I241" t="str">
        <f>VLOOKUP(Tabla1[[#This Row],[Code]],'[1]Articulos Precio'!$A:$E,5,FALSE)</f>
        <v>A0000994</v>
      </c>
    </row>
    <row r="242" spans="1:9" x14ac:dyDescent="0.25">
      <c r="A242" t="s">
        <v>147</v>
      </c>
      <c r="B242" t="str">
        <f>VLOOKUP(Tabla1[[#This Row],[Code]],[1]!Tabla4[#Data],2,FALSE)</f>
        <v>Rollo Metamark MD5A 100 (70mc) Brillo MetaScape 1,6 x 50m</v>
      </c>
      <c r="C242">
        <v>23</v>
      </c>
      <c r="D242" t="s">
        <v>90</v>
      </c>
      <c r="E242" t="str">
        <f>VLOOKUP(Tabla1[[#This Row],[Cód. Atributo]],[1]!Tabla5[#Data],6,FALSE)</f>
        <v>Select</v>
      </c>
      <c r="F242">
        <v>3</v>
      </c>
      <c r="G242">
        <v>2</v>
      </c>
      <c r="H242" t="s">
        <v>136</v>
      </c>
      <c r="I242" t="str">
        <f>VLOOKUP(Tabla1[[#This Row],[Code]],'[1]Articulos Precio'!$A:$E,5,FALSE)</f>
        <v>A0000994</v>
      </c>
    </row>
    <row r="243" spans="1:9" x14ac:dyDescent="0.25">
      <c r="A243" t="s">
        <v>147</v>
      </c>
      <c r="B243" t="str">
        <f>VLOOKUP(Tabla1[[#This Row],[Code]],[1]!Tabla4[#Data],2,FALSE)</f>
        <v>Rollo Metamark MD5A 100 (70mc) Brillo MetaScape 1,6 x 50m</v>
      </c>
      <c r="C243">
        <v>25</v>
      </c>
      <c r="D243" t="s">
        <v>94</v>
      </c>
      <c r="E243" t="str">
        <f>VLOOKUP(Tabla1[[#This Row],[Cód. Atributo]],[1]!Tabla5[#Data],6,FALSE)</f>
        <v>Select</v>
      </c>
      <c r="F243">
        <v>4</v>
      </c>
      <c r="G243">
        <v>4</v>
      </c>
      <c r="H243" t="s">
        <v>137</v>
      </c>
      <c r="I243" t="str">
        <f>VLOOKUP(Tabla1[[#This Row],[Code]],'[1]Articulos Precio'!$A:$E,5,FALSE)</f>
        <v>A0000994</v>
      </c>
    </row>
    <row r="244" spans="1:9" x14ac:dyDescent="0.25">
      <c r="A244" t="s">
        <v>147</v>
      </c>
      <c r="B244" t="str">
        <f>VLOOKUP(Tabla1[[#This Row],[Code]],[1]!Tabla4[#Data],2,FALSE)</f>
        <v>Rollo Metamark MD5A 100 (70mc) Brillo MetaScape 1,6 x 50m</v>
      </c>
      <c r="C244">
        <v>26</v>
      </c>
      <c r="D244" t="s">
        <v>112</v>
      </c>
      <c r="E244" t="str">
        <f>VLOOKUP(Tabla1[[#This Row],[Cód. Atributo]],[1]!Tabla5[#Data],6,FALSE)</f>
        <v>Select</v>
      </c>
      <c r="F244">
        <v>5</v>
      </c>
      <c r="G244">
        <v>3</v>
      </c>
      <c r="H244" t="s">
        <v>113</v>
      </c>
      <c r="I244" t="str">
        <f>VLOOKUP(Tabla1[[#This Row],[Code]],'[1]Articulos Precio'!$A:$E,5,FALSE)</f>
        <v>A0000994</v>
      </c>
    </row>
    <row r="245" spans="1:9" x14ac:dyDescent="0.25">
      <c r="A245" t="s">
        <v>147</v>
      </c>
      <c r="B245" t="str">
        <f>VLOOKUP(Tabla1[[#This Row],[Code]],[1]!Tabla4[#Data],2,FALSE)</f>
        <v>Rollo Metamark MD5A 100 (70mc) Brillo MetaScape 1,6 x 50m</v>
      </c>
      <c r="C245">
        <v>31</v>
      </c>
      <c r="D245" t="s">
        <v>114</v>
      </c>
      <c r="E245" t="str">
        <f>VLOOKUP(Tabla1[[#This Row],[Cód. Atributo]],[1]!Tabla5[#Data],6,FALSE)</f>
        <v>Select</v>
      </c>
      <c r="F245">
        <v>6</v>
      </c>
      <c r="G245">
        <v>5</v>
      </c>
      <c r="H245" t="s">
        <v>148</v>
      </c>
      <c r="I245" t="str">
        <f>VLOOKUP(Tabla1[[#This Row],[Code]],'[1]Articulos Precio'!$A:$E,5,FALSE)</f>
        <v>A0000994</v>
      </c>
    </row>
    <row r="246" spans="1:9" x14ac:dyDescent="0.25">
      <c r="A246" t="s">
        <v>149</v>
      </c>
      <c r="B246" t="str">
        <f>VLOOKUP(Tabla1[[#This Row],[Code]],[1]!Tabla4[#Data],2,FALSE)</f>
        <v>Rollo Metamark MD5A 100 (70mc) Brillo MetaScape 1,37x50m</v>
      </c>
      <c r="C246">
        <v>1</v>
      </c>
      <c r="D246" t="s">
        <v>106</v>
      </c>
      <c r="E246" t="str">
        <f>VLOOKUP(Tabla1[[#This Row],[Cód. Atributo]],[1]!Tabla5[#Data],6,FALSE)</f>
        <v>Select</v>
      </c>
      <c r="F246">
        <v>1</v>
      </c>
      <c r="G246">
        <v>1</v>
      </c>
      <c r="H246" t="s">
        <v>107</v>
      </c>
      <c r="I246" t="str">
        <f>VLOOKUP(Tabla1[[#This Row],[Code]],'[1]Articulos Precio'!$A:$E,5,FALSE)</f>
        <v>A0000994</v>
      </c>
    </row>
    <row r="247" spans="1:9" x14ac:dyDescent="0.25">
      <c r="A247" t="s">
        <v>149</v>
      </c>
      <c r="B247" t="str">
        <f>VLOOKUP(Tabla1[[#This Row],[Code]],[1]!Tabla4[#Data],2,FALSE)</f>
        <v>Rollo Metamark MD5A 100 (70mc) Brillo MetaScape 1,37x50m</v>
      </c>
      <c r="C247">
        <v>3</v>
      </c>
      <c r="D247" t="s">
        <v>108</v>
      </c>
      <c r="E247" t="str">
        <f>VLOOKUP(Tabla1[[#This Row],[Cód. Atributo]],[1]!Tabla5[#Data],6,FALSE)</f>
        <v>Select</v>
      </c>
      <c r="F247">
        <v>2</v>
      </c>
      <c r="G247">
        <v>3</v>
      </c>
      <c r="H247" t="s">
        <v>117</v>
      </c>
      <c r="I247" t="str">
        <f>VLOOKUP(Tabla1[[#This Row],[Code]],'[1]Articulos Precio'!$A:$E,5,FALSE)</f>
        <v>A0000994</v>
      </c>
    </row>
    <row r="248" spans="1:9" x14ac:dyDescent="0.25">
      <c r="A248" t="s">
        <v>149</v>
      </c>
      <c r="B248" t="str">
        <f>VLOOKUP(Tabla1[[#This Row],[Code]],[1]!Tabla4[#Data],2,FALSE)</f>
        <v>Rollo Metamark MD5A 100 (70mc) Brillo MetaScape 1,37x50m</v>
      </c>
      <c r="C248">
        <v>23</v>
      </c>
      <c r="D248" t="s">
        <v>90</v>
      </c>
      <c r="E248" t="str">
        <f>VLOOKUP(Tabla1[[#This Row],[Cód. Atributo]],[1]!Tabla5[#Data],6,FALSE)</f>
        <v>Select</v>
      </c>
      <c r="F248">
        <v>3</v>
      </c>
      <c r="G248">
        <v>2</v>
      </c>
      <c r="H248" t="s">
        <v>136</v>
      </c>
      <c r="I248" t="str">
        <f>VLOOKUP(Tabla1[[#This Row],[Code]],'[1]Articulos Precio'!$A:$E,5,FALSE)</f>
        <v>A0000994</v>
      </c>
    </row>
    <row r="249" spans="1:9" x14ac:dyDescent="0.25">
      <c r="A249" t="s">
        <v>149</v>
      </c>
      <c r="B249" t="str">
        <f>VLOOKUP(Tabla1[[#This Row],[Code]],[1]!Tabla4[#Data],2,FALSE)</f>
        <v>Rollo Metamark MD5A 100 (70mc) Brillo MetaScape 1,37x50m</v>
      </c>
      <c r="C249">
        <v>25</v>
      </c>
      <c r="D249" t="s">
        <v>94</v>
      </c>
      <c r="E249" t="str">
        <f>VLOOKUP(Tabla1[[#This Row],[Cód. Atributo]],[1]!Tabla5[#Data],6,FALSE)</f>
        <v>Select</v>
      </c>
      <c r="F249">
        <v>4</v>
      </c>
      <c r="G249">
        <v>4</v>
      </c>
      <c r="H249" t="s">
        <v>137</v>
      </c>
      <c r="I249" t="str">
        <f>VLOOKUP(Tabla1[[#This Row],[Code]],'[1]Articulos Precio'!$A:$E,5,FALSE)</f>
        <v>A0000994</v>
      </c>
    </row>
    <row r="250" spans="1:9" x14ac:dyDescent="0.25">
      <c r="A250" t="s">
        <v>149</v>
      </c>
      <c r="B250" t="str">
        <f>VLOOKUP(Tabla1[[#This Row],[Code]],[1]!Tabla4[#Data],2,FALSE)</f>
        <v>Rollo Metamark MD5A 100 (70mc) Brillo MetaScape 1,37x50m</v>
      </c>
      <c r="C250">
        <v>26</v>
      </c>
      <c r="D250" t="s">
        <v>112</v>
      </c>
      <c r="E250" t="str">
        <f>VLOOKUP(Tabla1[[#This Row],[Cód. Atributo]],[1]!Tabla5[#Data],6,FALSE)</f>
        <v>Select</v>
      </c>
      <c r="F250">
        <v>5</v>
      </c>
      <c r="G250">
        <v>3</v>
      </c>
      <c r="H250" t="s">
        <v>113</v>
      </c>
      <c r="I250" t="str">
        <f>VLOOKUP(Tabla1[[#This Row],[Code]],'[1]Articulos Precio'!$A:$E,5,FALSE)</f>
        <v>A0000994</v>
      </c>
    </row>
    <row r="251" spans="1:9" x14ac:dyDescent="0.25">
      <c r="A251" t="s">
        <v>149</v>
      </c>
      <c r="B251" t="str">
        <f>VLOOKUP(Tabla1[[#This Row],[Code]],[1]!Tabla4[#Data],2,FALSE)</f>
        <v>Rollo Metamark MD5A 100 (70mc) Brillo MetaScape 1,37x50m</v>
      </c>
      <c r="C251">
        <v>31</v>
      </c>
      <c r="D251" t="s">
        <v>114</v>
      </c>
      <c r="E251" t="str">
        <f>VLOOKUP(Tabla1[[#This Row],[Cód. Atributo]],[1]!Tabla5[#Data],6,FALSE)</f>
        <v>Select</v>
      </c>
      <c r="F251">
        <v>6</v>
      </c>
      <c r="G251">
        <v>5</v>
      </c>
      <c r="H251" t="s">
        <v>148</v>
      </c>
      <c r="I251" t="str">
        <f>VLOOKUP(Tabla1[[#This Row],[Code]],'[1]Articulos Precio'!$A:$E,5,FALSE)</f>
        <v>A0000994</v>
      </c>
    </row>
    <row r="252" spans="1:9" x14ac:dyDescent="0.25">
      <c r="A252" t="s">
        <v>150</v>
      </c>
      <c r="B252" t="str">
        <f>VLOOKUP(Tabla1[[#This Row],[Code]],[1]!Tabla4[#Data],2,FALSE)</f>
        <v>Rollo Metamark MD5B 100 (70mc Adh Gris) Brillo 1,6 x 50m</v>
      </c>
      <c r="C252">
        <v>1</v>
      </c>
      <c r="D252" t="s">
        <v>106</v>
      </c>
      <c r="E252" t="str">
        <f>VLOOKUP(Tabla1[[#This Row],[Cód. Atributo]],[1]!Tabla5[#Data],6,FALSE)</f>
        <v>Select</v>
      </c>
      <c r="F252">
        <v>1</v>
      </c>
      <c r="G252">
        <v>1</v>
      </c>
      <c r="H252" t="s">
        <v>107</v>
      </c>
      <c r="I252" t="str">
        <f>VLOOKUP(Tabla1[[#This Row],[Code]],'[1]Articulos Precio'!$A:$E,5,FALSE)</f>
        <v>A0000994</v>
      </c>
    </row>
    <row r="253" spans="1:9" x14ac:dyDescent="0.25">
      <c r="A253" t="s">
        <v>150</v>
      </c>
      <c r="B253" t="str">
        <f>VLOOKUP(Tabla1[[#This Row],[Code]],[1]!Tabla4[#Data],2,FALSE)</f>
        <v>Rollo Metamark MD5B 100 (70mc Adh Gris) Brillo 1,6 x 50m</v>
      </c>
      <c r="C253">
        <v>3</v>
      </c>
      <c r="D253" t="s">
        <v>108</v>
      </c>
      <c r="E253" t="str">
        <f>VLOOKUP(Tabla1[[#This Row],[Cód. Atributo]],[1]!Tabla5[#Data],6,FALSE)</f>
        <v>Select</v>
      </c>
      <c r="F253">
        <v>2</v>
      </c>
      <c r="G253">
        <v>4</v>
      </c>
      <c r="H253" t="s">
        <v>109</v>
      </c>
      <c r="I253" t="str">
        <f>VLOOKUP(Tabla1[[#This Row],[Code]],'[1]Articulos Precio'!$A:$E,5,FALSE)</f>
        <v>A0000994</v>
      </c>
    </row>
    <row r="254" spans="1:9" x14ac:dyDescent="0.25">
      <c r="A254" t="s">
        <v>150</v>
      </c>
      <c r="B254" t="str">
        <f>VLOOKUP(Tabla1[[#This Row],[Code]],[1]!Tabla4[#Data],2,FALSE)</f>
        <v>Rollo Metamark MD5B 100 (70mc Adh Gris) Brillo 1,6 x 50m</v>
      </c>
      <c r="C254">
        <v>23</v>
      </c>
      <c r="D254" t="s">
        <v>90</v>
      </c>
      <c r="E254" t="str">
        <f>VLOOKUP(Tabla1[[#This Row],[Cód. Atributo]],[1]!Tabla5[#Data],6,FALSE)</f>
        <v>Select</v>
      </c>
      <c r="F254">
        <v>3</v>
      </c>
      <c r="G254">
        <v>2</v>
      </c>
      <c r="H254" t="s">
        <v>136</v>
      </c>
      <c r="I254" t="str">
        <f>VLOOKUP(Tabla1[[#This Row],[Code]],'[1]Articulos Precio'!$A:$E,5,FALSE)</f>
        <v>A0000994</v>
      </c>
    </row>
    <row r="255" spans="1:9" x14ac:dyDescent="0.25">
      <c r="A255" t="s">
        <v>150</v>
      </c>
      <c r="B255" t="str">
        <f>VLOOKUP(Tabla1[[#This Row],[Code]],[1]!Tabla4[#Data],2,FALSE)</f>
        <v>Rollo Metamark MD5B 100 (70mc Adh Gris) Brillo 1,6 x 50m</v>
      </c>
      <c r="C255">
        <v>25</v>
      </c>
      <c r="D255" t="s">
        <v>94</v>
      </c>
      <c r="E255" t="str">
        <f>VLOOKUP(Tabla1[[#This Row],[Cód. Atributo]],[1]!Tabla5[#Data],6,FALSE)</f>
        <v>Select</v>
      </c>
      <c r="F255">
        <v>4</v>
      </c>
      <c r="G255">
        <v>4</v>
      </c>
      <c r="H255" t="s">
        <v>137</v>
      </c>
      <c r="I255" t="str">
        <f>VLOOKUP(Tabla1[[#This Row],[Code]],'[1]Articulos Precio'!$A:$E,5,FALSE)</f>
        <v>A0000994</v>
      </c>
    </row>
    <row r="256" spans="1:9" x14ac:dyDescent="0.25">
      <c r="A256" t="s">
        <v>150</v>
      </c>
      <c r="B256" t="str">
        <f>VLOOKUP(Tabla1[[#This Row],[Code]],[1]!Tabla4[#Data],2,FALSE)</f>
        <v>Rollo Metamark MD5B 100 (70mc Adh Gris) Brillo 1,6 x 50m</v>
      </c>
      <c r="C256">
        <v>26</v>
      </c>
      <c r="D256" t="s">
        <v>112</v>
      </c>
      <c r="E256" t="str">
        <f>VLOOKUP(Tabla1[[#This Row],[Cód. Atributo]],[1]!Tabla5[#Data],6,FALSE)</f>
        <v>Select</v>
      </c>
      <c r="F256">
        <v>5</v>
      </c>
      <c r="G256">
        <v>3</v>
      </c>
      <c r="H256" t="s">
        <v>113</v>
      </c>
      <c r="I256" t="str">
        <f>VLOOKUP(Tabla1[[#This Row],[Code]],'[1]Articulos Precio'!$A:$E,5,FALSE)</f>
        <v>A0000994</v>
      </c>
    </row>
    <row r="257" spans="1:9" x14ac:dyDescent="0.25">
      <c r="A257" t="s">
        <v>150</v>
      </c>
      <c r="B257" t="str">
        <f>VLOOKUP(Tabla1[[#This Row],[Code]],[1]!Tabla4[#Data],2,FALSE)</f>
        <v>Rollo Metamark MD5B 100 (70mc Adh Gris) Brillo 1,6 x 50m</v>
      </c>
      <c r="C257">
        <v>31</v>
      </c>
      <c r="D257" t="s">
        <v>114</v>
      </c>
      <c r="E257" t="str">
        <f>VLOOKUP(Tabla1[[#This Row],[Cód. Atributo]],[1]!Tabla5[#Data],6,FALSE)</f>
        <v>Select</v>
      </c>
      <c r="F257">
        <v>6</v>
      </c>
      <c r="G257">
        <v>7</v>
      </c>
      <c r="H257" t="s">
        <v>125</v>
      </c>
      <c r="I257" t="str">
        <f>VLOOKUP(Tabla1[[#This Row],[Code]],'[1]Articulos Precio'!$A:$E,5,FALSE)</f>
        <v>A0000994</v>
      </c>
    </row>
    <row r="258" spans="1:9" x14ac:dyDescent="0.25">
      <c r="A258" t="s">
        <v>151</v>
      </c>
      <c r="B258" t="str">
        <f>VLOOKUP(Tabla1[[#This Row],[Code]],[1]!Tabla4[#Data],2,FALSE)</f>
        <v>Rollo Metamark MD5B 100 (70mc Adh Gris) Brillo 1,37x50m</v>
      </c>
      <c r="C258">
        <v>1</v>
      </c>
      <c r="D258" t="s">
        <v>106</v>
      </c>
      <c r="E258" t="str">
        <f>VLOOKUP(Tabla1[[#This Row],[Cód. Atributo]],[1]!Tabla5[#Data],6,FALSE)</f>
        <v>Select</v>
      </c>
      <c r="F258">
        <v>1</v>
      </c>
      <c r="G258">
        <v>1</v>
      </c>
      <c r="H258" t="s">
        <v>107</v>
      </c>
      <c r="I258" t="str">
        <f>VLOOKUP(Tabla1[[#This Row],[Code]],'[1]Articulos Precio'!$A:$E,5,FALSE)</f>
        <v>A0000994</v>
      </c>
    </row>
    <row r="259" spans="1:9" x14ac:dyDescent="0.25">
      <c r="A259" t="s">
        <v>151</v>
      </c>
      <c r="B259" t="str">
        <f>VLOOKUP(Tabla1[[#This Row],[Code]],[1]!Tabla4[#Data],2,FALSE)</f>
        <v>Rollo Metamark MD5B 100 (70mc Adh Gris) Brillo 1,37x50m</v>
      </c>
      <c r="C259">
        <v>3</v>
      </c>
      <c r="D259" t="s">
        <v>108</v>
      </c>
      <c r="E259" t="str">
        <f>VLOOKUP(Tabla1[[#This Row],[Cód. Atributo]],[1]!Tabla5[#Data],6,FALSE)</f>
        <v>Select</v>
      </c>
      <c r="F259">
        <v>2</v>
      </c>
      <c r="G259">
        <v>3</v>
      </c>
      <c r="H259" t="s">
        <v>117</v>
      </c>
      <c r="I259" t="str">
        <f>VLOOKUP(Tabla1[[#This Row],[Code]],'[1]Articulos Precio'!$A:$E,5,FALSE)</f>
        <v>A0000994</v>
      </c>
    </row>
    <row r="260" spans="1:9" x14ac:dyDescent="0.25">
      <c r="A260" t="s">
        <v>151</v>
      </c>
      <c r="B260" t="str">
        <f>VLOOKUP(Tabla1[[#This Row],[Code]],[1]!Tabla4[#Data],2,FALSE)</f>
        <v>Rollo Metamark MD5B 100 (70mc Adh Gris) Brillo 1,37x50m</v>
      </c>
      <c r="C260">
        <v>23</v>
      </c>
      <c r="D260" t="s">
        <v>90</v>
      </c>
      <c r="E260" t="str">
        <f>VLOOKUP(Tabla1[[#This Row],[Cód. Atributo]],[1]!Tabla5[#Data],6,FALSE)</f>
        <v>Select</v>
      </c>
      <c r="F260">
        <v>3</v>
      </c>
      <c r="G260">
        <v>2</v>
      </c>
      <c r="H260" t="s">
        <v>136</v>
      </c>
      <c r="I260" t="str">
        <f>VLOOKUP(Tabla1[[#This Row],[Code]],'[1]Articulos Precio'!$A:$E,5,FALSE)</f>
        <v>A0000994</v>
      </c>
    </row>
    <row r="261" spans="1:9" x14ac:dyDescent="0.25">
      <c r="A261" t="s">
        <v>151</v>
      </c>
      <c r="B261" t="str">
        <f>VLOOKUP(Tabla1[[#This Row],[Code]],[1]!Tabla4[#Data],2,FALSE)</f>
        <v>Rollo Metamark MD5B 100 (70mc Adh Gris) Brillo 1,37x50m</v>
      </c>
      <c r="C261">
        <v>25</v>
      </c>
      <c r="D261" t="s">
        <v>94</v>
      </c>
      <c r="E261" t="str">
        <f>VLOOKUP(Tabla1[[#This Row],[Cód. Atributo]],[1]!Tabla5[#Data],6,FALSE)</f>
        <v>Select</v>
      </c>
      <c r="F261">
        <v>4</v>
      </c>
      <c r="G261">
        <v>4</v>
      </c>
      <c r="H261" t="s">
        <v>137</v>
      </c>
      <c r="I261" t="str">
        <f>VLOOKUP(Tabla1[[#This Row],[Code]],'[1]Articulos Precio'!$A:$E,5,FALSE)</f>
        <v>A0000994</v>
      </c>
    </row>
    <row r="262" spans="1:9" x14ac:dyDescent="0.25">
      <c r="A262" t="s">
        <v>151</v>
      </c>
      <c r="B262" t="str">
        <f>VLOOKUP(Tabla1[[#This Row],[Code]],[1]!Tabla4[#Data],2,FALSE)</f>
        <v>Rollo Metamark MD5B 100 (70mc Adh Gris) Brillo 1,37x50m</v>
      </c>
      <c r="C262">
        <v>26</v>
      </c>
      <c r="D262" t="s">
        <v>112</v>
      </c>
      <c r="E262" t="str">
        <f>VLOOKUP(Tabla1[[#This Row],[Cód. Atributo]],[1]!Tabla5[#Data],6,FALSE)</f>
        <v>Select</v>
      </c>
      <c r="F262">
        <v>5</v>
      </c>
      <c r="G262">
        <v>3</v>
      </c>
      <c r="H262" t="s">
        <v>113</v>
      </c>
      <c r="I262" t="str">
        <f>VLOOKUP(Tabla1[[#This Row],[Code]],'[1]Articulos Precio'!$A:$E,5,FALSE)</f>
        <v>A0000994</v>
      </c>
    </row>
    <row r="263" spans="1:9" x14ac:dyDescent="0.25">
      <c r="A263" t="s">
        <v>151</v>
      </c>
      <c r="B263" t="str">
        <f>VLOOKUP(Tabla1[[#This Row],[Code]],[1]!Tabla4[#Data],2,FALSE)</f>
        <v>Rollo Metamark MD5B 100 (70mc Adh Gris) Brillo 1,37x50m</v>
      </c>
      <c r="C263">
        <v>31</v>
      </c>
      <c r="D263" t="s">
        <v>114</v>
      </c>
      <c r="E263" t="str">
        <f>VLOOKUP(Tabla1[[#This Row],[Cód. Atributo]],[1]!Tabla5[#Data],6,FALSE)</f>
        <v>Select</v>
      </c>
      <c r="F263">
        <v>6</v>
      </c>
      <c r="G263">
        <v>7</v>
      </c>
      <c r="H263" t="s">
        <v>125</v>
      </c>
      <c r="I263" t="str">
        <f>VLOOKUP(Tabla1[[#This Row],[Code]],'[1]Articulos Precio'!$A:$E,5,FALSE)</f>
        <v>A0000994</v>
      </c>
    </row>
    <row r="264" spans="1:9" x14ac:dyDescent="0.25">
      <c r="A264" t="s">
        <v>152</v>
      </c>
      <c r="B264" t="str">
        <f>VLOOKUP(Tabla1[[#This Row],[Code]],[1]!Tabla4[#Data],2,FALSE)</f>
        <v>Rollo Metamark MD5B 100 (70mc Adh Gris) Brillo 1,05x50m</v>
      </c>
      <c r="C264">
        <v>1</v>
      </c>
      <c r="D264" t="s">
        <v>106</v>
      </c>
      <c r="E264" t="str">
        <f>VLOOKUP(Tabla1[[#This Row],[Cód. Atributo]],[1]!Tabla5[#Data],6,FALSE)</f>
        <v>Select</v>
      </c>
      <c r="F264">
        <v>1</v>
      </c>
      <c r="G264">
        <v>1</v>
      </c>
      <c r="H264" t="s">
        <v>107</v>
      </c>
      <c r="I264" t="str">
        <f>VLOOKUP(Tabla1[[#This Row],[Code]],'[1]Articulos Precio'!$A:$E,5,FALSE)</f>
        <v>A0000994</v>
      </c>
    </row>
    <row r="265" spans="1:9" x14ac:dyDescent="0.25">
      <c r="A265" t="s">
        <v>152</v>
      </c>
      <c r="B265" t="str">
        <f>VLOOKUP(Tabla1[[#This Row],[Code]],[1]!Tabla4[#Data],2,FALSE)</f>
        <v>Rollo Metamark MD5B 100 (70mc Adh Gris) Brillo 1,05x50m</v>
      </c>
      <c r="C265">
        <v>3</v>
      </c>
      <c r="D265" t="s">
        <v>108</v>
      </c>
      <c r="E265" t="str">
        <f>VLOOKUP(Tabla1[[#This Row],[Cód. Atributo]],[1]!Tabla5[#Data],6,FALSE)</f>
        <v>Select</v>
      </c>
      <c r="F265">
        <v>2</v>
      </c>
      <c r="G265">
        <v>2</v>
      </c>
      <c r="H265" t="s">
        <v>119</v>
      </c>
      <c r="I265" t="str">
        <f>VLOOKUP(Tabla1[[#This Row],[Code]],'[1]Articulos Precio'!$A:$E,5,FALSE)</f>
        <v>A0000994</v>
      </c>
    </row>
    <row r="266" spans="1:9" x14ac:dyDescent="0.25">
      <c r="A266" t="s">
        <v>152</v>
      </c>
      <c r="B266" t="str">
        <f>VLOOKUP(Tabla1[[#This Row],[Code]],[1]!Tabla4[#Data],2,FALSE)</f>
        <v>Rollo Metamark MD5B 100 (70mc Adh Gris) Brillo 1,05x50m</v>
      </c>
      <c r="C266">
        <v>23</v>
      </c>
      <c r="D266" t="s">
        <v>90</v>
      </c>
      <c r="E266" t="str">
        <f>VLOOKUP(Tabla1[[#This Row],[Cód. Atributo]],[1]!Tabla5[#Data],6,FALSE)</f>
        <v>Select</v>
      </c>
      <c r="F266">
        <v>3</v>
      </c>
      <c r="G266">
        <v>2</v>
      </c>
      <c r="H266" t="s">
        <v>136</v>
      </c>
      <c r="I266" t="str">
        <f>VLOOKUP(Tabla1[[#This Row],[Code]],'[1]Articulos Precio'!$A:$E,5,FALSE)</f>
        <v>A0000994</v>
      </c>
    </row>
    <row r="267" spans="1:9" x14ac:dyDescent="0.25">
      <c r="A267" t="s">
        <v>152</v>
      </c>
      <c r="B267" t="str">
        <f>VLOOKUP(Tabla1[[#This Row],[Code]],[1]!Tabla4[#Data],2,FALSE)</f>
        <v>Rollo Metamark MD5B 100 (70mc Adh Gris) Brillo 1,05x50m</v>
      </c>
      <c r="C267">
        <v>25</v>
      </c>
      <c r="D267" t="s">
        <v>94</v>
      </c>
      <c r="E267" t="str">
        <f>VLOOKUP(Tabla1[[#This Row],[Cód. Atributo]],[1]!Tabla5[#Data],6,FALSE)</f>
        <v>Select</v>
      </c>
      <c r="F267">
        <v>4</v>
      </c>
      <c r="G267">
        <v>4</v>
      </c>
      <c r="H267" t="s">
        <v>137</v>
      </c>
      <c r="I267" t="str">
        <f>VLOOKUP(Tabla1[[#This Row],[Code]],'[1]Articulos Precio'!$A:$E,5,FALSE)</f>
        <v>A0000994</v>
      </c>
    </row>
    <row r="268" spans="1:9" x14ac:dyDescent="0.25">
      <c r="A268" t="s">
        <v>152</v>
      </c>
      <c r="B268" t="str">
        <f>VLOOKUP(Tabla1[[#This Row],[Code]],[1]!Tabla4[#Data],2,FALSE)</f>
        <v>Rollo Metamark MD5B 100 (70mc Adh Gris) Brillo 1,05x50m</v>
      </c>
      <c r="C268">
        <v>26</v>
      </c>
      <c r="D268" t="s">
        <v>112</v>
      </c>
      <c r="E268" t="str">
        <f>VLOOKUP(Tabla1[[#This Row],[Cód. Atributo]],[1]!Tabla5[#Data],6,FALSE)</f>
        <v>Select</v>
      </c>
      <c r="F268">
        <v>5</v>
      </c>
      <c r="G268">
        <v>3</v>
      </c>
      <c r="H268" t="s">
        <v>113</v>
      </c>
      <c r="I268" t="str">
        <f>VLOOKUP(Tabla1[[#This Row],[Code]],'[1]Articulos Precio'!$A:$E,5,FALSE)</f>
        <v>A0000994</v>
      </c>
    </row>
    <row r="269" spans="1:9" x14ac:dyDescent="0.25">
      <c r="A269" t="s">
        <v>152</v>
      </c>
      <c r="B269" t="str">
        <f>VLOOKUP(Tabla1[[#This Row],[Code]],[1]!Tabla4[#Data],2,FALSE)</f>
        <v>Rollo Metamark MD5B 100 (70mc Adh Gris) Brillo 1,05x50m</v>
      </c>
      <c r="C269">
        <v>31</v>
      </c>
      <c r="D269" t="s">
        <v>114</v>
      </c>
      <c r="E269" t="str">
        <f>VLOOKUP(Tabla1[[#This Row],[Cód. Atributo]],[1]!Tabla5[#Data],6,FALSE)</f>
        <v>Select</v>
      </c>
      <c r="F269">
        <v>6</v>
      </c>
      <c r="G269">
        <v>7</v>
      </c>
      <c r="H269" t="s">
        <v>125</v>
      </c>
      <c r="I269" t="str">
        <f>VLOOKUP(Tabla1[[#This Row],[Code]],'[1]Articulos Precio'!$A:$E,5,FALSE)</f>
        <v>A0000994</v>
      </c>
    </row>
    <row r="270" spans="1:9" x14ac:dyDescent="0.25">
      <c r="A270" t="s">
        <v>153</v>
      </c>
      <c r="B270" t="str">
        <f>VLOOKUP(Tabla1[[#This Row],[Code]],[1]!Tabla4[#Data],2,FALSE)</f>
        <v>Rollo Metamark MD5A-B 100 (70mc Adh Gris) Brillo MetaScape 1,6 x 50m</v>
      </c>
      <c r="C270">
        <v>1</v>
      </c>
      <c r="D270" t="s">
        <v>106</v>
      </c>
      <c r="E270" t="str">
        <f>VLOOKUP(Tabla1[[#This Row],[Cód. Atributo]],[1]!Tabla5[#Data],6,FALSE)</f>
        <v>Select</v>
      </c>
      <c r="F270">
        <v>1</v>
      </c>
      <c r="G270">
        <v>1</v>
      </c>
      <c r="H270" t="s">
        <v>107</v>
      </c>
      <c r="I270" t="str">
        <f>VLOOKUP(Tabla1[[#This Row],[Code]],'[1]Articulos Precio'!$A:$E,5,FALSE)</f>
        <v>A0000994</v>
      </c>
    </row>
    <row r="271" spans="1:9" x14ac:dyDescent="0.25">
      <c r="A271" t="s">
        <v>153</v>
      </c>
      <c r="B271" t="str">
        <f>VLOOKUP(Tabla1[[#This Row],[Code]],[1]!Tabla4[#Data],2,FALSE)</f>
        <v>Rollo Metamark MD5A-B 100 (70mc Adh Gris) Brillo MetaScape 1,6 x 50m</v>
      </c>
      <c r="C271">
        <v>3</v>
      </c>
      <c r="D271" t="s">
        <v>108</v>
      </c>
      <c r="E271" t="str">
        <f>VLOOKUP(Tabla1[[#This Row],[Cód. Atributo]],[1]!Tabla5[#Data],6,FALSE)</f>
        <v>Select</v>
      </c>
      <c r="F271">
        <v>2</v>
      </c>
      <c r="G271">
        <v>4</v>
      </c>
      <c r="H271" t="s">
        <v>109</v>
      </c>
      <c r="I271" t="str">
        <f>VLOOKUP(Tabla1[[#This Row],[Code]],'[1]Articulos Precio'!$A:$E,5,FALSE)</f>
        <v>A0000994</v>
      </c>
    </row>
    <row r="272" spans="1:9" x14ac:dyDescent="0.25">
      <c r="A272" t="s">
        <v>153</v>
      </c>
      <c r="B272" t="str">
        <f>VLOOKUP(Tabla1[[#This Row],[Code]],[1]!Tabla4[#Data],2,FALSE)</f>
        <v>Rollo Metamark MD5A-B 100 (70mc Adh Gris) Brillo MetaScape 1,6 x 50m</v>
      </c>
      <c r="C272">
        <v>23</v>
      </c>
      <c r="D272" t="s">
        <v>90</v>
      </c>
      <c r="E272" t="str">
        <f>VLOOKUP(Tabla1[[#This Row],[Cód. Atributo]],[1]!Tabla5[#Data],6,FALSE)</f>
        <v>Select</v>
      </c>
      <c r="F272">
        <v>3</v>
      </c>
      <c r="G272">
        <v>2</v>
      </c>
      <c r="H272" t="s">
        <v>136</v>
      </c>
      <c r="I272" t="str">
        <f>VLOOKUP(Tabla1[[#This Row],[Code]],'[1]Articulos Precio'!$A:$E,5,FALSE)</f>
        <v>A0000994</v>
      </c>
    </row>
    <row r="273" spans="1:9" x14ac:dyDescent="0.25">
      <c r="A273" t="s">
        <v>153</v>
      </c>
      <c r="B273" t="str">
        <f>VLOOKUP(Tabla1[[#This Row],[Code]],[1]!Tabla4[#Data],2,FALSE)</f>
        <v>Rollo Metamark MD5A-B 100 (70mc Adh Gris) Brillo MetaScape 1,6 x 50m</v>
      </c>
      <c r="C273">
        <v>25</v>
      </c>
      <c r="D273" t="s">
        <v>94</v>
      </c>
      <c r="E273" t="str">
        <f>VLOOKUP(Tabla1[[#This Row],[Cód. Atributo]],[1]!Tabla5[#Data],6,FALSE)</f>
        <v>Select</v>
      </c>
      <c r="F273">
        <v>4</v>
      </c>
      <c r="G273">
        <v>4</v>
      </c>
      <c r="H273" t="s">
        <v>137</v>
      </c>
      <c r="I273" t="str">
        <f>VLOOKUP(Tabla1[[#This Row],[Code]],'[1]Articulos Precio'!$A:$E,5,FALSE)</f>
        <v>A0000994</v>
      </c>
    </row>
    <row r="274" spans="1:9" x14ac:dyDescent="0.25">
      <c r="A274" t="s">
        <v>153</v>
      </c>
      <c r="B274" t="str">
        <f>VLOOKUP(Tabla1[[#This Row],[Code]],[1]!Tabla4[#Data],2,FALSE)</f>
        <v>Rollo Metamark MD5A-B 100 (70mc Adh Gris) Brillo MetaScape 1,6 x 50m</v>
      </c>
      <c r="C274">
        <v>26</v>
      </c>
      <c r="D274" t="s">
        <v>112</v>
      </c>
      <c r="E274" t="str">
        <f>VLOOKUP(Tabla1[[#This Row],[Cód. Atributo]],[1]!Tabla5[#Data],6,FALSE)</f>
        <v>Select</v>
      </c>
      <c r="F274">
        <v>5</v>
      </c>
      <c r="G274">
        <v>3</v>
      </c>
      <c r="H274" t="s">
        <v>113</v>
      </c>
      <c r="I274" t="str">
        <f>VLOOKUP(Tabla1[[#This Row],[Code]],'[1]Articulos Precio'!$A:$E,5,FALSE)</f>
        <v>A0000994</v>
      </c>
    </row>
    <row r="275" spans="1:9" x14ac:dyDescent="0.25">
      <c r="A275" t="s">
        <v>153</v>
      </c>
      <c r="B275" t="str">
        <f>VLOOKUP(Tabla1[[#This Row],[Code]],[1]!Tabla4[#Data],2,FALSE)</f>
        <v>Rollo Metamark MD5A-B 100 (70mc Adh Gris) Brillo MetaScape 1,6 x 50m</v>
      </c>
      <c r="C275">
        <v>31</v>
      </c>
      <c r="D275" t="s">
        <v>114</v>
      </c>
      <c r="E275" t="str">
        <f>VLOOKUP(Tabla1[[#This Row],[Cód. Atributo]],[1]!Tabla5[#Data],6,FALSE)</f>
        <v>Select</v>
      </c>
      <c r="F275">
        <v>6</v>
      </c>
      <c r="G275">
        <v>6</v>
      </c>
      <c r="H275" t="s">
        <v>154</v>
      </c>
      <c r="I275" t="str">
        <f>VLOOKUP(Tabla1[[#This Row],[Code]],'[1]Articulos Precio'!$A:$E,5,FALSE)</f>
        <v>A0000994</v>
      </c>
    </row>
    <row r="276" spans="1:9" x14ac:dyDescent="0.25">
      <c r="A276" t="s">
        <v>155</v>
      </c>
      <c r="B276" t="str">
        <f>VLOOKUP(Tabla1[[#This Row],[Code]],[1]!Tabla4[#Data],2,FALSE)</f>
        <v>Rollo Metamark MD5A-B 100 (70mc Adh Gris) Brillo MetaScape 1,37x50m</v>
      </c>
      <c r="C276">
        <v>1</v>
      </c>
      <c r="D276" t="s">
        <v>106</v>
      </c>
      <c r="E276" t="str">
        <f>VLOOKUP(Tabla1[[#This Row],[Cód. Atributo]],[1]!Tabla5[#Data],6,FALSE)</f>
        <v>Select</v>
      </c>
      <c r="F276">
        <v>1</v>
      </c>
      <c r="G276">
        <v>1</v>
      </c>
      <c r="H276" t="s">
        <v>107</v>
      </c>
      <c r="I276" t="str">
        <f>VLOOKUP(Tabla1[[#This Row],[Code]],'[1]Articulos Precio'!$A:$E,5,FALSE)</f>
        <v>A0000994</v>
      </c>
    </row>
    <row r="277" spans="1:9" x14ac:dyDescent="0.25">
      <c r="A277" t="s">
        <v>155</v>
      </c>
      <c r="B277" t="str">
        <f>VLOOKUP(Tabla1[[#This Row],[Code]],[1]!Tabla4[#Data],2,FALSE)</f>
        <v>Rollo Metamark MD5A-B 100 (70mc Adh Gris) Brillo MetaScape 1,37x50m</v>
      </c>
      <c r="C277">
        <v>3</v>
      </c>
      <c r="D277" t="s">
        <v>108</v>
      </c>
      <c r="E277" t="str">
        <f>VLOOKUP(Tabla1[[#This Row],[Cód. Atributo]],[1]!Tabla5[#Data],6,FALSE)</f>
        <v>Select</v>
      </c>
      <c r="F277">
        <v>2</v>
      </c>
      <c r="G277">
        <v>3</v>
      </c>
      <c r="H277" t="s">
        <v>117</v>
      </c>
      <c r="I277" t="str">
        <f>VLOOKUP(Tabla1[[#This Row],[Code]],'[1]Articulos Precio'!$A:$E,5,FALSE)</f>
        <v>A0000994</v>
      </c>
    </row>
    <row r="278" spans="1:9" x14ac:dyDescent="0.25">
      <c r="A278" t="s">
        <v>155</v>
      </c>
      <c r="B278" t="str">
        <f>VLOOKUP(Tabla1[[#This Row],[Code]],[1]!Tabla4[#Data],2,FALSE)</f>
        <v>Rollo Metamark MD5A-B 100 (70mc Adh Gris) Brillo MetaScape 1,37x50m</v>
      </c>
      <c r="C278">
        <v>23</v>
      </c>
      <c r="D278" t="s">
        <v>90</v>
      </c>
      <c r="E278" t="str">
        <f>VLOOKUP(Tabla1[[#This Row],[Cód. Atributo]],[1]!Tabla5[#Data],6,FALSE)</f>
        <v>Select</v>
      </c>
      <c r="F278">
        <v>3</v>
      </c>
      <c r="G278">
        <v>2</v>
      </c>
      <c r="H278" t="s">
        <v>136</v>
      </c>
      <c r="I278" t="str">
        <f>VLOOKUP(Tabla1[[#This Row],[Code]],'[1]Articulos Precio'!$A:$E,5,FALSE)</f>
        <v>A0000994</v>
      </c>
    </row>
    <row r="279" spans="1:9" x14ac:dyDescent="0.25">
      <c r="A279" t="s">
        <v>155</v>
      </c>
      <c r="B279" t="str">
        <f>VLOOKUP(Tabla1[[#This Row],[Code]],[1]!Tabla4[#Data],2,FALSE)</f>
        <v>Rollo Metamark MD5A-B 100 (70mc Adh Gris) Brillo MetaScape 1,37x50m</v>
      </c>
      <c r="C279">
        <v>25</v>
      </c>
      <c r="D279" t="s">
        <v>94</v>
      </c>
      <c r="E279" t="str">
        <f>VLOOKUP(Tabla1[[#This Row],[Cód. Atributo]],[1]!Tabla5[#Data],6,FALSE)</f>
        <v>Select</v>
      </c>
      <c r="F279">
        <v>4</v>
      </c>
      <c r="G279">
        <v>4</v>
      </c>
      <c r="H279" t="s">
        <v>137</v>
      </c>
      <c r="I279" t="str">
        <f>VLOOKUP(Tabla1[[#This Row],[Code]],'[1]Articulos Precio'!$A:$E,5,FALSE)</f>
        <v>A0000994</v>
      </c>
    </row>
    <row r="280" spans="1:9" x14ac:dyDescent="0.25">
      <c r="A280" t="s">
        <v>155</v>
      </c>
      <c r="B280" t="str">
        <f>VLOOKUP(Tabla1[[#This Row],[Code]],[1]!Tabla4[#Data],2,FALSE)</f>
        <v>Rollo Metamark MD5A-B 100 (70mc Adh Gris) Brillo MetaScape 1,37x50m</v>
      </c>
      <c r="C280">
        <v>26</v>
      </c>
      <c r="D280" t="s">
        <v>112</v>
      </c>
      <c r="E280" t="str">
        <f>VLOOKUP(Tabla1[[#This Row],[Cód. Atributo]],[1]!Tabla5[#Data],6,FALSE)</f>
        <v>Select</v>
      </c>
      <c r="F280">
        <v>5</v>
      </c>
      <c r="G280">
        <v>3</v>
      </c>
      <c r="H280" t="s">
        <v>113</v>
      </c>
      <c r="I280" t="str">
        <f>VLOOKUP(Tabla1[[#This Row],[Code]],'[1]Articulos Precio'!$A:$E,5,FALSE)</f>
        <v>A0000994</v>
      </c>
    </row>
    <row r="281" spans="1:9" x14ac:dyDescent="0.25">
      <c r="A281" t="s">
        <v>155</v>
      </c>
      <c r="B281" t="str">
        <f>VLOOKUP(Tabla1[[#This Row],[Code]],[1]!Tabla4[#Data],2,FALSE)</f>
        <v>Rollo Metamark MD5A-B 100 (70mc Adh Gris) Brillo MetaScape 1,37x50m</v>
      </c>
      <c r="C281">
        <v>31</v>
      </c>
      <c r="D281" t="s">
        <v>114</v>
      </c>
      <c r="E281" t="str">
        <f>VLOOKUP(Tabla1[[#This Row],[Cód. Atributo]],[1]!Tabla5[#Data],6,FALSE)</f>
        <v>Select</v>
      </c>
      <c r="F281">
        <v>6</v>
      </c>
      <c r="G281">
        <v>6</v>
      </c>
      <c r="H281" t="s">
        <v>154</v>
      </c>
      <c r="I281" t="str">
        <f>VLOOKUP(Tabla1[[#This Row],[Code]],'[1]Articulos Precio'!$A:$E,5,FALSE)</f>
        <v>A0000994</v>
      </c>
    </row>
    <row r="282" spans="1:9" x14ac:dyDescent="0.25">
      <c r="A282" t="s">
        <v>156</v>
      </c>
      <c r="B282" t="str">
        <f>VLOOKUP(Tabla1[[#This Row],[Code]],[1]!Tabla4[#Data],2,FALSE)</f>
        <v>Rollo Metamark MD5A-B 100 (70mc Adh Gris) Brillo MetaScape 1,05x50m</v>
      </c>
      <c r="C282">
        <v>1</v>
      </c>
      <c r="D282" t="s">
        <v>106</v>
      </c>
      <c r="E282" t="str">
        <f>VLOOKUP(Tabla1[[#This Row],[Cód. Atributo]],[1]!Tabla5[#Data],6,FALSE)</f>
        <v>Select</v>
      </c>
      <c r="F282">
        <v>1</v>
      </c>
      <c r="G282">
        <v>1</v>
      </c>
      <c r="H282" t="s">
        <v>107</v>
      </c>
      <c r="I282" t="str">
        <f>VLOOKUP(Tabla1[[#This Row],[Code]],'[1]Articulos Precio'!$A:$E,5,FALSE)</f>
        <v>A0000994</v>
      </c>
    </row>
    <row r="283" spans="1:9" x14ac:dyDescent="0.25">
      <c r="A283" t="s">
        <v>156</v>
      </c>
      <c r="B283" t="str">
        <f>VLOOKUP(Tabla1[[#This Row],[Code]],[1]!Tabla4[#Data],2,FALSE)</f>
        <v>Rollo Metamark MD5A-B 100 (70mc Adh Gris) Brillo MetaScape 1,05x50m</v>
      </c>
      <c r="C283">
        <v>3</v>
      </c>
      <c r="D283" t="s">
        <v>108</v>
      </c>
      <c r="E283" t="str">
        <f>VLOOKUP(Tabla1[[#This Row],[Cód. Atributo]],[1]!Tabla5[#Data],6,FALSE)</f>
        <v>Select</v>
      </c>
      <c r="F283">
        <v>2</v>
      </c>
      <c r="G283">
        <v>2</v>
      </c>
      <c r="H283" t="s">
        <v>119</v>
      </c>
      <c r="I283" t="str">
        <f>VLOOKUP(Tabla1[[#This Row],[Code]],'[1]Articulos Precio'!$A:$E,5,FALSE)</f>
        <v>A0000994</v>
      </c>
    </row>
    <row r="284" spans="1:9" x14ac:dyDescent="0.25">
      <c r="A284" t="s">
        <v>156</v>
      </c>
      <c r="B284" t="str">
        <f>VLOOKUP(Tabla1[[#This Row],[Code]],[1]!Tabla4[#Data],2,FALSE)</f>
        <v>Rollo Metamark MD5A-B 100 (70mc Adh Gris) Brillo MetaScape 1,05x50m</v>
      </c>
      <c r="C284">
        <v>23</v>
      </c>
      <c r="D284" t="s">
        <v>90</v>
      </c>
      <c r="E284" t="str">
        <f>VLOOKUP(Tabla1[[#This Row],[Cód. Atributo]],[1]!Tabla5[#Data],6,FALSE)</f>
        <v>Select</v>
      </c>
      <c r="F284">
        <v>3</v>
      </c>
      <c r="G284">
        <v>2</v>
      </c>
      <c r="H284" t="s">
        <v>136</v>
      </c>
      <c r="I284" t="str">
        <f>VLOOKUP(Tabla1[[#This Row],[Code]],'[1]Articulos Precio'!$A:$E,5,FALSE)</f>
        <v>A0000994</v>
      </c>
    </row>
    <row r="285" spans="1:9" x14ac:dyDescent="0.25">
      <c r="A285" t="s">
        <v>156</v>
      </c>
      <c r="B285" t="str">
        <f>VLOOKUP(Tabla1[[#This Row],[Code]],[1]!Tabla4[#Data],2,FALSE)</f>
        <v>Rollo Metamark MD5A-B 100 (70mc Adh Gris) Brillo MetaScape 1,05x50m</v>
      </c>
      <c r="C285">
        <v>25</v>
      </c>
      <c r="D285" t="s">
        <v>94</v>
      </c>
      <c r="E285" t="str">
        <f>VLOOKUP(Tabla1[[#This Row],[Cód. Atributo]],[1]!Tabla5[#Data],6,FALSE)</f>
        <v>Select</v>
      </c>
      <c r="F285">
        <v>4</v>
      </c>
      <c r="G285">
        <v>4</v>
      </c>
      <c r="H285" t="s">
        <v>137</v>
      </c>
      <c r="I285" t="str">
        <f>VLOOKUP(Tabla1[[#This Row],[Code]],'[1]Articulos Precio'!$A:$E,5,FALSE)</f>
        <v>A0000994</v>
      </c>
    </row>
    <row r="286" spans="1:9" x14ac:dyDescent="0.25">
      <c r="A286" t="s">
        <v>156</v>
      </c>
      <c r="B286" t="str">
        <f>VLOOKUP(Tabla1[[#This Row],[Code]],[1]!Tabla4[#Data],2,FALSE)</f>
        <v>Rollo Metamark MD5A-B 100 (70mc Adh Gris) Brillo MetaScape 1,05x50m</v>
      </c>
      <c r="C286">
        <v>26</v>
      </c>
      <c r="D286" t="s">
        <v>112</v>
      </c>
      <c r="E286" t="str">
        <f>VLOOKUP(Tabla1[[#This Row],[Cód. Atributo]],[1]!Tabla5[#Data],6,FALSE)</f>
        <v>Select</v>
      </c>
      <c r="F286">
        <v>5</v>
      </c>
      <c r="G286">
        <v>3</v>
      </c>
      <c r="H286" t="s">
        <v>113</v>
      </c>
      <c r="I286" t="str">
        <f>VLOOKUP(Tabla1[[#This Row],[Code]],'[1]Articulos Precio'!$A:$E,5,FALSE)</f>
        <v>A0000994</v>
      </c>
    </row>
    <row r="287" spans="1:9" x14ac:dyDescent="0.25">
      <c r="A287" t="s">
        <v>156</v>
      </c>
      <c r="B287" t="str">
        <f>VLOOKUP(Tabla1[[#This Row],[Code]],[1]!Tabla4[#Data],2,FALSE)</f>
        <v>Rollo Metamark MD5A-B 100 (70mc Adh Gris) Brillo MetaScape 1,05x50m</v>
      </c>
      <c r="C287">
        <v>31</v>
      </c>
      <c r="D287" t="s">
        <v>114</v>
      </c>
      <c r="E287" t="str">
        <f>VLOOKUP(Tabla1[[#This Row],[Cód. Atributo]],[1]!Tabla5[#Data],6,FALSE)</f>
        <v>Select</v>
      </c>
      <c r="F287">
        <v>6</v>
      </c>
      <c r="G287">
        <v>6</v>
      </c>
      <c r="H287" t="s">
        <v>154</v>
      </c>
      <c r="I287" t="str">
        <f>VLOOKUP(Tabla1[[#This Row],[Code]],'[1]Articulos Precio'!$A:$E,5,FALSE)</f>
        <v>A0000994</v>
      </c>
    </row>
    <row r="288" spans="1:9" x14ac:dyDescent="0.25">
      <c r="A288" t="s">
        <v>157</v>
      </c>
      <c r="B288" t="str">
        <f>VLOOKUP(Tabla1[[#This Row],[Code]],[1]!Tabla4[#Data],2,FALSE)</f>
        <v>Rollo Metamark MD5HB 100 (70mc) Alto Agarre Brillo 1,6 x 50m</v>
      </c>
      <c r="C288">
        <v>1</v>
      </c>
      <c r="D288" t="s">
        <v>106</v>
      </c>
      <c r="E288" t="str">
        <f>VLOOKUP(Tabla1[[#This Row],[Cód. Atributo]],[1]!Tabla5[#Data],6,FALSE)</f>
        <v>Select</v>
      </c>
      <c r="F288">
        <v>1</v>
      </c>
      <c r="G288">
        <v>1</v>
      </c>
      <c r="H288" t="s">
        <v>107</v>
      </c>
      <c r="I288" t="str">
        <f>VLOOKUP(Tabla1[[#This Row],[Code]],'[1]Articulos Precio'!$A:$E,5,FALSE)</f>
        <v>A0000994</v>
      </c>
    </row>
    <row r="289" spans="1:9" x14ac:dyDescent="0.25">
      <c r="A289" t="s">
        <v>157</v>
      </c>
      <c r="B289" t="str">
        <f>VLOOKUP(Tabla1[[#This Row],[Code]],[1]!Tabla4[#Data],2,FALSE)</f>
        <v>Rollo Metamark MD5HB 100 (70mc) Alto Agarre Brillo 1,6 x 50m</v>
      </c>
      <c r="C289">
        <v>3</v>
      </c>
      <c r="D289" t="s">
        <v>108</v>
      </c>
      <c r="E289" t="str">
        <f>VLOOKUP(Tabla1[[#This Row],[Cód. Atributo]],[1]!Tabla5[#Data],6,FALSE)</f>
        <v>Select</v>
      </c>
      <c r="F289">
        <v>2</v>
      </c>
      <c r="G289">
        <v>4</v>
      </c>
      <c r="H289" t="s">
        <v>109</v>
      </c>
      <c r="I289" t="str">
        <f>VLOOKUP(Tabla1[[#This Row],[Code]],'[1]Articulos Precio'!$A:$E,5,FALSE)</f>
        <v>A0000994</v>
      </c>
    </row>
    <row r="290" spans="1:9" x14ac:dyDescent="0.25">
      <c r="A290" t="s">
        <v>157</v>
      </c>
      <c r="B290" t="str">
        <f>VLOOKUP(Tabla1[[#This Row],[Code]],[1]!Tabla4[#Data],2,FALSE)</f>
        <v>Rollo Metamark MD5HB 100 (70mc) Alto Agarre Brillo 1,6 x 50m</v>
      </c>
      <c r="C290">
        <v>23</v>
      </c>
      <c r="D290" t="s">
        <v>90</v>
      </c>
      <c r="E290" t="str">
        <f>VLOOKUP(Tabla1[[#This Row],[Cód. Atributo]],[1]!Tabla5[#Data],6,FALSE)</f>
        <v>Select</v>
      </c>
      <c r="F290">
        <v>3</v>
      </c>
      <c r="G290">
        <v>2</v>
      </c>
      <c r="H290" t="s">
        <v>136</v>
      </c>
      <c r="I290" t="str">
        <f>VLOOKUP(Tabla1[[#This Row],[Code]],'[1]Articulos Precio'!$A:$E,5,FALSE)</f>
        <v>A0000994</v>
      </c>
    </row>
    <row r="291" spans="1:9" x14ac:dyDescent="0.25">
      <c r="A291" t="s">
        <v>157</v>
      </c>
      <c r="B291" t="str">
        <f>VLOOKUP(Tabla1[[#This Row],[Code]],[1]!Tabla4[#Data],2,FALSE)</f>
        <v>Rollo Metamark MD5HB 100 (70mc) Alto Agarre Brillo 1,6 x 50m</v>
      </c>
      <c r="C291">
        <v>25</v>
      </c>
      <c r="D291" t="s">
        <v>94</v>
      </c>
      <c r="E291" t="str">
        <f>VLOOKUP(Tabla1[[#This Row],[Cód. Atributo]],[1]!Tabla5[#Data],6,FALSE)</f>
        <v>Select</v>
      </c>
      <c r="F291">
        <v>4</v>
      </c>
      <c r="G291">
        <v>4</v>
      </c>
      <c r="H291" t="s">
        <v>137</v>
      </c>
      <c r="I291" t="str">
        <f>VLOOKUP(Tabla1[[#This Row],[Code]],'[1]Articulos Precio'!$A:$E,5,FALSE)</f>
        <v>A0000994</v>
      </c>
    </row>
    <row r="292" spans="1:9" x14ac:dyDescent="0.25">
      <c r="A292" t="s">
        <v>157</v>
      </c>
      <c r="B292" t="str">
        <f>VLOOKUP(Tabla1[[#This Row],[Code]],[1]!Tabla4[#Data],2,FALSE)</f>
        <v>Rollo Metamark MD5HB 100 (70mc) Alto Agarre Brillo 1,6 x 50m</v>
      </c>
      <c r="C292">
        <v>26</v>
      </c>
      <c r="D292" t="s">
        <v>112</v>
      </c>
      <c r="E292" t="str">
        <f>VLOOKUP(Tabla1[[#This Row],[Cód. Atributo]],[1]!Tabla5[#Data],6,FALSE)</f>
        <v>Select</v>
      </c>
      <c r="F292">
        <v>5</v>
      </c>
      <c r="G292">
        <v>3</v>
      </c>
      <c r="H292" t="s">
        <v>113</v>
      </c>
      <c r="I292" t="str">
        <f>VLOOKUP(Tabla1[[#This Row],[Code]],'[1]Articulos Precio'!$A:$E,5,FALSE)</f>
        <v>A0000994</v>
      </c>
    </row>
    <row r="293" spans="1:9" x14ac:dyDescent="0.25">
      <c r="A293" t="s">
        <v>157</v>
      </c>
      <c r="B293" t="str">
        <f>VLOOKUP(Tabla1[[#This Row],[Code]],[1]!Tabla4[#Data],2,FALSE)</f>
        <v>Rollo Metamark MD5HB 100 (70mc) Alto Agarre Brillo 1,6 x 50m</v>
      </c>
      <c r="C293">
        <v>31</v>
      </c>
      <c r="D293" t="s">
        <v>114</v>
      </c>
      <c r="E293" t="str">
        <f>VLOOKUP(Tabla1[[#This Row],[Cód. Atributo]],[1]!Tabla5[#Data],6,FALSE)</f>
        <v>Select</v>
      </c>
      <c r="F293">
        <v>6</v>
      </c>
      <c r="G293">
        <v>3</v>
      </c>
      <c r="H293" t="s">
        <v>158</v>
      </c>
      <c r="I293" t="str">
        <f>VLOOKUP(Tabla1[[#This Row],[Code]],'[1]Articulos Precio'!$A:$E,5,FALSE)</f>
        <v>A0000994</v>
      </c>
    </row>
    <row r="294" spans="1:9" x14ac:dyDescent="0.25">
      <c r="A294" t="s">
        <v>157</v>
      </c>
      <c r="B294" t="str">
        <f>VLOOKUP(Tabla1[[#This Row],[Code]],[1]!Tabla4[#Data],2,FALSE)</f>
        <v>Rollo Metamark MD5HB 100 (70mc) Alto Agarre Brillo 1,6 x 50m</v>
      </c>
      <c r="E294" t="e">
        <f>VLOOKUP(Tabla1[[#This Row],[Cód. Atributo]],[1]!Tabla5[#Data],6,FALSE)</f>
        <v>#N/A</v>
      </c>
      <c r="F294">
        <v>7</v>
      </c>
      <c r="I294" t="str">
        <f>VLOOKUP(Tabla1[[#This Row],[Code]],'[1]Articulos Precio'!$A:$E,5,FALSE)</f>
        <v>A0000994</v>
      </c>
    </row>
    <row r="295" spans="1:9" x14ac:dyDescent="0.25">
      <c r="A295" t="s">
        <v>159</v>
      </c>
      <c r="B295" t="str">
        <f>VLOOKUP(Tabla1[[#This Row],[Code]],[1]!Tabla4[#Data],2,FALSE)</f>
        <v>Rollo Metamark MD5HB 100 (70mc) Alto Agarre Brillo 1,37x50m</v>
      </c>
      <c r="C295">
        <v>1</v>
      </c>
      <c r="D295" t="s">
        <v>106</v>
      </c>
      <c r="E295" t="str">
        <f>VLOOKUP(Tabla1[[#This Row],[Cód. Atributo]],[1]!Tabla5[#Data],6,FALSE)</f>
        <v>Select</v>
      </c>
      <c r="F295">
        <v>1</v>
      </c>
      <c r="G295">
        <v>1</v>
      </c>
      <c r="H295" t="s">
        <v>107</v>
      </c>
      <c r="I295" t="str">
        <f>VLOOKUP(Tabla1[[#This Row],[Code]],'[1]Articulos Precio'!$A:$E,5,FALSE)</f>
        <v>A0000994</v>
      </c>
    </row>
    <row r="296" spans="1:9" x14ac:dyDescent="0.25">
      <c r="A296" t="s">
        <v>159</v>
      </c>
      <c r="B296" t="str">
        <f>VLOOKUP(Tabla1[[#This Row],[Code]],[1]!Tabla4[#Data],2,FALSE)</f>
        <v>Rollo Metamark MD5HB 100 (70mc) Alto Agarre Brillo 1,37x50m</v>
      </c>
      <c r="C296">
        <v>3</v>
      </c>
      <c r="D296" t="s">
        <v>108</v>
      </c>
      <c r="E296" t="str">
        <f>VLOOKUP(Tabla1[[#This Row],[Cód. Atributo]],[1]!Tabla5[#Data],6,FALSE)</f>
        <v>Select</v>
      </c>
      <c r="F296">
        <v>2</v>
      </c>
      <c r="G296">
        <v>3</v>
      </c>
      <c r="H296" t="s">
        <v>117</v>
      </c>
      <c r="I296" t="str">
        <f>VLOOKUP(Tabla1[[#This Row],[Code]],'[1]Articulos Precio'!$A:$E,5,FALSE)</f>
        <v>A0000994</v>
      </c>
    </row>
    <row r="297" spans="1:9" x14ac:dyDescent="0.25">
      <c r="A297" t="s">
        <v>159</v>
      </c>
      <c r="B297" t="str">
        <f>VLOOKUP(Tabla1[[#This Row],[Code]],[1]!Tabla4[#Data],2,FALSE)</f>
        <v>Rollo Metamark MD5HB 100 (70mc) Alto Agarre Brillo 1,37x50m</v>
      </c>
      <c r="C297">
        <v>23</v>
      </c>
      <c r="D297" t="s">
        <v>90</v>
      </c>
      <c r="E297" t="str">
        <f>VLOOKUP(Tabla1[[#This Row],[Cód. Atributo]],[1]!Tabla5[#Data],6,FALSE)</f>
        <v>Select</v>
      </c>
      <c r="F297">
        <v>3</v>
      </c>
      <c r="G297">
        <v>2</v>
      </c>
      <c r="H297" t="s">
        <v>136</v>
      </c>
      <c r="I297" t="str">
        <f>VLOOKUP(Tabla1[[#This Row],[Code]],'[1]Articulos Precio'!$A:$E,5,FALSE)</f>
        <v>A0000994</v>
      </c>
    </row>
    <row r="298" spans="1:9" x14ac:dyDescent="0.25">
      <c r="A298" t="s">
        <v>159</v>
      </c>
      <c r="B298" t="str">
        <f>VLOOKUP(Tabla1[[#This Row],[Code]],[1]!Tabla4[#Data],2,FALSE)</f>
        <v>Rollo Metamark MD5HB 100 (70mc) Alto Agarre Brillo 1,37x50m</v>
      </c>
      <c r="C298">
        <v>25</v>
      </c>
      <c r="D298" t="s">
        <v>94</v>
      </c>
      <c r="E298" t="str">
        <f>VLOOKUP(Tabla1[[#This Row],[Cód. Atributo]],[1]!Tabla5[#Data],6,FALSE)</f>
        <v>Select</v>
      </c>
      <c r="F298">
        <v>4</v>
      </c>
      <c r="G298">
        <v>4</v>
      </c>
      <c r="H298" t="s">
        <v>137</v>
      </c>
      <c r="I298" t="str">
        <f>VLOOKUP(Tabla1[[#This Row],[Code]],'[1]Articulos Precio'!$A:$E,5,FALSE)</f>
        <v>A0000994</v>
      </c>
    </row>
    <row r="299" spans="1:9" x14ac:dyDescent="0.25">
      <c r="A299" t="s">
        <v>159</v>
      </c>
      <c r="B299" t="str">
        <f>VLOOKUP(Tabla1[[#This Row],[Code]],[1]!Tabla4[#Data],2,FALSE)</f>
        <v>Rollo Metamark MD5HB 100 (70mc) Alto Agarre Brillo 1,37x50m</v>
      </c>
      <c r="C299">
        <v>26</v>
      </c>
      <c r="D299" t="s">
        <v>112</v>
      </c>
      <c r="E299" t="str">
        <f>VLOOKUP(Tabla1[[#This Row],[Cód. Atributo]],[1]!Tabla5[#Data],6,FALSE)</f>
        <v>Select</v>
      </c>
      <c r="F299">
        <v>5</v>
      </c>
      <c r="G299">
        <v>3</v>
      </c>
      <c r="H299" t="s">
        <v>113</v>
      </c>
      <c r="I299" t="str">
        <f>VLOOKUP(Tabla1[[#This Row],[Code]],'[1]Articulos Precio'!$A:$E,5,FALSE)</f>
        <v>A0000994</v>
      </c>
    </row>
    <row r="300" spans="1:9" x14ac:dyDescent="0.25">
      <c r="A300" t="s">
        <v>159</v>
      </c>
      <c r="B300" t="str">
        <f>VLOOKUP(Tabla1[[#This Row],[Code]],[1]!Tabla4[#Data],2,FALSE)</f>
        <v>Rollo Metamark MD5HB 100 (70mc) Alto Agarre Brillo 1,37x50m</v>
      </c>
      <c r="C300">
        <v>31</v>
      </c>
      <c r="D300" t="s">
        <v>114</v>
      </c>
      <c r="E300" t="str">
        <f>VLOOKUP(Tabla1[[#This Row],[Cód. Atributo]],[1]!Tabla5[#Data],6,FALSE)</f>
        <v>Select</v>
      </c>
      <c r="F300">
        <v>6</v>
      </c>
      <c r="G300">
        <v>3</v>
      </c>
      <c r="H300" t="s">
        <v>158</v>
      </c>
      <c r="I300" t="str">
        <f>VLOOKUP(Tabla1[[#This Row],[Code]],'[1]Articulos Precio'!$A:$E,5,FALSE)</f>
        <v>A0000994</v>
      </c>
    </row>
    <row r="301" spans="1:9" x14ac:dyDescent="0.25">
      <c r="A301" t="s">
        <v>160</v>
      </c>
      <c r="B301" t="str">
        <f>VLOOKUP(Tabla1[[#This Row],[Code]],[1]!Tabla4[#Data],2,FALSE)</f>
        <v>Rollo Metamark MetaDot (100mc) Micro Adhesivo de Fácil Apli Transparente 1,37x50m</v>
      </c>
      <c r="C301">
        <v>1</v>
      </c>
      <c r="D301" t="s">
        <v>106</v>
      </c>
      <c r="E301" t="str">
        <f>VLOOKUP(Tabla1[[#This Row],[Cód. Atributo]],[1]!Tabla5[#Data],6,FALSE)</f>
        <v>Select</v>
      </c>
      <c r="F301">
        <v>1</v>
      </c>
      <c r="G301">
        <v>1</v>
      </c>
      <c r="H301" t="s">
        <v>107</v>
      </c>
      <c r="I301" t="str">
        <f>VLOOKUP(Tabla1[[#This Row],[Code]],'[1]Articulos Precio'!$A:$E,5,FALSE)</f>
        <v>A0000191</v>
      </c>
    </row>
    <row r="302" spans="1:9" x14ac:dyDescent="0.25">
      <c r="A302" t="s">
        <v>160</v>
      </c>
      <c r="B302" t="str">
        <f>VLOOKUP(Tabla1[[#This Row],[Code]],[1]!Tabla4[#Data],2,FALSE)</f>
        <v>Rollo Metamark MetaDot (100mc) Micro Adhesivo de Fácil Apli Transparente 1,37x50m</v>
      </c>
      <c r="C302">
        <v>3</v>
      </c>
      <c r="D302" t="s">
        <v>108</v>
      </c>
      <c r="E302" t="str">
        <f>VLOOKUP(Tabla1[[#This Row],[Cód. Atributo]],[1]!Tabla5[#Data],6,FALSE)</f>
        <v>Select</v>
      </c>
      <c r="F302">
        <v>2</v>
      </c>
      <c r="G302">
        <v>3</v>
      </c>
      <c r="H302" t="s">
        <v>117</v>
      </c>
      <c r="I302" t="str">
        <f>VLOOKUP(Tabla1[[#This Row],[Code]],'[1]Articulos Precio'!$A:$E,5,FALSE)</f>
        <v>A0000191</v>
      </c>
    </row>
    <row r="303" spans="1:9" x14ac:dyDescent="0.25">
      <c r="A303" t="s">
        <v>160</v>
      </c>
      <c r="B303" t="str">
        <f>VLOOKUP(Tabla1[[#This Row],[Code]],[1]!Tabla4[#Data],2,FALSE)</f>
        <v>Rollo Metamark MetaDot (100mc) Micro Adhesivo de Fácil Apli Transparente 1,37x50m</v>
      </c>
      <c r="C303">
        <v>23</v>
      </c>
      <c r="D303" t="s">
        <v>90</v>
      </c>
      <c r="E303" t="str">
        <f>VLOOKUP(Tabla1[[#This Row],[Cód. Atributo]],[1]!Tabla5[#Data],6,FALSE)</f>
        <v>Select</v>
      </c>
      <c r="F303">
        <v>3</v>
      </c>
      <c r="G303">
        <v>1</v>
      </c>
      <c r="H303" t="s">
        <v>110</v>
      </c>
      <c r="I303" t="str">
        <f>VLOOKUP(Tabla1[[#This Row],[Code]],'[1]Articulos Precio'!$A:$E,5,FALSE)</f>
        <v>A0000191</v>
      </c>
    </row>
    <row r="304" spans="1:9" x14ac:dyDescent="0.25">
      <c r="A304" t="s">
        <v>160</v>
      </c>
      <c r="B304" t="str">
        <f>VLOOKUP(Tabla1[[#This Row],[Code]],[1]!Tabla4[#Data],2,FALSE)</f>
        <v>Rollo Metamark MetaDot (100mc) Micro Adhesivo de Fácil Apli Transparente 1,37x50m</v>
      </c>
      <c r="C304">
        <v>25</v>
      </c>
      <c r="D304" t="s">
        <v>94</v>
      </c>
      <c r="E304" t="str">
        <f>VLOOKUP(Tabla1[[#This Row],[Cód. Atributo]],[1]!Tabla5[#Data],6,FALSE)</f>
        <v>Select</v>
      </c>
      <c r="F304">
        <v>4</v>
      </c>
      <c r="G304">
        <v>1</v>
      </c>
      <c r="H304" t="s">
        <v>161</v>
      </c>
      <c r="I304" t="str">
        <f>VLOOKUP(Tabla1[[#This Row],[Code]],'[1]Articulos Precio'!$A:$E,5,FALSE)</f>
        <v>A0000191</v>
      </c>
    </row>
    <row r="305" spans="1:9" x14ac:dyDescent="0.25">
      <c r="A305" t="s">
        <v>160</v>
      </c>
      <c r="B305" t="str">
        <f>VLOOKUP(Tabla1[[#This Row],[Code]],[1]!Tabla4[#Data],2,FALSE)</f>
        <v>Rollo Metamark MetaDot (100mc) Micro Adhesivo de Fácil Apli Transparente 1,37x50m</v>
      </c>
      <c r="C305">
        <v>26</v>
      </c>
      <c r="D305" t="s">
        <v>112</v>
      </c>
      <c r="E305" t="str">
        <f>VLOOKUP(Tabla1[[#This Row],[Cód. Atributo]],[1]!Tabla5[#Data],6,FALSE)</f>
        <v>Select</v>
      </c>
      <c r="F305">
        <v>5</v>
      </c>
      <c r="G305">
        <v>3</v>
      </c>
      <c r="H305" t="s">
        <v>113</v>
      </c>
      <c r="I305" t="str">
        <f>VLOOKUP(Tabla1[[#This Row],[Code]],'[1]Articulos Precio'!$A:$E,5,FALSE)</f>
        <v>A0000191</v>
      </c>
    </row>
    <row r="306" spans="1:9" x14ac:dyDescent="0.25">
      <c r="A306" t="s">
        <v>162</v>
      </c>
      <c r="B306" t="str">
        <f>VLOOKUP(Tabla1[[#This Row],[Code]],[1]!Tabla4[#Data],2,FALSE)</f>
        <v>Rollo Metamark MetaDot (100mc) Micro Adhesivo de Fácil Apli Mate 1,37x50m</v>
      </c>
      <c r="C306">
        <v>1</v>
      </c>
      <c r="D306" t="s">
        <v>106</v>
      </c>
      <c r="E306" t="str">
        <f>VLOOKUP(Tabla1[[#This Row],[Cód. Atributo]],[1]!Tabla5[#Data],6,FALSE)</f>
        <v>Select</v>
      </c>
      <c r="F306">
        <v>1</v>
      </c>
      <c r="G306">
        <v>2</v>
      </c>
      <c r="H306" t="s">
        <v>121</v>
      </c>
      <c r="I306" t="str">
        <f>VLOOKUP(Tabla1[[#This Row],[Code]],'[1]Articulos Precio'!$A:$E,5,FALSE)</f>
        <v>A0000191</v>
      </c>
    </row>
    <row r="307" spans="1:9" x14ac:dyDescent="0.25">
      <c r="A307" t="s">
        <v>162</v>
      </c>
      <c r="B307" t="str">
        <f>VLOOKUP(Tabla1[[#This Row],[Code]],[1]!Tabla4[#Data],2,FALSE)</f>
        <v>Rollo Metamark MetaDot (100mc) Micro Adhesivo de Fácil Apli Mate 1,37x50m</v>
      </c>
      <c r="C307">
        <v>3</v>
      </c>
      <c r="D307" t="s">
        <v>108</v>
      </c>
      <c r="E307" t="str">
        <f>VLOOKUP(Tabla1[[#This Row],[Cód. Atributo]],[1]!Tabla5[#Data],6,FALSE)</f>
        <v>Select</v>
      </c>
      <c r="F307">
        <v>2</v>
      </c>
      <c r="G307">
        <v>3</v>
      </c>
      <c r="H307" t="s">
        <v>117</v>
      </c>
      <c r="I307" t="str">
        <f>VLOOKUP(Tabla1[[#This Row],[Code]],'[1]Articulos Precio'!$A:$E,5,FALSE)</f>
        <v>A0000191</v>
      </c>
    </row>
    <row r="308" spans="1:9" x14ac:dyDescent="0.25">
      <c r="A308" t="s">
        <v>162</v>
      </c>
      <c r="B308" t="str">
        <f>VLOOKUP(Tabla1[[#This Row],[Code]],[1]!Tabla4[#Data],2,FALSE)</f>
        <v>Rollo Metamark MetaDot (100mc) Micro Adhesivo de Fácil Apli Mate 1,37x50m</v>
      </c>
      <c r="C308">
        <v>23</v>
      </c>
      <c r="D308" t="s">
        <v>90</v>
      </c>
      <c r="E308" t="str">
        <f>VLOOKUP(Tabla1[[#This Row],[Cód. Atributo]],[1]!Tabla5[#Data],6,FALSE)</f>
        <v>Select</v>
      </c>
      <c r="F308">
        <v>3</v>
      </c>
      <c r="G308">
        <v>1</v>
      </c>
      <c r="H308" t="s">
        <v>110</v>
      </c>
      <c r="I308" t="str">
        <f>VLOOKUP(Tabla1[[#This Row],[Code]],'[1]Articulos Precio'!$A:$E,5,FALSE)</f>
        <v>A0000191</v>
      </c>
    </row>
    <row r="309" spans="1:9" x14ac:dyDescent="0.25">
      <c r="A309" t="s">
        <v>162</v>
      </c>
      <c r="B309" t="str">
        <f>VLOOKUP(Tabla1[[#This Row],[Code]],[1]!Tabla4[#Data],2,FALSE)</f>
        <v>Rollo Metamark MetaDot (100mc) Micro Adhesivo de Fácil Apli Mate 1,37x50m</v>
      </c>
      <c r="C309">
        <v>25</v>
      </c>
      <c r="D309" t="s">
        <v>94</v>
      </c>
      <c r="E309" t="str">
        <f>VLOOKUP(Tabla1[[#This Row],[Cód. Atributo]],[1]!Tabla5[#Data],6,FALSE)</f>
        <v>Select</v>
      </c>
      <c r="F309">
        <v>4</v>
      </c>
      <c r="G309">
        <v>1</v>
      </c>
      <c r="H309" t="s">
        <v>161</v>
      </c>
      <c r="I309" t="str">
        <f>VLOOKUP(Tabla1[[#This Row],[Code]],'[1]Articulos Precio'!$A:$E,5,FALSE)</f>
        <v>A0000191</v>
      </c>
    </row>
    <row r="310" spans="1:9" x14ac:dyDescent="0.25">
      <c r="A310" t="s">
        <v>162</v>
      </c>
      <c r="B310" t="str">
        <f>VLOOKUP(Tabla1[[#This Row],[Code]],[1]!Tabla4[#Data],2,FALSE)</f>
        <v>Rollo Metamark MetaDot (100mc) Micro Adhesivo de Fácil Apli Mate 1,37x50m</v>
      </c>
      <c r="C310">
        <v>26</v>
      </c>
      <c r="D310" t="s">
        <v>112</v>
      </c>
      <c r="E310" t="str">
        <f>VLOOKUP(Tabla1[[#This Row],[Cód. Atributo]],[1]!Tabla5[#Data],6,FALSE)</f>
        <v>Select</v>
      </c>
      <c r="F310">
        <v>5</v>
      </c>
      <c r="G310">
        <v>3</v>
      </c>
      <c r="H310" t="s">
        <v>113</v>
      </c>
      <c r="I310" t="str">
        <f>VLOOKUP(Tabla1[[#This Row],[Code]],'[1]Articulos Precio'!$A:$E,5,FALSE)</f>
        <v>A0000191</v>
      </c>
    </row>
    <row r="311" spans="1:9" x14ac:dyDescent="0.25">
      <c r="A311" t="s">
        <v>163</v>
      </c>
      <c r="B311" t="str">
        <f>VLOOKUP(Tabla1[[#This Row],[Code]],[1]!Tabla4[#Data],2,FALSE)</f>
        <v>Rollo MetaWrap MDX (50mc) Brillo 1,60 x 50m</v>
      </c>
      <c r="C311">
        <v>1</v>
      </c>
      <c r="D311" t="s">
        <v>106</v>
      </c>
      <c r="E311" t="str">
        <f>VLOOKUP(Tabla1[[#This Row],[Cód. Atributo]],[1]!Tabla5[#Data],6,FALSE)</f>
        <v>Select</v>
      </c>
      <c r="F311">
        <v>1</v>
      </c>
      <c r="G311">
        <v>1</v>
      </c>
      <c r="H311" t="s">
        <v>107</v>
      </c>
      <c r="I311" t="str">
        <f>VLOOKUP(Tabla1[[#This Row],[Code]],'[1]Articulos Precio'!$A:$E,5,FALSE)</f>
        <v>A0000205</v>
      </c>
    </row>
    <row r="312" spans="1:9" x14ac:dyDescent="0.25">
      <c r="A312" t="s">
        <v>163</v>
      </c>
      <c r="B312" t="str">
        <f>VLOOKUP(Tabla1[[#This Row],[Code]],[1]!Tabla4[#Data],2,FALSE)</f>
        <v>Rollo MetaWrap MDX (50mc) Brillo 1,60 x 50m</v>
      </c>
      <c r="C312">
        <v>3</v>
      </c>
      <c r="D312" t="s">
        <v>108</v>
      </c>
      <c r="E312" t="str">
        <f>VLOOKUP(Tabla1[[#This Row],[Cód. Atributo]],[1]!Tabla5[#Data],6,FALSE)</f>
        <v>Select</v>
      </c>
      <c r="F312">
        <v>2</v>
      </c>
      <c r="G312">
        <v>4</v>
      </c>
      <c r="H312" t="s">
        <v>109</v>
      </c>
      <c r="I312" t="str">
        <f>VLOOKUP(Tabla1[[#This Row],[Code]],'[1]Articulos Precio'!$A:$E,5,FALSE)</f>
        <v>A0000205</v>
      </c>
    </row>
    <row r="313" spans="1:9" x14ac:dyDescent="0.25">
      <c r="A313" t="s">
        <v>163</v>
      </c>
      <c r="B313" t="str">
        <f>VLOOKUP(Tabla1[[#This Row],[Code]],[1]!Tabla4[#Data],2,FALSE)</f>
        <v>Rollo MetaWrap MDX (50mc) Brillo 1,60 x 50m</v>
      </c>
      <c r="C313">
        <v>23</v>
      </c>
      <c r="D313" t="s">
        <v>90</v>
      </c>
      <c r="E313" t="str">
        <f>VLOOKUP(Tabla1[[#This Row],[Cód. Atributo]],[1]!Tabla5[#Data],6,FALSE)</f>
        <v>Select</v>
      </c>
      <c r="F313">
        <v>3</v>
      </c>
      <c r="G313">
        <v>3</v>
      </c>
      <c r="H313" t="s">
        <v>91</v>
      </c>
      <c r="I313" t="str">
        <f>VLOOKUP(Tabla1[[#This Row],[Code]],'[1]Articulos Precio'!$A:$E,5,FALSE)</f>
        <v>A0000205</v>
      </c>
    </row>
    <row r="314" spans="1:9" x14ac:dyDescent="0.25">
      <c r="A314" t="s">
        <v>163</v>
      </c>
      <c r="B314" t="str">
        <f>VLOOKUP(Tabla1[[#This Row],[Code]],[1]!Tabla4[#Data],2,FALSE)</f>
        <v>Rollo MetaWrap MDX (50mc) Brillo 1,60 x 50m</v>
      </c>
      <c r="C314">
        <v>25</v>
      </c>
      <c r="D314" t="s">
        <v>94</v>
      </c>
      <c r="E314" t="str">
        <f>VLOOKUP(Tabla1[[#This Row],[Cód. Atributo]],[1]!Tabla5[#Data],6,FALSE)</f>
        <v>Select</v>
      </c>
      <c r="F314">
        <v>4</v>
      </c>
      <c r="G314">
        <v>4</v>
      </c>
      <c r="H314" t="s">
        <v>137</v>
      </c>
      <c r="I314" t="str">
        <f>VLOOKUP(Tabla1[[#This Row],[Code]],'[1]Articulos Precio'!$A:$E,5,FALSE)</f>
        <v>A0000205</v>
      </c>
    </row>
    <row r="315" spans="1:9" x14ac:dyDescent="0.25">
      <c r="A315" t="s">
        <v>163</v>
      </c>
      <c r="B315" t="str">
        <f>VLOOKUP(Tabla1[[#This Row],[Code]],[1]!Tabla4[#Data],2,FALSE)</f>
        <v>Rollo MetaWrap MDX (50mc) Brillo 1,60 x 50m</v>
      </c>
      <c r="C315">
        <v>26</v>
      </c>
      <c r="D315" t="s">
        <v>112</v>
      </c>
      <c r="E315" t="str">
        <f>VLOOKUP(Tabla1[[#This Row],[Cód. Atributo]],[1]!Tabla5[#Data],6,FALSE)</f>
        <v>Select</v>
      </c>
      <c r="F315">
        <v>5</v>
      </c>
      <c r="G315">
        <v>3</v>
      </c>
      <c r="H315" t="s">
        <v>113</v>
      </c>
      <c r="I315" t="str">
        <f>VLOOKUP(Tabla1[[#This Row],[Code]],'[1]Articulos Precio'!$A:$E,5,FALSE)</f>
        <v>A0000205</v>
      </c>
    </row>
    <row r="316" spans="1:9" x14ac:dyDescent="0.25">
      <c r="A316" t="s">
        <v>163</v>
      </c>
      <c r="B316" t="str">
        <f>VLOOKUP(Tabla1[[#This Row],[Code]],[1]!Tabla4[#Data],2,FALSE)</f>
        <v>Rollo MetaWrap MDX (50mc) Brillo 1,60 x 50m</v>
      </c>
      <c r="C316">
        <v>31</v>
      </c>
      <c r="D316" t="s">
        <v>114</v>
      </c>
      <c r="E316" t="str">
        <f>VLOOKUP(Tabla1[[#This Row],[Cód. Atributo]],[1]!Tabla5[#Data],6,FALSE)</f>
        <v>Select</v>
      </c>
      <c r="F316">
        <v>6</v>
      </c>
      <c r="G316">
        <v>1</v>
      </c>
      <c r="H316" t="s">
        <v>115</v>
      </c>
      <c r="I316" t="str">
        <f>VLOOKUP(Tabla1[[#This Row],[Code]],'[1]Articulos Precio'!$A:$E,5,FALSE)</f>
        <v>A0000205</v>
      </c>
    </row>
    <row r="317" spans="1:9" x14ac:dyDescent="0.25">
      <c r="A317" t="s">
        <v>164</v>
      </c>
      <c r="B317" t="str">
        <f>VLOOKUP(Tabla1[[#This Row],[Code]],[1]!Tabla4[#Data],2,FALSE)</f>
        <v>Rollo MetaWrap MDX (50mc) Brillo 1,37x50m</v>
      </c>
      <c r="C317">
        <v>1</v>
      </c>
      <c r="D317" t="s">
        <v>106</v>
      </c>
      <c r="E317" t="str">
        <f>VLOOKUP(Tabla1[[#This Row],[Cód. Atributo]],[1]!Tabla5[#Data],6,FALSE)</f>
        <v>Select</v>
      </c>
      <c r="F317">
        <v>1</v>
      </c>
      <c r="G317">
        <v>1</v>
      </c>
      <c r="H317" t="s">
        <v>107</v>
      </c>
      <c r="I317" t="str">
        <f>VLOOKUP(Tabla1[[#This Row],[Code]],'[1]Articulos Precio'!$A:$E,5,FALSE)</f>
        <v>A0000205</v>
      </c>
    </row>
    <row r="318" spans="1:9" x14ac:dyDescent="0.25">
      <c r="A318" t="s">
        <v>164</v>
      </c>
      <c r="B318" t="str">
        <f>VLOOKUP(Tabla1[[#This Row],[Code]],[1]!Tabla4[#Data],2,FALSE)</f>
        <v>Rollo MetaWrap MDX (50mc) Brillo 1,37x50m</v>
      </c>
      <c r="C318">
        <v>3</v>
      </c>
      <c r="D318" t="s">
        <v>108</v>
      </c>
      <c r="E318" t="str">
        <f>VLOOKUP(Tabla1[[#This Row],[Cód. Atributo]],[1]!Tabla5[#Data],6,FALSE)</f>
        <v>Select</v>
      </c>
      <c r="F318">
        <v>2</v>
      </c>
      <c r="G318">
        <v>3</v>
      </c>
      <c r="H318" t="s">
        <v>117</v>
      </c>
      <c r="I318" t="str">
        <f>VLOOKUP(Tabla1[[#This Row],[Code]],'[1]Articulos Precio'!$A:$E,5,FALSE)</f>
        <v>A0000205</v>
      </c>
    </row>
    <row r="319" spans="1:9" x14ac:dyDescent="0.25">
      <c r="A319" t="s">
        <v>164</v>
      </c>
      <c r="B319" t="str">
        <f>VLOOKUP(Tabla1[[#This Row],[Code]],[1]!Tabla4[#Data],2,FALSE)</f>
        <v>Rollo MetaWrap MDX (50mc) Brillo 1,37x50m</v>
      </c>
      <c r="C319">
        <v>23</v>
      </c>
      <c r="D319" t="s">
        <v>90</v>
      </c>
      <c r="E319" t="str">
        <f>VLOOKUP(Tabla1[[#This Row],[Cód. Atributo]],[1]!Tabla5[#Data],6,FALSE)</f>
        <v>Select</v>
      </c>
      <c r="F319">
        <v>3</v>
      </c>
      <c r="G319">
        <v>3</v>
      </c>
      <c r="H319" t="s">
        <v>91</v>
      </c>
      <c r="I319" t="str">
        <f>VLOOKUP(Tabla1[[#This Row],[Code]],'[1]Articulos Precio'!$A:$E,5,FALSE)</f>
        <v>A0000205</v>
      </c>
    </row>
    <row r="320" spans="1:9" x14ac:dyDescent="0.25">
      <c r="A320" t="s">
        <v>164</v>
      </c>
      <c r="B320" t="str">
        <f>VLOOKUP(Tabla1[[#This Row],[Code]],[1]!Tabla4[#Data],2,FALSE)</f>
        <v>Rollo MetaWrap MDX (50mc) Brillo 1,37x50m</v>
      </c>
      <c r="C320">
        <v>25</v>
      </c>
      <c r="D320" t="s">
        <v>94</v>
      </c>
      <c r="E320" t="str">
        <f>VLOOKUP(Tabla1[[#This Row],[Cód. Atributo]],[1]!Tabla5[#Data],6,FALSE)</f>
        <v>Select</v>
      </c>
      <c r="F320">
        <v>4</v>
      </c>
      <c r="G320">
        <v>4</v>
      </c>
      <c r="H320" t="s">
        <v>137</v>
      </c>
      <c r="I320" t="str">
        <f>VLOOKUP(Tabla1[[#This Row],[Code]],'[1]Articulos Precio'!$A:$E,5,FALSE)</f>
        <v>A0000205</v>
      </c>
    </row>
    <row r="321" spans="1:9" x14ac:dyDescent="0.25">
      <c r="A321" t="s">
        <v>164</v>
      </c>
      <c r="B321" t="str">
        <f>VLOOKUP(Tabla1[[#This Row],[Code]],[1]!Tabla4[#Data],2,FALSE)</f>
        <v>Rollo MetaWrap MDX (50mc) Brillo 1,37x50m</v>
      </c>
      <c r="C321">
        <v>26</v>
      </c>
      <c r="D321" t="s">
        <v>112</v>
      </c>
      <c r="E321" t="str">
        <f>VLOOKUP(Tabla1[[#This Row],[Cód. Atributo]],[1]!Tabla5[#Data],6,FALSE)</f>
        <v>Select</v>
      </c>
      <c r="F321">
        <v>5</v>
      </c>
      <c r="G321">
        <v>3</v>
      </c>
      <c r="H321" t="s">
        <v>113</v>
      </c>
      <c r="I321" t="str">
        <f>VLOOKUP(Tabla1[[#This Row],[Code]],'[1]Articulos Precio'!$A:$E,5,FALSE)</f>
        <v>A0000205</v>
      </c>
    </row>
    <row r="322" spans="1:9" x14ac:dyDescent="0.25">
      <c r="A322" t="s">
        <v>164</v>
      </c>
      <c r="B322" t="str">
        <f>VLOOKUP(Tabla1[[#This Row],[Code]],[1]!Tabla4[#Data],2,FALSE)</f>
        <v>Rollo MetaWrap MDX (50mc) Brillo 1,37x50m</v>
      </c>
      <c r="C322">
        <v>31</v>
      </c>
      <c r="D322" t="s">
        <v>114</v>
      </c>
      <c r="E322" t="str">
        <f>VLOOKUP(Tabla1[[#This Row],[Cód. Atributo]],[1]!Tabla5[#Data],6,FALSE)</f>
        <v>Select</v>
      </c>
      <c r="F322">
        <v>6</v>
      </c>
      <c r="G322">
        <v>1</v>
      </c>
      <c r="H322" t="s">
        <v>115</v>
      </c>
      <c r="I322" t="str">
        <f>VLOOKUP(Tabla1[[#This Row],[Code]],'[1]Articulos Precio'!$A:$E,5,FALSE)</f>
        <v>A0000205</v>
      </c>
    </row>
    <row r="323" spans="1:9" x14ac:dyDescent="0.25">
      <c r="A323" t="s">
        <v>165</v>
      </c>
      <c r="B323" t="str">
        <f>VLOOKUP(Tabla1[[#This Row],[Code]],[1]!Tabla4[#Data],2,FALSE)</f>
        <v>Rollo MetaWrap MDXB (50mc Adh Gris) Brillo 1,6x50m</v>
      </c>
      <c r="C323">
        <v>1</v>
      </c>
      <c r="D323" t="s">
        <v>106</v>
      </c>
      <c r="E323" t="str">
        <f>VLOOKUP(Tabla1[[#This Row],[Cód. Atributo]],[1]!Tabla5[#Data],6,FALSE)</f>
        <v>Select</v>
      </c>
      <c r="F323">
        <v>1</v>
      </c>
      <c r="G323">
        <v>1</v>
      </c>
      <c r="H323" t="s">
        <v>107</v>
      </c>
      <c r="I323" t="str">
        <f>VLOOKUP(Tabla1[[#This Row],[Code]],'[1]Articulos Precio'!$A:$E,5,FALSE)</f>
        <v>A0000205</v>
      </c>
    </row>
    <row r="324" spans="1:9" x14ac:dyDescent="0.25">
      <c r="A324" t="s">
        <v>165</v>
      </c>
      <c r="B324" t="str">
        <f>VLOOKUP(Tabla1[[#This Row],[Code]],[1]!Tabla4[#Data],2,FALSE)</f>
        <v>Rollo MetaWrap MDXB (50mc Adh Gris) Brillo 1,6x50m</v>
      </c>
      <c r="C324">
        <v>3</v>
      </c>
      <c r="D324" t="s">
        <v>108</v>
      </c>
      <c r="E324" t="str">
        <f>VLOOKUP(Tabla1[[#This Row],[Cód. Atributo]],[1]!Tabla5[#Data],6,FALSE)</f>
        <v>Select</v>
      </c>
      <c r="F324">
        <v>2</v>
      </c>
      <c r="G324">
        <v>4</v>
      </c>
      <c r="H324" t="s">
        <v>109</v>
      </c>
      <c r="I324" t="str">
        <f>VLOOKUP(Tabla1[[#This Row],[Code]],'[1]Articulos Precio'!$A:$E,5,FALSE)</f>
        <v>A0000205</v>
      </c>
    </row>
    <row r="325" spans="1:9" x14ac:dyDescent="0.25">
      <c r="A325" t="s">
        <v>165</v>
      </c>
      <c r="B325" t="str">
        <f>VLOOKUP(Tabla1[[#This Row],[Code]],[1]!Tabla4[#Data],2,FALSE)</f>
        <v>Rollo MetaWrap MDXB (50mc Adh Gris) Brillo 1,6x50m</v>
      </c>
      <c r="C325">
        <v>23</v>
      </c>
      <c r="D325" t="s">
        <v>90</v>
      </c>
      <c r="E325" t="str">
        <f>VLOOKUP(Tabla1[[#This Row],[Cód. Atributo]],[1]!Tabla5[#Data],6,FALSE)</f>
        <v>Select</v>
      </c>
      <c r="F325">
        <v>3</v>
      </c>
      <c r="G325">
        <v>3</v>
      </c>
      <c r="H325" t="s">
        <v>91</v>
      </c>
      <c r="I325" t="str">
        <f>VLOOKUP(Tabla1[[#This Row],[Code]],'[1]Articulos Precio'!$A:$E,5,FALSE)</f>
        <v>A0000205</v>
      </c>
    </row>
    <row r="326" spans="1:9" x14ac:dyDescent="0.25">
      <c r="A326" t="s">
        <v>165</v>
      </c>
      <c r="B326" t="str">
        <f>VLOOKUP(Tabla1[[#This Row],[Code]],[1]!Tabla4[#Data],2,FALSE)</f>
        <v>Rollo MetaWrap MDXB (50mc Adh Gris) Brillo 1,6x50m</v>
      </c>
      <c r="C326">
        <v>25</v>
      </c>
      <c r="D326" t="s">
        <v>94</v>
      </c>
      <c r="E326" t="str">
        <f>VLOOKUP(Tabla1[[#This Row],[Cód. Atributo]],[1]!Tabla5[#Data],6,FALSE)</f>
        <v>Select</v>
      </c>
      <c r="F326">
        <v>4</v>
      </c>
      <c r="G326">
        <v>4</v>
      </c>
      <c r="H326" t="s">
        <v>137</v>
      </c>
      <c r="I326" t="str">
        <f>VLOOKUP(Tabla1[[#This Row],[Code]],'[1]Articulos Precio'!$A:$E,5,FALSE)</f>
        <v>A0000205</v>
      </c>
    </row>
    <row r="327" spans="1:9" x14ac:dyDescent="0.25">
      <c r="A327" t="s">
        <v>165</v>
      </c>
      <c r="B327" t="str">
        <f>VLOOKUP(Tabla1[[#This Row],[Code]],[1]!Tabla4[#Data],2,FALSE)</f>
        <v>Rollo MetaWrap MDXB (50mc Adh Gris) Brillo 1,6x50m</v>
      </c>
      <c r="C327">
        <v>26</v>
      </c>
      <c r="D327" t="s">
        <v>112</v>
      </c>
      <c r="E327" t="str">
        <f>VLOOKUP(Tabla1[[#This Row],[Cód. Atributo]],[1]!Tabla5[#Data],6,FALSE)</f>
        <v>Select</v>
      </c>
      <c r="F327">
        <v>5</v>
      </c>
      <c r="G327">
        <v>3</v>
      </c>
      <c r="H327" t="s">
        <v>113</v>
      </c>
      <c r="I327" t="str">
        <f>VLOOKUP(Tabla1[[#This Row],[Code]],'[1]Articulos Precio'!$A:$E,5,FALSE)</f>
        <v>A0000205</v>
      </c>
    </row>
    <row r="328" spans="1:9" x14ac:dyDescent="0.25">
      <c r="A328" t="s">
        <v>165</v>
      </c>
      <c r="B328" t="str">
        <f>VLOOKUP(Tabla1[[#This Row],[Code]],[1]!Tabla4[#Data],2,FALSE)</f>
        <v>Rollo MetaWrap MDXB (50mc Adh Gris) Brillo 1,6x50m</v>
      </c>
      <c r="C328">
        <v>31</v>
      </c>
      <c r="D328" t="s">
        <v>114</v>
      </c>
      <c r="E328" t="str">
        <f>VLOOKUP(Tabla1[[#This Row],[Cód. Atributo]],[1]!Tabla5[#Data],6,FALSE)</f>
        <v>Select</v>
      </c>
      <c r="F328">
        <v>6</v>
      </c>
      <c r="G328">
        <v>7</v>
      </c>
      <c r="H328" t="s">
        <v>125</v>
      </c>
      <c r="I328" t="str">
        <f>VLOOKUP(Tabla1[[#This Row],[Code]],'[1]Articulos Precio'!$A:$E,5,FALSE)</f>
        <v>A0000205</v>
      </c>
    </row>
    <row r="329" spans="1:9" x14ac:dyDescent="0.25">
      <c r="A329" t="s">
        <v>166</v>
      </c>
      <c r="B329" t="str">
        <f>VLOOKUP(Tabla1[[#This Row],[Code]],[1]!Tabla4[#Data],2,FALSE)</f>
        <v>Rollo MetaWrap MDXB (50mc Adh Gris) Brillo 1,37x50m</v>
      </c>
      <c r="C329">
        <v>1</v>
      </c>
      <c r="D329" t="s">
        <v>106</v>
      </c>
      <c r="E329" t="str">
        <f>VLOOKUP(Tabla1[[#This Row],[Cód. Atributo]],[1]!Tabla5[#Data],6,FALSE)</f>
        <v>Select</v>
      </c>
      <c r="F329">
        <v>1</v>
      </c>
      <c r="G329">
        <v>1</v>
      </c>
      <c r="H329" t="s">
        <v>107</v>
      </c>
      <c r="I329" t="str">
        <f>VLOOKUP(Tabla1[[#This Row],[Code]],'[1]Articulos Precio'!$A:$E,5,FALSE)</f>
        <v>A0000205</v>
      </c>
    </row>
    <row r="330" spans="1:9" x14ac:dyDescent="0.25">
      <c r="A330" t="s">
        <v>166</v>
      </c>
      <c r="B330" t="str">
        <f>VLOOKUP(Tabla1[[#This Row],[Code]],[1]!Tabla4[#Data],2,FALSE)</f>
        <v>Rollo MetaWrap MDXB (50mc Adh Gris) Brillo 1,37x50m</v>
      </c>
      <c r="C330">
        <v>3</v>
      </c>
      <c r="D330" t="s">
        <v>108</v>
      </c>
      <c r="E330" t="str">
        <f>VLOOKUP(Tabla1[[#This Row],[Cód. Atributo]],[1]!Tabla5[#Data],6,FALSE)</f>
        <v>Select</v>
      </c>
      <c r="F330">
        <v>2</v>
      </c>
      <c r="G330">
        <v>3</v>
      </c>
      <c r="H330" t="s">
        <v>117</v>
      </c>
      <c r="I330" t="str">
        <f>VLOOKUP(Tabla1[[#This Row],[Code]],'[1]Articulos Precio'!$A:$E,5,FALSE)</f>
        <v>A0000205</v>
      </c>
    </row>
    <row r="331" spans="1:9" x14ac:dyDescent="0.25">
      <c r="A331" t="s">
        <v>166</v>
      </c>
      <c r="B331" t="str">
        <f>VLOOKUP(Tabla1[[#This Row],[Code]],[1]!Tabla4[#Data],2,FALSE)</f>
        <v>Rollo MetaWrap MDXB (50mc Adh Gris) Brillo 1,37x50m</v>
      </c>
      <c r="C331">
        <v>23</v>
      </c>
      <c r="D331" t="s">
        <v>90</v>
      </c>
      <c r="E331" t="str">
        <f>VLOOKUP(Tabla1[[#This Row],[Cód. Atributo]],[1]!Tabla5[#Data],6,FALSE)</f>
        <v>Select</v>
      </c>
      <c r="F331">
        <v>3</v>
      </c>
      <c r="G331">
        <v>3</v>
      </c>
      <c r="H331" t="s">
        <v>91</v>
      </c>
      <c r="I331" t="str">
        <f>VLOOKUP(Tabla1[[#This Row],[Code]],'[1]Articulos Precio'!$A:$E,5,FALSE)</f>
        <v>A0000205</v>
      </c>
    </row>
    <row r="332" spans="1:9" x14ac:dyDescent="0.25">
      <c r="A332" t="s">
        <v>166</v>
      </c>
      <c r="B332" t="str">
        <f>VLOOKUP(Tabla1[[#This Row],[Code]],[1]!Tabla4[#Data],2,FALSE)</f>
        <v>Rollo MetaWrap MDXB (50mc Adh Gris) Brillo 1,37x50m</v>
      </c>
      <c r="C332">
        <v>25</v>
      </c>
      <c r="D332" t="s">
        <v>94</v>
      </c>
      <c r="E332" t="str">
        <f>VLOOKUP(Tabla1[[#This Row],[Cód. Atributo]],[1]!Tabla5[#Data],6,FALSE)</f>
        <v>Select</v>
      </c>
      <c r="F332">
        <v>4</v>
      </c>
      <c r="G332">
        <v>4</v>
      </c>
      <c r="H332" t="s">
        <v>137</v>
      </c>
      <c r="I332" t="str">
        <f>VLOOKUP(Tabla1[[#This Row],[Code]],'[1]Articulos Precio'!$A:$E,5,FALSE)</f>
        <v>A0000205</v>
      </c>
    </row>
    <row r="333" spans="1:9" x14ac:dyDescent="0.25">
      <c r="A333" t="s">
        <v>166</v>
      </c>
      <c r="B333" t="str">
        <f>VLOOKUP(Tabla1[[#This Row],[Code]],[1]!Tabla4[#Data],2,FALSE)</f>
        <v>Rollo MetaWrap MDXB (50mc Adh Gris) Brillo 1,37x50m</v>
      </c>
      <c r="C333">
        <v>26</v>
      </c>
      <c r="D333" t="s">
        <v>112</v>
      </c>
      <c r="E333" t="str">
        <f>VLOOKUP(Tabla1[[#This Row],[Cód. Atributo]],[1]!Tabla5[#Data],6,FALSE)</f>
        <v>Select</v>
      </c>
      <c r="F333">
        <v>5</v>
      </c>
      <c r="G333">
        <v>3</v>
      </c>
      <c r="H333" t="s">
        <v>113</v>
      </c>
      <c r="I333" t="str">
        <f>VLOOKUP(Tabla1[[#This Row],[Code]],'[1]Articulos Precio'!$A:$E,5,FALSE)</f>
        <v>A0000205</v>
      </c>
    </row>
    <row r="334" spans="1:9" x14ac:dyDescent="0.25">
      <c r="A334" t="s">
        <v>166</v>
      </c>
      <c r="B334" t="str">
        <f>VLOOKUP(Tabla1[[#This Row],[Code]],[1]!Tabla4[#Data],2,FALSE)</f>
        <v>Rollo MetaWrap MDXB (50mc Adh Gris) Brillo 1,37x50m</v>
      </c>
      <c r="C334">
        <v>31</v>
      </c>
      <c r="D334" t="s">
        <v>114</v>
      </c>
      <c r="E334" t="str">
        <f>VLOOKUP(Tabla1[[#This Row],[Cód. Atributo]],[1]!Tabla5[#Data],6,FALSE)</f>
        <v>Select</v>
      </c>
      <c r="F334">
        <v>6</v>
      </c>
      <c r="G334">
        <v>7</v>
      </c>
      <c r="H334" t="s">
        <v>125</v>
      </c>
      <c r="I334" t="str">
        <f>VLOOKUP(Tabla1[[#This Row],[Code]],'[1]Articulos Precio'!$A:$E,5,FALSE)</f>
        <v>A0000205</v>
      </c>
    </row>
    <row r="335" spans="1:9" x14ac:dyDescent="0.25">
      <c r="A335" t="s">
        <v>167</v>
      </c>
      <c r="B335" t="str">
        <f>VLOOKUP(Tabla1[[#This Row],[Code]],[1]!Tabla4[#Data],2,FALSE)</f>
        <v>Rollo Metamark MDP 200 (100mc Imp. y Corte) Brillo 1,52x50m</v>
      </c>
      <c r="C335">
        <v>1</v>
      </c>
      <c r="D335" t="s">
        <v>106</v>
      </c>
      <c r="E335" t="str">
        <f>VLOOKUP(Tabla1[[#This Row],[Cód. Atributo]],[1]!Tabla5[#Data],6,FALSE)</f>
        <v>Select</v>
      </c>
      <c r="F335">
        <v>2</v>
      </c>
      <c r="G335">
        <v>1</v>
      </c>
      <c r="H335" t="s">
        <v>107</v>
      </c>
      <c r="I335" t="str">
        <f>VLOOKUP(Tabla1[[#This Row],[Code]],'[1]Articulos Precio'!$A:$E,5,FALSE)</f>
        <v>A0000209</v>
      </c>
    </row>
    <row r="336" spans="1:9" x14ac:dyDescent="0.25">
      <c r="A336" t="s">
        <v>167</v>
      </c>
      <c r="B336" t="str">
        <f>VLOOKUP(Tabla1[[#This Row],[Code]],[1]!Tabla4[#Data],2,FALSE)</f>
        <v>Rollo Metamark MDP 200 (100mc Imp. y Corte) Brillo 1,52x50m</v>
      </c>
      <c r="C336">
        <v>3</v>
      </c>
      <c r="D336" t="s">
        <v>108</v>
      </c>
      <c r="E336" t="str">
        <f>VLOOKUP(Tabla1[[#This Row],[Cód. Atributo]],[1]!Tabla5[#Data],6,FALSE)</f>
        <v>Select</v>
      </c>
      <c r="F336">
        <v>3</v>
      </c>
      <c r="G336">
        <v>5</v>
      </c>
      <c r="H336" t="s">
        <v>87</v>
      </c>
      <c r="I336" t="str">
        <f>VLOOKUP(Tabla1[[#This Row],[Code]],'[1]Articulos Precio'!$A:$E,5,FALSE)</f>
        <v>A0000209</v>
      </c>
    </row>
    <row r="337" spans="1:9" x14ac:dyDescent="0.25">
      <c r="A337" t="s">
        <v>167</v>
      </c>
      <c r="B337" t="str">
        <f>VLOOKUP(Tabla1[[#This Row],[Code]],[1]!Tabla4[#Data],2,FALSE)</f>
        <v>Rollo Metamark MDP 200 (100mc Imp. y Corte) Brillo 1,52x50m</v>
      </c>
      <c r="C337">
        <v>23</v>
      </c>
      <c r="D337" t="s">
        <v>90</v>
      </c>
      <c r="E337" t="str">
        <f>VLOOKUP(Tabla1[[#This Row],[Cód. Atributo]],[1]!Tabla5[#Data],6,FALSE)</f>
        <v>Select</v>
      </c>
      <c r="F337">
        <v>4</v>
      </c>
      <c r="G337">
        <v>4</v>
      </c>
      <c r="H337" t="s">
        <v>133</v>
      </c>
      <c r="I337" t="str">
        <f>VLOOKUP(Tabla1[[#This Row],[Code]],'[1]Articulos Precio'!$A:$E,5,FALSE)</f>
        <v>A0000209</v>
      </c>
    </row>
    <row r="338" spans="1:9" x14ac:dyDescent="0.25">
      <c r="A338" t="s">
        <v>167</v>
      </c>
      <c r="B338" t="str">
        <f>VLOOKUP(Tabla1[[#This Row],[Code]],[1]!Tabla4[#Data],2,FALSE)</f>
        <v>Rollo Metamark MDP 200 (100mc Imp. y Corte) Brillo 1,52x50m</v>
      </c>
      <c r="C338">
        <v>25</v>
      </c>
      <c r="D338" t="s">
        <v>94</v>
      </c>
      <c r="E338" t="str">
        <f>VLOOKUP(Tabla1[[#This Row],[Cód. Atributo]],[1]!Tabla5[#Data],6,FALSE)</f>
        <v>Select</v>
      </c>
      <c r="F338">
        <v>5</v>
      </c>
      <c r="G338">
        <v>5</v>
      </c>
      <c r="H338" t="s">
        <v>168</v>
      </c>
      <c r="I338" t="str">
        <f>VLOOKUP(Tabla1[[#This Row],[Code]],'[1]Articulos Precio'!$A:$E,5,FALSE)</f>
        <v>A0000209</v>
      </c>
    </row>
    <row r="339" spans="1:9" x14ac:dyDescent="0.25">
      <c r="A339" t="s">
        <v>167</v>
      </c>
      <c r="B339" t="str">
        <f>VLOOKUP(Tabla1[[#This Row],[Code]],[1]!Tabla4[#Data],2,FALSE)</f>
        <v>Rollo Metamark MDP 200 (100mc Imp. y Corte) Brillo 1,52x50m</v>
      </c>
      <c r="C339">
        <v>26</v>
      </c>
      <c r="D339" t="s">
        <v>112</v>
      </c>
      <c r="E339" t="str">
        <f>VLOOKUP(Tabla1[[#This Row],[Cód. Atributo]],[1]!Tabla5[#Data],6,FALSE)</f>
        <v>Select</v>
      </c>
      <c r="F339">
        <v>6</v>
      </c>
      <c r="G339">
        <v>3</v>
      </c>
      <c r="H339" t="s">
        <v>113</v>
      </c>
      <c r="I339" t="str">
        <f>VLOOKUP(Tabla1[[#This Row],[Code]],'[1]Articulos Precio'!$A:$E,5,FALSE)</f>
        <v>A0000209</v>
      </c>
    </row>
    <row r="340" spans="1:9" x14ac:dyDescent="0.25">
      <c r="A340" t="s">
        <v>167</v>
      </c>
      <c r="B340" t="str">
        <f>VLOOKUP(Tabla1[[#This Row],[Code]],[1]!Tabla4[#Data],2,FALSE)</f>
        <v>Rollo Metamark MDP 200 (100mc Imp. y Corte) Brillo 1,52x50m</v>
      </c>
      <c r="C340">
        <v>31</v>
      </c>
      <c r="D340" t="s">
        <v>114</v>
      </c>
      <c r="E340" t="str">
        <f>VLOOKUP(Tabla1[[#This Row],[Cód. Atributo]],[1]!Tabla5[#Data],6,FALSE)</f>
        <v>Select</v>
      </c>
      <c r="F340">
        <v>7</v>
      </c>
      <c r="G340">
        <v>1</v>
      </c>
      <c r="H340" t="s">
        <v>115</v>
      </c>
      <c r="I340" t="str">
        <f>VLOOKUP(Tabla1[[#This Row],[Code]],'[1]Articulos Precio'!$A:$E,5,FALSE)</f>
        <v>A0000209</v>
      </c>
    </row>
    <row r="341" spans="1:9" x14ac:dyDescent="0.25">
      <c r="A341" t="s">
        <v>169</v>
      </c>
      <c r="B341" t="str">
        <f>VLOOKUP(Tabla1[[#This Row],[Code]],[1]!Tabla4[#Data],2,FALSE)</f>
        <v>Rollo Metamark MDP 200 (100mc Imp. y Corte) Brillo 1,37x50m</v>
      </c>
      <c r="C341">
        <v>1</v>
      </c>
      <c r="D341" t="s">
        <v>106</v>
      </c>
      <c r="E341" t="str">
        <f>VLOOKUP(Tabla1[[#This Row],[Cód. Atributo]],[1]!Tabla5[#Data],6,FALSE)</f>
        <v>Select</v>
      </c>
      <c r="F341">
        <v>1</v>
      </c>
      <c r="G341">
        <v>1</v>
      </c>
      <c r="H341" t="s">
        <v>107</v>
      </c>
      <c r="I341" t="str">
        <f>VLOOKUP(Tabla1[[#This Row],[Code]],'[1]Articulos Precio'!$A:$E,5,FALSE)</f>
        <v>A0000209</v>
      </c>
    </row>
    <row r="342" spans="1:9" x14ac:dyDescent="0.25">
      <c r="A342" t="s">
        <v>169</v>
      </c>
      <c r="B342" t="str">
        <f>VLOOKUP(Tabla1[[#This Row],[Code]],[1]!Tabla4[#Data],2,FALSE)</f>
        <v>Rollo Metamark MDP 200 (100mc Imp. y Corte) Brillo 1,37x50m</v>
      </c>
      <c r="C342">
        <v>3</v>
      </c>
      <c r="D342" t="s">
        <v>108</v>
      </c>
      <c r="E342" t="str">
        <f>VLOOKUP(Tabla1[[#This Row],[Cód. Atributo]],[1]!Tabla5[#Data],6,FALSE)</f>
        <v>Select</v>
      </c>
      <c r="F342">
        <v>2</v>
      </c>
      <c r="G342">
        <v>3</v>
      </c>
      <c r="H342" t="s">
        <v>117</v>
      </c>
      <c r="I342" t="str">
        <f>VLOOKUP(Tabla1[[#This Row],[Code]],'[1]Articulos Precio'!$A:$E,5,FALSE)</f>
        <v>A0000209</v>
      </c>
    </row>
    <row r="343" spans="1:9" x14ac:dyDescent="0.25">
      <c r="A343" t="s">
        <v>169</v>
      </c>
      <c r="B343" t="str">
        <f>VLOOKUP(Tabla1[[#This Row],[Code]],[1]!Tabla4[#Data],2,FALSE)</f>
        <v>Rollo Metamark MDP 200 (100mc Imp. y Corte) Brillo 1,37x50m</v>
      </c>
      <c r="C343">
        <v>23</v>
      </c>
      <c r="D343" t="s">
        <v>90</v>
      </c>
      <c r="E343" t="str">
        <f>VLOOKUP(Tabla1[[#This Row],[Cód. Atributo]],[1]!Tabla5[#Data],6,FALSE)</f>
        <v>Select</v>
      </c>
      <c r="F343">
        <v>3</v>
      </c>
      <c r="G343">
        <v>4</v>
      </c>
      <c r="H343" t="s">
        <v>133</v>
      </c>
      <c r="I343" t="str">
        <f>VLOOKUP(Tabla1[[#This Row],[Code]],'[1]Articulos Precio'!$A:$E,5,FALSE)</f>
        <v>A0000209</v>
      </c>
    </row>
    <row r="344" spans="1:9" x14ac:dyDescent="0.25">
      <c r="A344" t="s">
        <v>169</v>
      </c>
      <c r="B344" t="str">
        <f>VLOOKUP(Tabla1[[#This Row],[Code]],[1]!Tabla4[#Data],2,FALSE)</f>
        <v>Rollo Metamark MDP 200 (100mc Imp. y Corte) Brillo 1,37x50m</v>
      </c>
      <c r="C344">
        <v>25</v>
      </c>
      <c r="D344" t="s">
        <v>94</v>
      </c>
      <c r="E344" t="str">
        <f>VLOOKUP(Tabla1[[#This Row],[Cód. Atributo]],[1]!Tabla5[#Data],6,FALSE)</f>
        <v>Select</v>
      </c>
      <c r="F344">
        <v>4</v>
      </c>
      <c r="G344">
        <v>5</v>
      </c>
      <c r="H344" t="s">
        <v>168</v>
      </c>
      <c r="I344" t="str">
        <f>VLOOKUP(Tabla1[[#This Row],[Code]],'[1]Articulos Precio'!$A:$E,5,FALSE)</f>
        <v>A0000209</v>
      </c>
    </row>
    <row r="345" spans="1:9" x14ac:dyDescent="0.25">
      <c r="A345" t="s">
        <v>169</v>
      </c>
      <c r="B345" t="str">
        <f>VLOOKUP(Tabla1[[#This Row],[Code]],[1]!Tabla4[#Data],2,FALSE)</f>
        <v>Rollo Metamark MDP 200 (100mc Imp. y Corte) Brillo 1,37x50m</v>
      </c>
      <c r="C345">
        <v>26</v>
      </c>
      <c r="D345" t="s">
        <v>112</v>
      </c>
      <c r="E345" t="str">
        <f>VLOOKUP(Tabla1[[#This Row],[Cód. Atributo]],[1]!Tabla5[#Data],6,FALSE)</f>
        <v>Select</v>
      </c>
      <c r="F345">
        <v>5</v>
      </c>
      <c r="G345">
        <v>3</v>
      </c>
      <c r="H345" t="s">
        <v>113</v>
      </c>
      <c r="I345" t="str">
        <f>VLOOKUP(Tabla1[[#This Row],[Code]],'[1]Articulos Precio'!$A:$E,5,FALSE)</f>
        <v>A0000209</v>
      </c>
    </row>
    <row r="346" spans="1:9" x14ac:dyDescent="0.25">
      <c r="A346" t="s">
        <v>169</v>
      </c>
      <c r="B346" t="str">
        <f>VLOOKUP(Tabla1[[#This Row],[Code]],[1]!Tabla4[#Data],2,FALSE)</f>
        <v>Rollo Metamark MDP 200 (100mc Imp. y Corte) Brillo 1,37x50m</v>
      </c>
      <c r="C346">
        <v>31</v>
      </c>
      <c r="D346" t="s">
        <v>114</v>
      </c>
      <c r="E346" t="str">
        <f>VLOOKUP(Tabla1[[#This Row],[Cód. Atributo]],[1]!Tabla5[#Data],6,FALSE)</f>
        <v>Select</v>
      </c>
      <c r="F346">
        <v>6</v>
      </c>
      <c r="G346">
        <v>1</v>
      </c>
      <c r="H346" t="s">
        <v>115</v>
      </c>
      <c r="I346" t="str">
        <f>VLOOKUP(Tabla1[[#This Row],[Code]],'[1]Articulos Precio'!$A:$E,5,FALSE)</f>
        <v>A0000209</v>
      </c>
    </row>
    <row r="347" spans="1:9" x14ac:dyDescent="0.25">
      <c r="A347" t="s">
        <v>170</v>
      </c>
      <c r="B347" t="str">
        <f>VLOOKUP(Tabla1[[#This Row],[Code]],[1]!Tabla4[#Data],2,FALSE)</f>
        <v>Rollo Metamark MDP 301 (100mc Imp. y Corte) Mate 1,37x50m</v>
      </c>
      <c r="C347">
        <v>1</v>
      </c>
      <c r="D347" t="s">
        <v>106</v>
      </c>
      <c r="E347" t="str">
        <f>VLOOKUP(Tabla1[[#This Row],[Cód. Atributo]],[1]!Tabla5[#Data],6,FALSE)</f>
        <v>Select</v>
      </c>
      <c r="F347">
        <v>1</v>
      </c>
      <c r="G347">
        <v>2</v>
      </c>
      <c r="H347" t="s">
        <v>121</v>
      </c>
      <c r="I347" t="str">
        <f>VLOOKUP(Tabla1[[#This Row],[Code]],'[1]Articulos Precio'!$A:$E,5,FALSE)</f>
        <v>A0000209</v>
      </c>
    </row>
    <row r="348" spans="1:9" x14ac:dyDescent="0.25">
      <c r="A348" t="s">
        <v>170</v>
      </c>
      <c r="B348" t="str">
        <f>VLOOKUP(Tabla1[[#This Row],[Code]],[1]!Tabla4[#Data],2,FALSE)</f>
        <v>Rollo Metamark MDP 301 (100mc Imp. y Corte) Mate 1,37x50m</v>
      </c>
      <c r="C348">
        <v>3</v>
      </c>
      <c r="D348" t="s">
        <v>108</v>
      </c>
      <c r="E348" t="str">
        <f>VLOOKUP(Tabla1[[#This Row],[Cód. Atributo]],[1]!Tabla5[#Data],6,FALSE)</f>
        <v>Select</v>
      </c>
      <c r="F348">
        <v>2</v>
      </c>
      <c r="G348">
        <v>3</v>
      </c>
      <c r="H348" t="s">
        <v>117</v>
      </c>
      <c r="I348" t="str">
        <f>VLOOKUP(Tabla1[[#This Row],[Code]],'[1]Articulos Precio'!$A:$E,5,FALSE)</f>
        <v>A0000209</v>
      </c>
    </row>
    <row r="349" spans="1:9" x14ac:dyDescent="0.25">
      <c r="A349" t="s">
        <v>170</v>
      </c>
      <c r="B349" t="str">
        <f>VLOOKUP(Tabla1[[#This Row],[Code]],[1]!Tabla4[#Data],2,FALSE)</f>
        <v>Rollo Metamark MDP 301 (100mc Imp. y Corte) Mate 1,37x50m</v>
      </c>
      <c r="C349">
        <v>23</v>
      </c>
      <c r="D349" t="s">
        <v>90</v>
      </c>
      <c r="E349" t="str">
        <f>VLOOKUP(Tabla1[[#This Row],[Cód. Atributo]],[1]!Tabla5[#Data],6,FALSE)</f>
        <v>Select</v>
      </c>
      <c r="F349">
        <v>3</v>
      </c>
      <c r="G349">
        <v>4</v>
      </c>
      <c r="H349" t="s">
        <v>133</v>
      </c>
      <c r="I349" t="str">
        <f>VLOOKUP(Tabla1[[#This Row],[Code]],'[1]Articulos Precio'!$A:$E,5,FALSE)</f>
        <v>A0000209</v>
      </c>
    </row>
    <row r="350" spans="1:9" x14ac:dyDescent="0.25">
      <c r="A350" t="s">
        <v>170</v>
      </c>
      <c r="B350" t="str">
        <f>VLOOKUP(Tabla1[[#This Row],[Code]],[1]!Tabla4[#Data],2,FALSE)</f>
        <v>Rollo Metamark MDP 301 (100mc Imp. y Corte) Mate 1,37x50m</v>
      </c>
      <c r="C350">
        <v>25</v>
      </c>
      <c r="D350" t="s">
        <v>94</v>
      </c>
      <c r="E350" t="str">
        <f>VLOOKUP(Tabla1[[#This Row],[Cód. Atributo]],[1]!Tabla5[#Data],6,FALSE)</f>
        <v>Select</v>
      </c>
      <c r="F350">
        <v>4</v>
      </c>
      <c r="G350">
        <v>5</v>
      </c>
      <c r="H350" t="s">
        <v>168</v>
      </c>
      <c r="I350" t="str">
        <f>VLOOKUP(Tabla1[[#This Row],[Code]],'[1]Articulos Precio'!$A:$E,5,FALSE)</f>
        <v>A0000209</v>
      </c>
    </row>
    <row r="351" spans="1:9" x14ac:dyDescent="0.25">
      <c r="A351" t="s">
        <v>170</v>
      </c>
      <c r="B351" t="str">
        <f>VLOOKUP(Tabla1[[#This Row],[Code]],[1]!Tabla4[#Data],2,FALSE)</f>
        <v>Rollo Metamark MDP 301 (100mc Imp. y Corte) Mate 1,37x50m</v>
      </c>
      <c r="C351">
        <v>26</v>
      </c>
      <c r="D351" t="s">
        <v>112</v>
      </c>
      <c r="E351" t="str">
        <f>VLOOKUP(Tabla1[[#This Row],[Cód. Atributo]],[1]!Tabla5[#Data],6,FALSE)</f>
        <v>Select</v>
      </c>
      <c r="F351">
        <v>5</v>
      </c>
      <c r="G351">
        <v>3</v>
      </c>
      <c r="H351" t="s">
        <v>113</v>
      </c>
      <c r="I351" t="str">
        <f>VLOOKUP(Tabla1[[#This Row],[Code]],'[1]Articulos Precio'!$A:$E,5,FALSE)</f>
        <v>A0000209</v>
      </c>
    </row>
    <row r="352" spans="1:9" x14ac:dyDescent="0.25">
      <c r="A352" t="s">
        <v>170</v>
      </c>
      <c r="B352" t="str">
        <f>VLOOKUP(Tabla1[[#This Row],[Code]],[1]!Tabla4[#Data],2,FALSE)</f>
        <v>Rollo Metamark MDP 301 (100mc Imp. y Corte) Mate 1,37x50m</v>
      </c>
      <c r="C352">
        <v>31</v>
      </c>
      <c r="D352" t="s">
        <v>114</v>
      </c>
      <c r="E352" t="str">
        <f>VLOOKUP(Tabla1[[#This Row],[Cód. Atributo]],[1]!Tabla5[#Data],6,FALSE)</f>
        <v>Select</v>
      </c>
      <c r="F352">
        <v>6</v>
      </c>
      <c r="G352">
        <v>1</v>
      </c>
      <c r="H352" t="s">
        <v>115</v>
      </c>
      <c r="I352" t="str">
        <f>VLOOKUP(Tabla1[[#This Row],[Code]],'[1]Articulos Precio'!$A:$E,5,FALSE)</f>
        <v>A0000209</v>
      </c>
    </row>
    <row r="353" spans="1:9" x14ac:dyDescent="0.25">
      <c r="A353" t="s">
        <v>171</v>
      </c>
      <c r="B353" t="str">
        <f>VLOOKUP(Tabla1[[#This Row],[Code]],[1]!Tabla4[#Data],2,FALSE)</f>
        <v>Rollo Metamark MDP-H-200 (100mc Alto Agarre) Brillo 1,6 x 50m</v>
      </c>
      <c r="C353">
        <v>1</v>
      </c>
      <c r="D353" t="s">
        <v>106</v>
      </c>
      <c r="E353" t="str">
        <f>VLOOKUP(Tabla1[[#This Row],[Cód. Atributo]],[1]!Tabla5[#Data],6,FALSE)</f>
        <v>Select</v>
      </c>
      <c r="F353">
        <v>1</v>
      </c>
      <c r="G353">
        <v>1</v>
      </c>
      <c r="H353" t="s">
        <v>107</v>
      </c>
      <c r="I353" t="str">
        <f>VLOOKUP(Tabla1[[#This Row],[Code]],'[1]Articulos Precio'!$A:$E,5,FALSE)</f>
        <v>A0000217</v>
      </c>
    </row>
    <row r="354" spans="1:9" x14ac:dyDescent="0.25">
      <c r="A354" t="s">
        <v>171</v>
      </c>
      <c r="B354" t="str">
        <f>VLOOKUP(Tabla1[[#This Row],[Code]],[1]!Tabla4[#Data],2,FALSE)</f>
        <v>Rollo Metamark MDP-H-200 (100mc Alto Agarre) Brillo 1,6 x 50m</v>
      </c>
      <c r="C354">
        <v>3</v>
      </c>
      <c r="D354" t="s">
        <v>108</v>
      </c>
      <c r="E354" t="str">
        <f>VLOOKUP(Tabla1[[#This Row],[Cód. Atributo]],[1]!Tabla5[#Data],6,FALSE)</f>
        <v>Select</v>
      </c>
      <c r="F354">
        <v>2</v>
      </c>
      <c r="G354">
        <v>4</v>
      </c>
      <c r="H354" t="s">
        <v>109</v>
      </c>
      <c r="I354" t="str">
        <f>VLOOKUP(Tabla1[[#This Row],[Code]],'[1]Articulos Precio'!$A:$E,5,FALSE)</f>
        <v>A0000217</v>
      </c>
    </row>
    <row r="355" spans="1:9" x14ac:dyDescent="0.25">
      <c r="A355" t="s">
        <v>171</v>
      </c>
      <c r="B355" t="str">
        <f>VLOOKUP(Tabla1[[#This Row],[Code]],[1]!Tabla4[#Data],2,FALSE)</f>
        <v>Rollo Metamark MDP-H-200 (100mc Alto Agarre) Brillo 1,6 x 50m</v>
      </c>
      <c r="C355">
        <v>23</v>
      </c>
      <c r="D355" t="s">
        <v>90</v>
      </c>
      <c r="E355" t="str">
        <f>VLOOKUP(Tabla1[[#This Row],[Cód. Atributo]],[1]!Tabla5[#Data],6,FALSE)</f>
        <v>Select</v>
      </c>
      <c r="F355">
        <v>3</v>
      </c>
      <c r="G355">
        <v>4</v>
      </c>
      <c r="H355" t="s">
        <v>133</v>
      </c>
      <c r="I355" t="str">
        <f>VLOOKUP(Tabla1[[#This Row],[Code]],'[1]Articulos Precio'!$A:$E,5,FALSE)</f>
        <v>A0000217</v>
      </c>
    </row>
    <row r="356" spans="1:9" x14ac:dyDescent="0.25">
      <c r="A356" t="s">
        <v>171</v>
      </c>
      <c r="B356" t="str">
        <f>VLOOKUP(Tabla1[[#This Row],[Code]],[1]!Tabla4[#Data],2,FALSE)</f>
        <v>Rollo Metamark MDP-H-200 (100mc Alto Agarre) Brillo 1,6 x 50m</v>
      </c>
      <c r="C356">
        <v>25</v>
      </c>
      <c r="D356" t="s">
        <v>94</v>
      </c>
      <c r="E356" t="str">
        <f>VLOOKUP(Tabla1[[#This Row],[Cód. Atributo]],[1]!Tabla5[#Data],6,FALSE)</f>
        <v>Select</v>
      </c>
      <c r="F356">
        <v>4</v>
      </c>
      <c r="G356">
        <v>5</v>
      </c>
      <c r="H356" t="s">
        <v>168</v>
      </c>
      <c r="I356" t="str">
        <f>VLOOKUP(Tabla1[[#This Row],[Code]],'[1]Articulos Precio'!$A:$E,5,FALSE)</f>
        <v>A0000217</v>
      </c>
    </row>
    <row r="357" spans="1:9" x14ac:dyDescent="0.25">
      <c r="A357" t="s">
        <v>171</v>
      </c>
      <c r="B357" t="str">
        <f>VLOOKUP(Tabla1[[#This Row],[Code]],[1]!Tabla4[#Data],2,FALSE)</f>
        <v>Rollo Metamark MDP-H-200 (100mc Alto Agarre) Brillo 1,6 x 50m</v>
      </c>
      <c r="C357">
        <v>26</v>
      </c>
      <c r="D357" t="s">
        <v>112</v>
      </c>
      <c r="E357" t="str">
        <f>VLOOKUP(Tabla1[[#This Row],[Cód. Atributo]],[1]!Tabla5[#Data],6,FALSE)</f>
        <v>Select</v>
      </c>
      <c r="F357">
        <v>5</v>
      </c>
      <c r="G357">
        <v>3</v>
      </c>
      <c r="H357" t="s">
        <v>113</v>
      </c>
      <c r="I357" t="str">
        <f>VLOOKUP(Tabla1[[#This Row],[Code]],'[1]Articulos Precio'!$A:$E,5,FALSE)</f>
        <v>A0000217</v>
      </c>
    </row>
    <row r="358" spans="1:9" x14ac:dyDescent="0.25">
      <c r="A358" t="s">
        <v>171</v>
      </c>
      <c r="B358" t="str">
        <f>VLOOKUP(Tabla1[[#This Row],[Code]],[1]!Tabla4[#Data],2,FALSE)</f>
        <v>Rollo Metamark MDP-H-200 (100mc Alto Agarre) Brillo 1,6 x 50m</v>
      </c>
      <c r="C358">
        <v>31</v>
      </c>
      <c r="D358" t="s">
        <v>114</v>
      </c>
      <c r="E358" t="str">
        <f>VLOOKUP(Tabla1[[#This Row],[Cód. Atributo]],[1]!Tabla5[#Data],6,FALSE)</f>
        <v>Select</v>
      </c>
      <c r="F358">
        <v>6</v>
      </c>
      <c r="G358">
        <v>3</v>
      </c>
      <c r="H358" t="s">
        <v>158</v>
      </c>
      <c r="I358" t="str">
        <f>VLOOKUP(Tabla1[[#This Row],[Code]],'[1]Articulos Precio'!$A:$E,5,FALSE)</f>
        <v>A0000217</v>
      </c>
    </row>
    <row r="359" spans="1:9" x14ac:dyDescent="0.25">
      <c r="A359" t="s">
        <v>172</v>
      </c>
      <c r="B359" t="str">
        <f>VLOOKUP(Tabla1[[#This Row],[Code]],[1]!Tabla4[#Data],2,FALSE)</f>
        <v>Rollo Metamark MDP-H-200 (100mc Alto Agarre) Brillo 1,37x50m</v>
      </c>
      <c r="C359">
        <v>1</v>
      </c>
      <c r="D359" t="s">
        <v>106</v>
      </c>
      <c r="E359" t="str">
        <f>VLOOKUP(Tabla1[[#This Row],[Cód. Atributo]],[1]!Tabla5[#Data],6,FALSE)</f>
        <v>Select</v>
      </c>
      <c r="F359">
        <v>1</v>
      </c>
      <c r="G359">
        <v>1</v>
      </c>
      <c r="H359" t="s">
        <v>107</v>
      </c>
      <c r="I359" t="str">
        <f>VLOOKUP(Tabla1[[#This Row],[Code]],'[1]Articulos Precio'!$A:$E,5,FALSE)</f>
        <v>A0000217</v>
      </c>
    </row>
    <row r="360" spans="1:9" x14ac:dyDescent="0.25">
      <c r="A360" t="s">
        <v>172</v>
      </c>
      <c r="B360" t="str">
        <f>VLOOKUP(Tabla1[[#This Row],[Code]],[1]!Tabla4[#Data],2,FALSE)</f>
        <v>Rollo Metamark MDP-H-200 (100mc Alto Agarre) Brillo 1,37x50m</v>
      </c>
      <c r="C360">
        <v>3</v>
      </c>
      <c r="D360" t="s">
        <v>108</v>
      </c>
      <c r="E360" t="str">
        <f>VLOOKUP(Tabla1[[#This Row],[Cód. Atributo]],[1]!Tabla5[#Data],6,FALSE)</f>
        <v>Select</v>
      </c>
      <c r="F360">
        <v>2</v>
      </c>
      <c r="G360">
        <v>3</v>
      </c>
      <c r="H360" t="s">
        <v>117</v>
      </c>
      <c r="I360" t="str">
        <f>VLOOKUP(Tabla1[[#This Row],[Code]],'[1]Articulos Precio'!$A:$E,5,FALSE)</f>
        <v>A0000217</v>
      </c>
    </row>
    <row r="361" spans="1:9" x14ac:dyDescent="0.25">
      <c r="A361" t="s">
        <v>172</v>
      </c>
      <c r="B361" t="str">
        <f>VLOOKUP(Tabla1[[#This Row],[Code]],[1]!Tabla4[#Data],2,FALSE)</f>
        <v>Rollo Metamark MDP-H-200 (100mc Alto Agarre) Brillo 1,37x50m</v>
      </c>
      <c r="C361">
        <v>23</v>
      </c>
      <c r="D361" t="s">
        <v>90</v>
      </c>
      <c r="E361" t="str">
        <f>VLOOKUP(Tabla1[[#This Row],[Cód. Atributo]],[1]!Tabla5[#Data],6,FALSE)</f>
        <v>Select</v>
      </c>
      <c r="F361">
        <v>3</v>
      </c>
      <c r="G361">
        <v>4</v>
      </c>
      <c r="H361" t="s">
        <v>133</v>
      </c>
      <c r="I361" t="str">
        <f>VLOOKUP(Tabla1[[#This Row],[Code]],'[1]Articulos Precio'!$A:$E,5,FALSE)</f>
        <v>A0000217</v>
      </c>
    </row>
    <row r="362" spans="1:9" x14ac:dyDescent="0.25">
      <c r="A362" t="s">
        <v>172</v>
      </c>
      <c r="B362" t="str">
        <f>VLOOKUP(Tabla1[[#This Row],[Code]],[1]!Tabla4[#Data],2,FALSE)</f>
        <v>Rollo Metamark MDP-H-200 (100mc Alto Agarre) Brillo 1,37x50m</v>
      </c>
      <c r="C362">
        <v>25</v>
      </c>
      <c r="D362" t="s">
        <v>94</v>
      </c>
      <c r="E362" t="str">
        <f>VLOOKUP(Tabla1[[#This Row],[Cód. Atributo]],[1]!Tabla5[#Data],6,FALSE)</f>
        <v>Select</v>
      </c>
      <c r="F362">
        <v>4</v>
      </c>
      <c r="G362">
        <v>5</v>
      </c>
      <c r="H362" t="s">
        <v>168</v>
      </c>
      <c r="I362" t="str">
        <f>VLOOKUP(Tabla1[[#This Row],[Code]],'[1]Articulos Precio'!$A:$E,5,FALSE)</f>
        <v>A0000217</v>
      </c>
    </row>
    <row r="363" spans="1:9" x14ac:dyDescent="0.25">
      <c r="A363" t="s">
        <v>172</v>
      </c>
      <c r="B363" t="str">
        <f>VLOOKUP(Tabla1[[#This Row],[Code]],[1]!Tabla4[#Data],2,FALSE)</f>
        <v>Rollo Metamark MDP-H-200 (100mc Alto Agarre) Brillo 1,37x50m</v>
      </c>
      <c r="C363">
        <v>26</v>
      </c>
      <c r="D363" t="s">
        <v>112</v>
      </c>
      <c r="E363" t="str">
        <f>VLOOKUP(Tabla1[[#This Row],[Cód. Atributo]],[1]!Tabla5[#Data],6,FALSE)</f>
        <v>Select</v>
      </c>
      <c r="F363">
        <v>5</v>
      </c>
      <c r="G363">
        <v>3</v>
      </c>
      <c r="H363" t="s">
        <v>113</v>
      </c>
      <c r="I363" t="str">
        <f>VLOOKUP(Tabla1[[#This Row],[Code]],'[1]Articulos Precio'!$A:$E,5,FALSE)</f>
        <v>A0000217</v>
      </c>
    </row>
    <row r="364" spans="1:9" x14ac:dyDescent="0.25">
      <c r="A364" t="s">
        <v>172</v>
      </c>
      <c r="B364" t="str">
        <f>VLOOKUP(Tabla1[[#This Row],[Code]],[1]!Tabla4[#Data],2,FALSE)</f>
        <v>Rollo Metamark MDP-H-200 (100mc Alto Agarre) Brillo 1,37x50m</v>
      </c>
      <c r="C364">
        <v>31</v>
      </c>
      <c r="D364" t="s">
        <v>114</v>
      </c>
      <c r="E364" t="str">
        <f>VLOOKUP(Tabla1[[#This Row],[Cód. Atributo]],[1]!Tabla5[#Data],6,FALSE)</f>
        <v>Select</v>
      </c>
      <c r="F364">
        <v>6</v>
      </c>
      <c r="G364">
        <v>3</v>
      </c>
      <c r="H364" t="s">
        <v>158</v>
      </c>
      <c r="I364" t="str">
        <f>VLOOKUP(Tabla1[[#This Row],[Code]],'[1]Articulos Precio'!$A:$E,5,FALSE)</f>
        <v>A0000217</v>
      </c>
    </row>
    <row r="365" spans="1:9" x14ac:dyDescent="0.25">
      <c r="A365" t="s">
        <v>173</v>
      </c>
      <c r="B365" t="str">
        <f>VLOOKUP(Tabla1[[#This Row],[Code]],[1]!Tabla4[#Data],2,FALSE)</f>
        <v>Rollo Metamark MDP-H-301M (100mc Alto Agarre) Mate 1,6 x 50m</v>
      </c>
      <c r="C365">
        <v>1</v>
      </c>
      <c r="D365" t="s">
        <v>106</v>
      </c>
      <c r="E365" t="str">
        <f>VLOOKUP(Tabla1[[#This Row],[Cód. Atributo]],[1]!Tabla5[#Data],6,FALSE)</f>
        <v>Select</v>
      </c>
      <c r="F365">
        <v>1</v>
      </c>
      <c r="G365">
        <v>2</v>
      </c>
      <c r="H365" t="s">
        <v>121</v>
      </c>
      <c r="I365" t="str">
        <f>VLOOKUP(Tabla1[[#This Row],[Code]],'[1]Articulos Precio'!$A:$E,5,FALSE)</f>
        <v>A0000217</v>
      </c>
    </row>
    <row r="366" spans="1:9" x14ac:dyDescent="0.25">
      <c r="A366" t="s">
        <v>173</v>
      </c>
      <c r="B366" t="str">
        <f>VLOOKUP(Tabla1[[#This Row],[Code]],[1]!Tabla4[#Data],2,FALSE)</f>
        <v>Rollo Metamark MDP-H-301M (100mc Alto Agarre) Mate 1,6 x 50m</v>
      </c>
      <c r="C366">
        <v>3</v>
      </c>
      <c r="D366" t="s">
        <v>108</v>
      </c>
      <c r="E366" t="str">
        <f>VLOOKUP(Tabla1[[#This Row],[Cód. Atributo]],[1]!Tabla5[#Data],6,FALSE)</f>
        <v>Select</v>
      </c>
      <c r="F366">
        <v>2</v>
      </c>
      <c r="G366">
        <v>4</v>
      </c>
      <c r="H366" t="s">
        <v>109</v>
      </c>
      <c r="I366" t="str">
        <f>VLOOKUP(Tabla1[[#This Row],[Code]],'[1]Articulos Precio'!$A:$E,5,FALSE)</f>
        <v>A0000217</v>
      </c>
    </row>
    <row r="367" spans="1:9" x14ac:dyDescent="0.25">
      <c r="A367" t="s">
        <v>173</v>
      </c>
      <c r="B367" t="str">
        <f>VLOOKUP(Tabla1[[#This Row],[Code]],[1]!Tabla4[#Data],2,FALSE)</f>
        <v>Rollo Metamark MDP-H-301M (100mc Alto Agarre) Mate 1,6 x 50m</v>
      </c>
      <c r="C367">
        <v>23</v>
      </c>
      <c r="D367" t="s">
        <v>90</v>
      </c>
      <c r="E367" t="str">
        <f>VLOOKUP(Tabla1[[#This Row],[Cód. Atributo]],[1]!Tabla5[#Data],6,FALSE)</f>
        <v>Select</v>
      </c>
      <c r="F367">
        <v>3</v>
      </c>
      <c r="G367">
        <v>4</v>
      </c>
      <c r="H367" t="s">
        <v>133</v>
      </c>
      <c r="I367" t="str">
        <f>VLOOKUP(Tabla1[[#This Row],[Code]],'[1]Articulos Precio'!$A:$E,5,FALSE)</f>
        <v>A0000217</v>
      </c>
    </row>
    <row r="368" spans="1:9" x14ac:dyDescent="0.25">
      <c r="A368" t="s">
        <v>173</v>
      </c>
      <c r="B368" t="str">
        <f>VLOOKUP(Tabla1[[#This Row],[Code]],[1]!Tabla4[#Data],2,FALSE)</f>
        <v>Rollo Metamark MDP-H-301M (100mc Alto Agarre) Mate 1,6 x 50m</v>
      </c>
      <c r="C368">
        <v>25</v>
      </c>
      <c r="D368" t="s">
        <v>94</v>
      </c>
      <c r="E368" t="str">
        <f>VLOOKUP(Tabla1[[#This Row],[Cód. Atributo]],[1]!Tabla5[#Data],6,FALSE)</f>
        <v>Select</v>
      </c>
      <c r="F368">
        <v>4</v>
      </c>
      <c r="G368">
        <v>5</v>
      </c>
      <c r="H368" t="s">
        <v>168</v>
      </c>
      <c r="I368" t="str">
        <f>VLOOKUP(Tabla1[[#This Row],[Code]],'[1]Articulos Precio'!$A:$E,5,FALSE)</f>
        <v>A0000217</v>
      </c>
    </row>
    <row r="369" spans="1:9" x14ac:dyDescent="0.25">
      <c r="A369" t="s">
        <v>173</v>
      </c>
      <c r="B369" t="str">
        <f>VLOOKUP(Tabla1[[#This Row],[Code]],[1]!Tabla4[#Data],2,FALSE)</f>
        <v>Rollo Metamark MDP-H-301M (100mc Alto Agarre) Mate 1,6 x 50m</v>
      </c>
      <c r="C369">
        <v>26</v>
      </c>
      <c r="D369" t="s">
        <v>112</v>
      </c>
      <c r="E369" t="str">
        <f>VLOOKUP(Tabla1[[#This Row],[Cód. Atributo]],[1]!Tabla5[#Data],6,FALSE)</f>
        <v>Select</v>
      </c>
      <c r="F369">
        <v>5</v>
      </c>
      <c r="G369">
        <v>3</v>
      </c>
      <c r="H369" t="s">
        <v>113</v>
      </c>
      <c r="I369" t="str">
        <f>VLOOKUP(Tabla1[[#This Row],[Code]],'[1]Articulos Precio'!$A:$E,5,FALSE)</f>
        <v>A0000217</v>
      </c>
    </row>
    <row r="370" spans="1:9" x14ac:dyDescent="0.25">
      <c r="A370" t="s">
        <v>173</v>
      </c>
      <c r="B370" t="str">
        <f>VLOOKUP(Tabla1[[#This Row],[Code]],[1]!Tabla4[#Data],2,FALSE)</f>
        <v>Rollo Metamark MDP-H-301M (100mc Alto Agarre) Mate 1,6 x 50m</v>
      </c>
      <c r="C370">
        <v>31</v>
      </c>
      <c r="D370" t="s">
        <v>114</v>
      </c>
      <c r="E370" t="str">
        <f>VLOOKUP(Tabla1[[#This Row],[Cód. Atributo]],[1]!Tabla5[#Data],6,FALSE)</f>
        <v>Select</v>
      </c>
      <c r="F370">
        <v>6</v>
      </c>
      <c r="G370">
        <v>3</v>
      </c>
      <c r="H370" t="s">
        <v>158</v>
      </c>
      <c r="I370" t="str">
        <f>VLOOKUP(Tabla1[[#This Row],[Code]],'[1]Articulos Precio'!$A:$E,5,FALSE)</f>
        <v>A0000217</v>
      </c>
    </row>
    <row r="371" spans="1:9" x14ac:dyDescent="0.25">
      <c r="A371" t="s">
        <v>174</v>
      </c>
      <c r="B371" t="str">
        <f>VLOOKUP(Tabla1[[#This Row],[Code]],[1]!Tabla4[#Data],2,FALSE)</f>
        <v>Rollo Metamark MDP-H-301M (100mc Alto Agarre) Mate 1,37x50m</v>
      </c>
      <c r="C371">
        <v>1</v>
      </c>
      <c r="D371" t="s">
        <v>106</v>
      </c>
      <c r="E371" t="str">
        <f>VLOOKUP(Tabla1[[#This Row],[Cód. Atributo]],[1]!Tabla5[#Data],6,FALSE)</f>
        <v>Select</v>
      </c>
      <c r="F371">
        <v>1</v>
      </c>
      <c r="G371">
        <v>2</v>
      </c>
      <c r="H371" t="s">
        <v>121</v>
      </c>
      <c r="I371" t="str">
        <f>VLOOKUP(Tabla1[[#This Row],[Code]],'[1]Articulos Precio'!$A:$E,5,FALSE)</f>
        <v>A0000217</v>
      </c>
    </row>
    <row r="372" spans="1:9" x14ac:dyDescent="0.25">
      <c r="A372" t="s">
        <v>174</v>
      </c>
      <c r="B372" t="str">
        <f>VLOOKUP(Tabla1[[#This Row],[Code]],[1]!Tabla4[#Data],2,FALSE)</f>
        <v>Rollo Metamark MDP-H-301M (100mc Alto Agarre) Mate 1,37x50m</v>
      </c>
      <c r="C372">
        <v>3</v>
      </c>
      <c r="D372" t="s">
        <v>108</v>
      </c>
      <c r="E372" t="str">
        <f>VLOOKUP(Tabla1[[#This Row],[Cód. Atributo]],[1]!Tabla5[#Data],6,FALSE)</f>
        <v>Select</v>
      </c>
      <c r="F372">
        <v>2</v>
      </c>
      <c r="G372">
        <v>3</v>
      </c>
      <c r="H372" t="s">
        <v>117</v>
      </c>
      <c r="I372" t="str">
        <f>VLOOKUP(Tabla1[[#This Row],[Code]],'[1]Articulos Precio'!$A:$E,5,FALSE)</f>
        <v>A0000217</v>
      </c>
    </row>
    <row r="373" spans="1:9" x14ac:dyDescent="0.25">
      <c r="A373" t="s">
        <v>174</v>
      </c>
      <c r="B373" t="str">
        <f>VLOOKUP(Tabla1[[#This Row],[Code]],[1]!Tabla4[#Data],2,FALSE)</f>
        <v>Rollo Metamark MDP-H-301M (100mc Alto Agarre) Mate 1,37x50m</v>
      </c>
      <c r="C373">
        <v>23</v>
      </c>
      <c r="D373" t="s">
        <v>90</v>
      </c>
      <c r="E373" t="str">
        <f>VLOOKUP(Tabla1[[#This Row],[Cód. Atributo]],[1]!Tabla5[#Data],6,FALSE)</f>
        <v>Select</v>
      </c>
      <c r="F373">
        <v>3</v>
      </c>
      <c r="G373">
        <v>4</v>
      </c>
      <c r="H373" t="s">
        <v>133</v>
      </c>
      <c r="I373" t="str">
        <f>VLOOKUP(Tabla1[[#This Row],[Code]],'[1]Articulos Precio'!$A:$E,5,FALSE)</f>
        <v>A0000217</v>
      </c>
    </row>
    <row r="374" spans="1:9" x14ac:dyDescent="0.25">
      <c r="A374" t="s">
        <v>174</v>
      </c>
      <c r="B374" t="str">
        <f>VLOOKUP(Tabla1[[#This Row],[Code]],[1]!Tabla4[#Data],2,FALSE)</f>
        <v>Rollo Metamark MDP-H-301M (100mc Alto Agarre) Mate 1,37x50m</v>
      </c>
      <c r="C374">
        <v>25</v>
      </c>
      <c r="D374" t="s">
        <v>94</v>
      </c>
      <c r="E374" t="str">
        <f>VLOOKUP(Tabla1[[#This Row],[Cód. Atributo]],[1]!Tabla5[#Data],6,FALSE)</f>
        <v>Select</v>
      </c>
      <c r="F374">
        <v>4</v>
      </c>
      <c r="G374">
        <v>5</v>
      </c>
      <c r="H374" t="s">
        <v>168</v>
      </c>
      <c r="I374" t="str">
        <f>VLOOKUP(Tabla1[[#This Row],[Code]],'[1]Articulos Precio'!$A:$E,5,FALSE)</f>
        <v>A0000217</v>
      </c>
    </row>
    <row r="375" spans="1:9" x14ac:dyDescent="0.25">
      <c r="A375" t="s">
        <v>174</v>
      </c>
      <c r="B375" t="str">
        <f>VLOOKUP(Tabla1[[#This Row],[Code]],[1]!Tabla4[#Data],2,FALSE)</f>
        <v>Rollo Metamark MDP-H-301M (100mc Alto Agarre) Mate 1,37x50m</v>
      </c>
      <c r="C375">
        <v>26</v>
      </c>
      <c r="D375" t="s">
        <v>112</v>
      </c>
      <c r="E375" t="str">
        <f>VLOOKUP(Tabla1[[#This Row],[Cód. Atributo]],[1]!Tabla5[#Data],6,FALSE)</f>
        <v>Select</v>
      </c>
      <c r="F375">
        <v>5</v>
      </c>
      <c r="G375">
        <v>3</v>
      </c>
      <c r="H375" t="s">
        <v>113</v>
      </c>
      <c r="I375" t="str">
        <f>VLOOKUP(Tabla1[[#This Row],[Code]],'[1]Articulos Precio'!$A:$E,5,FALSE)</f>
        <v>A0000217</v>
      </c>
    </row>
    <row r="376" spans="1:9" x14ac:dyDescent="0.25">
      <c r="A376" t="s">
        <v>174</v>
      </c>
      <c r="B376" t="str">
        <f>VLOOKUP(Tabla1[[#This Row],[Code]],[1]!Tabla4[#Data],2,FALSE)</f>
        <v>Rollo Metamark MDP-H-301M (100mc Alto Agarre) Mate 1,37x50m</v>
      </c>
      <c r="C376">
        <v>31</v>
      </c>
      <c r="D376" t="s">
        <v>114</v>
      </c>
      <c r="E376" t="str">
        <f>VLOOKUP(Tabla1[[#This Row],[Cód. Atributo]],[1]!Tabla5[#Data],6,FALSE)</f>
        <v>Select</v>
      </c>
      <c r="F376">
        <v>6</v>
      </c>
      <c r="G376">
        <v>3</v>
      </c>
      <c r="H376" t="s">
        <v>158</v>
      </c>
      <c r="I376" t="str">
        <f>VLOOKUP(Tabla1[[#This Row],[Code]],'[1]Articulos Precio'!$A:$E,5,FALSE)</f>
        <v>A0000217</v>
      </c>
    </row>
    <row r="377" spans="1:9" x14ac:dyDescent="0.25">
      <c r="A377" t="s">
        <v>175</v>
      </c>
      <c r="B377" t="str">
        <f>VLOOKUP(Tabla1[[#This Row],[Code]],[1]!Tabla4[#Data],2,FALSE)</f>
        <v>Rollo Metamark MDPHB-200 (100mc Alto Agarre - Adh Gris) Brillo 1,6 x 50m</v>
      </c>
      <c r="C377">
        <v>1</v>
      </c>
      <c r="D377" t="s">
        <v>106</v>
      </c>
      <c r="E377" t="str">
        <f>VLOOKUP(Tabla1[[#This Row],[Cód. Atributo]],[1]!Tabla5[#Data],6,FALSE)</f>
        <v>Select</v>
      </c>
      <c r="F377">
        <v>1</v>
      </c>
      <c r="G377">
        <v>1</v>
      </c>
      <c r="H377" t="s">
        <v>107</v>
      </c>
      <c r="I377" t="str">
        <f>VLOOKUP(Tabla1[[#This Row],[Code]],'[1]Articulos Precio'!$A:$E,5,FALSE)</f>
        <v>A0000217</v>
      </c>
    </row>
    <row r="378" spans="1:9" x14ac:dyDescent="0.25">
      <c r="A378" t="s">
        <v>175</v>
      </c>
      <c r="B378" t="str">
        <f>VLOOKUP(Tabla1[[#This Row],[Code]],[1]!Tabla4[#Data],2,FALSE)</f>
        <v>Rollo Metamark MDPHB-200 (100mc Alto Agarre - Adh Gris) Brillo 1,6 x 50m</v>
      </c>
      <c r="C378">
        <v>3</v>
      </c>
      <c r="D378" t="s">
        <v>108</v>
      </c>
      <c r="E378" t="str">
        <f>VLOOKUP(Tabla1[[#This Row],[Cód. Atributo]],[1]!Tabla5[#Data],6,FALSE)</f>
        <v>Select</v>
      </c>
      <c r="F378">
        <v>2</v>
      </c>
      <c r="G378">
        <v>4</v>
      </c>
      <c r="H378" t="s">
        <v>109</v>
      </c>
      <c r="I378" t="str">
        <f>VLOOKUP(Tabla1[[#This Row],[Code]],'[1]Articulos Precio'!$A:$E,5,FALSE)</f>
        <v>A0000217</v>
      </c>
    </row>
    <row r="379" spans="1:9" x14ac:dyDescent="0.25">
      <c r="A379" t="s">
        <v>175</v>
      </c>
      <c r="B379" t="str">
        <f>VLOOKUP(Tabla1[[#This Row],[Code]],[1]!Tabla4[#Data],2,FALSE)</f>
        <v>Rollo Metamark MDPHB-200 (100mc Alto Agarre - Adh Gris) Brillo 1,6 x 50m</v>
      </c>
      <c r="C379">
        <v>23</v>
      </c>
      <c r="D379" t="s">
        <v>90</v>
      </c>
      <c r="E379" t="str">
        <f>VLOOKUP(Tabla1[[#This Row],[Cód. Atributo]],[1]!Tabla5[#Data],6,FALSE)</f>
        <v>Select</v>
      </c>
      <c r="F379">
        <v>3</v>
      </c>
      <c r="G379">
        <v>4</v>
      </c>
      <c r="H379" t="s">
        <v>133</v>
      </c>
      <c r="I379" t="str">
        <f>VLOOKUP(Tabla1[[#This Row],[Code]],'[1]Articulos Precio'!$A:$E,5,FALSE)</f>
        <v>A0000217</v>
      </c>
    </row>
    <row r="380" spans="1:9" x14ac:dyDescent="0.25">
      <c r="A380" t="s">
        <v>175</v>
      </c>
      <c r="B380" t="str">
        <f>VLOOKUP(Tabla1[[#This Row],[Code]],[1]!Tabla4[#Data],2,FALSE)</f>
        <v>Rollo Metamark MDPHB-200 (100mc Alto Agarre - Adh Gris) Brillo 1,6 x 50m</v>
      </c>
      <c r="C380">
        <v>25</v>
      </c>
      <c r="D380" t="s">
        <v>94</v>
      </c>
      <c r="E380" t="str">
        <f>VLOOKUP(Tabla1[[#This Row],[Cód. Atributo]],[1]!Tabla5[#Data],6,FALSE)</f>
        <v>Select</v>
      </c>
      <c r="F380">
        <v>4</v>
      </c>
      <c r="G380">
        <v>5</v>
      </c>
      <c r="H380" t="s">
        <v>168</v>
      </c>
      <c r="I380" t="str">
        <f>VLOOKUP(Tabla1[[#This Row],[Code]],'[1]Articulos Precio'!$A:$E,5,FALSE)</f>
        <v>A0000217</v>
      </c>
    </row>
    <row r="381" spans="1:9" x14ac:dyDescent="0.25">
      <c r="A381" t="s">
        <v>175</v>
      </c>
      <c r="B381" t="str">
        <f>VLOOKUP(Tabla1[[#This Row],[Code]],[1]!Tabla4[#Data],2,FALSE)</f>
        <v>Rollo Metamark MDPHB-200 (100mc Alto Agarre - Adh Gris) Brillo 1,6 x 50m</v>
      </c>
      <c r="C381">
        <v>26</v>
      </c>
      <c r="D381" t="s">
        <v>112</v>
      </c>
      <c r="E381" t="str">
        <f>VLOOKUP(Tabla1[[#This Row],[Cód. Atributo]],[1]!Tabla5[#Data],6,FALSE)</f>
        <v>Select</v>
      </c>
      <c r="F381">
        <v>5</v>
      </c>
      <c r="G381">
        <v>3</v>
      </c>
      <c r="H381" t="s">
        <v>113</v>
      </c>
      <c r="I381" t="str">
        <f>VLOOKUP(Tabla1[[#This Row],[Code]],'[1]Articulos Precio'!$A:$E,5,FALSE)</f>
        <v>A0000217</v>
      </c>
    </row>
    <row r="382" spans="1:9" x14ac:dyDescent="0.25">
      <c r="A382" t="s">
        <v>175</v>
      </c>
      <c r="B382" t="str">
        <f>VLOOKUP(Tabla1[[#This Row],[Code]],[1]!Tabla4[#Data],2,FALSE)</f>
        <v>Rollo Metamark MDPHB-200 (100mc Alto Agarre - Adh Gris) Brillo 1,6 x 50m</v>
      </c>
      <c r="C382">
        <v>31</v>
      </c>
      <c r="D382" t="s">
        <v>114</v>
      </c>
      <c r="E382" t="str">
        <f>VLOOKUP(Tabla1[[#This Row],[Cód. Atributo]],[1]!Tabla5[#Data],6,FALSE)</f>
        <v>Select</v>
      </c>
      <c r="F382">
        <v>6</v>
      </c>
      <c r="G382">
        <v>4</v>
      </c>
      <c r="H382" t="s">
        <v>176</v>
      </c>
      <c r="I382" t="str">
        <f>VLOOKUP(Tabla1[[#This Row],[Code]],'[1]Articulos Precio'!$A:$E,5,FALSE)</f>
        <v>A0000217</v>
      </c>
    </row>
    <row r="383" spans="1:9" x14ac:dyDescent="0.25">
      <c r="A383" t="s">
        <v>177</v>
      </c>
      <c r="B383" t="str">
        <f>VLOOKUP(Tabla1[[#This Row],[Code]],[1]!Tabla4[#Data],2,FALSE)</f>
        <v>Rollo Metamark MDPHB-200 (100mc Alto Agarre - Adh Gris) Brillo 1,37x50m</v>
      </c>
      <c r="C383">
        <v>1</v>
      </c>
      <c r="D383" t="s">
        <v>106</v>
      </c>
      <c r="E383" t="str">
        <f>VLOOKUP(Tabla1[[#This Row],[Cód. Atributo]],[1]!Tabla5[#Data],6,FALSE)</f>
        <v>Select</v>
      </c>
      <c r="F383">
        <v>1</v>
      </c>
      <c r="G383">
        <v>1</v>
      </c>
      <c r="H383" t="s">
        <v>107</v>
      </c>
      <c r="I383" t="str">
        <f>VLOOKUP(Tabla1[[#This Row],[Code]],'[1]Articulos Precio'!$A:$E,5,FALSE)</f>
        <v>A0000217</v>
      </c>
    </row>
    <row r="384" spans="1:9" x14ac:dyDescent="0.25">
      <c r="A384" t="s">
        <v>177</v>
      </c>
      <c r="B384" t="str">
        <f>VLOOKUP(Tabla1[[#This Row],[Code]],[1]!Tabla4[#Data],2,FALSE)</f>
        <v>Rollo Metamark MDPHB-200 (100mc Alto Agarre - Adh Gris) Brillo 1,37x50m</v>
      </c>
      <c r="C384">
        <v>3</v>
      </c>
      <c r="D384" t="s">
        <v>108</v>
      </c>
      <c r="E384" t="str">
        <f>VLOOKUP(Tabla1[[#This Row],[Cód. Atributo]],[1]!Tabla5[#Data],6,FALSE)</f>
        <v>Select</v>
      </c>
      <c r="F384">
        <v>2</v>
      </c>
      <c r="G384">
        <v>3</v>
      </c>
      <c r="H384" t="s">
        <v>117</v>
      </c>
      <c r="I384" t="str">
        <f>VLOOKUP(Tabla1[[#This Row],[Code]],'[1]Articulos Precio'!$A:$E,5,FALSE)</f>
        <v>A0000217</v>
      </c>
    </row>
    <row r="385" spans="1:9" x14ac:dyDescent="0.25">
      <c r="A385" t="s">
        <v>177</v>
      </c>
      <c r="B385" t="str">
        <f>VLOOKUP(Tabla1[[#This Row],[Code]],[1]!Tabla4[#Data],2,FALSE)</f>
        <v>Rollo Metamark MDPHB-200 (100mc Alto Agarre - Adh Gris) Brillo 1,37x50m</v>
      </c>
      <c r="C385">
        <v>23</v>
      </c>
      <c r="D385" t="s">
        <v>90</v>
      </c>
      <c r="E385" t="str">
        <f>VLOOKUP(Tabla1[[#This Row],[Cód. Atributo]],[1]!Tabla5[#Data],6,FALSE)</f>
        <v>Select</v>
      </c>
      <c r="F385">
        <v>3</v>
      </c>
      <c r="G385">
        <v>4</v>
      </c>
      <c r="H385" t="s">
        <v>133</v>
      </c>
      <c r="I385" t="str">
        <f>VLOOKUP(Tabla1[[#This Row],[Code]],'[1]Articulos Precio'!$A:$E,5,FALSE)</f>
        <v>A0000217</v>
      </c>
    </row>
    <row r="386" spans="1:9" x14ac:dyDescent="0.25">
      <c r="A386" t="s">
        <v>177</v>
      </c>
      <c r="B386" t="str">
        <f>VLOOKUP(Tabla1[[#This Row],[Code]],[1]!Tabla4[#Data],2,FALSE)</f>
        <v>Rollo Metamark MDPHB-200 (100mc Alto Agarre - Adh Gris) Brillo 1,37x50m</v>
      </c>
      <c r="C386">
        <v>25</v>
      </c>
      <c r="D386" t="s">
        <v>94</v>
      </c>
      <c r="E386" t="str">
        <f>VLOOKUP(Tabla1[[#This Row],[Cód. Atributo]],[1]!Tabla5[#Data],6,FALSE)</f>
        <v>Select</v>
      </c>
      <c r="F386">
        <v>4</v>
      </c>
      <c r="G386">
        <v>5</v>
      </c>
      <c r="H386" t="s">
        <v>168</v>
      </c>
      <c r="I386" t="str">
        <f>VLOOKUP(Tabla1[[#This Row],[Code]],'[1]Articulos Precio'!$A:$E,5,FALSE)</f>
        <v>A0000217</v>
      </c>
    </row>
    <row r="387" spans="1:9" x14ac:dyDescent="0.25">
      <c r="A387" t="s">
        <v>177</v>
      </c>
      <c r="B387" t="str">
        <f>VLOOKUP(Tabla1[[#This Row],[Code]],[1]!Tabla4[#Data],2,FALSE)</f>
        <v>Rollo Metamark MDPHB-200 (100mc Alto Agarre - Adh Gris) Brillo 1,37x50m</v>
      </c>
      <c r="C387">
        <v>26</v>
      </c>
      <c r="D387" t="s">
        <v>112</v>
      </c>
      <c r="E387" t="str">
        <f>VLOOKUP(Tabla1[[#This Row],[Cód. Atributo]],[1]!Tabla5[#Data],6,FALSE)</f>
        <v>Select</v>
      </c>
      <c r="F387">
        <v>5</v>
      </c>
      <c r="G387">
        <v>3</v>
      </c>
      <c r="H387" t="s">
        <v>113</v>
      </c>
      <c r="I387" t="str">
        <f>VLOOKUP(Tabla1[[#This Row],[Code]],'[1]Articulos Precio'!$A:$E,5,FALSE)</f>
        <v>A0000217</v>
      </c>
    </row>
    <row r="388" spans="1:9" x14ac:dyDescent="0.25">
      <c r="A388" t="s">
        <v>177</v>
      </c>
      <c r="B388" t="str">
        <f>VLOOKUP(Tabla1[[#This Row],[Code]],[1]!Tabla4[#Data],2,FALSE)</f>
        <v>Rollo Metamark MDPHB-200 (100mc Alto Agarre - Adh Gris) Brillo 1,37x50m</v>
      </c>
      <c r="C388">
        <v>31</v>
      </c>
      <c r="D388" t="s">
        <v>114</v>
      </c>
      <c r="E388" t="str">
        <f>VLOOKUP(Tabla1[[#This Row],[Cód. Atributo]],[1]!Tabla5[#Data],6,FALSE)</f>
        <v>Select</v>
      </c>
      <c r="F388">
        <v>6</v>
      </c>
      <c r="G388">
        <v>4</v>
      </c>
      <c r="H388" t="s">
        <v>176</v>
      </c>
      <c r="I388" t="str">
        <f>VLOOKUP(Tabla1[[#This Row],[Code]],'[1]Articulos Precio'!$A:$E,5,FALSE)</f>
        <v>A0000217</v>
      </c>
    </row>
    <row r="389" spans="1:9" x14ac:dyDescent="0.25">
      <c r="A389" t="s">
        <v>178</v>
      </c>
      <c r="B389" t="str">
        <f>VLOOKUP(Tabla1[[#This Row],[Code]],[1]!Tabla4[#Data],2,FALSE)</f>
        <v>Rollo Metamark MDPHB-301M (100mc Alto Agarre - Adh Gris) Mate 1,6 x 50m</v>
      </c>
      <c r="C389">
        <v>1</v>
      </c>
      <c r="D389" t="s">
        <v>106</v>
      </c>
      <c r="E389" t="str">
        <f>VLOOKUP(Tabla1[[#This Row],[Cód. Atributo]],[1]!Tabla5[#Data],6,FALSE)</f>
        <v>Select</v>
      </c>
      <c r="F389">
        <v>1</v>
      </c>
      <c r="G389">
        <v>2</v>
      </c>
      <c r="H389" t="s">
        <v>121</v>
      </c>
      <c r="I389" t="str">
        <f>VLOOKUP(Tabla1[[#This Row],[Code]],'[1]Articulos Precio'!$A:$E,5,FALSE)</f>
        <v>A0000217</v>
      </c>
    </row>
    <row r="390" spans="1:9" x14ac:dyDescent="0.25">
      <c r="A390" t="s">
        <v>178</v>
      </c>
      <c r="B390" t="str">
        <f>VLOOKUP(Tabla1[[#This Row],[Code]],[1]!Tabla4[#Data],2,FALSE)</f>
        <v>Rollo Metamark MDPHB-301M (100mc Alto Agarre - Adh Gris) Mate 1,6 x 50m</v>
      </c>
      <c r="C390">
        <v>3</v>
      </c>
      <c r="D390" t="s">
        <v>108</v>
      </c>
      <c r="E390" t="str">
        <f>VLOOKUP(Tabla1[[#This Row],[Cód. Atributo]],[1]!Tabla5[#Data],6,FALSE)</f>
        <v>Select</v>
      </c>
      <c r="F390">
        <v>2</v>
      </c>
      <c r="G390">
        <v>4</v>
      </c>
      <c r="H390" t="s">
        <v>109</v>
      </c>
      <c r="I390" t="str">
        <f>VLOOKUP(Tabla1[[#This Row],[Code]],'[1]Articulos Precio'!$A:$E,5,FALSE)</f>
        <v>A0000217</v>
      </c>
    </row>
    <row r="391" spans="1:9" x14ac:dyDescent="0.25">
      <c r="A391" t="s">
        <v>178</v>
      </c>
      <c r="B391" t="str">
        <f>VLOOKUP(Tabla1[[#This Row],[Code]],[1]!Tabla4[#Data],2,FALSE)</f>
        <v>Rollo Metamark MDPHB-301M (100mc Alto Agarre - Adh Gris) Mate 1,6 x 50m</v>
      </c>
      <c r="C391">
        <v>23</v>
      </c>
      <c r="D391" t="s">
        <v>90</v>
      </c>
      <c r="E391" t="str">
        <f>VLOOKUP(Tabla1[[#This Row],[Cód. Atributo]],[1]!Tabla5[#Data],6,FALSE)</f>
        <v>Select</v>
      </c>
      <c r="F391">
        <v>3</v>
      </c>
      <c r="G391">
        <v>4</v>
      </c>
      <c r="H391" t="s">
        <v>133</v>
      </c>
      <c r="I391" t="str">
        <f>VLOOKUP(Tabla1[[#This Row],[Code]],'[1]Articulos Precio'!$A:$E,5,FALSE)</f>
        <v>A0000217</v>
      </c>
    </row>
    <row r="392" spans="1:9" x14ac:dyDescent="0.25">
      <c r="A392" t="s">
        <v>178</v>
      </c>
      <c r="B392" t="str">
        <f>VLOOKUP(Tabla1[[#This Row],[Code]],[1]!Tabla4[#Data],2,FALSE)</f>
        <v>Rollo Metamark MDPHB-301M (100mc Alto Agarre - Adh Gris) Mate 1,6 x 50m</v>
      </c>
      <c r="C392">
        <v>25</v>
      </c>
      <c r="D392" t="s">
        <v>94</v>
      </c>
      <c r="E392" t="str">
        <f>VLOOKUP(Tabla1[[#This Row],[Cód. Atributo]],[1]!Tabla5[#Data],6,FALSE)</f>
        <v>Select</v>
      </c>
      <c r="F392">
        <v>4</v>
      </c>
      <c r="G392">
        <v>5</v>
      </c>
      <c r="H392" t="s">
        <v>168</v>
      </c>
      <c r="I392" t="str">
        <f>VLOOKUP(Tabla1[[#This Row],[Code]],'[1]Articulos Precio'!$A:$E,5,FALSE)</f>
        <v>A0000217</v>
      </c>
    </row>
    <row r="393" spans="1:9" x14ac:dyDescent="0.25">
      <c r="A393" t="s">
        <v>178</v>
      </c>
      <c r="B393" t="str">
        <f>VLOOKUP(Tabla1[[#This Row],[Code]],[1]!Tabla4[#Data],2,FALSE)</f>
        <v>Rollo Metamark MDPHB-301M (100mc Alto Agarre - Adh Gris) Mate 1,6 x 50m</v>
      </c>
      <c r="C393">
        <v>26</v>
      </c>
      <c r="D393" t="s">
        <v>112</v>
      </c>
      <c r="E393" t="str">
        <f>VLOOKUP(Tabla1[[#This Row],[Cód. Atributo]],[1]!Tabla5[#Data],6,FALSE)</f>
        <v>Select</v>
      </c>
      <c r="F393">
        <v>5</v>
      </c>
      <c r="G393">
        <v>3</v>
      </c>
      <c r="H393" t="s">
        <v>113</v>
      </c>
      <c r="I393" t="str">
        <f>VLOOKUP(Tabla1[[#This Row],[Code]],'[1]Articulos Precio'!$A:$E,5,FALSE)</f>
        <v>A0000217</v>
      </c>
    </row>
    <row r="394" spans="1:9" x14ac:dyDescent="0.25">
      <c r="A394" t="s">
        <v>178</v>
      </c>
      <c r="B394" t="str">
        <f>VLOOKUP(Tabla1[[#This Row],[Code]],[1]!Tabla4[#Data],2,FALSE)</f>
        <v>Rollo Metamark MDPHB-301M (100mc Alto Agarre - Adh Gris) Mate 1,6 x 50m</v>
      </c>
      <c r="C394">
        <v>31</v>
      </c>
      <c r="D394" t="s">
        <v>114</v>
      </c>
      <c r="E394" t="str">
        <f>VLOOKUP(Tabla1[[#This Row],[Cód. Atributo]],[1]!Tabla5[#Data],6,FALSE)</f>
        <v>Select</v>
      </c>
      <c r="F394">
        <v>6</v>
      </c>
      <c r="G394">
        <v>4</v>
      </c>
      <c r="H394" t="s">
        <v>176</v>
      </c>
      <c r="I394" t="str">
        <f>VLOOKUP(Tabla1[[#This Row],[Code]],'[1]Articulos Precio'!$A:$E,5,FALSE)</f>
        <v>A0000217</v>
      </c>
    </row>
    <row r="395" spans="1:9" x14ac:dyDescent="0.25">
      <c r="A395" t="s">
        <v>179</v>
      </c>
      <c r="B395" t="str">
        <f>VLOOKUP(Tabla1[[#This Row],[Code]],[1]!Tabla4[#Data],2,FALSE)</f>
        <v>Rollo Metamark MDPHB-301M (100mc Alto Agarre - Adh Gris) Mate 1,37x50m</v>
      </c>
      <c r="C395">
        <v>1</v>
      </c>
      <c r="D395" t="s">
        <v>106</v>
      </c>
      <c r="E395" t="str">
        <f>VLOOKUP(Tabla1[[#This Row],[Cód. Atributo]],[1]!Tabla5[#Data],6,FALSE)</f>
        <v>Select</v>
      </c>
      <c r="F395">
        <v>1</v>
      </c>
      <c r="G395">
        <v>2</v>
      </c>
      <c r="H395" t="s">
        <v>121</v>
      </c>
      <c r="I395" t="str">
        <f>VLOOKUP(Tabla1[[#This Row],[Code]],'[1]Articulos Precio'!$A:$E,5,FALSE)</f>
        <v>A0000217</v>
      </c>
    </row>
    <row r="396" spans="1:9" x14ac:dyDescent="0.25">
      <c r="A396" t="s">
        <v>179</v>
      </c>
      <c r="B396" t="str">
        <f>VLOOKUP(Tabla1[[#This Row],[Code]],[1]!Tabla4[#Data],2,FALSE)</f>
        <v>Rollo Metamark MDPHB-301M (100mc Alto Agarre - Adh Gris) Mate 1,37x50m</v>
      </c>
      <c r="C396">
        <v>3</v>
      </c>
      <c r="D396" t="s">
        <v>108</v>
      </c>
      <c r="E396" t="str">
        <f>VLOOKUP(Tabla1[[#This Row],[Cód. Atributo]],[1]!Tabla5[#Data],6,FALSE)</f>
        <v>Select</v>
      </c>
      <c r="F396">
        <v>2</v>
      </c>
      <c r="G396">
        <v>3</v>
      </c>
      <c r="H396" t="s">
        <v>117</v>
      </c>
      <c r="I396" t="str">
        <f>VLOOKUP(Tabla1[[#This Row],[Code]],'[1]Articulos Precio'!$A:$E,5,FALSE)</f>
        <v>A0000217</v>
      </c>
    </row>
    <row r="397" spans="1:9" x14ac:dyDescent="0.25">
      <c r="A397" t="s">
        <v>179</v>
      </c>
      <c r="B397" t="str">
        <f>VLOOKUP(Tabla1[[#This Row],[Code]],[1]!Tabla4[#Data],2,FALSE)</f>
        <v>Rollo Metamark MDPHB-301M (100mc Alto Agarre - Adh Gris) Mate 1,37x50m</v>
      </c>
      <c r="C397">
        <v>23</v>
      </c>
      <c r="D397" t="s">
        <v>90</v>
      </c>
      <c r="E397" t="str">
        <f>VLOOKUP(Tabla1[[#This Row],[Cód. Atributo]],[1]!Tabla5[#Data],6,FALSE)</f>
        <v>Select</v>
      </c>
      <c r="F397">
        <v>3</v>
      </c>
      <c r="G397">
        <v>4</v>
      </c>
      <c r="H397" t="s">
        <v>133</v>
      </c>
      <c r="I397" t="str">
        <f>VLOOKUP(Tabla1[[#This Row],[Code]],'[1]Articulos Precio'!$A:$E,5,FALSE)</f>
        <v>A0000217</v>
      </c>
    </row>
    <row r="398" spans="1:9" x14ac:dyDescent="0.25">
      <c r="A398" t="s">
        <v>179</v>
      </c>
      <c r="B398" t="str">
        <f>VLOOKUP(Tabla1[[#This Row],[Code]],[1]!Tabla4[#Data],2,FALSE)</f>
        <v>Rollo Metamark MDPHB-301M (100mc Alto Agarre - Adh Gris) Mate 1,37x50m</v>
      </c>
      <c r="C398">
        <v>25</v>
      </c>
      <c r="D398" t="s">
        <v>94</v>
      </c>
      <c r="E398" t="str">
        <f>VLOOKUP(Tabla1[[#This Row],[Cód. Atributo]],[1]!Tabla5[#Data],6,FALSE)</f>
        <v>Select</v>
      </c>
      <c r="F398">
        <v>4</v>
      </c>
      <c r="G398">
        <v>5</v>
      </c>
      <c r="H398" t="s">
        <v>168</v>
      </c>
      <c r="I398" t="str">
        <f>VLOOKUP(Tabla1[[#This Row],[Code]],'[1]Articulos Precio'!$A:$E,5,FALSE)</f>
        <v>A0000217</v>
      </c>
    </row>
    <row r="399" spans="1:9" x14ac:dyDescent="0.25">
      <c r="A399" t="s">
        <v>179</v>
      </c>
      <c r="B399" t="str">
        <f>VLOOKUP(Tabla1[[#This Row],[Code]],[1]!Tabla4[#Data],2,FALSE)</f>
        <v>Rollo Metamark MDPHB-301M (100mc Alto Agarre - Adh Gris) Mate 1,37x50m</v>
      </c>
      <c r="C399">
        <v>26</v>
      </c>
      <c r="D399" t="s">
        <v>112</v>
      </c>
      <c r="E399" t="str">
        <f>VLOOKUP(Tabla1[[#This Row],[Cód. Atributo]],[1]!Tabla5[#Data],6,FALSE)</f>
        <v>Select</v>
      </c>
      <c r="F399">
        <v>5</v>
      </c>
      <c r="G399">
        <v>3</v>
      </c>
      <c r="H399" t="s">
        <v>113</v>
      </c>
      <c r="I399" t="str">
        <f>VLOOKUP(Tabla1[[#This Row],[Code]],'[1]Articulos Precio'!$A:$E,5,FALSE)</f>
        <v>A0000217</v>
      </c>
    </row>
    <row r="400" spans="1:9" x14ac:dyDescent="0.25">
      <c r="A400" t="s">
        <v>179</v>
      </c>
      <c r="B400" t="str">
        <f>VLOOKUP(Tabla1[[#This Row],[Code]],[1]!Tabla4[#Data],2,FALSE)</f>
        <v>Rollo Metamark MDPHB-301M (100mc Alto Agarre - Adh Gris) Mate 1,37x50m</v>
      </c>
      <c r="C400">
        <v>31</v>
      </c>
      <c r="D400" t="s">
        <v>114</v>
      </c>
      <c r="E400" t="str">
        <f>VLOOKUP(Tabla1[[#This Row],[Cód. Atributo]],[1]!Tabla5[#Data],6,FALSE)</f>
        <v>Select</v>
      </c>
      <c r="F400">
        <v>6</v>
      </c>
      <c r="G400">
        <v>4</v>
      </c>
      <c r="H400" t="s">
        <v>176</v>
      </c>
      <c r="I400" t="str">
        <f>VLOOKUP(Tabla1[[#This Row],[Code]],'[1]Articulos Precio'!$A:$E,5,FALSE)</f>
        <v>A0000217</v>
      </c>
    </row>
    <row r="401" spans="1:9" x14ac:dyDescent="0.25">
      <c r="A401" t="s">
        <v>180</v>
      </c>
      <c r="B401" t="str">
        <f>VLOOKUP(Tabla1[[#This Row],[Code]],[1]!Tabla4[#Data],2,FALSE)</f>
        <v>Rollo Metamark MDT (80mc Translúcido) Satin 1,52x50m</v>
      </c>
      <c r="C401">
        <v>1</v>
      </c>
      <c r="D401" t="s">
        <v>106</v>
      </c>
      <c r="E401" t="str">
        <f>VLOOKUP(Tabla1[[#This Row],[Cód. Atributo]],[1]!Tabla5[#Data],6,FALSE)</f>
        <v>Select</v>
      </c>
      <c r="F401">
        <v>1</v>
      </c>
      <c r="G401">
        <v>4</v>
      </c>
      <c r="H401" t="s">
        <v>181</v>
      </c>
      <c r="I401" t="str">
        <f>VLOOKUP(Tabla1[[#This Row],[Code]],'[1]Articulos Precio'!$A:$E,5,FALSE)</f>
        <v>A0000231</v>
      </c>
    </row>
    <row r="402" spans="1:9" x14ac:dyDescent="0.25">
      <c r="A402" t="s">
        <v>180</v>
      </c>
      <c r="B402" t="str">
        <f>VLOOKUP(Tabla1[[#This Row],[Code]],[1]!Tabla4[#Data],2,FALSE)</f>
        <v>Rollo Metamark MDT (80mc Translúcido) Satin 1,52x50m</v>
      </c>
      <c r="C402">
        <v>3</v>
      </c>
      <c r="D402" t="s">
        <v>108</v>
      </c>
      <c r="E402" t="str">
        <f>VLOOKUP(Tabla1[[#This Row],[Cód. Atributo]],[1]!Tabla5[#Data],6,FALSE)</f>
        <v>Select</v>
      </c>
      <c r="F402">
        <v>2</v>
      </c>
      <c r="G402">
        <v>5</v>
      </c>
      <c r="H402" t="s">
        <v>87</v>
      </c>
      <c r="I402" t="str">
        <f>VLOOKUP(Tabla1[[#This Row],[Code]],'[1]Articulos Precio'!$A:$E,5,FALSE)</f>
        <v>A0000231</v>
      </c>
    </row>
    <row r="403" spans="1:9" x14ac:dyDescent="0.25">
      <c r="A403" t="s">
        <v>180</v>
      </c>
      <c r="B403" t="str">
        <f>VLOOKUP(Tabla1[[#This Row],[Code]],[1]!Tabla4[#Data],2,FALSE)</f>
        <v>Rollo Metamark MDT (80mc Translúcido) Satin 1,52x50m</v>
      </c>
      <c r="C403">
        <v>23</v>
      </c>
      <c r="D403" t="s">
        <v>90</v>
      </c>
      <c r="E403" t="str">
        <f>VLOOKUP(Tabla1[[#This Row],[Cód. Atributo]],[1]!Tabla5[#Data],6,FALSE)</f>
        <v>Select</v>
      </c>
      <c r="F403">
        <v>3</v>
      </c>
      <c r="G403">
        <v>2</v>
      </c>
      <c r="H403" t="s">
        <v>136</v>
      </c>
      <c r="I403" t="str">
        <f>VLOOKUP(Tabla1[[#This Row],[Code]],'[1]Articulos Precio'!$A:$E,5,FALSE)</f>
        <v>A0000231</v>
      </c>
    </row>
    <row r="404" spans="1:9" x14ac:dyDescent="0.25">
      <c r="A404" t="s">
        <v>180</v>
      </c>
      <c r="B404" t="str">
        <f>VLOOKUP(Tabla1[[#This Row],[Code]],[1]!Tabla4[#Data],2,FALSE)</f>
        <v>Rollo Metamark MDT (80mc Translúcido) Satin 1,52x50m</v>
      </c>
      <c r="C404">
        <v>25</v>
      </c>
      <c r="D404" t="s">
        <v>94</v>
      </c>
      <c r="E404" t="str">
        <f>VLOOKUP(Tabla1[[#This Row],[Cód. Atributo]],[1]!Tabla5[#Data],6,FALSE)</f>
        <v>Select</v>
      </c>
      <c r="F404">
        <v>4</v>
      </c>
      <c r="G404">
        <v>3</v>
      </c>
      <c r="H404" t="s">
        <v>134</v>
      </c>
      <c r="I404" t="str">
        <f>VLOOKUP(Tabla1[[#This Row],[Code]],'[1]Articulos Precio'!$A:$E,5,FALSE)</f>
        <v>A0000231</v>
      </c>
    </row>
    <row r="405" spans="1:9" x14ac:dyDescent="0.25">
      <c r="A405" t="s">
        <v>180</v>
      </c>
      <c r="B405" t="str">
        <f>VLOOKUP(Tabla1[[#This Row],[Code]],[1]!Tabla4[#Data],2,FALSE)</f>
        <v>Rollo Metamark MDT (80mc Translúcido) Satin 1,52x50m</v>
      </c>
      <c r="C405">
        <v>26</v>
      </c>
      <c r="D405" t="s">
        <v>112</v>
      </c>
      <c r="E405" t="str">
        <f>VLOOKUP(Tabla1[[#This Row],[Cód. Atributo]],[1]!Tabla5[#Data],6,FALSE)</f>
        <v>Select</v>
      </c>
      <c r="F405">
        <v>5</v>
      </c>
      <c r="G405">
        <v>3</v>
      </c>
      <c r="H405" t="s">
        <v>113</v>
      </c>
      <c r="I405" t="str">
        <f>VLOOKUP(Tabla1[[#This Row],[Code]],'[1]Articulos Precio'!$A:$E,5,FALSE)</f>
        <v>A0000231</v>
      </c>
    </row>
    <row r="406" spans="1:9" x14ac:dyDescent="0.25">
      <c r="A406" t="s">
        <v>180</v>
      </c>
      <c r="B406" t="str">
        <f>VLOOKUP(Tabla1[[#This Row],[Code]],[1]!Tabla4[#Data],2,FALSE)</f>
        <v>Rollo Metamark MDT (80mc Translúcido) Satin 1,52x50m</v>
      </c>
      <c r="C406">
        <v>31</v>
      </c>
      <c r="D406" t="s">
        <v>114</v>
      </c>
      <c r="E406" t="str">
        <f>VLOOKUP(Tabla1[[#This Row],[Cód. Atributo]],[1]!Tabla5[#Data],6,FALSE)</f>
        <v>Select</v>
      </c>
      <c r="F406">
        <v>6</v>
      </c>
      <c r="G406">
        <v>1</v>
      </c>
      <c r="H406" t="s">
        <v>115</v>
      </c>
      <c r="I406" t="str">
        <f>VLOOKUP(Tabla1[[#This Row],[Code]],'[1]Articulos Precio'!$A:$E,5,FALSE)</f>
        <v>A0000231</v>
      </c>
    </row>
    <row r="407" spans="1:9" x14ac:dyDescent="0.25">
      <c r="A407" t="s">
        <v>182</v>
      </c>
      <c r="B407" t="str">
        <f>VLOOKUP(Tabla1[[#This Row],[Code]],[1]!Tabla4[#Data],2,FALSE)</f>
        <v>Rollo Metamark MDT (80mc Translúcido) Satin 1,37x50m</v>
      </c>
      <c r="C407">
        <v>1</v>
      </c>
      <c r="D407" t="s">
        <v>106</v>
      </c>
      <c r="E407" t="str">
        <f>VLOOKUP(Tabla1[[#This Row],[Cód. Atributo]],[1]!Tabla5[#Data],6,FALSE)</f>
        <v>Select</v>
      </c>
      <c r="F407">
        <v>1</v>
      </c>
      <c r="G407">
        <v>4</v>
      </c>
      <c r="H407" t="s">
        <v>181</v>
      </c>
      <c r="I407" t="str">
        <f>VLOOKUP(Tabla1[[#This Row],[Code]],'[1]Articulos Precio'!$A:$E,5,FALSE)</f>
        <v>A0000231</v>
      </c>
    </row>
    <row r="408" spans="1:9" x14ac:dyDescent="0.25">
      <c r="A408" t="s">
        <v>182</v>
      </c>
      <c r="B408" t="str">
        <f>VLOOKUP(Tabla1[[#This Row],[Code]],[1]!Tabla4[#Data],2,FALSE)</f>
        <v>Rollo Metamark MDT (80mc Translúcido) Satin 1,37x50m</v>
      </c>
      <c r="C408">
        <v>3</v>
      </c>
      <c r="D408" t="s">
        <v>108</v>
      </c>
      <c r="E408" t="str">
        <f>VLOOKUP(Tabla1[[#This Row],[Cód. Atributo]],[1]!Tabla5[#Data],6,FALSE)</f>
        <v>Select</v>
      </c>
      <c r="F408">
        <v>2</v>
      </c>
      <c r="G408">
        <v>3</v>
      </c>
      <c r="H408" t="s">
        <v>117</v>
      </c>
      <c r="I408" t="str">
        <f>VLOOKUP(Tabla1[[#This Row],[Code]],'[1]Articulos Precio'!$A:$E,5,FALSE)</f>
        <v>A0000231</v>
      </c>
    </row>
    <row r="409" spans="1:9" x14ac:dyDescent="0.25">
      <c r="A409" t="s">
        <v>182</v>
      </c>
      <c r="B409" t="str">
        <f>VLOOKUP(Tabla1[[#This Row],[Code]],[1]!Tabla4[#Data],2,FALSE)</f>
        <v>Rollo Metamark MDT (80mc Translúcido) Satin 1,37x50m</v>
      </c>
      <c r="C409">
        <v>23</v>
      </c>
      <c r="D409" t="s">
        <v>90</v>
      </c>
      <c r="E409" t="str">
        <f>VLOOKUP(Tabla1[[#This Row],[Cód. Atributo]],[1]!Tabla5[#Data],6,FALSE)</f>
        <v>Select</v>
      </c>
      <c r="F409">
        <v>3</v>
      </c>
      <c r="G409">
        <v>2</v>
      </c>
      <c r="H409" t="s">
        <v>136</v>
      </c>
      <c r="I409" t="str">
        <f>VLOOKUP(Tabla1[[#This Row],[Code]],'[1]Articulos Precio'!$A:$E,5,FALSE)</f>
        <v>A0000231</v>
      </c>
    </row>
    <row r="410" spans="1:9" x14ac:dyDescent="0.25">
      <c r="A410" t="s">
        <v>182</v>
      </c>
      <c r="B410" t="str">
        <f>VLOOKUP(Tabla1[[#This Row],[Code]],[1]!Tabla4[#Data],2,FALSE)</f>
        <v>Rollo Metamark MDT (80mc Translúcido) Satin 1,37x50m</v>
      </c>
      <c r="C410">
        <v>25</v>
      </c>
      <c r="D410" t="s">
        <v>94</v>
      </c>
      <c r="E410" t="str">
        <f>VLOOKUP(Tabla1[[#This Row],[Cód. Atributo]],[1]!Tabla5[#Data],6,FALSE)</f>
        <v>Select</v>
      </c>
      <c r="F410">
        <v>4</v>
      </c>
      <c r="G410">
        <v>3</v>
      </c>
      <c r="H410" t="s">
        <v>134</v>
      </c>
      <c r="I410" t="str">
        <f>VLOOKUP(Tabla1[[#This Row],[Code]],'[1]Articulos Precio'!$A:$E,5,FALSE)</f>
        <v>A0000231</v>
      </c>
    </row>
    <row r="411" spans="1:9" x14ac:dyDescent="0.25">
      <c r="A411" t="s">
        <v>182</v>
      </c>
      <c r="B411" t="str">
        <f>VLOOKUP(Tabla1[[#This Row],[Code]],[1]!Tabla4[#Data],2,FALSE)</f>
        <v>Rollo Metamark MDT (80mc Translúcido) Satin 1,37x50m</v>
      </c>
      <c r="C411">
        <v>26</v>
      </c>
      <c r="D411" t="s">
        <v>112</v>
      </c>
      <c r="E411" t="str">
        <f>VLOOKUP(Tabla1[[#This Row],[Cód. Atributo]],[1]!Tabla5[#Data],6,FALSE)</f>
        <v>Select</v>
      </c>
      <c r="F411">
        <v>5</v>
      </c>
      <c r="G411">
        <v>3</v>
      </c>
      <c r="H411" t="s">
        <v>113</v>
      </c>
      <c r="I411" t="str">
        <f>VLOOKUP(Tabla1[[#This Row],[Code]],'[1]Articulos Precio'!$A:$E,5,FALSE)</f>
        <v>A0000231</v>
      </c>
    </row>
    <row r="412" spans="1:9" x14ac:dyDescent="0.25">
      <c r="A412" t="s">
        <v>182</v>
      </c>
      <c r="B412" t="str">
        <f>VLOOKUP(Tabla1[[#This Row],[Code]],[1]!Tabla4[#Data],2,FALSE)</f>
        <v>Rollo Metamark MDT (80mc Translúcido) Satin 1,37x50m</v>
      </c>
      <c r="C412">
        <v>31</v>
      </c>
      <c r="D412" t="s">
        <v>114</v>
      </c>
      <c r="E412" t="str">
        <f>VLOOKUP(Tabla1[[#This Row],[Cód. Atributo]],[1]!Tabla5[#Data],6,FALSE)</f>
        <v>Select</v>
      </c>
      <c r="F412">
        <v>6</v>
      </c>
      <c r="G412">
        <v>1</v>
      </c>
      <c r="H412" t="s">
        <v>115</v>
      </c>
      <c r="I412" t="str">
        <f>VLOOKUP(Tabla1[[#This Row],[Code]],'[1]Articulos Precio'!$A:$E,5,FALSE)</f>
        <v>A0000231</v>
      </c>
    </row>
    <row r="413" spans="1:9" x14ac:dyDescent="0.25">
      <c r="A413" t="s">
        <v>183</v>
      </c>
      <c r="B413" t="str">
        <f>VLOOKUP(Tabla1[[#This Row],[Code]],[1]!Tabla4[#Data],2,FALSE)</f>
        <v>Rollo Metaguard MG 102 Mate 1,6 x 50m</v>
      </c>
      <c r="C413">
        <v>3</v>
      </c>
      <c r="D413" t="s">
        <v>108</v>
      </c>
      <c r="E413" t="str">
        <f>VLOOKUP(Tabla1[[#This Row],[Cód. Atributo]],[1]!Tabla5[#Data],6,FALSE)</f>
        <v>Select</v>
      </c>
      <c r="F413">
        <v>2</v>
      </c>
      <c r="G413">
        <v>4</v>
      </c>
      <c r="H413" t="s">
        <v>109</v>
      </c>
      <c r="I413" t="str">
        <f>VLOOKUP(Tabla1[[#This Row],[Code]],'[1]Articulos Precio'!$A:$E,5,FALSE)</f>
        <v>A0000238</v>
      </c>
    </row>
    <row r="414" spans="1:9" x14ac:dyDescent="0.25">
      <c r="A414" t="s">
        <v>183</v>
      </c>
      <c r="B414" t="str">
        <f>VLOOKUP(Tabla1[[#This Row],[Code]],[1]!Tabla4[#Data],2,FALSE)</f>
        <v>Rollo Metaguard MG 102 Mate 1,6 x 50m</v>
      </c>
      <c r="C414">
        <v>23</v>
      </c>
      <c r="D414" t="s">
        <v>90</v>
      </c>
      <c r="E414" t="str">
        <f>VLOOKUP(Tabla1[[#This Row],[Cód. Atributo]],[1]!Tabla5[#Data],6,FALSE)</f>
        <v>Select</v>
      </c>
      <c r="F414">
        <v>3</v>
      </c>
      <c r="G414">
        <v>1</v>
      </c>
      <c r="H414" t="s">
        <v>110</v>
      </c>
      <c r="I414" t="str">
        <f>VLOOKUP(Tabla1[[#This Row],[Code]],'[1]Articulos Precio'!$A:$E,5,FALSE)</f>
        <v>A0000238</v>
      </c>
    </row>
    <row r="415" spans="1:9" x14ac:dyDescent="0.25">
      <c r="A415" t="s">
        <v>183</v>
      </c>
      <c r="B415" t="str">
        <f>VLOOKUP(Tabla1[[#This Row],[Code]],[1]!Tabla4[#Data],2,FALSE)</f>
        <v>Rollo Metaguard MG 102 Mate 1,6 x 50m</v>
      </c>
      <c r="C415">
        <v>25</v>
      </c>
      <c r="D415" t="s">
        <v>94</v>
      </c>
      <c r="E415" t="str">
        <f>VLOOKUP(Tabla1[[#This Row],[Cód. Atributo]],[1]!Tabla5[#Data],6,FALSE)</f>
        <v>Select</v>
      </c>
      <c r="F415">
        <v>4</v>
      </c>
      <c r="G415">
        <v>2</v>
      </c>
      <c r="H415" t="s">
        <v>111</v>
      </c>
      <c r="I415" t="str">
        <f>VLOOKUP(Tabla1[[#This Row],[Code]],'[1]Articulos Precio'!$A:$E,5,FALSE)</f>
        <v>A0000238</v>
      </c>
    </row>
    <row r="416" spans="1:9" x14ac:dyDescent="0.25">
      <c r="A416" t="s">
        <v>183</v>
      </c>
      <c r="B416" t="str">
        <f>VLOOKUP(Tabla1[[#This Row],[Code]],[1]!Tabla4[#Data],2,FALSE)</f>
        <v>Rollo Metaguard MG 102 Mate 1,6 x 50m</v>
      </c>
      <c r="C416">
        <v>30</v>
      </c>
      <c r="D416" t="s">
        <v>184</v>
      </c>
      <c r="E416" t="str">
        <f>VLOOKUP(Tabla1[[#This Row],[Cód. Atributo]],[1]!Tabla5[#Data],6,FALSE)</f>
        <v>Select</v>
      </c>
      <c r="F416">
        <v>5</v>
      </c>
      <c r="G416">
        <v>5</v>
      </c>
      <c r="H416" t="s">
        <v>185</v>
      </c>
      <c r="I416" t="str">
        <f>VLOOKUP(Tabla1[[#This Row],[Code]],'[1]Articulos Precio'!$A:$E,5,FALSE)</f>
        <v>A0000238</v>
      </c>
    </row>
    <row r="417" spans="1:9" x14ac:dyDescent="0.25">
      <c r="A417" t="s">
        <v>186</v>
      </c>
      <c r="B417" t="str">
        <f>VLOOKUP(Tabla1[[#This Row],[Code]],[1]!Tabla4[#Data],2,FALSE)</f>
        <v>Rollo Metaguard MG 102 Mate 1,37x50m</v>
      </c>
      <c r="C417">
        <v>3</v>
      </c>
      <c r="D417" t="s">
        <v>108</v>
      </c>
      <c r="E417" t="str">
        <f>VLOOKUP(Tabla1[[#This Row],[Cód. Atributo]],[1]!Tabla5[#Data],6,FALSE)</f>
        <v>Select</v>
      </c>
      <c r="F417">
        <v>2</v>
      </c>
      <c r="G417">
        <v>3</v>
      </c>
      <c r="H417" t="s">
        <v>117</v>
      </c>
      <c r="I417" t="str">
        <f>VLOOKUP(Tabla1[[#This Row],[Code]],'[1]Articulos Precio'!$A:$E,5,FALSE)</f>
        <v>A0000238</v>
      </c>
    </row>
    <row r="418" spans="1:9" x14ac:dyDescent="0.25">
      <c r="A418" t="s">
        <v>186</v>
      </c>
      <c r="B418" t="str">
        <f>VLOOKUP(Tabla1[[#This Row],[Code]],[1]!Tabla4[#Data],2,FALSE)</f>
        <v>Rollo Metaguard MG 102 Mate 1,37x50m</v>
      </c>
      <c r="C418">
        <v>23</v>
      </c>
      <c r="D418" t="s">
        <v>90</v>
      </c>
      <c r="E418" t="str">
        <f>VLOOKUP(Tabla1[[#This Row],[Cód. Atributo]],[1]!Tabla5[#Data],6,FALSE)</f>
        <v>Select</v>
      </c>
      <c r="F418">
        <v>3</v>
      </c>
      <c r="G418">
        <v>1</v>
      </c>
      <c r="H418" t="s">
        <v>110</v>
      </c>
      <c r="I418" t="str">
        <f>VLOOKUP(Tabla1[[#This Row],[Code]],'[1]Articulos Precio'!$A:$E,5,FALSE)</f>
        <v>A0000238</v>
      </c>
    </row>
    <row r="419" spans="1:9" x14ac:dyDescent="0.25">
      <c r="A419" t="s">
        <v>186</v>
      </c>
      <c r="B419" t="str">
        <f>VLOOKUP(Tabla1[[#This Row],[Code]],[1]!Tabla4[#Data],2,FALSE)</f>
        <v>Rollo Metaguard MG 102 Mate 1,37x50m</v>
      </c>
      <c r="C419">
        <v>25</v>
      </c>
      <c r="D419" t="s">
        <v>94</v>
      </c>
      <c r="E419" t="str">
        <f>VLOOKUP(Tabla1[[#This Row],[Cód. Atributo]],[1]!Tabla5[#Data],6,FALSE)</f>
        <v>Select</v>
      </c>
      <c r="F419">
        <v>4</v>
      </c>
      <c r="G419">
        <v>2</v>
      </c>
      <c r="H419" t="s">
        <v>111</v>
      </c>
      <c r="I419" t="str">
        <f>VLOOKUP(Tabla1[[#This Row],[Code]],'[1]Articulos Precio'!$A:$E,5,FALSE)</f>
        <v>A0000238</v>
      </c>
    </row>
    <row r="420" spans="1:9" x14ac:dyDescent="0.25">
      <c r="A420" t="s">
        <v>186</v>
      </c>
      <c r="B420" t="str">
        <f>VLOOKUP(Tabla1[[#This Row],[Code]],[1]!Tabla4[#Data],2,FALSE)</f>
        <v>Rollo Metaguard MG 102 Mate 1,37x50m</v>
      </c>
      <c r="C420">
        <v>30</v>
      </c>
      <c r="D420" t="s">
        <v>184</v>
      </c>
      <c r="E420" t="str">
        <f>VLOOKUP(Tabla1[[#This Row],[Cód. Atributo]],[1]!Tabla5[#Data],6,FALSE)</f>
        <v>Select</v>
      </c>
      <c r="F420">
        <v>5</v>
      </c>
      <c r="G420">
        <v>5</v>
      </c>
      <c r="H420" t="s">
        <v>185</v>
      </c>
      <c r="I420" t="str">
        <f>VLOOKUP(Tabla1[[#This Row],[Code]],'[1]Articulos Precio'!$A:$E,5,FALSE)</f>
        <v>A0000238</v>
      </c>
    </row>
    <row r="421" spans="1:9" x14ac:dyDescent="0.25">
      <c r="A421" t="s">
        <v>187</v>
      </c>
      <c r="B421" t="str">
        <f>VLOOKUP(Tabla1[[#This Row],[Code]],[1]!Tabla4[#Data],2,FALSE)</f>
        <v>Rollo Metaguard MG 102 Mate 1,05x50m</v>
      </c>
      <c r="C421">
        <v>3</v>
      </c>
      <c r="D421" t="s">
        <v>108</v>
      </c>
      <c r="E421" t="str">
        <f>VLOOKUP(Tabla1[[#This Row],[Cód. Atributo]],[1]!Tabla5[#Data],6,FALSE)</f>
        <v>Select</v>
      </c>
      <c r="F421">
        <v>2</v>
      </c>
      <c r="G421">
        <v>2</v>
      </c>
      <c r="H421" t="s">
        <v>119</v>
      </c>
      <c r="I421" t="str">
        <f>VLOOKUP(Tabla1[[#This Row],[Code]],'[1]Articulos Precio'!$A:$E,5,FALSE)</f>
        <v>A0000238</v>
      </c>
    </row>
    <row r="422" spans="1:9" x14ac:dyDescent="0.25">
      <c r="A422" t="s">
        <v>187</v>
      </c>
      <c r="B422" t="str">
        <f>VLOOKUP(Tabla1[[#This Row],[Code]],[1]!Tabla4[#Data],2,FALSE)</f>
        <v>Rollo Metaguard MG 102 Mate 1,05x50m</v>
      </c>
      <c r="C422">
        <v>23</v>
      </c>
      <c r="D422" t="s">
        <v>90</v>
      </c>
      <c r="E422" t="str">
        <f>VLOOKUP(Tabla1[[#This Row],[Cód. Atributo]],[1]!Tabla5[#Data],6,FALSE)</f>
        <v>Select</v>
      </c>
      <c r="F422">
        <v>3</v>
      </c>
      <c r="G422">
        <v>1</v>
      </c>
      <c r="H422" t="s">
        <v>110</v>
      </c>
      <c r="I422" t="str">
        <f>VLOOKUP(Tabla1[[#This Row],[Code]],'[1]Articulos Precio'!$A:$E,5,FALSE)</f>
        <v>A0000238</v>
      </c>
    </row>
    <row r="423" spans="1:9" x14ac:dyDescent="0.25">
      <c r="A423" t="s">
        <v>187</v>
      </c>
      <c r="B423" t="str">
        <f>VLOOKUP(Tabla1[[#This Row],[Code]],[1]!Tabla4[#Data],2,FALSE)</f>
        <v>Rollo Metaguard MG 102 Mate 1,05x50m</v>
      </c>
      <c r="C423">
        <v>25</v>
      </c>
      <c r="D423" t="s">
        <v>94</v>
      </c>
      <c r="E423" t="str">
        <f>VLOOKUP(Tabla1[[#This Row],[Cód. Atributo]],[1]!Tabla5[#Data],6,FALSE)</f>
        <v>Select</v>
      </c>
      <c r="F423">
        <v>4</v>
      </c>
      <c r="G423">
        <v>2</v>
      </c>
      <c r="H423" t="s">
        <v>111</v>
      </c>
      <c r="I423" t="str">
        <f>VLOOKUP(Tabla1[[#This Row],[Code]],'[1]Articulos Precio'!$A:$E,5,FALSE)</f>
        <v>A0000238</v>
      </c>
    </row>
    <row r="424" spans="1:9" x14ac:dyDescent="0.25">
      <c r="A424" t="s">
        <v>187</v>
      </c>
      <c r="B424" t="str">
        <f>VLOOKUP(Tabla1[[#This Row],[Code]],[1]!Tabla4[#Data],2,FALSE)</f>
        <v>Rollo Metaguard MG 102 Mate 1,05x50m</v>
      </c>
      <c r="C424">
        <v>30</v>
      </c>
      <c r="D424" t="s">
        <v>184</v>
      </c>
      <c r="E424" t="str">
        <f>VLOOKUP(Tabla1[[#This Row],[Cód. Atributo]],[1]!Tabla5[#Data],6,FALSE)</f>
        <v>Select</v>
      </c>
      <c r="F424">
        <v>5</v>
      </c>
      <c r="G424">
        <v>5</v>
      </c>
      <c r="H424" t="s">
        <v>185</v>
      </c>
      <c r="I424" t="str">
        <f>VLOOKUP(Tabla1[[#This Row],[Code]],'[1]Articulos Precio'!$A:$E,5,FALSE)</f>
        <v>A0000238</v>
      </c>
    </row>
    <row r="425" spans="1:9" x14ac:dyDescent="0.25">
      <c r="A425" t="s">
        <v>188</v>
      </c>
      <c r="B425" t="str">
        <f>VLOOKUP(Tabla1[[#This Row],[Code]],[1]!Tabla4[#Data],2,FALSE)</f>
        <v>Rollo Metaguard MG 105 Brillo 1,6 x 50m</v>
      </c>
      <c r="C425">
        <v>3</v>
      </c>
      <c r="D425" t="s">
        <v>108</v>
      </c>
      <c r="E425" t="str">
        <f>VLOOKUP(Tabla1[[#This Row],[Cód. Atributo]],[1]!Tabla5[#Data],6,FALSE)</f>
        <v>Select</v>
      </c>
      <c r="F425">
        <v>2</v>
      </c>
      <c r="G425">
        <v>4</v>
      </c>
      <c r="H425" t="s">
        <v>109</v>
      </c>
      <c r="I425" t="str">
        <f>VLOOKUP(Tabla1[[#This Row],[Code]],'[1]Articulos Precio'!$A:$E,5,FALSE)</f>
        <v>A0000238</v>
      </c>
    </row>
    <row r="426" spans="1:9" x14ac:dyDescent="0.25">
      <c r="A426" t="s">
        <v>188</v>
      </c>
      <c r="B426" t="str">
        <f>VLOOKUP(Tabla1[[#This Row],[Code]],[1]!Tabla4[#Data],2,FALSE)</f>
        <v>Rollo Metaguard MG 105 Brillo 1,6 x 50m</v>
      </c>
      <c r="C426">
        <v>23</v>
      </c>
      <c r="D426" t="s">
        <v>90</v>
      </c>
      <c r="E426" t="str">
        <f>VLOOKUP(Tabla1[[#This Row],[Cód. Atributo]],[1]!Tabla5[#Data],6,FALSE)</f>
        <v>Select</v>
      </c>
      <c r="F426">
        <v>3</v>
      </c>
      <c r="G426">
        <v>1</v>
      </c>
      <c r="H426" t="s">
        <v>110</v>
      </c>
      <c r="I426" t="str">
        <f>VLOOKUP(Tabla1[[#This Row],[Code]],'[1]Articulos Precio'!$A:$E,5,FALSE)</f>
        <v>A0000238</v>
      </c>
    </row>
    <row r="427" spans="1:9" x14ac:dyDescent="0.25">
      <c r="A427" t="s">
        <v>188</v>
      </c>
      <c r="B427" t="str">
        <f>VLOOKUP(Tabla1[[#This Row],[Code]],[1]!Tabla4[#Data],2,FALSE)</f>
        <v>Rollo Metaguard MG 105 Brillo 1,6 x 50m</v>
      </c>
      <c r="C427" t="s">
        <v>189</v>
      </c>
      <c r="D427" t="s">
        <v>94</v>
      </c>
      <c r="E427" t="e">
        <f>VLOOKUP(Tabla1[[#This Row],[Cód. Atributo]],[1]!Tabla5[#Data],6,FALSE)</f>
        <v>#N/A</v>
      </c>
      <c r="F427">
        <v>4</v>
      </c>
      <c r="G427">
        <v>2</v>
      </c>
      <c r="H427" t="s">
        <v>111</v>
      </c>
      <c r="I427" t="str">
        <f>VLOOKUP(Tabla1[[#This Row],[Code]],'[1]Articulos Precio'!$A:$E,5,FALSE)</f>
        <v>A0000238</v>
      </c>
    </row>
    <row r="428" spans="1:9" x14ac:dyDescent="0.25">
      <c r="A428" t="s">
        <v>188</v>
      </c>
      <c r="B428" t="str">
        <f>VLOOKUP(Tabla1[[#This Row],[Code]],[1]!Tabla4[#Data],2,FALSE)</f>
        <v>Rollo Metaguard MG 105 Brillo 1,6 x 50m</v>
      </c>
      <c r="C428">
        <v>30</v>
      </c>
      <c r="D428" t="s">
        <v>184</v>
      </c>
      <c r="E428" t="str">
        <f>VLOOKUP(Tabla1[[#This Row],[Cód. Atributo]],[1]!Tabla5[#Data],6,FALSE)</f>
        <v>Select</v>
      </c>
      <c r="F428">
        <v>5</v>
      </c>
      <c r="G428">
        <v>6</v>
      </c>
      <c r="H428" t="s">
        <v>190</v>
      </c>
      <c r="I428" t="str">
        <f>VLOOKUP(Tabla1[[#This Row],[Code]],'[1]Articulos Precio'!$A:$E,5,FALSE)</f>
        <v>A0000238</v>
      </c>
    </row>
    <row r="429" spans="1:9" x14ac:dyDescent="0.25">
      <c r="A429" t="s">
        <v>191</v>
      </c>
      <c r="B429" t="str">
        <f>VLOOKUP(Tabla1[[#This Row],[Code]],[1]!Tabla4[#Data],2,FALSE)</f>
        <v>Rollo Metaguard MG 105 Brillo 1,37x50m</v>
      </c>
      <c r="C429">
        <v>3</v>
      </c>
      <c r="D429" t="s">
        <v>108</v>
      </c>
      <c r="E429" t="str">
        <f>VLOOKUP(Tabla1[[#This Row],[Cód. Atributo]],[1]!Tabla5[#Data],6,FALSE)</f>
        <v>Select</v>
      </c>
      <c r="F429">
        <v>2</v>
      </c>
      <c r="G429">
        <v>3</v>
      </c>
      <c r="H429" t="s">
        <v>117</v>
      </c>
      <c r="I429" t="str">
        <f>VLOOKUP(Tabla1[[#This Row],[Code]],'[1]Articulos Precio'!$A:$E,5,FALSE)</f>
        <v>A0000238</v>
      </c>
    </row>
    <row r="430" spans="1:9" x14ac:dyDescent="0.25">
      <c r="A430" t="s">
        <v>191</v>
      </c>
      <c r="B430" t="str">
        <f>VLOOKUP(Tabla1[[#This Row],[Code]],[1]!Tabla4[#Data],2,FALSE)</f>
        <v>Rollo Metaguard MG 105 Brillo 1,37x50m</v>
      </c>
      <c r="C430">
        <v>23</v>
      </c>
      <c r="D430" t="s">
        <v>90</v>
      </c>
      <c r="E430" t="str">
        <f>VLOOKUP(Tabla1[[#This Row],[Cód. Atributo]],[1]!Tabla5[#Data],6,FALSE)</f>
        <v>Select</v>
      </c>
      <c r="F430">
        <v>3</v>
      </c>
      <c r="G430">
        <v>1</v>
      </c>
      <c r="H430" t="s">
        <v>110</v>
      </c>
      <c r="I430" t="str">
        <f>VLOOKUP(Tabla1[[#This Row],[Code]],'[1]Articulos Precio'!$A:$E,5,FALSE)</f>
        <v>A0000238</v>
      </c>
    </row>
    <row r="431" spans="1:9" x14ac:dyDescent="0.25">
      <c r="A431" t="s">
        <v>191</v>
      </c>
      <c r="B431" t="str">
        <f>VLOOKUP(Tabla1[[#This Row],[Code]],[1]!Tabla4[#Data],2,FALSE)</f>
        <v>Rollo Metaguard MG 105 Brillo 1,37x50m</v>
      </c>
      <c r="C431">
        <v>25</v>
      </c>
      <c r="D431" t="s">
        <v>94</v>
      </c>
      <c r="E431" t="str">
        <f>VLOOKUP(Tabla1[[#This Row],[Cód. Atributo]],[1]!Tabla5[#Data],6,FALSE)</f>
        <v>Select</v>
      </c>
      <c r="F431">
        <v>4</v>
      </c>
      <c r="G431">
        <v>2</v>
      </c>
      <c r="H431" t="s">
        <v>111</v>
      </c>
      <c r="I431" t="str">
        <f>VLOOKUP(Tabla1[[#This Row],[Code]],'[1]Articulos Precio'!$A:$E,5,FALSE)</f>
        <v>A0000238</v>
      </c>
    </row>
    <row r="432" spans="1:9" x14ac:dyDescent="0.25">
      <c r="A432" t="s">
        <v>191</v>
      </c>
      <c r="B432" t="str">
        <f>VLOOKUP(Tabla1[[#This Row],[Code]],[1]!Tabla4[#Data],2,FALSE)</f>
        <v>Rollo Metaguard MG 105 Brillo 1,37x50m</v>
      </c>
      <c r="C432">
        <v>30</v>
      </c>
      <c r="D432" t="s">
        <v>184</v>
      </c>
      <c r="E432" t="str">
        <f>VLOOKUP(Tabla1[[#This Row],[Cód. Atributo]],[1]!Tabla5[#Data],6,FALSE)</f>
        <v>Select</v>
      </c>
      <c r="F432">
        <v>5</v>
      </c>
      <c r="G432">
        <v>6</v>
      </c>
      <c r="H432" t="s">
        <v>190</v>
      </c>
      <c r="I432" t="str">
        <f>VLOOKUP(Tabla1[[#This Row],[Code]],'[1]Articulos Precio'!$A:$E,5,FALSE)</f>
        <v>A0000238</v>
      </c>
    </row>
    <row r="433" spans="1:9" x14ac:dyDescent="0.25">
      <c r="A433" t="s">
        <v>192</v>
      </c>
      <c r="B433" t="str">
        <f>VLOOKUP(Tabla1[[#This Row],[Code]],[1]!Tabla4[#Data],2,FALSE)</f>
        <v>Rollo Metaguard MG 105 Brillo 1,05x50m</v>
      </c>
      <c r="C433">
        <v>3</v>
      </c>
      <c r="D433" t="s">
        <v>108</v>
      </c>
      <c r="E433" t="str">
        <f>VLOOKUP(Tabla1[[#This Row],[Cód. Atributo]],[1]!Tabla5[#Data],6,FALSE)</f>
        <v>Select</v>
      </c>
      <c r="F433">
        <v>2</v>
      </c>
      <c r="G433">
        <v>2</v>
      </c>
      <c r="H433" t="s">
        <v>119</v>
      </c>
      <c r="I433" t="str">
        <f>VLOOKUP(Tabla1[[#This Row],[Code]],'[1]Articulos Precio'!$A:$E,5,FALSE)</f>
        <v>A0000238</v>
      </c>
    </row>
    <row r="434" spans="1:9" x14ac:dyDescent="0.25">
      <c r="A434" t="s">
        <v>192</v>
      </c>
      <c r="B434" t="str">
        <f>VLOOKUP(Tabla1[[#This Row],[Code]],[1]!Tabla4[#Data],2,FALSE)</f>
        <v>Rollo Metaguard MG 105 Brillo 1,05x50m</v>
      </c>
      <c r="C434">
        <v>23</v>
      </c>
      <c r="D434" t="s">
        <v>90</v>
      </c>
      <c r="E434" t="str">
        <f>VLOOKUP(Tabla1[[#This Row],[Cód. Atributo]],[1]!Tabla5[#Data],6,FALSE)</f>
        <v>Select</v>
      </c>
      <c r="F434">
        <v>3</v>
      </c>
      <c r="G434">
        <v>1</v>
      </c>
      <c r="H434" t="s">
        <v>110</v>
      </c>
      <c r="I434" t="str">
        <f>VLOOKUP(Tabla1[[#This Row],[Code]],'[1]Articulos Precio'!$A:$E,5,FALSE)</f>
        <v>A0000238</v>
      </c>
    </row>
    <row r="435" spans="1:9" x14ac:dyDescent="0.25">
      <c r="A435" t="s">
        <v>192</v>
      </c>
      <c r="B435" t="str">
        <f>VLOOKUP(Tabla1[[#This Row],[Code]],[1]!Tabla4[#Data],2,FALSE)</f>
        <v>Rollo Metaguard MG 105 Brillo 1,05x50m</v>
      </c>
      <c r="C435">
        <v>25</v>
      </c>
      <c r="D435" t="s">
        <v>94</v>
      </c>
      <c r="E435" t="str">
        <f>VLOOKUP(Tabla1[[#This Row],[Cód. Atributo]],[1]!Tabla5[#Data],6,FALSE)</f>
        <v>Select</v>
      </c>
      <c r="F435">
        <v>4</v>
      </c>
      <c r="G435">
        <v>2</v>
      </c>
      <c r="H435" t="s">
        <v>111</v>
      </c>
      <c r="I435" t="str">
        <f>VLOOKUP(Tabla1[[#This Row],[Code]],'[1]Articulos Precio'!$A:$E,5,FALSE)</f>
        <v>A0000238</v>
      </c>
    </row>
    <row r="436" spans="1:9" x14ac:dyDescent="0.25">
      <c r="A436" t="s">
        <v>192</v>
      </c>
      <c r="B436" t="str">
        <f>VLOOKUP(Tabla1[[#This Row],[Code]],[1]!Tabla4[#Data],2,FALSE)</f>
        <v>Rollo Metaguard MG 105 Brillo 1,05x50m</v>
      </c>
      <c r="C436">
        <v>30</v>
      </c>
      <c r="D436" t="s">
        <v>184</v>
      </c>
      <c r="E436" t="str">
        <f>VLOOKUP(Tabla1[[#This Row],[Cód. Atributo]],[1]!Tabla5[#Data],6,FALSE)</f>
        <v>Select</v>
      </c>
      <c r="F436">
        <v>5</v>
      </c>
      <c r="G436">
        <v>6</v>
      </c>
      <c r="H436" t="s">
        <v>190</v>
      </c>
      <c r="I436" t="str">
        <f>VLOOKUP(Tabla1[[#This Row],[Code]],'[1]Articulos Precio'!$A:$E,5,FALSE)</f>
        <v>A0000238</v>
      </c>
    </row>
    <row r="437" spans="1:9" x14ac:dyDescent="0.25">
      <c r="A437" t="s">
        <v>193</v>
      </c>
      <c r="B437" t="str">
        <f>VLOOKUP(Tabla1[[#This Row],[Code]],[1]!Tabla4[#Data],2,FALSE)</f>
        <v>Rollo Metaguard MG 302 Mate 1,6 x 50m</v>
      </c>
      <c r="C437">
        <v>3</v>
      </c>
      <c r="D437" t="s">
        <v>108</v>
      </c>
      <c r="E437" t="str">
        <f>VLOOKUP(Tabla1[[#This Row],[Cód. Atributo]],[1]!Tabla5[#Data],6,FALSE)</f>
        <v>Select</v>
      </c>
      <c r="F437">
        <v>2</v>
      </c>
      <c r="G437">
        <v>4</v>
      </c>
      <c r="H437" t="s">
        <v>109</v>
      </c>
      <c r="I437" t="str">
        <f>VLOOKUP(Tabla1[[#This Row],[Code]],'[1]Articulos Precio'!$A:$E,5,FALSE)</f>
        <v>A0000245</v>
      </c>
    </row>
    <row r="438" spans="1:9" x14ac:dyDescent="0.25">
      <c r="A438" t="s">
        <v>193</v>
      </c>
      <c r="B438" t="str">
        <f>VLOOKUP(Tabla1[[#This Row],[Code]],[1]!Tabla4[#Data],2,FALSE)</f>
        <v>Rollo Metaguard MG 302 Mate 1,6 x 50m</v>
      </c>
      <c r="C438">
        <v>23</v>
      </c>
      <c r="D438" t="s">
        <v>90</v>
      </c>
      <c r="E438" t="str">
        <f>VLOOKUP(Tabla1[[#This Row],[Cód. Atributo]],[1]!Tabla5[#Data],6,FALSE)</f>
        <v>Select</v>
      </c>
      <c r="F438">
        <v>3</v>
      </c>
      <c r="G438">
        <v>1</v>
      </c>
      <c r="H438" t="s">
        <v>110</v>
      </c>
      <c r="I438" t="str">
        <f>VLOOKUP(Tabla1[[#This Row],[Code]],'[1]Articulos Precio'!$A:$E,5,FALSE)</f>
        <v>A0000245</v>
      </c>
    </row>
    <row r="439" spans="1:9" x14ac:dyDescent="0.25">
      <c r="A439" t="s">
        <v>193</v>
      </c>
      <c r="B439" t="str">
        <f>VLOOKUP(Tabla1[[#This Row],[Code]],[1]!Tabla4[#Data],2,FALSE)</f>
        <v>Rollo Metaguard MG 302 Mate 1,6 x 50m</v>
      </c>
      <c r="C439">
        <v>25</v>
      </c>
      <c r="D439" t="s">
        <v>94</v>
      </c>
      <c r="E439" t="str">
        <f>VLOOKUP(Tabla1[[#This Row],[Cód. Atributo]],[1]!Tabla5[#Data],6,FALSE)</f>
        <v>Select</v>
      </c>
      <c r="F439">
        <v>4</v>
      </c>
      <c r="G439">
        <v>3</v>
      </c>
      <c r="H439" t="s">
        <v>134</v>
      </c>
      <c r="I439" t="str">
        <f>VLOOKUP(Tabla1[[#This Row],[Code]],'[1]Articulos Precio'!$A:$E,5,FALSE)</f>
        <v>A0000245</v>
      </c>
    </row>
    <row r="440" spans="1:9" x14ac:dyDescent="0.25">
      <c r="A440" t="s">
        <v>193</v>
      </c>
      <c r="B440" t="str">
        <f>VLOOKUP(Tabla1[[#This Row],[Code]],[1]!Tabla4[#Data],2,FALSE)</f>
        <v>Rollo Metaguard MG 302 Mate 1,6 x 50m</v>
      </c>
      <c r="C440">
        <v>30</v>
      </c>
      <c r="D440" t="s">
        <v>184</v>
      </c>
      <c r="E440" t="str">
        <f>VLOOKUP(Tabla1[[#This Row],[Cód. Atributo]],[1]!Tabla5[#Data],6,FALSE)</f>
        <v>Select</v>
      </c>
      <c r="F440">
        <v>5</v>
      </c>
      <c r="G440">
        <v>5</v>
      </c>
      <c r="H440" t="s">
        <v>185</v>
      </c>
      <c r="I440" t="str">
        <f>VLOOKUP(Tabla1[[#This Row],[Code]],'[1]Articulos Precio'!$A:$E,5,FALSE)</f>
        <v>A0000245</v>
      </c>
    </row>
    <row r="441" spans="1:9" x14ac:dyDescent="0.25">
      <c r="A441" t="s">
        <v>194</v>
      </c>
      <c r="B441" t="str">
        <f>VLOOKUP(Tabla1[[#This Row],[Code]],[1]!Tabla4[#Data],2,FALSE)</f>
        <v>Rollo Metaguard MG 302 Mate 1,37x50m</v>
      </c>
      <c r="C441">
        <v>3</v>
      </c>
      <c r="D441" t="s">
        <v>108</v>
      </c>
      <c r="E441" t="str">
        <f>VLOOKUP(Tabla1[[#This Row],[Cód. Atributo]],[1]!Tabla5[#Data],6,FALSE)</f>
        <v>Select</v>
      </c>
      <c r="F441">
        <v>1</v>
      </c>
      <c r="G441">
        <v>3</v>
      </c>
      <c r="H441" t="s">
        <v>117</v>
      </c>
      <c r="I441" t="str">
        <f>VLOOKUP(Tabla1[[#This Row],[Code]],'[1]Articulos Precio'!$A:$E,5,FALSE)</f>
        <v>A0000245</v>
      </c>
    </row>
    <row r="442" spans="1:9" x14ac:dyDescent="0.25">
      <c r="A442" t="s">
        <v>194</v>
      </c>
      <c r="B442" t="str">
        <f>VLOOKUP(Tabla1[[#This Row],[Code]],[1]!Tabla4[#Data],2,FALSE)</f>
        <v>Rollo Metaguard MG 302 Mate 1,37x50m</v>
      </c>
      <c r="C442">
        <v>23</v>
      </c>
      <c r="D442" t="s">
        <v>90</v>
      </c>
      <c r="E442" t="str">
        <f>VLOOKUP(Tabla1[[#This Row],[Cód. Atributo]],[1]!Tabla5[#Data],6,FALSE)</f>
        <v>Select</v>
      </c>
      <c r="F442">
        <v>2</v>
      </c>
      <c r="G442">
        <v>1</v>
      </c>
      <c r="H442" t="s">
        <v>110</v>
      </c>
      <c r="I442" t="str">
        <f>VLOOKUP(Tabla1[[#This Row],[Code]],'[1]Articulos Precio'!$A:$E,5,FALSE)</f>
        <v>A0000245</v>
      </c>
    </row>
    <row r="443" spans="1:9" x14ac:dyDescent="0.25">
      <c r="A443" t="s">
        <v>194</v>
      </c>
      <c r="B443" t="str">
        <f>VLOOKUP(Tabla1[[#This Row],[Code]],[1]!Tabla4[#Data],2,FALSE)</f>
        <v>Rollo Metaguard MG 302 Mate 1,37x50m</v>
      </c>
      <c r="C443">
        <v>25</v>
      </c>
      <c r="D443" t="s">
        <v>94</v>
      </c>
      <c r="E443" t="str">
        <f>VLOOKUP(Tabla1[[#This Row],[Cód. Atributo]],[1]!Tabla5[#Data],6,FALSE)</f>
        <v>Select</v>
      </c>
      <c r="F443">
        <v>3</v>
      </c>
      <c r="G443">
        <v>3</v>
      </c>
      <c r="H443" t="s">
        <v>134</v>
      </c>
      <c r="I443" t="str">
        <f>VLOOKUP(Tabla1[[#This Row],[Code]],'[1]Articulos Precio'!$A:$E,5,FALSE)</f>
        <v>A0000245</v>
      </c>
    </row>
    <row r="444" spans="1:9" x14ac:dyDescent="0.25">
      <c r="A444" t="s">
        <v>194</v>
      </c>
      <c r="B444" t="str">
        <f>VLOOKUP(Tabla1[[#This Row],[Code]],[1]!Tabla4[#Data],2,FALSE)</f>
        <v>Rollo Metaguard MG 302 Mate 1,37x50m</v>
      </c>
      <c r="C444">
        <v>30</v>
      </c>
      <c r="D444" t="s">
        <v>184</v>
      </c>
      <c r="E444" t="str">
        <f>VLOOKUP(Tabla1[[#This Row],[Cód. Atributo]],[1]!Tabla5[#Data],6,FALSE)</f>
        <v>Select</v>
      </c>
      <c r="F444">
        <v>4</v>
      </c>
      <c r="G444">
        <v>5</v>
      </c>
      <c r="H444" t="s">
        <v>185</v>
      </c>
      <c r="I444" t="str">
        <f>VLOOKUP(Tabla1[[#This Row],[Code]],'[1]Articulos Precio'!$A:$E,5,FALSE)</f>
        <v>A0000245</v>
      </c>
    </row>
    <row r="445" spans="1:9" x14ac:dyDescent="0.25">
      <c r="A445" t="s">
        <v>195</v>
      </c>
      <c r="B445" t="str">
        <f>VLOOKUP(Tabla1[[#This Row],[Code]],[1]!Tabla4[#Data],2,FALSE)</f>
        <v>Rollo Metaguard MG 305 Brillo 1,6 x 50m</v>
      </c>
      <c r="C445">
        <v>3</v>
      </c>
      <c r="D445" t="s">
        <v>108</v>
      </c>
      <c r="E445" t="str">
        <f>VLOOKUP(Tabla1[[#This Row],[Cód. Atributo]],[1]!Tabla5[#Data],6,FALSE)</f>
        <v>Select</v>
      </c>
      <c r="F445">
        <v>2</v>
      </c>
      <c r="G445">
        <v>4</v>
      </c>
      <c r="H445" t="s">
        <v>109</v>
      </c>
      <c r="I445" t="str">
        <f>VLOOKUP(Tabla1[[#This Row],[Code]],'[1]Articulos Precio'!$A:$E,5,FALSE)</f>
        <v>A0000245</v>
      </c>
    </row>
    <row r="446" spans="1:9" x14ac:dyDescent="0.25">
      <c r="A446" t="s">
        <v>195</v>
      </c>
      <c r="B446" t="str">
        <f>VLOOKUP(Tabla1[[#This Row],[Code]],[1]!Tabla4[#Data],2,FALSE)</f>
        <v>Rollo Metaguard MG 305 Brillo 1,6 x 50m</v>
      </c>
      <c r="C446">
        <v>23</v>
      </c>
      <c r="D446" t="s">
        <v>90</v>
      </c>
      <c r="E446" t="str">
        <f>VLOOKUP(Tabla1[[#This Row],[Cód. Atributo]],[1]!Tabla5[#Data],6,FALSE)</f>
        <v>Select</v>
      </c>
      <c r="F446">
        <v>3</v>
      </c>
      <c r="G446">
        <v>1</v>
      </c>
      <c r="H446" t="s">
        <v>110</v>
      </c>
      <c r="I446" t="str">
        <f>VLOOKUP(Tabla1[[#This Row],[Code]],'[1]Articulos Precio'!$A:$E,5,FALSE)</f>
        <v>A0000245</v>
      </c>
    </row>
    <row r="447" spans="1:9" x14ac:dyDescent="0.25">
      <c r="A447" t="s">
        <v>195</v>
      </c>
      <c r="B447" t="str">
        <f>VLOOKUP(Tabla1[[#This Row],[Code]],[1]!Tabla4[#Data],2,FALSE)</f>
        <v>Rollo Metaguard MG 305 Brillo 1,6 x 50m</v>
      </c>
      <c r="C447">
        <v>25</v>
      </c>
      <c r="D447" t="s">
        <v>94</v>
      </c>
      <c r="E447" t="str">
        <f>VLOOKUP(Tabla1[[#This Row],[Cód. Atributo]],[1]!Tabla5[#Data],6,FALSE)</f>
        <v>Select</v>
      </c>
      <c r="F447">
        <v>4</v>
      </c>
      <c r="G447">
        <v>3</v>
      </c>
      <c r="H447" t="s">
        <v>134</v>
      </c>
      <c r="I447" t="str">
        <f>VLOOKUP(Tabla1[[#This Row],[Code]],'[1]Articulos Precio'!$A:$E,5,FALSE)</f>
        <v>A0000245</v>
      </c>
    </row>
    <row r="448" spans="1:9" x14ac:dyDescent="0.25">
      <c r="A448" t="s">
        <v>195</v>
      </c>
      <c r="B448" t="str">
        <f>VLOOKUP(Tabla1[[#This Row],[Code]],[1]!Tabla4[#Data],2,FALSE)</f>
        <v>Rollo Metaguard MG 305 Brillo 1,6 x 50m</v>
      </c>
      <c r="C448">
        <v>30</v>
      </c>
      <c r="D448" t="s">
        <v>184</v>
      </c>
      <c r="E448" t="str">
        <f>VLOOKUP(Tabla1[[#This Row],[Cód. Atributo]],[1]!Tabla5[#Data],6,FALSE)</f>
        <v>Select</v>
      </c>
      <c r="F448">
        <v>5</v>
      </c>
      <c r="G448">
        <v>6</v>
      </c>
      <c r="H448" t="s">
        <v>190</v>
      </c>
      <c r="I448" t="str">
        <f>VLOOKUP(Tabla1[[#This Row],[Code]],'[1]Articulos Precio'!$A:$E,5,FALSE)</f>
        <v>A0000245</v>
      </c>
    </row>
    <row r="449" spans="1:9" x14ac:dyDescent="0.25">
      <c r="A449" t="s">
        <v>196</v>
      </c>
      <c r="B449" t="str">
        <f>VLOOKUP(Tabla1[[#This Row],[Code]],[1]!Tabla4[#Data],2,FALSE)</f>
        <v>Rollo Metaguard MG 305 Brillo 1,37x50m</v>
      </c>
      <c r="C449">
        <v>3</v>
      </c>
      <c r="D449" t="s">
        <v>108</v>
      </c>
      <c r="E449" t="str">
        <f>VLOOKUP(Tabla1[[#This Row],[Cód. Atributo]],[1]!Tabla5[#Data],6,FALSE)</f>
        <v>Select</v>
      </c>
      <c r="F449">
        <v>2</v>
      </c>
      <c r="G449">
        <v>3</v>
      </c>
      <c r="H449" t="s">
        <v>117</v>
      </c>
      <c r="I449" t="str">
        <f>VLOOKUP(Tabla1[[#This Row],[Code]],'[1]Articulos Precio'!$A:$E,5,FALSE)</f>
        <v>A0000245</v>
      </c>
    </row>
    <row r="450" spans="1:9" x14ac:dyDescent="0.25">
      <c r="A450" t="s">
        <v>196</v>
      </c>
      <c r="B450" t="str">
        <f>VLOOKUP(Tabla1[[#This Row],[Code]],[1]!Tabla4[#Data],2,FALSE)</f>
        <v>Rollo Metaguard MG 305 Brillo 1,37x50m</v>
      </c>
      <c r="C450">
        <v>23</v>
      </c>
      <c r="D450" t="s">
        <v>90</v>
      </c>
      <c r="E450" t="str">
        <f>VLOOKUP(Tabla1[[#This Row],[Cód. Atributo]],[1]!Tabla5[#Data],6,FALSE)</f>
        <v>Select</v>
      </c>
      <c r="F450">
        <v>3</v>
      </c>
      <c r="G450">
        <v>1</v>
      </c>
      <c r="H450" t="s">
        <v>110</v>
      </c>
      <c r="I450" t="str">
        <f>VLOOKUP(Tabla1[[#This Row],[Code]],'[1]Articulos Precio'!$A:$E,5,FALSE)</f>
        <v>A0000245</v>
      </c>
    </row>
    <row r="451" spans="1:9" x14ac:dyDescent="0.25">
      <c r="A451" t="s">
        <v>196</v>
      </c>
      <c r="B451" t="str">
        <f>VLOOKUP(Tabla1[[#This Row],[Code]],[1]!Tabla4[#Data],2,FALSE)</f>
        <v>Rollo Metaguard MG 305 Brillo 1,37x50m</v>
      </c>
      <c r="C451">
        <v>25</v>
      </c>
      <c r="D451" t="s">
        <v>94</v>
      </c>
      <c r="E451" t="str">
        <f>VLOOKUP(Tabla1[[#This Row],[Cód. Atributo]],[1]!Tabla5[#Data],6,FALSE)</f>
        <v>Select</v>
      </c>
      <c r="F451">
        <v>4</v>
      </c>
      <c r="G451">
        <v>3</v>
      </c>
      <c r="H451" t="s">
        <v>134</v>
      </c>
      <c r="I451" t="str">
        <f>VLOOKUP(Tabla1[[#This Row],[Code]],'[1]Articulos Precio'!$A:$E,5,FALSE)</f>
        <v>A0000245</v>
      </c>
    </row>
    <row r="452" spans="1:9" x14ac:dyDescent="0.25">
      <c r="A452" t="s">
        <v>196</v>
      </c>
      <c r="B452" t="str">
        <f>VLOOKUP(Tabla1[[#This Row],[Code]],[1]!Tabla4[#Data],2,FALSE)</f>
        <v>Rollo Metaguard MG 305 Brillo 1,37x50m</v>
      </c>
      <c r="C452">
        <v>30</v>
      </c>
      <c r="D452" t="s">
        <v>184</v>
      </c>
      <c r="E452" t="str">
        <f>VLOOKUP(Tabla1[[#This Row],[Cód. Atributo]],[1]!Tabla5[#Data],6,FALSE)</f>
        <v>Select</v>
      </c>
      <c r="F452">
        <v>5</v>
      </c>
      <c r="G452">
        <v>6</v>
      </c>
      <c r="H452" t="s">
        <v>190</v>
      </c>
      <c r="I452" t="str">
        <f>VLOOKUP(Tabla1[[#This Row],[Code]],'[1]Articulos Precio'!$A:$E,5,FALSE)</f>
        <v>A0000245</v>
      </c>
    </row>
    <row r="453" spans="1:9" x14ac:dyDescent="0.25">
      <c r="A453" t="s">
        <v>197</v>
      </c>
      <c r="B453" t="str">
        <f>VLOOKUP(Tabla1[[#This Row],[Code]],[1]!Tabla4[#Data],2,FALSE)</f>
        <v>Rollo Metaguard MG 702 Mate 1,6 x 50m</v>
      </c>
      <c r="C453">
        <v>3</v>
      </c>
      <c r="D453" t="s">
        <v>108</v>
      </c>
      <c r="E453" t="str">
        <f>VLOOKUP(Tabla1[[#This Row],[Cód. Atributo]],[1]!Tabla5[#Data],6,FALSE)</f>
        <v>Select</v>
      </c>
      <c r="F453">
        <v>2</v>
      </c>
      <c r="G453">
        <v>4</v>
      </c>
      <c r="H453" t="s">
        <v>109</v>
      </c>
      <c r="I453" t="str">
        <f>VLOOKUP(Tabla1[[#This Row],[Code]],'[1]Articulos Precio'!$A:$E,5,FALSE)</f>
        <v>A0000253</v>
      </c>
    </row>
    <row r="454" spans="1:9" x14ac:dyDescent="0.25">
      <c r="A454" t="s">
        <v>197</v>
      </c>
      <c r="B454" t="str">
        <f>VLOOKUP(Tabla1[[#This Row],[Code]],[1]!Tabla4[#Data],2,FALSE)</f>
        <v>Rollo Metaguard MG 702 Mate 1,6 x 50m</v>
      </c>
      <c r="C454">
        <v>23</v>
      </c>
      <c r="D454" t="s">
        <v>90</v>
      </c>
      <c r="E454" t="str">
        <f>VLOOKUP(Tabla1[[#This Row],[Cód. Atributo]],[1]!Tabla5[#Data],6,FALSE)</f>
        <v>Select</v>
      </c>
      <c r="F454">
        <v>3</v>
      </c>
      <c r="G454">
        <v>2</v>
      </c>
      <c r="H454" t="s">
        <v>136</v>
      </c>
      <c r="I454" t="str">
        <f>VLOOKUP(Tabla1[[#This Row],[Code]],'[1]Articulos Precio'!$A:$E,5,FALSE)</f>
        <v>A0000253</v>
      </c>
    </row>
    <row r="455" spans="1:9" x14ac:dyDescent="0.25">
      <c r="A455" t="s">
        <v>197</v>
      </c>
      <c r="B455" t="str">
        <f>VLOOKUP(Tabla1[[#This Row],[Code]],[1]!Tabla4[#Data],2,FALSE)</f>
        <v>Rollo Metaguard MG 702 Mate 1,6 x 50m</v>
      </c>
      <c r="C455">
        <v>25</v>
      </c>
      <c r="D455" t="s">
        <v>94</v>
      </c>
      <c r="E455" t="str">
        <f>VLOOKUP(Tabla1[[#This Row],[Cód. Atributo]],[1]!Tabla5[#Data],6,FALSE)</f>
        <v>Select</v>
      </c>
      <c r="F455">
        <v>4</v>
      </c>
      <c r="G455">
        <v>4</v>
      </c>
      <c r="H455" t="s">
        <v>137</v>
      </c>
      <c r="I455" t="str">
        <f>VLOOKUP(Tabla1[[#This Row],[Code]],'[1]Articulos Precio'!$A:$E,5,FALSE)</f>
        <v>A0000253</v>
      </c>
    </row>
    <row r="456" spans="1:9" x14ac:dyDescent="0.25">
      <c r="A456" t="s">
        <v>197</v>
      </c>
      <c r="B456" t="str">
        <f>VLOOKUP(Tabla1[[#This Row],[Code]],[1]!Tabla4[#Data],2,FALSE)</f>
        <v>Rollo Metaguard MG 702 Mate 1,6 x 50m</v>
      </c>
      <c r="C456">
        <v>30</v>
      </c>
      <c r="D456" t="s">
        <v>184</v>
      </c>
      <c r="E456" t="str">
        <f>VLOOKUP(Tabla1[[#This Row],[Cód. Atributo]],[1]!Tabla5[#Data],6,FALSE)</f>
        <v>Select</v>
      </c>
      <c r="F456">
        <v>5</v>
      </c>
      <c r="G456">
        <v>5</v>
      </c>
      <c r="H456" t="s">
        <v>185</v>
      </c>
      <c r="I456" t="str">
        <f>VLOOKUP(Tabla1[[#This Row],[Code]],'[1]Articulos Precio'!$A:$E,5,FALSE)</f>
        <v>A0000253</v>
      </c>
    </row>
    <row r="457" spans="1:9" x14ac:dyDescent="0.25">
      <c r="A457" t="s">
        <v>198</v>
      </c>
      <c r="B457" t="str">
        <f>VLOOKUP(Tabla1[[#This Row],[Code]],[1]!Tabla4[#Data],2,FALSE)</f>
        <v>Rollo Metaguard MG 702 Mate 1,37x50m</v>
      </c>
      <c r="C457">
        <v>3</v>
      </c>
      <c r="D457" t="s">
        <v>108</v>
      </c>
      <c r="E457" t="str">
        <f>VLOOKUP(Tabla1[[#This Row],[Cód. Atributo]],[1]!Tabla5[#Data],6,FALSE)</f>
        <v>Select</v>
      </c>
      <c r="F457">
        <v>2</v>
      </c>
      <c r="G457">
        <v>3</v>
      </c>
      <c r="H457" t="s">
        <v>117</v>
      </c>
      <c r="I457" t="str">
        <f>VLOOKUP(Tabla1[[#This Row],[Code]],'[1]Articulos Precio'!$A:$E,5,FALSE)</f>
        <v>A0000253</v>
      </c>
    </row>
    <row r="458" spans="1:9" x14ac:dyDescent="0.25">
      <c r="A458" t="s">
        <v>198</v>
      </c>
      <c r="B458" t="str">
        <f>VLOOKUP(Tabla1[[#This Row],[Code]],[1]!Tabla4[#Data],2,FALSE)</f>
        <v>Rollo Metaguard MG 702 Mate 1,37x50m</v>
      </c>
      <c r="C458">
        <v>23</v>
      </c>
      <c r="D458" t="s">
        <v>90</v>
      </c>
      <c r="E458" t="str">
        <f>VLOOKUP(Tabla1[[#This Row],[Cód. Atributo]],[1]!Tabla5[#Data],6,FALSE)</f>
        <v>Select</v>
      </c>
      <c r="F458">
        <v>3</v>
      </c>
      <c r="G458">
        <v>2</v>
      </c>
      <c r="H458" t="s">
        <v>136</v>
      </c>
      <c r="I458" t="str">
        <f>VLOOKUP(Tabla1[[#This Row],[Code]],'[1]Articulos Precio'!$A:$E,5,FALSE)</f>
        <v>A0000253</v>
      </c>
    </row>
    <row r="459" spans="1:9" x14ac:dyDescent="0.25">
      <c r="A459" t="s">
        <v>198</v>
      </c>
      <c r="B459" t="str">
        <f>VLOOKUP(Tabla1[[#This Row],[Code]],[1]!Tabla4[#Data],2,FALSE)</f>
        <v>Rollo Metaguard MG 702 Mate 1,37x50m</v>
      </c>
      <c r="C459">
        <v>25</v>
      </c>
      <c r="D459" t="s">
        <v>94</v>
      </c>
      <c r="E459" t="str">
        <f>VLOOKUP(Tabla1[[#This Row],[Cód. Atributo]],[1]!Tabla5[#Data],6,FALSE)</f>
        <v>Select</v>
      </c>
      <c r="F459">
        <v>4</v>
      </c>
      <c r="G459">
        <v>4</v>
      </c>
      <c r="H459" t="s">
        <v>137</v>
      </c>
      <c r="I459" t="str">
        <f>VLOOKUP(Tabla1[[#This Row],[Code]],'[1]Articulos Precio'!$A:$E,5,FALSE)</f>
        <v>A0000253</v>
      </c>
    </row>
    <row r="460" spans="1:9" x14ac:dyDescent="0.25">
      <c r="A460" t="s">
        <v>198</v>
      </c>
      <c r="B460" t="str">
        <f>VLOOKUP(Tabla1[[#This Row],[Code]],[1]!Tabla4[#Data],2,FALSE)</f>
        <v>Rollo Metaguard MG 702 Mate 1,37x50m</v>
      </c>
      <c r="C460">
        <v>30</v>
      </c>
      <c r="D460" t="s">
        <v>184</v>
      </c>
      <c r="E460" t="str">
        <f>VLOOKUP(Tabla1[[#This Row],[Cód. Atributo]],[1]!Tabla5[#Data],6,FALSE)</f>
        <v>Select</v>
      </c>
      <c r="F460">
        <v>5</v>
      </c>
      <c r="G460">
        <v>5</v>
      </c>
      <c r="H460" t="s">
        <v>185</v>
      </c>
      <c r="I460" t="str">
        <f>VLOOKUP(Tabla1[[#This Row],[Code]],'[1]Articulos Precio'!$A:$E,5,FALSE)</f>
        <v>A0000253</v>
      </c>
    </row>
    <row r="461" spans="1:9" x14ac:dyDescent="0.25">
      <c r="A461" t="s">
        <v>199</v>
      </c>
      <c r="B461" t="str">
        <f>VLOOKUP(Tabla1[[#This Row],[Code]],[1]!Tabla4[#Data],2,FALSE)</f>
        <v>Rollo Metaguard MG 702 Mate 1,05x50m</v>
      </c>
      <c r="C461">
        <v>3</v>
      </c>
      <c r="D461" t="s">
        <v>108</v>
      </c>
      <c r="E461" t="str">
        <f>VLOOKUP(Tabla1[[#This Row],[Cód. Atributo]],[1]!Tabla5[#Data],6,FALSE)</f>
        <v>Select</v>
      </c>
      <c r="F461">
        <v>2</v>
      </c>
      <c r="G461">
        <v>2</v>
      </c>
      <c r="H461" t="s">
        <v>119</v>
      </c>
      <c r="I461" t="str">
        <f>VLOOKUP(Tabla1[[#This Row],[Code]],'[1]Articulos Precio'!$A:$E,5,FALSE)</f>
        <v>A0000253</v>
      </c>
    </row>
    <row r="462" spans="1:9" x14ac:dyDescent="0.25">
      <c r="A462" t="s">
        <v>199</v>
      </c>
      <c r="B462" t="str">
        <f>VLOOKUP(Tabla1[[#This Row],[Code]],[1]!Tabla4[#Data],2,FALSE)</f>
        <v>Rollo Metaguard MG 702 Mate 1,05x50m</v>
      </c>
      <c r="C462">
        <v>23</v>
      </c>
      <c r="D462" t="s">
        <v>90</v>
      </c>
      <c r="E462" t="str">
        <f>VLOOKUP(Tabla1[[#This Row],[Cód. Atributo]],[1]!Tabla5[#Data],6,FALSE)</f>
        <v>Select</v>
      </c>
      <c r="F462">
        <v>3</v>
      </c>
      <c r="G462">
        <v>2</v>
      </c>
      <c r="H462" t="s">
        <v>136</v>
      </c>
      <c r="I462" t="str">
        <f>VLOOKUP(Tabla1[[#This Row],[Code]],'[1]Articulos Precio'!$A:$E,5,FALSE)</f>
        <v>A0000253</v>
      </c>
    </row>
    <row r="463" spans="1:9" x14ac:dyDescent="0.25">
      <c r="A463" t="s">
        <v>199</v>
      </c>
      <c r="B463" t="str">
        <f>VLOOKUP(Tabla1[[#This Row],[Code]],[1]!Tabla4[#Data],2,FALSE)</f>
        <v>Rollo Metaguard MG 702 Mate 1,05x50m</v>
      </c>
      <c r="C463">
        <v>25</v>
      </c>
      <c r="D463" t="s">
        <v>94</v>
      </c>
      <c r="E463" t="str">
        <f>VLOOKUP(Tabla1[[#This Row],[Cód. Atributo]],[1]!Tabla5[#Data],6,FALSE)</f>
        <v>Select</v>
      </c>
      <c r="F463">
        <v>4</v>
      </c>
      <c r="G463">
        <v>4</v>
      </c>
      <c r="H463" t="s">
        <v>137</v>
      </c>
      <c r="I463" t="str">
        <f>VLOOKUP(Tabla1[[#This Row],[Code]],'[1]Articulos Precio'!$A:$E,5,FALSE)</f>
        <v>A0000253</v>
      </c>
    </row>
    <row r="464" spans="1:9" x14ac:dyDescent="0.25">
      <c r="A464" t="s">
        <v>199</v>
      </c>
      <c r="B464" t="str">
        <f>VLOOKUP(Tabla1[[#This Row],[Code]],[1]!Tabla4[#Data],2,FALSE)</f>
        <v>Rollo Metaguard MG 702 Mate 1,05x50m</v>
      </c>
      <c r="C464">
        <v>30</v>
      </c>
      <c r="D464" t="s">
        <v>184</v>
      </c>
      <c r="E464" t="str">
        <f>VLOOKUP(Tabla1[[#This Row],[Cód. Atributo]],[1]!Tabla5[#Data],6,FALSE)</f>
        <v>Select</v>
      </c>
      <c r="F464">
        <v>5</v>
      </c>
      <c r="G464">
        <v>5</v>
      </c>
      <c r="H464" t="s">
        <v>185</v>
      </c>
      <c r="I464" t="str">
        <f>VLOOKUP(Tabla1[[#This Row],[Code]],'[1]Articulos Precio'!$A:$E,5,FALSE)</f>
        <v>A0000253</v>
      </c>
    </row>
    <row r="465" spans="1:9" x14ac:dyDescent="0.25">
      <c r="A465" t="s">
        <v>200</v>
      </c>
      <c r="B465" t="str">
        <f>VLOOKUP(Tabla1[[#This Row],[Code]],[1]!Tabla4[#Data],2,FALSE)</f>
        <v>Rollo Metaguard MG 705 Brillo 1,6 x 50m</v>
      </c>
      <c r="C465">
        <v>3</v>
      </c>
      <c r="D465" t="s">
        <v>108</v>
      </c>
      <c r="E465" t="str">
        <f>VLOOKUP(Tabla1[[#This Row],[Cód. Atributo]],[1]!Tabla5[#Data],6,FALSE)</f>
        <v>Select</v>
      </c>
      <c r="F465">
        <v>2</v>
      </c>
      <c r="G465">
        <v>4</v>
      </c>
      <c r="H465" t="s">
        <v>109</v>
      </c>
      <c r="I465" t="str">
        <f>VLOOKUP(Tabla1[[#This Row],[Code]],'[1]Articulos Precio'!$A:$E,5,FALSE)</f>
        <v>A0000253</v>
      </c>
    </row>
    <row r="466" spans="1:9" x14ac:dyDescent="0.25">
      <c r="A466" t="s">
        <v>200</v>
      </c>
      <c r="B466" t="str">
        <f>VLOOKUP(Tabla1[[#This Row],[Code]],[1]!Tabla4[#Data],2,FALSE)</f>
        <v>Rollo Metaguard MG 705 Brillo 1,6 x 50m</v>
      </c>
      <c r="C466">
        <v>23</v>
      </c>
      <c r="D466" t="s">
        <v>90</v>
      </c>
      <c r="E466" t="str">
        <f>VLOOKUP(Tabla1[[#This Row],[Cód. Atributo]],[1]!Tabla5[#Data],6,FALSE)</f>
        <v>Select</v>
      </c>
      <c r="F466">
        <v>3</v>
      </c>
      <c r="G466">
        <v>2</v>
      </c>
      <c r="H466" t="s">
        <v>136</v>
      </c>
      <c r="I466" t="str">
        <f>VLOOKUP(Tabla1[[#This Row],[Code]],'[1]Articulos Precio'!$A:$E,5,FALSE)</f>
        <v>A0000253</v>
      </c>
    </row>
    <row r="467" spans="1:9" x14ac:dyDescent="0.25">
      <c r="A467" t="s">
        <v>200</v>
      </c>
      <c r="B467" t="str">
        <f>VLOOKUP(Tabla1[[#This Row],[Code]],[1]!Tabla4[#Data],2,FALSE)</f>
        <v>Rollo Metaguard MG 705 Brillo 1,6 x 50m</v>
      </c>
      <c r="C467">
        <v>25</v>
      </c>
      <c r="D467" t="s">
        <v>94</v>
      </c>
      <c r="E467" t="str">
        <f>VLOOKUP(Tabla1[[#This Row],[Cód. Atributo]],[1]!Tabla5[#Data],6,FALSE)</f>
        <v>Select</v>
      </c>
      <c r="F467">
        <v>4</v>
      </c>
      <c r="G467">
        <v>4</v>
      </c>
      <c r="H467" t="s">
        <v>137</v>
      </c>
      <c r="I467" t="str">
        <f>VLOOKUP(Tabla1[[#This Row],[Code]],'[1]Articulos Precio'!$A:$E,5,FALSE)</f>
        <v>A0000253</v>
      </c>
    </row>
    <row r="468" spans="1:9" x14ac:dyDescent="0.25">
      <c r="A468" t="s">
        <v>200</v>
      </c>
      <c r="B468" t="str">
        <f>VLOOKUP(Tabla1[[#This Row],[Code]],[1]!Tabla4[#Data],2,FALSE)</f>
        <v>Rollo Metaguard MG 705 Brillo 1,6 x 50m</v>
      </c>
      <c r="C468">
        <v>30</v>
      </c>
      <c r="D468" t="s">
        <v>184</v>
      </c>
      <c r="E468" t="str">
        <f>VLOOKUP(Tabla1[[#This Row],[Cód. Atributo]],[1]!Tabla5[#Data],6,FALSE)</f>
        <v>Select</v>
      </c>
      <c r="F468">
        <v>5</v>
      </c>
      <c r="G468">
        <v>6</v>
      </c>
      <c r="H468" t="s">
        <v>190</v>
      </c>
      <c r="I468" t="str">
        <f>VLOOKUP(Tabla1[[#This Row],[Code]],'[1]Articulos Precio'!$A:$E,5,FALSE)</f>
        <v>A0000253</v>
      </c>
    </row>
    <row r="469" spans="1:9" x14ac:dyDescent="0.25">
      <c r="A469" t="s">
        <v>201</v>
      </c>
      <c r="B469" t="str">
        <f>VLOOKUP(Tabla1[[#This Row],[Code]],[1]!Tabla4[#Data],2,FALSE)</f>
        <v>Rollo Metaguard MG 705 Brillo 1,37x50m</v>
      </c>
      <c r="C469">
        <v>3</v>
      </c>
      <c r="D469" t="s">
        <v>108</v>
      </c>
      <c r="E469" t="str">
        <f>VLOOKUP(Tabla1[[#This Row],[Cód. Atributo]],[1]!Tabla5[#Data],6,FALSE)</f>
        <v>Select</v>
      </c>
      <c r="F469">
        <v>2</v>
      </c>
      <c r="G469">
        <v>3</v>
      </c>
      <c r="H469" t="s">
        <v>117</v>
      </c>
      <c r="I469" t="str">
        <f>VLOOKUP(Tabla1[[#This Row],[Code]],'[1]Articulos Precio'!$A:$E,5,FALSE)</f>
        <v>A0000253</v>
      </c>
    </row>
    <row r="470" spans="1:9" x14ac:dyDescent="0.25">
      <c r="A470" t="s">
        <v>201</v>
      </c>
      <c r="B470" t="str">
        <f>VLOOKUP(Tabla1[[#This Row],[Code]],[1]!Tabla4[#Data],2,FALSE)</f>
        <v>Rollo Metaguard MG 705 Brillo 1,37x50m</v>
      </c>
      <c r="C470">
        <v>23</v>
      </c>
      <c r="D470" t="s">
        <v>90</v>
      </c>
      <c r="E470" t="str">
        <f>VLOOKUP(Tabla1[[#This Row],[Cód. Atributo]],[1]!Tabla5[#Data],6,FALSE)</f>
        <v>Select</v>
      </c>
      <c r="F470">
        <v>3</v>
      </c>
      <c r="G470">
        <v>2</v>
      </c>
      <c r="H470" t="s">
        <v>136</v>
      </c>
      <c r="I470" t="str">
        <f>VLOOKUP(Tabla1[[#This Row],[Code]],'[1]Articulos Precio'!$A:$E,5,FALSE)</f>
        <v>A0000253</v>
      </c>
    </row>
    <row r="471" spans="1:9" x14ac:dyDescent="0.25">
      <c r="A471" t="s">
        <v>201</v>
      </c>
      <c r="B471" t="str">
        <f>VLOOKUP(Tabla1[[#This Row],[Code]],[1]!Tabla4[#Data],2,FALSE)</f>
        <v>Rollo Metaguard MG 705 Brillo 1,37x50m</v>
      </c>
      <c r="C471">
        <v>25</v>
      </c>
      <c r="D471" t="s">
        <v>94</v>
      </c>
      <c r="E471" t="str">
        <f>VLOOKUP(Tabla1[[#This Row],[Cód. Atributo]],[1]!Tabla5[#Data],6,FALSE)</f>
        <v>Select</v>
      </c>
      <c r="F471">
        <v>4</v>
      </c>
      <c r="G471">
        <v>4</v>
      </c>
      <c r="H471" t="s">
        <v>137</v>
      </c>
      <c r="I471" t="str">
        <f>VLOOKUP(Tabla1[[#This Row],[Code]],'[1]Articulos Precio'!$A:$E,5,FALSE)</f>
        <v>A0000253</v>
      </c>
    </row>
    <row r="472" spans="1:9" x14ac:dyDescent="0.25">
      <c r="A472" t="s">
        <v>201</v>
      </c>
      <c r="B472" t="str">
        <f>VLOOKUP(Tabla1[[#This Row],[Code]],[1]!Tabla4[#Data],2,FALSE)</f>
        <v>Rollo Metaguard MG 705 Brillo 1,37x50m</v>
      </c>
      <c r="C472">
        <v>30</v>
      </c>
      <c r="D472" t="s">
        <v>184</v>
      </c>
      <c r="E472" t="str">
        <f>VLOOKUP(Tabla1[[#This Row],[Cód. Atributo]],[1]!Tabla5[#Data],6,FALSE)</f>
        <v>Select</v>
      </c>
      <c r="F472">
        <v>5</v>
      </c>
      <c r="G472">
        <v>6</v>
      </c>
      <c r="H472" t="s">
        <v>190</v>
      </c>
      <c r="I472" t="str">
        <f>VLOOKUP(Tabla1[[#This Row],[Code]],'[1]Articulos Precio'!$A:$E,5,FALSE)</f>
        <v>A0000253</v>
      </c>
    </row>
    <row r="473" spans="1:9" x14ac:dyDescent="0.25">
      <c r="A473" t="s">
        <v>202</v>
      </c>
      <c r="B473" t="str">
        <f>VLOOKUP(Tabla1[[#This Row],[Code]],[1]!Tabla4[#Data],2,FALSE)</f>
        <v>Rollo Metaguard MG 705 Brillo 1,05x50m</v>
      </c>
      <c r="C473">
        <v>3</v>
      </c>
      <c r="D473" t="s">
        <v>108</v>
      </c>
      <c r="E473" t="str">
        <f>VLOOKUP(Tabla1[[#This Row],[Cód. Atributo]],[1]!Tabla5[#Data],6,FALSE)</f>
        <v>Select</v>
      </c>
      <c r="F473">
        <v>2</v>
      </c>
      <c r="G473">
        <v>2</v>
      </c>
      <c r="H473" t="s">
        <v>119</v>
      </c>
      <c r="I473" t="str">
        <f>VLOOKUP(Tabla1[[#This Row],[Code]],'[1]Articulos Precio'!$A:$E,5,FALSE)</f>
        <v>A0000253</v>
      </c>
    </row>
    <row r="474" spans="1:9" x14ac:dyDescent="0.25">
      <c r="A474" t="s">
        <v>202</v>
      </c>
      <c r="B474" t="str">
        <f>VLOOKUP(Tabla1[[#This Row],[Code]],[1]!Tabla4[#Data],2,FALSE)</f>
        <v>Rollo Metaguard MG 705 Brillo 1,05x50m</v>
      </c>
      <c r="C474">
        <v>23</v>
      </c>
      <c r="D474" t="s">
        <v>90</v>
      </c>
      <c r="E474" t="str">
        <f>VLOOKUP(Tabla1[[#This Row],[Cód. Atributo]],[1]!Tabla5[#Data],6,FALSE)</f>
        <v>Select</v>
      </c>
      <c r="F474">
        <v>3</v>
      </c>
      <c r="G474">
        <v>2</v>
      </c>
      <c r="H474" t="s">
        <v>136</v>
      </c>
      <c r="I474" t="str">
        <f>VLOOKUP(Tabla1[[#This Row],[Code]],'[1]Articulos Precio'!$A:$E,5,FALSE)</f>
        <v>A0000253</v>
      </c>
    </row>
    <row r="475" spans="1:9" x14ac:dyDescent="0.25">
      <c r="A475" t="s">
        <v>202</v>
      </c>
      <c r="B475" t="str">
        <f>VLOOKUP(Tabla1[[#This Row],[Code]],[1]!Tabla4[#Data],2,FALSE)</f>
        <v>Rollo Metaguard MG 705 Brillo 1,05x50m</v>
      </c>
      <c r="C475">
        <v>25</v>
      </c>
      <c r="D475" t="s">
        <v>94</v>
      </c>
      <c r="E475" t="str">
        <f>VLOOKUP(Tabla1[[#This Row],[Cód. Atributo]],[1]!Tabla5[#Data],6,FALSE)</f>
        <v>Select</v>
      </c>
      <c r="F475">
        <v>4</v>
      </c>
      <c r="G475">
        <v>4</v>
      </c>
      <c r="H475" t="s">
        <v>137</v>
      </c>
      <c r="I475" t="str">
        <f>VLOOKUP(Tabla1[[#This Row],[Code]],'[1]Articulos Precio'!$A:$E,5,FALSE)</f>
        <v>A0000253</v>
      </c>
    </row>
    <row r="476" spans="1:9" x14ac:dyDescent="0.25">
      <c r="A476" t="s">
        <v>202</v>
      </c>
      <c r="B476" t="str">
        <f>VLOOKUP(Tabla1[[#This Row],[Code]],[1]!Tabla4[#Data],2,FALSE)</f>
        <v>Rollo Metaguard MG 705 Brillo 1,05x50m</v>
      </c>
      <c r="C476">
        <v>30</v>
      </c>
      <c r="D476" t="s">
        <v>184</v>
      </c>
      <c r="E476" t="str">
        <f>VLOOKUP(Tabla1[[#This Row],[Cód. Atributo]],[1]!Tabla5[#Data],6,FALSE)</f>
        <v>Select</v>
      </c>
      <c r="F476">
        <v>5</v>
      </c>
      <c r="G476">
        <v>6</v>
      </c>
      <c r="H476" t="s">
        <v>190</v>
      </c>
      <c r="I476" t="str">
        <f>VLOOKUP(Tabla1[[#This Row],[Code]],'[1]Articulos Precio'!$A:$E,5,FALSE)</f>
        <v>A0000253</v>
      </c>
    </row>
    <row r="477" spans="1:9" x14ac:dyDescent="0.25">
      <c r="A477" t="s">
        <v>203</v>
      </c>
      <c r="B477" t="str">
        <f>VLOOKUP(Tabla1[[#This Row],[Code]],[1]!Tabla4[#Data],2,FALSE)</f>
        <v>Rollo MetaGuard UV 102 Mate 1,6 x 50m</v>
      </c>
      <c r="C477">
        <v>3</v>
      </c>
      <c r="D477" t="s">
        <v>108</v>
      </c>
      <c r="E477" t="str">
        <f>VLOOKUP(Tabla1[[#This Row],[Cód. Atributo]],[1]!Tabla5[#Data],6,FALSE)</f>
        <v>Select</v>
      </c>
      <c r="F477">
        <v>2</v>
      </c>
      <c r="G477">
        <v>4</v>
      </c>
      <c r="H477" t="s">
        <v>109</v>
      </c>
      <c r="I477" t="str">
        <f>VLOOKUP(Tabla1[[#This Row],[Code]],'[1]Articulos Precio'!$A:$E,5,FALSE)</f>
        <v>A0000259</v>
      </c>
    </row>
    <row r="478" spans="1:9" x14ac:dyDescent="0.25">
      <c r="A478" t="s">
        <v>203</v>
      </c>
      <c r="B478" t="str">
        <f>VLOOKUP(Tabla1[[#This Row],[Code]],[1]!Tabla4[#Data],2,FALSE)</f>
        <v>Rollo MetaGuard UV 102 Mate 1,6 x 50m</v>
      </c>
      <c r="C478">
        <v>23</v>
      </c>
      <c r="D478" t="s">
        <v>90</v>
      </c>
      <c r="E478" t="str">
        <f>VLOOKUP(Tabla1[[#This Row],[Cód. Atributo]],[1]!Tabla5[#Data],6,FALSE)</f>
        <v>Select</v>
      </c>
      <c r="F478">
        <v>3</v>
      </c>
      <c r="G478">
        <v>1</v>
      </c>
      <c r="H478" t="s">
        <v>110</v>
      </c>
      <c r="I478" t="str">
        <f>VLOOKUP(Tabla1[[#This Row],[Code]],'[1]Articulos Precio'!$A:$E,5,FALSE)</f>
        <v>A0000259</v>
      </c>
    </row>
    <row r="479" spans="1:9" x14ac:dyDescent="0.25">
      <c r="A479" t="s">
        <v>203</v>
      </c>
      <c r="B479" t="str">
        <f>VLOOKUP(Tabla1[[#This Row],[Code]],[1]!Tabla4[#Data],2,FALSE)</f>
        <v>Rollo MetaGuard UV 102 Mate 1,6 x 50m</v>
      </c>
      <c r="C479">
        <v>25</v>
      </c>
      <c r="D479" t="s">
        <v>94</v>
      </c>
      <c r="E479" t="str">
        <f>VLOOKUP(Tabla1[[#This Row],[Cód. Atributo]],[1]!Tabla5[#Data],6,FALSE)</f>
        <v>Select</v>
      </c>
      <c r="F479">
        <v>4</v>
      </c>
      <c r="G479">
        <v>2</v>
      </c>
      <c r="H479" t="s">
        <v>111</v>
      </c>
      <c r="I479" t="str">
        <f>VLOOKUP(Tabla1[[#This Row],[Code]],'[1]Articulos Precio'!$A:$E,5,FALSE)</f>
        <v>A0000259</v>
      </c>
    </row>
    <row r="480" spans="1:9" x14ac:dyDescent="0.25">
      <c r="A480" t="s">
        <v>203</v>
      </c>
      <c r="B480" t="str">
        <f>VLOOKUP(Tabla1[[#This Row],[Code]],[1]!Tabla4[#Data],2,FALSE)</f>
        <v>Rollo MetaGuard UV 102 Mate 1,6 x 50m</v>
      </c>
      <c r="C480">
        <v>30</v>
      </c>
      <c r="D480" t="s">
        <v>184</v>
      </c>
      <c r="E480" t="str">
        <f>VLOOKUP(Tabla1[[#This Row],[Cód. Atributo]],[1]!Tabla5[#Data],6,FALSE)</f>
        <v>Select</v>
      </c>
      <c r="F480">
        <v>5</v>
      </c>
      <c r="G480">
        <v>5</v>
      </c>
      <c r="H480" t="s">
        <v>185</v>
      </c>
      <c r="I480" t="str">
        <f>VLOOKUP(Tabla1[[#This Row],[Code]],'[1]Articulos Precio'!$A:$E,5,FALSE)</f>
        <v>A0000259</v>
      </c>
    </row>
    <row r="481" spans="1:9" x14ac:dyDescent="0.25">
      <c r="A481" t="s">
        <v>204</v>
      </c>
      <c r="B481" t="str">
        <f>VLOOKUP(Tabla1[[#This Row],[Code]],[1]!Tabla4[#Data],2,FALSE)</f>
        <v>Rollo MetaGuard UV 102 Mate 1,37x50m</v>
      </c>
      <c r="C481">
        <v>3</v>
      </c>
      <c r="D481" t="s">
        <v>108</v>
      </c>
      <c r="E481" t="str">
        <f>VLOOKUP(Tabla1[[#This Row],[Cód. Atributo]],[1]!Tabla5[#Data],6,FALSE)</f>
        <v>Select</v>
      </c>
      <c r="F481">
        <v>2</v>
      </c>
      <c r="G481">
        <v>3</v>
      </c>
      <c r="H481" t="s">
        <v>117</v>
      </c>
      <c r="I481" t="str">
        <f>VLOOKUP(Tabla1[[#This Row],[Code]],'[1]Articulos Precio'!$A:$E,5,FALSE)</f>
        <v>A0000259</v>
      </c>
    </row>
    <row r="482" spans="1:9" x14ac:dyDescent="0.25">
      <c r="A482" t="s">
        <v>204</v>
      </c>
      <c r="B482" t="str">
        <f>VLOOKUP(Tabla1[[#This Row],[Code]],[1]!Tabla4[#Data],2,FALSE)</f>
        <v>Rollo MetaGuard UV 102 Mate 1,37x50m</v>
      </c>
      <c r="C482">
        <v>23</v>
      </c>
      <c r="D482" t="s">
        <v>90</v>
      </c>
      <c r="E482" t="str">
        <f>VLOOKUP(Tabla1[[#This Row],[Cód. Atributo]],[1]!Tabla5[#Data],6,FALSE)</f>
        <v>Select</v>
      </c>
      <c r="F482">
        <v>3</v>
      </c>
      <c r="G482">
        <v>1</v>
      </c>
      <c r="H482" t="s">
        <v>110</v>
      </c>
      <c r="I482" t="str">
        <f>VLOOKUP(Tabla1[[#This Row],[Code]],'[1]Articulos Precio'!$A:$E,5,FALSE)</f>
        <v>A0000259</v>
      </c>
    </row>
    <row r="483" spans="1:9" x14ac:dyDescent="0.25">
      <c r="A483" t="s">
        <v>204</v>
      </c>
      <c r="B483" t="str">
        <f>VLOOKUP(Tabla1[[#This Row],[Code]],[1]!Tabla4[#Data],2,FALSE)</f>
        <v>Rollo MetaGuard UV 102 Mate 1,37x50m</v>
      </c>
      <c r="C483">
        <v>25</v>
      </c>
      <c r="D483" t="s">
        <v>94</v>
      </c>
      <c r="E483" t="str">
        <f>VLOOKUP(Tabla1[[#This Row],[Cód. Atributo]],[1]!Tabla5[#Data],6,FALSE)</f>
        <v>Select</v>
      </c>
      <c r="F483">
        <v>4</v>
      </c>
      <c r="G483">
        <v>2</v>
      </c>
      <c r="H483" t="s">
        <v>111</v>
      </c>
      <c r="I483" t="str">
        <f>VLOOKUP(Tabla1[[#This Row],[Code]],'[1]Articulos Precio'!$A:$E,5,FALSE)</f>
        <v>A0000259</v>
      </c>
    </row>
    <row r="484" spans="1:9" x14ac:dyDescent="0.25">
      <c r="A484" t="s">
        <v>204</v>
      </c>
      <c r="B484" t="str">
        <f>VLOOKUP(Tabla1[[#This Row],[Code]],[1]!Tabla4[#Data],2,FALSE)</f>
        <v>Rollo MetaGuard UV 102 Mate 1,37x50m</v>
      </c>
      <c r="C484">
        <v>30</v>
      </c>
      <c r="D484" t="s">
        <v>184</v>
      </c>
      <c r="E484" t="str">
        <f>VLOOKUP(Tabla1[[#This Row],[Cód. Atributo]],[1]!Tabla5[#Data],6,FALSE)</f>
        <v>Select</v>
      </c>
      <c r="F484">
        <v>5</v>
      </c>
      <c r="G484">
        <v>5</v>
      </c>
      <c r="H484" t="s">
        <v>185</v>
      </c>
      <c r="I484" t="str">
        <f>VLOOKUP(Tabla1[[#This Row],[Code]],'[1]Articulos Precio'!$A:$E,5,FALSE)</f>
        <v>A0000259</v>
      </c>
    </row>
    <row r="485" spans="1:9" x14ac:dyDescent="0.25">
      <c r="A485" t="s">
        <v>205</v>
      </c>
      <c r="B485" t="str">
        <f>VLOOKUP(Tabla1[[#This Row],[Code]],[1]!Tabla4[#Data],2,FALSE)</f>
        <v>Rollo MetaGuard UV 105 Brillo 1,6 x 50m</v>
      </c>
      <c r="C485">
        <v>3</v>
      </c>
      <c r="D485" t="s">
        <v>108</v>
      </c>
      <c r="E485" t="str">
        <f>VLOOKUP(Tabla1[[#This Row],[Cód. Atributo]],[1]!Tabla5[#Data],6,FALSE)</f>
        <v>Select</v>
      </c>
      <c r="F485">
        <v>2</v>
      </c>
      <c r="G485">
        <v>4</v>
      </c>
      <c r="H485" t="s">
        <v>109</v>
      </c>
      <c r="I485" t="str">
        <f>VLOOKUP(Tabla1[[#This Row],[Code]],'[1]Articulos Precio'!$A:$E,5,FALSE)</f>
        <v>A0000259</v>
      </c>
    </row>
    <row r="486" spans="1:9" x14ac:dyDescent="0.25">
      <c r="A486" t="s">
        <v>205</v>
      </c>
      <c r="B486" t="str">
        <f>VLOOKUP(Tabla1[[#This Row],[Code]],[1]!Tabla4[#Data],2,FALSE)</f>
        <v>Rollo MetaGuard UV 105 Brillo 1,6 x 50m</v>
      </c>
      <c r="C486">
        <v>23</v>
      </c>
      <c r="D486" t="s">
        <v>90</v>
      </c>
      <c r="E486" t="str">
        <f>VLOOKUP(Tabla1[[#This Row],[Cód. Atributo]],[1]!Tabla5[#Data],6,FALSE)</f>
        <v>Select</v>
      </c>
      <c r="F486">
        <v>3</v>
      </c>
      <c r="G486">
        <v>1</v>
      </c>
      <c r="H486" t="s">
        <v>110</v>
      </c>
      <c r="I486" t="str">
        <f>VLOOKUP(Tabla1[[#This Row],[Code]],'[1]Articulos Precio'!$A:$E,5,FALSE)</f>
        <v>A0000259</v>
      </c>
    </row>
    <row r="487" spans="1:9" x14ac:dyDescent="0.25">
      <c r="A487" t="s">
        <v>205</v>
      </c>
      <c r="B487" t="str">
        <f>VLOOKUP(Tabla1[[#This Row],[Code]],[1]!Tabla4[#Data],2,FALSE)</f>
        <v>Rollo MetaGuard UV 105 Brillo 1,6 x 50m</v>
      </c>
      <c r="C487">
        <v>25</v>
      </c>
      <c r="D487" t="s">
        <v>94</v>
      </c>
      <c r="E487" t="str">
        <f>VLOOKUP(Tabla1[[#This Row],[Cód. Atributo]],[1]!Tabla5[#Data],6,FALSE)</f>
        <v>Select</v>
      </c>
      <c r="F487">
        <v>4</v>
      </c>
      <c r="G487">
        <v>2</v>
      </c>
      <c r="H487" t="s">
        <v>111</v>
      </c>
      <c r="I487" t="str">
        <f>VLOOKUP(Tabla1[[#This Row],[Code]],'[1]Articulos Precio'!$A:$E,5,FALSE)</f>
        <v>A0000259</v>
      </c>
    </row>
    <row r="488" spans="1:9" x14ac:dyDescent="0.25">
      <c r="A488" t="s">
        <v>205</v>
      </c>
      <c r="B488" t="str">
        <f>VLOOKUP(Tabla1[[#This Row],[Code]],[1]!Tabla4[#Data],2,FALSE)</f>
        <v>Rollo MetaGuard UV 105 Brillo 1,6 x 50m</v>
      </c>
      <c r="C488">
        <v>30</v>
      </c>
      <c r="D488" t="s">
        <v>184</v>
      </c>
      <c r="E488" t="str">
        <f>VLOOKUP(Tabla1[[#This Row],[Cód. Atributo]],[1]!Tabla5[#Data],6,FALSE)</f>
        <v>Select</v>
      </c>
      <c r="F488">
        <v>5</v>
      </c>
      <c r="G488">
        <v>6</v>
      </c>
      <c r="H488" t="s">
        <v>190</v>
      </c>
      <c r="I488" t="str">
        <f>VLOOKUP(Tabla1[[#This Row],[Code]],'[1]Articulos Precio'!$A:$E,5,FALSE)</f>
        <v>A0000259</v>
      </c>
    </row>
    <row r="489" spans="1:9" x14ac:dyDescent="0.25">
      <c r="A489" t="s">
        <v>206</v>
      </c>
      <c r="B489" t="str">
        <f>VLOOKUP(Tabla1[[#This Row],[Code]],[1]!Tabla4[#Data],2,FALSE)</f>
        <v>Rollo MetaGuard UV 105 Brillo 1,37x50m</v>
      </c>
      <c r="C489">
        <v>3</v>
      </c>
      <c r="D489" t="s">
        <v>108</v>
      </c>
      <c r="E489" t="str">
        <f>VLOOKUP(Tabla1[[#This Row],[Cód. Atributo]],[1]!Tabla5[#Data],6,FALSE)</f>
        <v>Select</v>
      </c>
      <c r="F489">
        <v>2</v>
      </c>
      <c r="G489">
        <v>3</v>
      </c>
      <c r="H489" t="s">
        <v>117</v>
      </c>
      <c r="I489" t="str">
        <f>VLOOKUP(Tabla1[[#This Row],[Code]],'[1]Articulos Precio'!$A:$E,5,FALSE)</f>
        <v>A0000259</v>
      </c>
    </row>
    <row r="490" spans="1:9" x14ac:dyDescent="0.25">
      <c r="A490" t="s">
        <v>206</v>
      </c>
      <c r="B490" t="str">
        <f>VLOOKUP(Tabla1[[#This Row],[Code]],[1]!Tabla4[#Data],2,FALSE)</f>
        <v>Rollo MetaGuard UV 105 Brillo 1,37x50m</v>
      </c>
      <c r="C490">
        <v>23</v>
      </c>
      <c r="D490" t="s">
        <v>90</v>
      </c>
      <c r="E490" t="str">
        <f>VLOOKUP(Tabla1[[#This Row],[Cód. Atributo]],[1]!Tabla5[#Data],6,FALSE)</f>
        <v>Select</v>
      </c>
      <c r="F490">
        <v>3</v>
      </c>
      <c r="G490">
        <v>1</v>
      </c>
      <c r="H490" t="s">
        <v>110</v>
      </c>
      <c r="I490" t="str">
        <f>VLOOKUP(Tabla1[[#This Row],[Code]],'[1]Articulos Precio'!$A:$E,5,FALSE)</f>
        <v>A0000259</v>
      </c>
    </row>
    <row r="491" spans="1:9" x14ac:dyDescent="0.25">
      <c r="A491" t="s">
        <v>206</v>
      </c>
      <c r="B491" t="str">
        <f>VLOOKUP(Tabla1[[#This Row],[Code]],[1]!Tabla4[#Data],2,FALSE)</f>
        <v>Rollo MetaGuard UV 105 Brillo 1,37x50m</v>
      </c>
      <c r="C491">
        <v>25</v>
      </c>
      <c r="D491" t="s">
        <v>94</v>
      </c>
      <c r="E491" t="str">
        <f>VLOOKUP(Tabla1[[#This Row],[Cód. Atributo]],[1]!Tabla5[#Data],6,FALSE)</f>
        <v>Select</v>
      </c>
      <c r="F491">
        <v>4</v>
      </c>
      <c r="G491">
        <v>2</v>
      </c>
      <c r="H491" t="s">
        <v>111</v>
      </c>
      <c r="I491" t="str">
        <f>VLOOKUP(Tabla1[[#This Row],[Code]],'[1]Articulos Precio'!$A:$E,5,FALSE)</f>
        <v>A0000259</v>
      </c>
    </row>
    <row r="492" spans="1:9" x14ac:dyDescent="0.25">
      <c r="A492" t="s">
        <v>206</v>
      </c>
      <c r="B492" t="str">
        <f>VLOOKUP(Tabla1[[#This Row],[Code]],[1]!Tabla4[#Data],2,FALSE)</f>
        <v>Rollo MetaGuard UV 105 Brillo 1,37x50m</v>
      </c>
      <c r="C492">
        <v>30</v>
      </c>
      <c r="D492" t="s">
        <v>184</v>
      </c>
      <c r="E492" t="str">
        <f>VLOOKUP(Tabla1[[#This Row],[Cód. Atributo]],[1]!Tabla5[#Data],6,FALSE)</f>
        <v>Select</v>
      </c>
      <c r="F492">
        <v>5</v>
      </c>
      <c r="G492">
        <v>5</v>
      </c>
      <c r="H492" t="s">
        <v>185</v>
      </c>
      <c r="I492" t="str">
        <f>VLOOKUP(Tabla1[[#This Row],[Code]],'[1]Articulos Precio'!$A:$E,5,FALSE)</f>
        <v>A0000259</v>
      </c>
    </row>
    <row r="493" spans="1:9" x14ac:dyDescent="0.25">
      <c r="A493" t="s">
        <v>207</v>
      </c>
      <c r="B493" t="str">
        <f>VLOOKUP(Tabla1[[#This Row],[Code]],[1]!Tabla4[#Data],2,FALSE)</f>
        <v>Rollo MetaGuard Decor 001 Artisan 1,52x25m</v>
      </c>
      <c r="C493">
        <v>3</v>
      </c>
      <c r="D493" t="s">
        <v>108</v>
      </c>
      <c r="E493" t="str">
        <f>VLOOKUP(Tabla1[[#This Row],[Cód. Atributo]],[1]!Tabla5[#Data],6,FALSE)</f>
        <v>Select</v>
      </c>
      <c r="F493">
        <v>1</v>
      </c>
      <c r="G493">
        <v>5</v>
      </c>
      <c r="H493" t="s">
        <v>87</v>
      </c>
      <c r="I493" t="str">
        <f>VLOOKUP(Tabla1[[#This Row],[Code]],'[1]Articulos Precio'!$A:$E,5,FALSE)</f>
        <v>A0000263</v>
      </c>
    </row>
    <row r="494" spans="1:9" x14ac:dyDescent="0.25">
      <c r="A494" t="s">
        <v>207</v>
      </c>
      <c r="B494" t="str">
        <f>VLOOKUP(Tabla1[[#This Row],[Code]],[1]!Tabla4[#Data],2,FALSE)</f>
        <v>Rollo MetaGuard Decor 001 Artisan 1,52x25m</v>
      </c>
      <c r="C494">
        <v>11</v>
      </c>
      <c r="D494" t="s">
        <v>208</v>
      </c>
      <c r="E494" t="str">
        <f>VLOOKUP(Tabla1[[#This Row],[Cód. Atributo]],[1]!Tabla5[#Data],6,FALSE)</f>
        <v>Color</v>
      </c>
      <c r="F494">
        <v>2</v>
      </c>
      <c r="G494">
        <v>1</v>
      </c>
      <c r="H494" t="s">
        <v>209</v>
      </c>
      <c r="I494" t="str">
        <f>VLOOKUP(Tabla1[[#This Row],[Code]],'[1]Articulos Precio'!$A:$E,5,FALSE)</f>
        <v>A0000263</v>
      </c>
    </row>
    <row r="495" spans="1:9" x14ac:dyDescent="0.25">
      <c r="A495" t="s">
        <v>207</v>
      </c>
      <c r="B495" t="str">
        <f>VLOOKUP(Tabla1[[#This Row],[Code]],[1]!Tabla4[#Data],2,FALSE)</f>
        <v>Rollo MetaGuard Decor 001 Artisan 1,52x25m</v>
      </c>
      <c r="C495">
        <v>23</v>
      </c>
      <c r="D495" t="s">
        <v>90</v>
      </c>
      <c r="E495" t="str">
        <f>VLOOKUP(Tabla1[[#This Row],[Cód. Atributo]],[1]!Tabla5[#Data],6,FALSE)</f>
        <v>Select</v>
      </c>
      <c r="F495">
        <v>3</v>
      </c>
      <c r="G495">
        <v>2</v>
      </c>
      <c r="H495" t="s">
        <v>136</v>
      </c>
      <c r="I495" t="str">
        <f>VLOOKUP(Tabla1[[#This Row],[Code]],'[1]Articulos Precio'!$A:$E,5,FALSE)</f>
        <v>A0000263</v>
      </c>
    </row>
    <row r="496" spans="1:9" x14ac:dyDescent="0.25">
      <c r="A496" t="s">
        <v>207</v>
      </c>
      <c r="B496" t="str">
        <f>VLOOKUP(Tabla1[[#This Row],[Code]],[1]!Tabla4[#Data],2,FALSE)</f>
        <v>Rollo MetaGuard Decor 001 Artisan 1,52x25m</v>
      </c>
      <c r="C496">
        <v>25</v>
      </c>
      <c r="D496" t="s">
        <v>94</v>
      </c>
      <c r="E496" t="str">
        <f>VLOOKUP(Tabla1[[#This Row],[Cód. Atributo]],[1]!Tabla5[#Data],6,FALSE)</f>
        <v>Select</v>
      </c>
      <c r="F496">
        <v>4</v>
      </c>
      <c r="G496">
        <v>4</v>
      </c>
      <c r="H496" t="s">
        <v>137</v>
      </c>
      <c r="I496" t="str">
        <f>VLOOKUP(Tabla1[[#This Row],[Code]],'[1]Articulos Precio'!$A:$E,5,FALSE)</f>
        <v>A0000263</v>
      </c>
    </row>
    <row r="497" spans="1:9" x14ac:dyDescent="0.25">
      <c r="A497" t="s">
        <v>207</v>
      </c>
      <c r="B497" t="str">
        <f>VLOOKUP(Tabla1[[#This Row],[Code]],[1]!Tabla4[#Data],2,FALSE)</f>
        <v>Rollo MetaGuard Decor 001 Artisan 1,52x25m</v>
      </c>
      <c r="C497">
        <v>30</v>
      </c>
      <c r="D497" t="s">
        <v>184</v>
      </c>
      <c r="E497" t="str">
        <f>VLOOKUP(Tabla1[[#This Row],[Cód. Atributo]],[1]!Tabla5[#Data],6,FALSE)</f>
        <v>Select</v>
      </c>
      <c r="F497">
        <v>5</v>
      </c>
      <c r="G497">
        <v>4</v>
      </c>
      <c r="H497" t="s">
        <v>210</v>
      </c>
      <c r="I497" t="str">
        <f>VLOOKUP(Tabla1[[#This Row],[Code]],'[1]Articulos Precio'!$A:$E,5,FALSE)</f>
        <v>A0000263</v>
      </c>
    </row>
    <row r="498" spans="1:9" x14ac:dyDescent="0.25">
      <c r="A498" t="s">
        <v>211</v>
      </c>
      <c r="B498" t="str">
        <f>VLOOKUP(Tabla1[[#This Row],[Code]],[1]!Tabla4[#Data],2,FALSE)</f>
        <v>Rollo MetaGuard Decor 001 Artisan 1,37x25m</v>
      </c>
      <c r="C498">
        <v>3</v>
      </c>
      <c r="D498" t="s">
        <v>108</v>
      </c>
      <c r="E498" t="str">
        <f>VLOOKUP(Tabla1[[#This Row],[Cód. Atributo]],[1]!Tabla5[#Data],6,FALSE)</f>
        <v>Select</v>
      </c>
      <c r="F498">
        <v>1</v>
      </c>
      <c r="G498">
        <v>3</v>
      </c>
      <c r="H498" t="s">
        <v>117</v>
      </c>
      <c r="I498" t="str">
        <f>VLOOKUP(Tabla1[[#This Row],[Code]],'[1]Articulos Precio'!$A:$E,5,FALSE)</f>
        <v>A0000263</v>
      </c>
    </row>
    <row r="499" spans="1:9" x14ac:dyDescent="0.25">
      <c r="A499" t="s">
        <v>211</v>
      </c>
      <c r="B499" t="str">
        <f>VLOOKUP(Tabla1[[#This Row],[Code]],[1]!Tabla4[#Data],2,FALSE)</f>
        <v>Rollo MetaGuard Decor 001 Artisan 1,37x25m</v>
      </c>
      <c r="C499">
        <v>11</v>
      </c>
      <c r="D499" t="s">
        <v>208</v>
      </c>
      <c r="E499" t="str">
        <f>VLOOKUP(Tabla1[[#This Row],[Cód. Atributo]],[1]!Tabla5[#Data],6,FALSE)</f>
        <v>Color</v>
      </c>
      <c r="F499">
        <v>2</v>
      </c>
      <c r="G499">
        <v>1</v>
      </c>
      <c r="H499" t="s">
        <v>209</v>
      </c>
      <c r="I499" t="str">
        <f>VLOOKUP(Tabla1[[#This Row],[Code]],'[1]Articulos Precio'!$A:$E,5,FALSE)</f>
        <v>A0000263</v>
      </c>
    </row>
    <row r="500" spans="1:9" x14ac:dyDescent="0.25">
      <c r="A500" t="s">
        <v>211</v>
      </c>
      <c r="B500" t="str">
        <f>VLOOKUP(Tabla1[[#This Row],[Code]],[1]!Tabla4[#Data],2,FALSE)</f>
        <v>Rollo MetaGuard Decor 001 Artisan 1,37x25m</v>
      </c>
      <c r="C500">
        <v>23</v>
      </c>
      <c r="D500" t="s">
        <v>90</v>
      </c>
      <c r="E500" t="str">
        <f>VLOOKUP(Tabla1[[#This Row],[Cód. Atributo]],[1]!Tabla5[#Data],6,FALSE)</f>
        <v>Select</v>
      </c>
      <c r="F500">
        <v>3</v>
      </c>
      <c r="G500">
        <v>2</v>
      </c>
      <c r="H500" t="s">
        <v>136</v>
      </c>
      <c r="I500" t="str">
        <f>VLOOKUP(Tabla1[[#This Row],[Code]],'[1]Articulos Precio'!$A:$E,5,FALSE)</f>
        <v>A0000263</v>
      </c>
    </row>
    <row r="501" spans="1:9" x14ac:dyDescent="0.25">
      <c r="A501" t="s">
        <v>211</v>
      </c>
      <c r="B501" t="str">
        <f>VLOOKUP(Tabla1[[#This Row],[Code]],[1]!Tabla4[#Data],2,FALSE)</f>
        <v>Rollo MetaGuard Decor 001 Artisan 1,37x25m</v>
      </c>
      <c r="C501">
        <v>25</v>
      </c>
      <c r="D501" t="s">
        <v>94</v>
      </c>
      <c r="E501" t="str">
        <f>VLOOKUP(Tabla1[[#This Row],[Cód. Atributo]],[1]!Tabla5[#Data],6,FALSE)</f>
        <v>Select</v>
      </c>
      <c r="F501">
        <v>4</v>
      </c>
      <c r="G501">
        <v>4</v>
      </c>
      <c r="H501" t="s">
        <v>137</v>
      </c>
      <c r="I501" t="str">
        <f>VLOOKUP(Tabla1[[#This Row],[Code]],'[1]Articulos Precio'!$A:$E,5,FALSE)</f>
        <v>A0000263</v>
      </c>
    </row>
    <row r="502" spans="1:9" x14ac:dyDescent="0.25">
      <c r="A502" t="s">
        <v>211</v>
      </c>
      <c r="B502" t="str">
        <f>VLOOKUP(Tabla1[[#This Row],[Code]],[1]!Tabla4[#Data],2,FALSE)</f>
        <v>Rollo MetaGuard Decor 001 Artisan 1,37x25m</v>
      </c>
      <c r="C502">
        <v>30</v>
      </c>
      <c r="D502" t="s">
        <v>184</v>
      </c>
      <c r="E502" t="str">
        <f>VLOOKUP(Tabla1[[#This Row],[Cód. Atributo]],[1]!Tabla5[#Data],6,FALSE)</f>
        <v>Select</v>
      </c>
      <c r="F502">
        <v>5</v>
      </c>
      <c r="G502">
        <v>4</v>
      </c>
      <c r="H502" t="s">
        <v>210</v>
      </c>
      <c r="I502" t="str">
        <f>VLOOKUP(Tabla1[[#This Row],[Code]],'[1]Articulos Precio'!$A:$E,5,FALSE)</f>
        <v>A0000263</v>
      </c>
    </row>
    <row r="503" spans="1:9" x14ac:dyDescent="0.25">
      <c r="A503" t="s">
        <v>212</v>
      </c>
      <c r="B503" t="str">
        <f>VLOOKUP(Tabla1[[#This Row],[Code]],[1]!Tabla4[#Data],2,FALSE)</f>
        <v>Rollo MetaGuard Decor 002 Arena 1,52x25m</v>
      </c>
      <c r="C503">
        <v>3</v>
      </c>
      <c r="D503" t="s">
        <v>108</v>
      </c>
      <c r="E503" t="str">
        <f>VLOOKUP(Tabla1[[#This Row],[Cód. Atributo]],[1]!Tabla5[#Data],6,FALSE)</f>
        <v>Select</v>
      </c>
      <c r="F503">
        <v>1</v>
      </c>
      <c r="G503">
        <v>5</v>
      </c>
      <c r="H503" t="s">
        <v>87</v>
      </c>
      <c r="I503" t="str">
        <f>VLOOKUP(Tabla1[[#This Row],[Code]],'[1]Articulos Precio'!$A:$E,5,FALSE)</f>
        <v>A0000265</v>
      </c>
    </row>
    <row r="504" spans="1:9" x14ac:dyDescent="0.25">
      <c r="A504" t="s">
        <v>212</v>
      </c>
      <c r="B504" t="str">
        <f>VLOOKUP(Tabla1[[#This Row],[Code]],[1]!Tabla4[#Data],2,FALSE)</f>
        <v>Rollo MetaGuard Decor 002 Arena 1,52x25m</v>
      </c>
      <c r="C504">
        <v>11</v>
      </c>
      <c r="D504" t="s">
        <v>208</v>
      </c>
      <c r="E504" t="str">
        <f>VLOOKUP(Tabla1[[#This Row],[Cód. Atributo]],[1]!Tabla5[#Data],6,FALSE)</f>
        <v>Color</v>
      </c>
      <c r="F504">
        <v>2</v>
      </c>
      <c r="G504">
        <v>2</v>
      </c>
      <c r="H504" t="s">
        <v>213</v>
      </c>
      <c r="I504" t="str">
        <f>VLOOKUP(Tabla1[[#This Row],[Code]],'[1]Articulos Precio'!$A:$E,5,FALSE)</f>
        <v>A0000265</v>
      </c>
    </row>
    <row r="505" spans="1:9" x14ac:dyDescent="0.25">
      <c r="A505" t="s">
        <v>212</v>
      </c>
      <c r="B505" t="str">
        <f>VLOOKUP(Tabla1[[#This Row],[Code]],[1]!Tabla4[#Data],2,FALSE)</f>
        <v>Rollo MetaGuard Decor 002 Arena 1,52x25m</v>
      </c>
      <c r="C505">
        <v>23</v>
      </c>
      <c r="D505" t="s">
        <v>90</v>
      </c>
      <c r="E505" t="str">
        <f>VLOOKUP(Tabla1[[#This Row],[Cód. Atributo]],[1]!Tabla5[#Data],6,FALSE)</f>
        <v>Select</v>
      </c>
      <c r="F505">
        <v>3</v>
      </c>
      <c r="G505">
        <v>2</v>
      </c>
      <c r="H505" t="s">
        <v>136</v>
      </c>
      <c r="I505" t="str">
        <f>VLOOKUP(Tabla1[[#This Row],[Code]],'[1]Articulos Precio'!$A:$E,5,FALSE)</f>
        <v>A0000265</v>
      </c>
    </row>
    <row r="506" spans="1:9" x14ac:dyDescent="0.25">
      <c r="A506" t="s">
        <v>212</v>
      </c>
      <c r="B506" t="str">
        <f>VLOOKUP(Tabla1[[#This Row],[Code]],[1]!Tabla4[#Data],2,FALSE)</f>
        <v>Rollo MetaGuard Decor 002 Arena 1,52x25m</v>
      </c>
      <c r="C506">
        <v>25</v>
      </c>
      <c r="D506" t="s">
        <v>94</v>
      </c>
      <c r="E506" t="str">
        <f>VLOOKUP(Tabla1[[#This Row],[Cód. Atributo]],[1]!Tabla5[#Data],6,FALSE)</f>
        <v>Select</v>
      </c>
      <c r="F506">
        <v>4</v>
      </c>
      <c r="G506">
        <v>4</v>
      </c>
      <c r="H506" t="s">
        <v>137</v>
      </c>
      <c r="I506" t="str">
        <f>VLOOKUP(Tabla1[[#This Row],[Code]],'[1]Articulos Precio'!$A:$E,5,FALSE)</f>
        <v>A0000265</v>
      </c>
    </row>
    <row r="507" spans="1:9" x14ac:dyDescent="0.25">
      <c r="A507" t="s">
        <v>212</v>
      </c>
      <c r="B507" t="str">
        <f>VLOOKUP(Tabla1[[#This Row],[Code]],[1]!Tabla4[#Data],2,FALSE)</f>
        <v>Rollo MetaGuard Decor 002 Arena 1,52x25m</v>
      </c>
      <c r="C507">
        <v>30</v>
      </c>
      <c r="D507" t="s">
        <v>184</v>
      </c>
      <c r="E507" t="str">
        <f>VLOOKUP(Tabla1[[#This Row],[Cód. Atributo]],[1]!Tabla5[#Data],6,FALSE)</f>
        <v>Select</v>
      </c>
      <c r="F507">
        <v>5</v>
      </c>
      <c r="G507">
        <v>4</v>
      </c>
      <c r="H507" t="s">
        <v>210</v>
      </c>
      <c r="I507" t="str">
        <f>VLOOKUP(Tabla1[[#This Row],[Code]],'[1]Articulos Precio'!$A:$E,5,FALSE)</f>
        <v>A0000265</v>
      </c>
    </row>
    <row r="508" spans="1:9" x14ac:dyDescent="0.25">
      <c r="A508" t="s">
        <v>214</v>
      </c>
      <c r="B508" t="str">
        <f>VLOOKUP(Tabla1[[#This Row],[Code]],[1]!Tabla4[#Data],2,FALSE)</f>
        <v>Rollo MetaGuard Decor 002 Arena 1,37x25m</v>
      </c>
      <c r="C508">
        <v>3</v>
      </c>
      <c r="D508" t="s">
        <v>108</v>
      </c>
      <c r="E508" t="str">
        <f>VLOOKUP(Tabla1[[#This Row],[Cód. Atributo]],[1]!Tabla5[#Data],6,FALSE)</f>
        <v>Select</v>
      </c>
      <c r="F508">
        <v>1</v>
      </c>
      <c r="G508">
        <v>3</v>
      </c>
      <c r="H508" t="s">
        <v>117</v>
      </c>
      <c r="I508" t="str">
        <f>VLOOKUP(Tabla1[[#This Row],[Code]],'[1]Articulos Precio'!$A:$E,5,FALSE)</f>
        <v>A0000265</v>
      </c>
    </row>
    <row r="509" spans="1:9" x14ac:dyDescent="0.25">
      <c r="A509" t="s">
        <v>214</v>
      </c>
      <c r="B509" t="str">
        <f>VLOOKUP(Tabla1[[#This Row],[Code]],[1]!Tabla4[#Data],2,FALSE)</f>
        <v>Rollo MetaGuard Decor 002 Arena 1,37x25m</v>
      </c>
      <c r="C509">
        <v>11</v>
      </c>
      <c r="D509" t="s">
        <v>208</v>
      </c>
      <c r="E509" t="str">
        <f>VLOOKUP(Tabla1[[#This Row],[Cód. Atributo]],[1]!Tabla5[#Data],6,FALSE)</f>
        <v>Color</v>
      </c>
      <c r="F509">
        <v>2</v>
      </c>
      <c r="G509">
        <v>2</v>
      </c>
      <c r="H509" t="s">
        <v>213</v>
      </c>
      <c r="I509" t="str">
        <f>VLOOKUP(Tabla1[[#This Row],[Code]],'[1]Articulos Precio'!$A:$E,5,FALSE)</f>
        <v>A0000265</v>
      </c>
    </row>
    <row r="510" spans="1:9" x14ac:dyDescent="0.25">
      <c r="A510" t="s">
        <v>214</v>
      </c>
      <c r="B510" t="str">
        <f>VLOOKUP(Tabla1[[#This Row],[Code]],[1]!Tabla4[#Data],2,FALSE)</f>
        <v>Rollo MetaGuard Decor 002 Arena 1,37x25m</v>
      </c>
      <c r="C510">
        <v>23</v>
      </c>
      <c r="D510" t="s">
        <v>90</v>
      </c>
      <c r="E510" t="str">
        <f>VLOOKUP(Tabla1[[#This Row],[Cód. Atributo]],[1]!Tabla5[#Data],6,FALSE)</f>
        <v>Select</v>
      </c>
      <c r="F510">
        <v>3</v>
      </c>
      <c r="G510">
        <v>2</v>
      </c>
      <c r="H510" t="s">
        <v>136</v>
      </c>
      <c r="I510" t="str">
        <f>VLOOKUP(Tabla1[[#This Row],[Code]],'[1]Articulos Precio'!$A:$E,5,FALSE)</f>
        <v>A0000265</v>
      </c>
    </row>
    <row r="511" spans="1:9" x14ac:dyDescent="0.25">
      <c r="A511" t="s">
        <v>214</v>
      </c>
      <c r="B511" t="str">
        <f>VLOOKUP(Tabla1[[#This Row],[Code]],[1]!Tabla4[#Data],2,FALSE)</f>
        <v>Rollo MetaGuard Decor 002 Arena 1,37x25m</v>
      </c>
      <c r="C511">
        <v>25</v>
      </c>
      <c r="D511" t="s">
        <v>94</v>
      </c>
      <c r="E511" t="str">
        <f>VLOOKUP(Tabla1[[#This Row],[Cód. Atributo]],[1]!Tabla5[#Data],6,FALSE)</f>
        <v>Select</v>
      </c>
      <c r="F511">
        <v>4</v>
      </c>
      <c r="G511">
        <v>4</v>
      </c>
      <c r="H511" t="s">
        <v>137</v>
      </c>
      <c r="I511" t="str">
        <f>VLOOKUP(Tabla1[[#This Row],[Code]],'[1]Articulos Precio'!$A:$E,5,FALSE)</f>
        <v>A0000265</v>
      </c>
    </row>
    <row r="512" spans="1:9" x14ac:dyDescent="0.25">
      <c r="A512" t="s">
        <v>214</v>
      </c>
      <c r="B512" t="str">
        <f>VLOOKUP(Tabla1[[#This Row],[Code]],[1]!Tabla4[#Data],2,FALSE)</f>
        <v>Rollo MetaGuard Decor 002 Arena 1,37x25m</v>
      </c>
      <c r="C512">
        <v>30</v>
      </c>
      <c r="D512" t="s">
        <v>184</v>
      </c>
      <c r="E512" t="str">
        <f>VLOOKUP(Tabla1[[#This Row],[Cód. Atributo]],[1]!Tabla5[#Data],6,FALSE)</f>
        <v>Select</v>
      </c>
      <c r="F512">
        <v>5</v>
      </c>
      <c r="G512">
        <v>4</v>
      </c>
      <c r="H512" t="s">
        <v>210</v>
      </c>
      <c r="I512" t="str">
        <f>VLOOKUP(Tabla1[[#This Row],[Code]],'[1]Articulos Precio'!$A:$E,5,FALSE)</f>
        <v>A0000265</v>
      </c>
    </row>
    <row r="513" spans="1:9" x14ac:dyDescent="0.25">
      <c r="A513" t="s">
        <v>215</v>
      </c>
      <c r="B513" t="str">
        <f>VLOOKUP(Tabla1[[#This Row],[Code]],[1]!Tabla4[#Data],2,FALSE)</f>
        <v>Rollo MetaGuard Decor 003 Cepillado 1,52x25m</v>
      </c>
      <c r="C513">
        <v>3</v>
      </c>
      <c r="D513" t="s">
        <v>108</v>
      </c>
      <c r="E513" t="str">
        <f>VLOOKUP(Tabla1[[#This Row],[Cód. Atributo]],[1]!Tabla5[#Data],6,FALSE)</f>
        <v>Select</v>
      </c>
      <c r="F513">
        <v>1</v>
      </c>
      <c r="G513">
        <v>5</v>
      </c>
      <c r="H513" t="s">
        <v>87</v>
      </c>
      <c r="I513" t="str">
        <f>VLOOKUP(Tabla1[[#This Row],[Code]],'[1]Articulos Precio'!$A:$E,5,FALSE)</f>
        <v>A0000267</v>
      </c>
    </row>
    <row r="514" spans="1:9" x14ac:dyDescent="0.25">
      <c r="A514" t="s">
        <v>215</v>
      </c>
      <c r="B514" t="str">
        <f>VLOOKUP(Tabla1[[#This Row],[Code]],[1]!Tabla4[#Data],2,FALSE)</f>
        <v>Rollo MetaGuard Decor 003 Cepillado 1,52x25m</v>
      </c>
      <c r="C514">
        <v>11</v>
      </c>
      <c r="D514" t="s">
        <v>208</v>
      </c>
      <c r="E514" t="str">
        <f>VLOOKUP(Tabla1[[#This Row],[Cód. Atributo]],[1]!Tabla5[#Data],6,FALSE)</f>
        <v>Color</v>
      </c>
      <c r="F514">
        <v>2</v>
      </c>
      <c r="G514">
        <v>3</v>
      </c>
      <c r="H514" t="s">
        <v>216</v>
      </c>
      <c r="I514" t="str">
        <f>VLOOKUP(Tabla1[[#This Row],[Code]],'[1]Articulos Precio'!$A:$E,5,FALSE)</f>
        <v>A0000267</v>
      </c>
    </row>
    <row r="515" spans="1:9" x14ac:dyDescent="0.25">
      <c r="A515" t="s">
        <v>215</v>
      </c>
      <c r="B515" t="str">
        <f>VLOOKUP(Tabla1[[#This Row],[Code]],[1]!Tabla4[#Data],2,FALSE)</f>
        <v>Rollo MetaGuard Decor 003 Cepillado 1,52x25m</v>
      </c>
      <c r="C515">
        <v>23</v>
      </c>
      <c r="D515" t="s">
        <v>90</v>
      </c>
      <c r="E515" t="str">
        <f>VLOOKUP(Tabla1[[#This Row],[Cód. Atributo]],[1]!Tabla5[#Data],6,FALSE)</f>
        <v>Select</v>
      </c>
      <c r="F515">
        <v>3</v>
      </c>
      <c r="G515">
        <v>2</v>
      </c>
      <c r="H515" t="s">
        <v>136</v>
      </c>
      <c r="I515" t="str">
        <f>VLOOKUP(Tabla1[[#This Row],[Code]],'[1]Articulos Precio'!$A:$E,5,FALSE)</f>
        <v>A0000267</v>
      </c>
    </row>
    <row r="516" spans="1:9" x14ac:dyDescent="0.25">
      <c r="A516" t="s">
        <v>215</v>
      </c>
      <c r="B516" t="str">
        <f>VLOOKUP(Tabla1[[#This Row],[Code]],[1]!Tabla4[#Data],2,FALSE)</f>
        <v>Rollo MetaGuard Decor 003 Cepillado 1,52x25m</v>
      </c>
      <c r="C516">
        <v>25</v>
      </c>
      <c r="D516" t="s">
        <v>94</v>
      </c>
      <c r="E516" t="str">
        <f>VLOOKUP(Tabla1[[#This Row],[Cód. Atributo]],[1]!Tabla5[#Data],6,FALSE)</f>
        <v>Select</v>
      </c>
      <c r="F516">
        <v>4</v>
      </c>
      <c r="G516">
        <v>4</v>
      </c>
      <c r="H516" t="s">
        <v>137</v>
      </c>
      <c r="I516" t="str">
        <f>VLOOKUP(Tabla1[[#This Row],[Code]],'[1]Articulos Precio'!$A:$E,5,FALSE)</f>
        <v>A0000267</v>
      </c>
    </row>
    <row r="517" spans="1:9" x14ac:dyDescent="0.25">
      <c r="A517" t="s">
        <v>215</v>
      </c>
      <c r="B517" t="str">
        <f>VLOOKUP(Tabla1[[#This Row],[Code]],[1]!Tabla4[#Data],2,FALSE)</f>
        <v>Rollo MetaGuard Decor 003 Cepillado 1,52x25m</v>
      </c>
      <c r="C517">
        <v>30</v>
      </c>
      <c r="D517" t="s">
        <v>184</v>
      </c>
      <c r="E517" t="str">
        <f>VLOOKUP(Tabla1[[#This Row],[Cód. Atributo]],[1]!Tabla5[#Data],6,FALSE)</f>
        <v>Select</v>
      </c>
      <c r="F517">
        <v>5</v>
      </c>
      <c r="G517">
        <v>4</v>
      </c>
      <c r="H517" t="s">
        <v>210</v>
      </c>
      <c r="I517" t="str">
        <f>VLOOKUP(Tabla1[[#This Row],[Code]],'[1]Articulos Precio'!$A:$E,5,FALSE)</f>
        <v>A0000267</v>
      </c>
    </row>
    <row r="518" spans="1:9" x14ac:dyDescent="0.25">
      <c r="A518" t="s">
        <v>217</v>
      </c>
      <c r="B518" t="str">
        <f>VLOOKUP(Tabla1[[#This Row],[Code]],[1]!Tabla4[#Data],2,FALSE)</f>
        <v>Rollo MetaGuard Decor 003 Cepillado 1,37x25m</v>
      </c>
      <c r="C518">
        <v>3</v>
      </c>
      <c r="D518" t="s">
        <v>108</v>
      </c>
      <c r="E518" t="str">
        <f>VLOOKUP(Tabla1[[#This Row],[Cód. Atributo]],[1]!Tabla5[#Data],6,FALSE)</f>
        <v>Select</v>
      </c>
      <c r="F518">
        <v>1</v>
      </c>
      <c r="G518">
        <v>3</v>
      </c>
      <c r="H518" t="s">
        <v>117</v>
      </c>
      <c r="I518" t="str">
        <f>VLOOKUP(Tabla1[[#This Row],[Code]],'[1]Articulos Precio'!$A:$E,5,FALSE)</f>
        <v>A0000267</v>
      </c>
    </row>
    <row r="519" spans="1:9" x14ac:dyDescent="0.25">
      <c r="A519" t="s">
        <v>217</v>
      </c>
      <c r="B519" t="str">
        <f>VLOOKUP(Tabla1[[#This Row],[Code]],[1]!Tabla4[#Data],2,FALSE)</f>
        <v>Rollo MetaGuard Decor 003 Cepillado 1,37x25m</v>
      </c>
      <c r="C519">
        <v>11</v>
      </c>
      <c r="D519" t="s">
        <v>208</v>
      </c>
      <c r="E519" t="str">
        <f>VLOOKUP(Tabla1[[#This Row],[Cód. Atributo]],[1]!Tabla5[#Data],6,FALSE)</f>
        <v>Color</v>
      </c>
      <c r="F519">
        <v>2</v>
      </c>
      <c r="G519">
        <v>3</v>
      </c>
      <c r="H519" t="s">
        <v>216</v>
      </c>
      <c r="I519" t="str">
        <f>VLOOKUP(Tabla1[[#This Row],[Code]],'[1]Articulos Precio'!$A:$E,5,FALSE)</f>
        <v>A0000267</v>
      </c>
    </row>
    <row r="520" spans="1:9" x14ac:dyDescent="0.25">
      <c r="A520" t="s">
        <v>217</v>
      </c>
      <c r="B520" t="str">
        <f>VLOOKUP(Tabla1[[#This Row],[Code]],[1]!Tabla4[#Data],2,FALSE)</f>
        <v>Rollo MetaGuard Decor 003 Cepillado 1,37x25m</v>
      </c>
      <c r="C520">
        <v>23</v>
      </c>
      <c r="D520" t="s">
        <v>90</v>
      </c>
      <c r="E520" t="str">
        <f>VLOOKUP(Tabla1[[#This Row],[Cód. Atributo]],[1]!Tabla5[#Data],6,FALSE)</f>
        <v>Select</v>
      </c>
      <c r="F520">
        <v>3</v>
      </c>
      <c r="G520">
        <v>2</v>
      </c>
      <c r="H520" t="s">
        <v>136</v>
      </c>
      <c r="I520" t="str">
        <f>VLOOKUP(Tabla1[[#This Row],[Code]],'[1]Articulos Precio'!$A:$E,5,FALSE)</f>
        <v>A0000267</v>
      </c>
    </row>
    <row r="521" spans="1:9" x14ac:dyDescent="0.25">
      <c r="A521" t="s">
        <v>217</v>
      </c>
      <c r="B521" t="str">
        <f>VLOOKUP(Tabla1[[#This Row],[Code]],[1]!Tabla4[#Data],2,FALSE)</f>
        <v>Rollo MetaGuard Decor 003 Cepillado 1,37x25m</v>
      </c>
      <c r="C521">
        <v>25</v>
      </c>
      <c r="D521" t="s">
        <v>94</v>
      </c>
      <c r="E521" t="str">
        <f>VLOOKUP(Tabla1[[#This Row],[Cód. Atributo]],[1]!Tabla5[#Data],6,FALSE)</f>
        <v>Select</v>
      </c>
      <c r="F521">
        <v>4</v>
      </c>
      <c r="G521">
        <v>4</v>
      </c>
      <c r="H521" t="s">
        <v>137</v>
      </c>
      <c r="I521" t="str">
        <f>VLOOKUP(Tabla1[[#This Row],[Code]],'[1]Articulos Precio'!$A:$E,5,FALSE)</f>
        <v>A0000267</v>
      </c>
    </row>
    <row r="522" spans="1:9" x14ac:dyDescent="0.25">
      <c r="A522" t="s">
        <v>217</v>
      </c>
      <c r="B522" t="str">
        <f>VLOOKUP(Tabla1[[#This Row],[Code]],[1]!Tabla4[#Data],2,FALSE)</f>
        <v>Rollo MetaGuard Decor 003 Cepillado 1,37x25m</v>
      </c>
      <c r="C522">
        <v>30</v>
      </c>
      <c r="D522" t="s">
        <v>184</v>
      </c>
      <c r="E522" t="str">
        <f>VLOOKUP(Tabla1[[#This Row],[Cód. Atributo]],[1]!Tabla5[#Data],6,FALSE)</f>
        <v>Select</v>
      </c>
      <c r="F522">
        <v>5</v>
      </c>
      <c r="G522">
        <v>4</v>
      </c>
      <c r="H522" t="s">
        <v>210</v>
      </c>
      <c r="I522" t="str">
        <f>VLOOKUP(Tabla1[[#This Row],[Code]],'[1]Articulos Precio'!$A:$E,5,FALSE)</f>
        <v>A0000267</v>
      </c>
    </row>
    <row r="523" spans="1:9" x14ac:dyDescent="0.25">
      <c r="A523" t="s">
        <v>218</v>
      </c>
      <c r="B523" t="str">
        <f>VLOOKUP(Tabla1[[#This Row],[Code]],[1]!Tabla4[#Data],2,FALSE)</f>
        <v>Rollo MetaWrap Laminado MG-X 105 Brillo 1,6x50m</v>
      </c>
      <c r="C523">
        <v>3</v>
      </c>
      <c r="D523" t="s">
        <v>108</v>
      </c>
      <c r="E523" t="str">
        <f>VLOOKUP(Tabla1[[#This Row],[Cód. Atributo]],[1]!Tabla5[#Data],6,FALSE)</f>
        <v>Select</v>
      </c>
      <c r="F523">
        <v>2</v>
      </c>
      <c r="G523">
        <v>4</v>
      </c>
      <c r="H523" t="s">
        <v>109</v>
      </c>
      <c r="I523" t="str">
        <f>VLOOKUP(Tabla1[[#This Row],[Code]],'[1]Articulos Precio'!$A:$E,5,FALSE)</f>
        <v>A0000269</v>
      </c>
    </row>
    <row r="524" spans="1:9" x14ac:dyDescent="0.25">
      <c r="A524" t="s">
        <v>218</v>
      </c>
      <c r="B524" t="str">
        <f>VLOOKUP(Tabla1[[#This Row],[Code]],[1]!Tabla4[#Data],2,FALSE)</f>
        <v>Rollo MetaWrap Laminado MG-X 105 Brillo 1,6x50m</v>
      </c>
      <c r="C524">
        <v>23</v>
      </c>
      <c r="D524" t="s">
        <v>90</v>
      </c>
      <c r="E524" t="str">
        <f>VLOOKUP(Tabla1[[#This Row],[Cód. Atributo]],[1]!Tabla5[#Data],6,FALSE)</f>
        <v>Select</v>
      </c>
      <c r="F524">
        <v>3</v>
      </c>
      <c r="G524">
        <v>3</v>
      </c>
      <c r="H524" t="s">
        <v>91</v>
      </c>
      <c r="I524" t="str">
        <f>VLOOKUP(Tabla1[[#This Row],[Code]],'[1]Articulos Precio'!$A:$E,5,FALSE)</f>
        <v>A0000269</v>
      </c>
    </row>
    <row r="525" spans="1:9" x14ac:dyDescent="0.25">
      <c r="A525" t="s">
        <v>218</v>
      </c>
      <c r="B525" t="str">
        <f>VLOOKUP(Tabla1[[#This Row],[Code]],[1]!Tabla4[#Data],2,FALSE)</f>
        <v>Rollo MetaWrap Laminado MG-X 105 Brillo 1,6x50m</v>
      </c>
      <c r="C525">
        <v>25</v>
      </c>
      <c r="D525" t="s">
        <v>94</v>
      </c>
      <c r="E525" t="str">
        <f>VLOOKUP(Tabla1[[#This Row],[Cód. Atributo]],[1]!Tabla5[#Data],6,FALSE)</f>
        <v>Select</v>
      </c>
      <c r="F525">
        <v>4</v>
      </c>
      <c r="G525">
        <v>4</v>
      </c>
      <c r="H525" t="s">
        <v>137</v>
      </c>
      <c r="I525" t="str">
        <f>VLOOKUP(Tabla1[[#This Row],[Code]],'[1]Articulos Precio'!$A:$E,5,FALSE)</f>
        <v>A0000269</v>
      </c>
    </row>
    <row r="526" spans="1:9" x14ac:dyDescent="0.25">
      <c r="A526" t="s">
        <v>218</v>
      </c>
      <c r="B526" t="str">
        <f>VLOOKUP(Tabla1[[#This Row],[Code]],[1]!Tabla4[#Data],2,FALSE)</f>
        <v>Rollo MetaWrap Laminado MG-X 105 Brillo 1,6x50m</v>
      </c>
      <c r="C526">
        <v>30</v>
      </c>
      <c r="D526" t="s">
        <v>184</v>
      </c>
      <c r="E526" t="str">
        <f>VLOOKUP(Tabla1[[#This Row],[Cód. Atributo]],[1]!Tabla5[#Data],6,FALSE)</f>
        <v>Select</v>
      </c>
      <c r="F526">
        <v>5</v>
      </c>
      <c r="G526">
        <v>6</v>
      </c>
      <c r="H526" t="s">
        <v>190</v>
      </c>
      <c r="I526" t="str">
        <f>VLOOKUP(Tabla1[[#This Row],[Code]],'[1]Articulos Precio'!$A:$E,5,FALSE)</f>
        <v>A0000269</v>
      </c>
    </row>
    <row r="527" spans="1:9" x14ac:dyDescent="0.25">
      <c r="A527" t="s">
        <v>219</v>
      </c>
      <c r="B527" t="str">
        <f>VLOOKUP(Tabla1[[#This Row],[Code]],[1]!Tabla4[#Data],2,FALSE)</f>
        <v>Rollo MetaWrap Laminado MG-X 105 Brillo 1,37x50m</v>
      </c>
      <c r="C527">
        <v>3</v>
      </c>
      <c r="D527" t="s">
        <v>108</v>
      </c>
      <c r="E527" t="str">
        <f>VLOOKUP(Tabla1[[#This Row],[Cód. Atributo]],[1]!Tabla5[#Data],6,FALSE)</f>
        <v>Select</v>
      </c>
      <c r="F527">
        <v>2</v>
      </c>
      <c r="G527">
        <v>3</v>
      </c>
      <c r="H527" t="s">
        <v>117</v>
      </c>
      <c r="I527" t="str">
        <f>VLOOKUP(Tabla1[[#This Row],[Code]],'[1]Articulos Precio'!$A:$E,5,FALSE)</f>
        <v>A0000269</v>
      </c>
    </row>
    <row r="528" spans="1:9" x14ac:dyDescent="0.25">
      <c r="A528" t="s">
        <v>219</v>
      </c>
      <c r="B528" t="str">
        <f>VLOOKUP(Tabla1[[#This Row],[Code]],[1]!Tabla4[#Data],2,FALSE)</f>
        <v>Rollo MetaWrap Laminado MG-X 105 Brillo 1,37x50m</v>
      </c>
      <c r="C528">
        <v>23</v>
      </c>
      <c r="D528" t="s">
        <v>90</v>
      </c>
      <c r="E528" t="str">
        <f>VLOOKUP(Tabla1[[#This Row],[Cód. Atributo]],[1]!Tabla5[#Data],6,FALSE)</f>
        <v>Select</v>
      </c>
      <c r="F528">
        <v>3</v>
      </c>
      <c r="G528">
        <v>3</v>
      </c>
      <c r="H528" t="s">
        <v>91</v>
      </c>
      <c r="I528" t="str">
        <f>VLOOKUP(Tabla1[[#This Row],[Code]],'[1]Articulos Precio'!$A:$E,5,FALSE)</f>
        <v>A0000269</v>
      </c>
    </row>
    <row r="529" spans="1:9" x14ac:dyDescent="0.25">
      <c r="A529" t="s">
        <v>219</v>
      </c>
      <c r="B529" t="str">
        <f>VLOOKUP(Tabla1[[#This Row],[Code]],[1]!Tabla4[#Data],2,FALSE)</f>
        <v>Rollo MetaWrap Laminado MG-X 105 Brillo 1,37x50m</v>
      </c>
      <c r="C529">
        <v>25</v>
      </c>
      <c r="D529" t="s">
        <v>94</v>
      </c>
      <c r="E529" t="str">
        <f>VLOOKUP(Tabla1[[#This Row],[Cód. Atributo]],[1]!Tabla5[#Data],6,FALSE)</f>
        <v>Select</v>
      </c>
      <c r="F529">
        <v>4</v>
      </c>
      <c r="G529">
        <v>4</v>
      </c>
      <c r="H529" t="s">
        <v>137</v>
      </c>
      <c r="I529" t="str">
        <f>VLOOKUP(Tabla1[[#This Row],[Code]],'[1]Articulos Precio'!$A:$E,5,FALSE)</f>
        <v>A0000269</v>
      </c>
    </row>
    <row r="530" spans="1:9" x14ac:dyDescent="0.25">
      <c r="A530" t="s">
        <v>219</v>
      </c>
      <c r="B530" t="str">
        <f>VLOOKUP(Tabla1[[#This Row],[Code]],[1]!Tabla4[#Data],2,FALSE)</f>
        <v>Rollo MetaWrap Laminado MG-X 105 Brillo 1,37x50m</v>
      </c>
      <c r="C530">
        <v>30</v>
      </c>
      <c r="D530" t="s">
        <v>184</v>
      </c>
      <c r="E530" t="str">
        <f>VLOOKUP(Tabla1[[#This Row],[Cód. Atributo]],[1]!Tabla5[#Data],6,FALSE)</f>
        <v>Select</v>
      </c>
      <c r="F530">
        <v>5</v>
      </c>
      <c r="G530">
        <v>6</v>
      </c>
      <c r="H530" t="s">
        <v>190</v>
      </c>
      <c r="I530" t="str">
        <f>VLOOKUP(Tabla1[[#This Row],[Code]],'[1]Articulos Precio'!$A:$E,5,FALSE)</f>
        <v>A0000269</v>
      </c>
    </row>
    <row r="531" spans="1:9" x14ac:dyDescent="0.25">
      <c r="A531" t="s">
        <v>220</v>
      </c>
      <c r="B531" t="str">
        <f>VLOOKUP(Tabla1[[#This Row],[Code]],[1]!Tabla4[#Data],2,FALSE)</f>
        <v>M2 MetaCast MCX 26 Nardo Grey Brillo 1,52x30m</v>
      </c>
      <c r="C531">
        <v>8</v>
      </c>
      <c r="D531" t="s">
        <v>86</v>
      </c>
      <c r="E531" t="str">
        <f>VLOOKUP(Tabla1[[#This Row],[Cód. Atributo]],[1]!Tabla5[#Data],6,FALSE)</f>
        <v>Select</v>
      </c>
      <c r="F531">
        <v>1</v>
      </c>
      <c r="G531">
        <v>4</v>
      </c>
      <c r="H531" t="s">
        <v>87</v>
      </c>
      <c r="I531" t="str">
        <f>VLOOKUP(Tabla1[[#This Row],[Code]],'[1]Articulos Precio'!$A:$E,5,FALSE)</f>
        <v>A0002816</v>
      </c>
    </row>
    <row r="532" spans="1:9" x14ac:dyDescent="0.25">
      <c r="A532" t="s">
        <v>220</v>
      </c>
      <c r="B532" t="str">
        <f>VLOOKUP(Tabla1[[#This Row],[Code]],[1]!Tabla4[#Data],2,FALSE)</f>
        <v>M2 MetaCast MCX 26 Nardo Grey Brillo 1,52x30m</v>
      </c>
      <c r="C532">
        <v>53</v>
      </c>
      <c r="D532" t="s">
        <v>88</v>
      </c>
      <c r="E532" t="str">
        <f>VLOOKUP(Tabla1[[#This Row],[Cód. Atributo]],[1]!Tabla5[#Data],6,FALSE)</f>
        <v>Color</v>
      </c>
      <c r="F532">
        <v>2</v>
      </c>
      <c r="G532">
        <v>5</v>
      </c>
      <c r="H532" t="s">
        <v>221</v>
      </c>
      <c r="I532" t="str">
        <f>VLOOKUP(Tabla1[[#This Row],[Code]],'[1]Articulos Precio'!$A:$E,5,FALSE)</f>
        <v>A0002816</v>
      </c>
    </row>
    <row r="533" spans="1:9" x14ac:dyDescent="0.25">
      <c r="A533" t="s">
        <v>220</v>
      </c>
      <c r="B533" t="str">
        <f>VLOOKUP(Tabla1[[#This Row],[Code]],[1]!Tabla4[#Data],2,FALSE)</f>
        <v>M2 MetaCast MCX 26 Nardo Grey Brillo 1,52x30m</v>
      </c>
      <c r="C533">
        <v>23</v>
      </c>
      <c r="D533" t="s">
        <v>90</v>
      </c>
      <c r="E533" t="str">
        <f>VLOOKUP(Tabla1[[#This Row],[Cód. Atributo]],[1]!Tabla5[#Data],6,FALSE)</f>
        <v>Select</v>
      </c>
      <c r="F533">
        <v>3</v>
      </c>
      <c r="G533">
        <v>3</v>
      </c>
      <c r="H533" t="s">
        <v>91</v>
      </c>
      <c r="I533" t="str">
        <f>VLOOKUP(Tabla1[[#This Row],[Code]],'[1]Articulos Precio'!$A:$E,5,FALSE)</f>
        <v>A0002816</v>
      </c>
    </row>
    <row r="534" spans="1:9" x14ac:dyDescent="0.25">
      <c r="A534" t="s">
        <v>220</v>
      </c>
      <c r="B534" t="str">
        <f>VLOOKUP(Tabla1[[#This Row],[Code]],[1]!Tabla4[#Data],2,FALSE)</f>
        <v>M2 MetaCast MCX 26 Nardo Grey Brillo 1,52x30m</v>
      </c>
      <c r="C534">
        <v>28</v>
      </c>
      <c r="D534" t="s">
        <v>92</v>
      </c>
      <c r="E534" t="str">
        <f>VLOOKUP(Tabla1[[#This Row],[Cód. Atributo]],[1]!Tabla5[#Data],6,FALSE)</f>
        <v>Select</v>
      </c>
      <c r="F534">
        <v>4</v>
      </c>
      <c r="G534">
        <v>1</v>
      </c>
      <c r="H534" t="s">
        <v>93</v>
      </c>
      <c r="I534" t="str">
        <f>VLOOKUP(Tabla1[[#This Row],[Code]],'[1]Articulos Precio'!$A:$E,5,FALSE)</f>
        <v>A0002816</v>
      </c>
    </row>
    <row r="535" spans="1:9" x14ac:dyDescent="0.25">
      <c r="A535" t="s">
        <v>220</v>
      </c>
      <c r="B535" t="str">
        <f>VLOOKUP(Tabla1[[#This Row],[Code]],[1]!Tabla4[#Data],2,FALSE)</f>
        <v>M2 MetaCast MCX 26 Nardo Grey Brillo 1,52x30m</v>
      </c>
      <c r="C535">
        <v>25</v>
      </c>
      <c r="D535" t="s">
        <v>94</v>
      </c>
      <c r="E535" t="str">
        <f>VLOOKUP(Tabla1[[#This Row],[Cód. Atributo]],[1]!Tabla5[#Data],6,FALSE)</f>
        <v>Select</v>
      </c>
      <c r="F535">
        <v>5</v>
      </c>
      <c r="G535">
        <v>6</v>
      </c>
      <c r="H535" t="s">
        <v>95</v>
      </c>
      <c r="I535" t="str">
        <f>VLOOKUP(Tabla1[[#This Row],[Code]],'[1]Articulos Precio'!$A:$E,5,FALSE)</f>
        <v>A0002816</v>
      </c>
    </row>
    <row r="536" spans="1:9" x14ac:dyDescent="0.25">
      <c r="A536" t="s">
        <v>220</v>
      </c>
      <c r="B536" t="str">
        <f>VLOOKUP(Tabla1[[#This Row],[Code]],[1]!Tabla4[#Data],2,FALSE)</f>
        <v>M2 MetaCast MCX 26 Nardo Grey Brillo 1,52x30m</v>
      </c>
      <c r="C536">
        <v>24</v>
      </c>
      <c r="D536" t="s">
        <v>96</v>
      </c>
      <c r="E536" t="str">
        <f>VLOOKUP(Tabla1[[#This Row],[Cód. Atributo]],[1]!Tabla5[#Data],6,FALSE)</f>
        <v>Select</v>
      </c>
      <c r="F536">
        <v>6</v>
      </c>
      <c r="G536">
        <v>6</v>
      </c>
      <c r="H536" t="s">
        <v>97</v>
      </c>
      <c r="I536" t="str">
        <f>VLOOKUP(Tabla1[[#This Row],[Code]],'[1]Articulos Precio'!$A:$E,5,FALSE)</f>
        <v>A0002816</v>
      </c>
    </row>
    <row r="537" spans="1:9" x14ac:dyDescent="0.25">
      <c r="A537" t="s">
        <v>222</v>
      </c>
      <c r="B537" t="str">
        <f>VLOOKUP(Tabla1[[#This Row],[Code]],[1]!Tabla4[#Data],2,FALSE)</f>
        <v>M2 MetaCast MCX 28 Café Racer Brillo 1,52x30m</v>
      </c>
      <c r="C537">
        <v>8</v>
      </c>
      <c r="D537" t="s">
        <v>86</v>
      </c>
      <c r="E537" t="str">
        <f>VLOOKUP(Tabla1[[#This Row],[Cód. Atributo]],[1]!Tabla5[#Data],6,FALSE)</f>
        <v>Select</v>
      </c>
      <c r="F537">
        <v>1</v>
      </c>
      <c r="G537">
        <v>4</v>
      </c>
      <c r="H537" t="s">
        <v>87</v>
      </c>
      <c r="I537" t="str">
        <f>VLOOKUP(Tabla1[[#This Row],[Code]],'[1]Articulos Precio'!$A:$E,5,FALSE)</f>
        <v>A0002816</v>
      </c>
    </row>
    <row r="538" spans="1:9" x14ac:dyDescent="0.25">
      <c r="A538" t="s">
        <v>222</v>
      </c>
      <c r="B538" t="str">
        <f>VLOOKUP(Tabla1[[#This Row],[Code]],[1]!Tabla4[#Data],2,FALSE)</f>
        <v>M2 MetaCast MCX 28 Café Racer Brillo 1,52x30m</v>
      </c>
      <c r="C538">
        <v>53</v>
      </c>
      <c r="D538" t="s">
        <v>88</v>
      </c>
      <c r="E538" t="str">
        <f>VLOOKUP(Tabla1[[#This Row],[Cód. Atributo]],[1]!Tabla5[#Data],6,FALSE)</f>
        <v>Color</v>
      </c>
      <c r="F538">
        <v>2</v>
      </c>
      <c r="G538">
        <v>6</v>
      </c>
      <c r="H538" t="s">
        <v>223</v>
      </c>
      <c r="I538" t="str">
        <f>VLOOKUP(Tabla1[[#This Row],[Code]],'[1]Articulos Precio'!$A:$E,5,FALSE)</f>
        <v>A0002816</v>
      </c>
    </row>
    <row r="539" spans="1:9" x14ac:dyDescent="0.25">
      <c r="A539" t="s">
        <v>222</v>
      </c>
      <c r="B539" t="str">
        <f>VLOOKUP(Tabla1[[#This Row],[Code]],[1]!Tabla4[#Data],2,FALSE)</f>
        <v>M2 MetaCast MCX 28 Café Racer Brillo 1,52x30m</v>
      </c>
      <c r="C539">
        <v>23</v>
      </c>
      <c r="D539" t="s">
        <v>90</v>
      </c>
      <c r="E539" t="str">
        <f>VLOOKUP(Tabla1[[#This Row],[Cód. Atributo]],[1]!Tabla5[#Data],6,FALSE)</f>
        <v>Select</v>
      </c>
      <c r="F539">
        <v>3</v>
      </c>
      <c r="G539">
        <v>3</v>
      </c>
      <c r="H539" t="s">
        <v>91</v>
      </c>
      <c r="I539" t="str">
        <f>VLOOKUP(Tabla1[[#This Row],[Code]],'[1]Articulos Precio'!$A:$E,5,FALSE)</f>
        <v>A0002816</v>
      </c>
    </row>
    <row r="540" spans="1:9" x14ac:dyDescent="0.25">
      <c r="A540" t="s">
        <v>222</v>
      </c>
      <c r="B540" t="str">
        <f>VLOOKUP(Tabla1[[#This Row],[Code]],[1]!Tabla4[#Data],2,FALSE)</f>
        <v>M2 MetaCast MCX 28 Café Racer Brillo 1,52x30m</v>
      </c>
      <c r="C540">
        <v>28</v>
      </c>
      <c r="D540" t="s">
        <v>92</v>
      </c>
      <c r="E540" t="str">
        <f>VLOOKUP(Tabla1[[#This Row],[Cód. Atributo]],[1]!Tabla5[#Data],6,FALSE)</f>
        <v>Select</v>
      </c>
      <c r="F540">
        <v>4</v>
      </c>
      <c r="G540">
        <v>1</v>
      </c>
      <c r="H540" t="s">
        <v>93</v>
      </c>
      <c r="I540" t="str">
        <f>VLOOKUP(Tabla1[[#This Row],[Code]],'[1]Articulos Precio'!$A:$E,5,FALSE)</f>
        <v>A0002816</v>
      </c>
    </row>
    <row r="541" spans="1:9" x14ac:dyDescent="0.25">
      <c r="A541" t="s">
        <v>222</v>
      </c>
      <c r="B541" t="str">
        <f>VLOOKUP(Tabla1[[#This Row],[Code]],[1]!Tabla4[#Data],2,FALSE)</f>
        <v>M2 MetaCast MCX 28 Café Racer Brillo 1,52x30m</v>
      </c>
      <c r="C541">
        <v>25</v>
      </c>
      <c r="D541" t="s">
        <v>94</v>
      </c>
      <c r="E541" t="str">
        <f>VLOOKUP(Tabla1[[#This Row],[Cód. Atributo]],[1]!Tabla5[#Data],6,FALSE)</f>
        <v>Select</v>
      </c>
      <c r="F541">
        <v>5</v>
      </c>
      <c r="G541">
        <v>6</v>
      </c>
      <c r="H541" t="s">
        <v>95</v>
      </c>
      <c r="I541" t="str">
        <f>VLOOKUP(Tabla1[[#This Row],[Code]],'[1]Articulos Precio'!$A:$E,5,FALSE)</f>
        <v>A0002816</v>
      </c>
    </row>
    <row r="542" spans="1:9" x14ac:dyDescent="0.25">
      <c r="A542" t="s">
        <v>222</v>
      </c>
      <c r="B542" t="str">
        <f>VLOOKUP(Tabla1[[#This Row],[Code]],[1]!Tabla4[#Data],2,FALSE)</f>
        <v>M2 MetaCast MCX 28 Café Racer Brillo 1,52x30m</v>
      </c>
      <c r="C542">
        <v>24</v>
      </c>
      <c r="D542" t="s">
        <v>96</v>
      </c>
      <c r="E542" t="str">
        <f>VLOOKUP(Tabla1[[#This Row],[Cód. Atributo]],[1]!Tabla5[#Data],6,FALSE)</f>
        <v>Select</v>
      </c>
      <c r="F542">
        <v>6</v>
      </c>
      <c r="G542">
        <v>6</v>
      </c>
      <c r="H542" t="s">
        <v>97</v>
      </c>
      <c r="I542" t="str">
        <f>VLOOKUP(Tabla1[[#This Row],[Code]],'[1]Articulos Precio'!$A:$E,5,FALSE)</f>
        <v>A0002816</v>
      </c>
    </row>
    <row r="543" spans="1:9" x14ac:dyDescent="0.25">
      <c r="A543" t="s">
        <v>224</v>
      </c>
      <c r="B543" t="str">
        <f>VLOOKUP(Tabla1[[#This Row],[Code]],[1]!Tabla4[#Data],2,FALSE)</f>
        <v>M2 MetaCast MCX 36 Monza Yellow Brillo 1,52x30m</v>
      </c>
      <c r="C543">
        <v>8</v>
      </c>
      <c r="D543" t="s">
        <v>86</v>
      </c>
      <c r="E543" t="str">
        <f>VLOOKUP(Tabla1[[#This Row],[Cód. Atributo]],[1]!Tabla5[#Data],6,FALSE)</f>
        <v>Select</v>
      </c>
      <c r="F543">
        <v>1</v>
      </c>
      <c r="G543">
        <v>4</v>
      </c>
      <c r="H543" t="s">
        <v>87</v>
      </c>
      <c r="I543" t="str">
        <f>VLOOKUP(Tabla1[[#This Row],[Code]],'[1]Articulos Precio'!$A:$E,5,FALSE)</f>
        <v>A0002816</v>
      </c>
    </row>
    <row r="544" spans="1:9" x14ac:dyDescent="0.25">
      <c r="A544" t="s">
        <v>224</v>
      </c>
      <c r="B544" t="str">
        <f>VLOOKUP(Tabla1[[#This Row],[Code]],[1]!Tabla4[#Data],2,FALSE)</f>
        <v>M2 MetaCast MCX 36 Monza Yellow Brillo 1,52x30m</v>
      </c>
      <c r="C544">
        <v>53</v>
      </c>
      <c r="D544" t="s">
        <v>88</v>
      </c>
      <c r="E544" t="str">
        <f>VLOOKUP(Tabla1[[#This Row],[Cód. Atributo]],[1]!Tabla5[#Data],6,FALSE)</f>
        <v>Color</v>
      </c>
      <c r="F544">
        <v>2</v>
      </c>
      <c r="G544">
        <v>7</v>
      </c>
      <c r="H544" t="s">
        <v>225</v>
      </c>
      <c r="I544" t="str">
        <f>VLOOKUP(Tabla1[[#This Row],[Code]],'[1]Articulos Precio'!$A:$E,5,FALSE)</f>
        <v>A0002816</v>
      </c>
    </row>
    <row r="545" spans="1:9" x14ac:dyDescent="0.25">
      <c r="A545" t="s">
        <v>224</v>
      </c>
      <c r="B545" t="str">
        <f>VLOOKUP(Tabla1[[#This Row],[Code]],[1]!Tabla4[#Data],2,FALSE)</f>
        <v>M2 MetaCast MCX 36 Monza Yellow Brillo 1,52x30m</v>
      </c>
      <c r="C545">
        <v>23</v>
      </c>
      <c r="D545" t="s">
        <v>90</v>
      </c>
      <c r="E545" t="str">
        <f>VLOOKUP(Tabla1[[#This Row],[Cód. Atributo]],[1]!Tabla5[#Data],6,FALSE)</f>
        <v>Select</v>
      </c>
      <c r="F545">
        <v>3</v>
      </c>
      <c r="G545">
        <v>3</v>
      </c>
      <c r="H545" t="s">
        <v>91</v>
      </c>
      <c r="I545" t="str">
        <f>VLOOKUP(Tabla1[[#This Row],[Code]],'[1]Articulos Precio'!$A:$E,5,FALSE)</f>
        <v>A0002816</v>
      </c>
    </row>
    <row r="546" spans="1:9" x14ac:dyDescent="0.25">
      <c r="A546" t="s">
        <v>224</v>
      </c>
      <c r="B546" t="str">
        <f>VLOOKUP(Tabla1[[#This Row],[Code]],[1]!Tabla4[#Data],2,FALSE)</f>
        <v>M2 MetaCast MCX 36 Monza Yellow Brillo 1,52x30m</v>
      </c>
      <c r="C546">
        <v>28</v>
      </c>
      <c r="D546" t="s">
        <v>92</v>
      </c>
      <c r="E546" t="str">
        <f>VLOOKUP(Tabla1[[#This Row],[Cód. Atributo]],[1]!Tabla5[#Data],6,FALSE)</f>
        <v>Select</v>
      </c>
      <c r="F546">
        <v>4</v>
      </c>
      <c r="G546">
        <v>1</v>
      </c>
      <c r="H546" t="s">
        <v>93</v>
      </c>
      <c r="I546" t="str">
        <f>VLOOKUP(Tabla1[[#This Row],[Code]],'[1]Articulos Precio'!$A:$E,5,FALSE)</f>
        <v>A0002816</v>
      </c>
    </row>
    <row r="547" spans="1:9" x14ac:dyDescent="0.25">
      <c r="A547" t="s">
        <v>224</v>
      </c>
      <c r="B547" t="str">
        <f>VLOOKUP(Tabla1[[#This Row],[Code]],[1]!Tabla4[#Data],2,FALSE)</f>
        <v>M2 MetaCast MCX 36 Monza Yellow Brillo 1,52x30m</v>
      </c>
      <c r="C547">
        <v>25</v>
      </c>
      <c r="D547" t="s">
        <v>94</v>
      </c>
      <c r="E547" t="str">
        <f>VLOOKUP(Tabla1[[#This Row],[Cód. Atributo]],[1]!Tabla5[#Data],6,FALSE)</f>
        <v>Select</v>
      </c>
      <c r="F547">
        <v>5</v>
      </c>
      <c r="G547">
        <v>6</v>
      </c>
      <c r="H547" t="s">
        <v>95</v>
      </c>
      <c r="I547" t="str">
        <f>VLOOKUP(Tabla1[[#This Row],[Code]],'[1]Articulos Precio'!$A:$E,5,FALSE)</f>
        <v>A0002816</v>
      </c>
    </row>
    <row r="548" spans="1:9" x14ac:dyDescent="0.25">
      <c r="A548" t="s">
        <v>224</v>
      </c>
      <c r="B548" t="str">
        <f>VLOOKUP(Tabla1[[#This Row],[Code]],[1]!Tabla4[#Data],2,FALSE)</f>
        <v>M2 MetaCast MCX 36 Monza Yellow Brillo 1,52x30m</v>
      </c>
      <c r="C548">
        <v>24</v>
      </c>
      <c r="D548" t="s">
        <v>96</v>
      </c>
      <c r="E548" t="str">
        <f>VLOOKUP(Tabla1[[#This Row],[Cód. Atributo]],[1]!Tabla5[#Data],6,FALSE)</f>
        <v>Select</v>
      </c>
      <c r="F548">
        <v>6</v>
      </c>
      <c r="G548">
        <v>6</v>
      </c>
      <c r="H548" t="s">
        <v>97</v>
      </c>
      <c r="I548" t="str">
        <f>VLOOKUP(Tabla1[[#This Row],[Code]],'[1]Articulos Precio'!$A:$E,5,FALSE)</f>
        <v>A0002816</v>
      </c>
    </row>
    <row r="549" spans="1:9" x14ac:dyDescent="0.25">
      <c r="A549" t="s">
        <v>226</v>
      </c>
      <c r="B549" t="str">
        <f>VLOOKUP(Tabla1[[#This Row],[Code]],[1]!Tabla4[#Data],2,FALSE)</f>
        <v>M2 MetaCast MCX 39 FireFox Brillo Metalizado 1,52x30m</v>
      </c>
      <c r="C549">
        <v>8</v>
      </c>
      <c r="D549" t="s">
        <v>86</v>
      </c>
      <c r="E549" t="str">
        <f>VLOOKUP(Tabla1[[#This Row],[Cód. Atributo]],[1]!Tabla5[#Data],6,FALSE)</f>
        <v>Select</v>
      </c>
      <c r="F549">
        <v>1</v>
      </c>
      <c r="G549">
        <v>4</v>
      </c>
      <c r="H549" t="s">
        <v>87</v>
      </c>
      <c r="I549" t="str">
        <f>VLOOKUP(Tabla1[[#This Row],[Code]],'[1]Articulos Precio'!$A:$E,5,FALSE)</f>
        <v>A0002816</v>
      </c>
    </row>
    <row r="550" spans="1:9" x14ac:dyDescent="0.25">
      <c r="A550" t="s">
        <v>226</v>
      </c>
      <c r="B550" t="str">
        <f>VLOOKUP(Tabla1[[#This Row],[Code]],[1]!Tabla4[#Data],2,FALSE)</f>
        <v>M2 MetaCast MCX 39 FireFox Brillo Metalizado 1,52x30m</v>
      </c>
      <c r="C550">
        <v>53</v>
      </c>
      <c r="D550" t="s">
        <v>88</v>
      </c>
      <c r="E550" t="str">
        <f>VLOOKUP(Tabla1[[#This Row],[Cód. Atributo]],[1]!Tabla5[#Data],6,FALSE)</f>
        <v>Color</v>
      </c>
      <c r="F550">
        <v>2</v>
      </c>
      <c r="G550">
        <v>8</v>
      </c>
      <c r="H550" t="s">
        <v>227</v>
      </c>
      <c r="I550" t="str">
        <f>VLOOKUP(Tabla1[[#This Row],[Code]],'[1]Articulos Precio'!$A:$E,5,FALSE)</f>
        <v>A0002816</v>
      </c>
    </row>
    <row r="551" spans="1:9" x14ac:dyDescent="0.25">
      <c r="A551" t="s">
        <v>226</v>
      </c>
      <c r="B551" t="str">
        <f>VLOOKUP(Tabla1[[#This Row],[Code]],[1]!Tabla4[#Data],2,FALSE)</f>
        <v>M2 MetaCast MCX 39 FireFox Brillo Metalizado 1,52x30m</v>
      </c>
      <c r="C551">
        <v>23</v>
      </c>
      <c r="D551" t="s">
        <v>90</v>
      </c>
      <c r="E551" t="str">
        <f>VLOOKUP(Tabla1[[#This Row],[Cód. Atributo]],[1]!Tabla5[#Data],6,FALSE)</f>
        <v>Select</v>
      </c>
      <c r="F551">
        <v>3</v>
      </c>
      <c r="G551">
        <v>3</v>
      </c>
      <c r="H551" t="s">
        <v>91</v>
      </c>
      <c r="I551" t="str">
        <f>VLOOKUP(Tabla1[[#This Row],[Code]],'[1]Articulos Precio'!$A:$E,5,FALSE)</f>
        <v>A0002816</v>
      </c>
    </row>
    <row r="552" spans="1:9" x14ac:dyDescent="0.25">
      <c r="A552" t="s">
        <v>226</v>
      </c>
      <c r="B552" t="str">
        <f>VLOOKUP(Tabla1[[#This Row],[Code]],[1]!Tabla4[#Data],2,FALSE)</f>
        <v>M2 MetaCast MCX 39 FireFox Brillo Metalizado 1,52x30m</v>
      </c>
      <c r="C552">
        <v>28</v>
      </c>
      <c r="D552" t="s">
        <v>92</v>
      </c>
      <c r="E552" t="str">
        <f>VLOOKUP(Tabla1[[#This Row],[Cód. Atributo]],[1]!Tabla5[#Data],6,FALSE)</f>
        <v>Select</v>
      </c>
      <c r="F552">
        <v>4</v>
      </c>
      <c r="G552">
        <v>1</v>
      </c>
      <c r="H552" t="s">
        <v>93</v>
      </c>
      <c r="I552" t="str">
        <f>VLOOKUP(Tabla1[[#This Row],[Code]],'[1]Articulos Precio'!$A:$E,5,FALSE)</f>
        <v>A0002816</v>
      </c>
    </row>
    <row r="553" spans="1:9" x14ac:dyDescent="0.25">
      <c r="A553" t="s">
        <v>226</v>
      </c>
      <c r="B553" t="str">
        <f>VLOOKUP(Tabla1[[#This Row],[Code]],[1]!Tabla4[#Data],2,FALSE)</f>
        <v>M2 MetaCast MCX 39 FireFox Brillo Metalizado 1,52x30m</v>
      </c>
      <c r="C553">
        <v>25</v>
      </c>
      <c r="D553" t="s">
        <v>94</v>
      </c>
      <c r="E553" t="str">
        <f>VLOOKUP(Tabla1[[#This Row],[Cód. Atributo]],[1]!Tabla5[#Data],6,FALSE)</f>
        <v>Select</v>
      </c>
      <c r="F553">
        <v>5</v>
      </c>
      <c r="G553">
        <v>6</v>
      </c>
      <c r="H553" t="s">
        <v>95</v>
      </c>
      <c r="I553" t="str">
        <f>VLOOKUP(Tabla1[[#This Row],[Code]],'[1]Articulos Precio'!$A:$E,5,FALSE)</f>
        <v>A0002816</v>
      </c>
    </row>
    <row r="554" spans="1:9" x14ac:dyDescent="0.25">
      <c r="A554" t="s">
        <v>226</v>
      </c>
      <c r="B554" t="str">
        <f>VLOOKUP(Tabla1[[#This Row],[Code]],[1]!Tabla4[#Data],2,FALSE)</f>
        <v>M2 MetaCast MCX 39 FireFox Brillo Metalizado 1,52x30m</v>
      </c>
      <c r="C554">
        <v>24</v>
      </c>
      <c r="D554" t="s">
        <v>96</v>
      </c>
      <c r="E554" t="str">
        <f>VLOOKUP(Tabla1[[#This Row],[Cód. Atributo]],[1]!Tabla5[#Data],6,FALSE)</f>
        <v>Select</v>
      </c>
      <c r="F554">
        <v>6</v>
      </c>
      <c r="G554">
        <v>6</v>
      </c>
      <c r="H554" t="s">
        <v>97</v>
      </c>
      <c r="I554" t="str">
        <f>VLOOKUP(Tabla1[[#This Row],[Code]],'[1]Articulos Precio'!$A:$E,5,FALSE)</f>
        <v>A0002816</v>
      </c>
    </row>
    <row r="555" spans="1:9" x14ac:dyDescent="0.25">
      <c r="A555" t="s">
        <v>228</v>
      </c>
      <c r="B555" t="str">
        <f>VLOOKUP(Tabla1[[#This Row],[Code]],[1]!Tabla4[#Data],2,FALSE)</f>
        <v>M2 MetaCast MCX 46 Volcano Red Brillo Metalizado 1,52x30m</v>
      </c>
      <c r="C555">
        <v>8</v>
      </c>
      <c r="D555" t="s">
        <v>86</v>
      </c>
      <c r="E555" t="str">
        <f>VLOOKUP(Tabla1[[#This Row],[Cód. Atributo]],[1]!Tabla5[#Data],6,FALSE)</f>
        <v>Select</v>
      </c>
      <c r="F555">
        <v>1</v>
      </c>
      <c r="G555">
        <v>4</v>
      </c>
      <c r="H555" t="s">
        <v>87</v>
      </c>
      <c r="I555" t="str">
        <f>VLOOKUP(Tabla1[[#This Row],[Code]],'[1]Articulos Precio'!$A:$E,5,FALSE)</f>
        <v>A0002816</v>
      </c>
    </row>
    <row r="556" spans="1:9" x14ac:dyDescent="0.25">
      <c r="A556" t="s">
        <v>228</v>
      </c>
      <c r="B556" t="str">
        <f>VLOOKUP(Tabla1[[#This Row],[Code]],[1]!Tabla4[#Data],2,FALSE)</f>
        <v>M2 MetaCast MCX 46 Volcano Red Brillo Metalizado 1,52x30m</v>
      </c>
      <c r="C556">
        <v>53</v>
      </c>
      <c r="D556" t="s">
        <v>88</v>
      </c>
      <c r="E556" t="str">
        <f>VLOOKUP(Tabla1[[#This Row],[Cód. Atributo]],[1]!Tabla5[#Data],6,FALSE)</f>
        <v>Color</v>
      </c>
      <c r="F556">
        <v>2</v>
      </c>
      <c r="G556">
        <v>9</v>
      </c>
      <c r="H556" t="s">
        <v>229</v>
      </c>
      <c r="I556" t="str">
        <f>VLOOKUP(Tabla1[[#This Row],[Code]],'[1]Articulos Precio'!$A:$E,5,FALSE)</f>
        <v>A0002816</v>
      </c>
    </row>
    <row r="557" spans="1:9" x14ac:dyDescent="0.25">
      <c r="A557" t="s">
        <v>228</v>
      </c>
      <c r="B557" t="str">
        <f>VLOOKUP(Tabla1[[#This Row],[Code]],[1]!Tabla4[#Data],2,FALSE)</f>
        <v>M2 MetaCast MCX 46 Volcano Red Brillo Metalizado 1,52x30m</v>
      </c>
      <c r="C557">
        <v>23</v>
      </c>
      <c r="D557" t="s">
        <v>90</v>
      </c>
      <c r="E557" t="str">
        <f>VLOOKUP(Tabla1[[#This Row],[Cód. Atributo]],[1]!Tabla5[#Data],6,FALSE)</f>
        <v>Select</v>
      </c>
      <c r="F557">
        <v>3</v>
      </c>
      <c r="G557">
        <v>3</v>
      </c>
      <c r="H557" t="s">
        <v>91</v>
      </c>
      <c r="I557" t="str">
        <f>VLOOKUP(Tabla1[[#This Row],[Code]],'[1]Articulos Precio'!$A:$E,5,FALSE)</f>
        <v>A0002816</v>
      </c>
    </row>
    <row r="558" spans="1:9" x14ac:dyDescent="0.25">
      <c r="A558" t="s">
        <v>228</v>
      </c>
      <c r="B558" t="str">
        <f>VLOOKUP(Tabla1[[#This Row],[Code]],[1]!Tabla4[#Data],2,FALSE)</f>
        <v>M2 MetaCast MCX 46 Volcano Red Brillo Metalizado 1,52x30m</v>
      </c>
      <c r="C558">
        <v>28</v>
      </c>
      <c r="D558" t="s">
        <v>92</v>
      </c>
      <c r="E558" t="str">
        <f>VLOOKUP(Tabla1[[#This Row],[Cód. Atributo]],[1]!Tabla5[#Data],6,FALSE)</f>
        <v>Select</v>
      </c>
      <c r="F558">
        <v>4</v>
      </c>
      <c r="G558">
        <v>1</v>
      </c>
      <c r="H558" t="s">
        <v>93</v>
      </c>
      <c r="I558" t="str">
        <f>VLOOKUP(Tabla1[[#This Row],[Code]],'[1]Articulos Precio'!$A:$E,5,FALSE)</f>
        <v>A0002816</v>
      </c>
    </row>
    <row r="559" spans="1:9" x14ac:dyDescent="0.25">
      <c r="A559" t="s">
        <v>228</v>
      </c>
      <c r="B559" t="str">
        <f>VLOOKUP(Tabla1[[#This Row],[Code]],[1]!Tabla4[#Data],2,FALSE)</f>
        <v>M2 MetaCast MCX 46 Volcano Red Brillo Metalizado 1,52x30m</v>
      </c>
      <c r="C559">
        <v>25</v>
      </c>
      <c r="D559" t="s">
        <v>94</v>
      </c>
      <c r="E559" t="str">
        <f>VLOOKUP(Tabla1[[#This Row],[Cód. Atributo]],[1]!Tabla5[#Data],6,FALSE)</f>
        <v>Select</v>
      </c>
      <c r="F559">
        <v>5</v>
      </c>
      <c r="G559">
        <v>6</v>
      </c>
      <c r="H559" t="s">
        <v>95</v>
      </c>
      <c r="I559" t="str">
        <f>VLOOKUP(Tabla1[[#This Row],[Code]],'[1]Articulos Precio'!$A:$E,5,FALSE)</f>
        <v>A0002816</v>
      </c>
    </row>
    <row r="560" spans="1:9" x14ac:dyDescent="0.25">
      <c r="A560" t="s">
        <v>228</v>
      </c>
      <c r="B560" t="str">
        <f>VLOOKUP(Tabla1[[#This Row],[Code]],[1]!Tabla4[#Data],2,FALSE)</f>
        <v>M2 MetaCast MCX 46 Volcano Red Brillo Metalizado 1,52x30m</v>
      </c>
      <c r="C560">
        <v>24</v>
      </c>
      <c r="D560" t="s">
        <v>96</v>
      </c>
      <c r="E560" t="str">
        <f>VLOOKUP(Tabla1[[#This Row],[Cód. Atributo]],[1]!Tabla5[#Data],6,FALSE)</f>
        <v>Select</v>
      </c>
      <c r="F560">
        <v>6</v>
      </c>
      <c r="G560">
        <v>6</v>
      </c>
      <c r="H560" t="s">
        <v>97</v>
      </c>
      <c r="I560" t="str">
        <f>VLOOKUP(Tabla1[[#This Row],[Code]],'[1]Articulos Precio'!$A:$E,5,FALSE)</f>
        <v>A0002816</v>
      </c>
    </row>
    <row r="561" spans="1:9" x14ac:dyDescent="0.25">
      <c r="A561" t="s">
        <v>230</v>
      </c>
      <c r="B561" t="str">
        <f>VLOOKUP(Tabla1[[#This Row],[Code]],[1]!Tabla4[#Data],2,FALSE)</f>
        <v>M2 MetaCast MCX 48 Cooper Red Brillo 1,52x30m</v>
      </c>
      <c r="C561">
        <v>8</v>
      </c>
      <c r="D561" t="s">
        <v>86</v>
      </c>
      <c r="E561" t="str">
        <f>VLOOKUP(Tabla1[[#This Row],[Cód. Atributo]],[1]!Tabla5[#Data],6,FALSE)</f>
        <v>Select</v>
      </c>
      <c r="F561">
        <v>1</v>
      </c>
      <c r="G561">
        <v>4</v>
      </c>
      <c r="H561" t="s">
        <v>87</v>
      </c>
      <c r="I561" t="str">
        <f>VLOOKUP(Tabla1[[#This Row],[Code]],'[1]Articulos Precio'!$A:$E,5,FALSE)</f>
        <v>A0002816</v>
      </c>
    </row>
    <row r="562" spans="1:9" x14ac:dyDescent="0.25">
      <c r="A562" t="s">
        <v>230</v>
      </c>
      <c r="B562" t="str">
        <f>VLOOKUP(Tabla1[[#This Row],[Code]],[1]!Tabla4[#Data],2,FALSE)</f>
        <v>M2 MetaCast MCX 48 Cooper Red Brillo 1,52x30m</v>
      </c>
      <c r="C562">
        <v>53</v>
      </c>
      <c r="D562" t="s">
        <v>88</v>
      </c>
      <c r="E562" t="str">
        <f>VLOOKUP(Tabla1[[#This Row],[Cód. Atributo]],[1]!Tabla5[#Data],6,FALSE)</f>
        <v>Color</v>
      </c>
      <c r="F562">
        <v>2</v>
      </c>
      <c r="G562">
        <v>10</v>
      </c>
      <c r="H562" t="s">
        <v>231</v>
      </c>
      <c r="I562" t="str">
        <f>VLOOKUP(Tabla1[[#This Row],[Code]],'[1]Articulos Precio'!$A:$E,5,FALSE)</f>
        <v>A0002816</v>
      </c>
    </row>
    <row r="563" spans="1:9" x14ac:dyDescent="0.25">
      <c r="A563" t="s">
        <v>230</v>
      </c>
      <c r="B563" t="str">
        <f>VLOOKUP(Tabla1[[#This Row],[Code]],[1]!Tabla4[#Data],2,FALSE)</f>
        <v>M2 MetaCast MCX 48 Cooper Red Brillo 1,52x30m</v>
      </c>
      <c r="C563">
        <v>23</v>
      </c>
      <c r="D563" t="s">
        <v>90</v>
      </c>
      <c r="E563" t="str">
        <f>VLOOKUP(Tabla1[[#This Row],[Cód. Atributo]],[1]!Tabla5[#Data],6,FALSE)</f>
        <v>Select</v>
      </c>
      <c r="F563">
        <v>3</v>
      </c>
      <c r="G563">
        <v>3</v>
      </c>
      <c r="H563" t="s">
        <v>91</v>
      </c>
      <c r="I563" t="str">
        <f>VLOOKUP(Tabla1[[#This Row],[Code]],'[1]Articulos Precio'!$A:$E,5,FALSE)</f>
        <v>A0002816</v>
      </c>
    </row>
    <row r="564" spans="1:9" x14ac:dyDescent="0.25">
      <c r="A564" t="s">
        <v>230</v>
      </c>
      <c r="B564" t="str">
        <f>VLOOKUP(Tabla1[[#This Row],[Code]],[1]!Tabla4[#Data],2,FALSE)</f>
        <v>M2 MetaCast MCX 48 Cooper Red Brillo 1,52x30m</v>
      </c>
      <c r="C564">
        <v>28</v>
      </c>
      <c r="D564" t="s">
        <v>92</v>
      </c>
      <c r="E564" t="str">
        <f>VLOOKUP(Tabla1[[#This Row],[Cód. Atributo]],[1]!Tabla5[#Data],6,FALSE)</f>
        <v>Select</v>
      </c>
      <c r="F564">
        <v>4</v>
      </c>
      <c r="G564">
        <v>1</v>
      </c>
      <c r="H564" t="s">
        <v>93</v>
      </c>
      <c r="I564" t="str">
        <f>VLOOKUP(Tabla1[[#This Row],[Code]],'[1]Articulos Precio'!$A:$E,5,FALSE)</f>
        <v>A0002816</v>
      </c>
    </row>
    <row r="565" spans="1:9" x14ac:dyDescent="0.25">
      <c r="A565" t="s">
        <v>230</v>
      </c>
      <c r="B565" t="str">
        <f>VLOOKUP(Tabla1[[#This Row],[Code]],[1]!Tabla4[#Data],2,FALSE)</f>
        <v>M2 MetaCast MCX 48 Cooper Red Brillo 1,52x30m</v>
      </c>
      <c r="C565">
        <v>25</v>
      </c>
      <c r="D565" t="s">
        <v>94</v>
      </c>
      <c r="E565" t="str">
        <f>VLOOKUP(Tabla1[[#This Row],[Cód. Atributo]],[1]!Tabla5[#Data],6,FALSE)</f>
        <v>Select</v>
      </c>
      <c r="F565">
        <v>5</v>
      </c>
      <c r="G565">
        <v>6</v>
      </c>
      <c r="H565" t="s">
        <v>95</v>
      </c>
      <c r="I565" t="str">
        <f>VLOOKUP(Tabla1[[#This Row],[Code]],'[1]Articulos Precio'!$A:$E,5,FALSE)</f>
        <v>A0002816</v>
      </c>
    </row>
    <row r="566" spans="1:9" x14ac:dyDescent="0.25">
      <c r="A566" t="s">
        <v>230</v>
      </c>
      <c r="B566" t="str">
        <f>VLOOKUP(Tabla1[[#This Row],[Code]],[1]!Tabla4[#Data],2,FALSE)</f>
        <v>M2 MetaCast MCX 48 Cooper Red Brillo 1,52x30m</v>
      </c>
      <c r="C566">
        <v>24</v>
      </c>
      <c r="D566" t="s">
        <v>96</v>
      </c>
      <c r="E566" t="str">
        <f>VLOOKUP(Tabla1[[#This Row],[Cód. Atributo]],[1]!Tabla5[#Data],6,FALSE)</f>
        <v>Select</v>
      </c>
      <c r="F566">
        <v>6</v>
      </c>
      <c r="G566">
        <v>6</v>
      </c>
      <c r="H566" t="s">
        <v>97</v>
      </c>
      <c r="I566" t="str">
        <f>VLOOKUP(Tabla1[[#This Row],[Code]],'[1]Articulos Precio'!$A:$E,5,FALSE)</f>
        <v>A0002816</v>
      </c>
    </row>
    <row r="567" spans="1:9" x14ac:dyDescent="0.25">
      <c r="A567" t="s">
        <v>232</v>
      </c>
      <c r="B567" t="str">
        <f>VLOOKUP(Tabla1[[#This Row],[Code]],[1]!Tabla4[#Data],2,FALSE)</f>
        <v>M2 MetaCast MCX 51 Miami Blue Brillo 1,52x30m</v>
      </c>
      <c r="C567">
        <v>8</v>
      </c>
      <c r="D567" t="s">
        <v>86</v>
      </c>
      <c r="E567" t="str">
        <f>VLOOKUP(Tabla1[[#This Row],[Cód. Atributo]],[1]!Tabla5[#Data],6,FALSE)</f>
        <v>Select</v>
      </c>
      <c r="F567">
        <v>1</v>
      </c>
      <c r="G567">
        <v>4</v>
      </c>
      <c r="H567" t="s">
        <v>87</v>
      </c>
      <c r="I567" t="str">
        <f>VLOOKUP(Tabla1[[#This Row],[Code]],'[1]Articulos Precio'!$A:$E,5,FALSE)</f>
        <v>A0002816</v>
      </c>
    </row>
    <row r="568" spans="1:9" x14ac:dyDescent="0.25">
      <c r="A568" t="s">
        <v>232</v>
      </c>
      <c r="B568" t="str">
        <f>VLOOKUP(Tabla1[[#This Row],[Code]],[1]!Tabla4[#Data],2,FALSE)</f>
        <v>M2 MetaCast MCX 51 Miami Blue Brillo 1,52x30m</v>
      </c>
      <c r="C568">
        <v>53</v>
      </c>
      <c r="D568" t="s">
        <v>88</v>
      </c>
      <c r="E568" t="str">
        <f>VLOOKUP(Tabla1[[#This Row],[Cód. Atributo]],[1]!Tabla5[#Data],6,FALSE)</f>
        <v>Color</v>
      </c>
      <c r="F568">
        <v>2</v>
      </c>
      <c r="G568">
        <v>11</v>
      </c>
      <c r="H568" t="s">
        <v>233</v>
      </c>
      <c r="I568" t="str">
        <f>VLOOKUP(Tabla1[[#This Row],[Code]],'[1]Articulos Precio'!$A:$E,5,FALSE)</f>
        <v>A0002816</v>
      </c>
    </row>
    <row r="569" spans="1:9" x14ac:dyDescent="0.25">
      <c r="A569" t="s">
        <v>232</v>
      </c>
      <c r="B569" t="str">
        <f>VLOOKUP(Tabla1[[#This Row],[Code]],[1]!Tabla4[#Data],2,FALSE)</f>
        <v>M2 MetaCast MCX 51 Miami Blue Brillo 1,52x30m</v>
      </c>
      <c r="C569">
        <v>23</v>
      </c>
      <c r="D569" t="s">
        <v>90</v>
      </c>
      <c r="E569" t="str">
        <f>VLOOKUP(Tabla1[[#This Row],[Cód. Atributo]],[1]!Tabla5[#Data],6,FALSE)</f>
        <v>Select</v>
      </c>
      <c r="F569">
        <v>3</v>
      </c>
      <c r="G569">
        <v>3</v>
      </c>
      <c r="H569" t="s">
        <v>91</v>
      </c>
      <c r="I569" t="str">
        <f>VLOOKUP(Tabla1[[#This Row],[Code]],'[1]Articulos Precio'!$A:$E,5,FALSE)</f>
        <v>A0002816</v>
      </c>
    </row>
    <row r="570" spans="1:9" x14ac:dyDescent="0.25">
      <c r="A570" t="s">
        <v>232</v>
      </c>
      <c r="B570" t="str">
        <f>VLOOKUP(Tabla1[[#This Row],[Code]],[1]!Tabla4[#Data],2,FALSE)</f>
        <v>M2 MetaCast MCX 51 Miami Blue Brillo 1,52x30m</v>
      </c>
      <c r="C570">
        <v>28</v>
      </c>
      <c r="D570" t="s">
        <v>92</v>
      </c>
      <c r="E570" t="str">
        <f>VLOOKUP(Tabla1[[#This Row],[Cód. Atributo]],[1]!Tabla5[#Data],6,FALSE)</f>
        <v>Select</v>
      </c>
      <c r="F570">
        <v>4</v>
      </c>
      <c r="G570">
        <v>1</v>
      </c>
      <c r="H570" t="s">
        <v>93</v>
      </c>
      <c r="I570" t="str">
        <f>VLOOKUP(Tabla1[[#This Row],[Code]],'[1]Articulos Precio'!$A:$E,5,FALSE)</f>
        <v>A0002816</v>
      </c>
    </row>
    <row r="571" spans="1:9" x14ac:dyDescent="0.25">
      <c r="A571" t="s">
        <v>232</v>
      </c>
      <c r="B571" t="str">
        <f>VLOOKUP(Tabla1[[#This Row],[Code]],[1]!Tabla4[#Data],2,FALSE)</f>
        <v>M2 MetaCast MCX 51 Miami Blue Brillo 1,52x30m</v>
      </c>
      <c r="C571">
        <v>25</v>
      </c>
      <c r="D571" t="s">
        <v>94</v>
      </c>
      <c r="E571" t="str">
        <f>VLOOKUP(Tabla1[[#This Row],[Cód. Atributo]],[1]!Tabla5[#Data],6,FALSE)</f>
        <v>Select</v>
      </c>
      <c r="F571">
        <v>5</v>
      </c>
      <c r="G571">
        <v>6</v>
      </c>
      <c r="H571" t="s">
        <v>95</v>
      </c>
      <c r="I571" t="str">
        <f>VLOOKUP(Tabla1[[#This Row],[Code]],'[1]Articulos Precio'!$A:$E,5,FALSE)</f>
        <v>A0002816</v>
      </c>
    </row>
    <row r="572" spans="1:9" x14ac:dyDescent="0.25">
      <c r="A572" t="s">
        <v>232</v>
      </c>
      <c r="B572" t="str">
        <f>VLOOKUP(Tabla1[[#This Row],[Code]],[1]!Tabla4[#Data],2,FALSE)</f>
        <v>M2 MetaCast MCX 51 Miami Blue Brillo 1,52x30m</v>
      </c>
      <c r="C572">
        <v>24</v>
      </c>
      <c r="D572" t="s">
        <v>96</v>
      </c>
      <c r="E572" t="str">
        <f>VLOOKUP(Tabla1[[#This Row],[Cód. Atributo]],[1]!Tabla5[#Data],6,FALSE)</f>
        <v>Select</v>
      </c>
      <c r="F572">
        <v>6</v>
      </c>
      <c r="G572">
        <v>6</v>
      </c>
      <c r="H572" t="s">
        <v>97</v>
      </c>
      <c r="I572" t="str">
        <f>VLOOKUP(Tabla1[[#This Row],[Code]],'[1]Articulos Precio'!$A:$E,5,FALSE)</f>
        <v>A0002816</v>
      </c>
    </row>
    <row r="573" spans="1:9" x14ac:dyDescent="0.25">
      <c r="A573" t="s">
        <v>234</v>
      </c>
      <c r="B573" t="str">
        <f>VLOOKUP(Tabla1[[#This Row],[Code]],[1]!Tabla4[#Data],2,FALSE)</f>
        <v>M2 MetaCast MCX 54 Bavarian Blue Mate Metalizado 1,52x30m</v>
      </c>
      <c r="C573">
        <v>8</v>
      </c>
      <c r="D573" t="s">
        <v>86</v>
      </c>
      <c r="E573" t="str">
        <f>VLOOKUP(Tabla1[[#This Row],[Cód. Atributo]],[1]!Tabla5[#Data],6,FALSE)</f>
        <v>Select</v>
      </c>
      <c r="F573">
        <v>1</v>
      </c>
      <c r="G573">
        <v>4</v>
      </c>
      <c r="H573" t="s">
        <v>87</v>
      </c>
      <c r="I573" t="str">
        <f>VLOOKUP(Tabla1[[#This Row],[Code]],'[1]Articulos Precio'!$A:$E,5,FALSE)</f>
        <v>A0002816</v>
      </c>
    </row>
    <row r="574" spans="1:9" x14ac:dyDescent="0.25">
      <c r="A574" t="s">
        <v>234</v>
      </c>
      <c r="B574" t="str">
        <f>VLOOKUP(Tabla1[[#This Row],[Code]],[1]!Tabla4[#Data],2,FALSE)</f>
        <v>M2 MetaCast MCX 54 Bavarian Blue Mate Metalizado 1,52x30m</v>
      </c>
      <c r="C574">
        <v>53</v>
      </c>
      <c r="D574" t="s">
        <v>88</v>
      </c>
      <c r="E574" t="str">
        <f>VLOOKUP(Tabla1[[#This Row],[Cód. Atributo]],[1]!Tabla5[#Data],6,FALSE)</f>
        <v>Color</v>
      </c>
      <c r="F574">
        <v>2</v>
      </c>
      <c r="G574">
        <v>12</v>
      </c>
      <c r="H574" t="s">
        <v>235</v>
      </c>
      <c r="I574" t="str">
        <f>VLOOKUP(Tabla1[[#This Row],[Code]],'[1]Articulos Precio'!$A:$E,5,FALSE)</f>
        <v>A0002816</v>
      </c>
    </row>
    <row r="575" spans="1:9" x14ac:dyDescent="0.25">
      <c r="A575" t="s">
        <v>234</v>
      </c>
      <c r="B575" t="str">
        <f>VLOOKUP(Tabla1[[#This Row],[Code]],[1]!Tabla4[#Data],2,FALSE)</f>
        <v>M2 MetaCast MCX 54 Bavarian Blue Mate Metalizado 1,52x30m</v>
      </c>
      <c r="C575">
        <v>23</v>
      </c>
      <c r="D575" t="s">
        <v>90</v>
      </c>
      <c r="E575" t="str">
        <f>VLOOKUP(Tabla1[[#This Row],[Cód. Atributo]],[1]!Tabla5[#Data],6,FALSE)</f>
        <v>Select</v>
      </c>
      <c r="F575">
        <v>3</v>
      </c>
      <c r="G575">
        <v>3</v>
      </c>
      <c r="H575" t="s">
        <v>91</v>
      </c>
      <c r="I575" t="str">
        <f>VLOOKUP(Tabla1[[#This Row],[Code]],'[1]Articulos Precio'!$A:$E,5,FALSE)</f>
        <v>A0002816</v>
      </c>
    </row>
    <row r="576" spans="1:9" x14ac:dyDescent="0.25">
      <c r="A576" t="s">
        <v>234</v>
      </c>
      <c r="B576" t="str">
        <f>VLOOKUP(Tabla1[[#This Row],[Code]],[1]!Tabla4[#Data],2,FALSE)</f>
        <v>M2 MetaCast MCX 54 Bavarian Blue Mate Metalizado 1,52x30m</v>
      </c>
      <c r="C576">
        <v>28</v>
      </c>
      <c r="D576" t="s">
        <v>92</v>
      </c>
      <c r="E576" t="str">
        <f>VLOOKUP(Tabla1[[#This Row],[Cód. Atributo]],[1]!Tabla5[#Data],6,FALSE)</f>
        <v>Select</v>
      </c>
      <c r="F576">
        <v>4</v>
      </c>
      <c r="G576">
        <v>2</v>
      </c>
      <c r="H576" t="s">
        <v>102</v>
      </c>
      <c r="I576" t="str">
        <f>VLOOKUP(Tabla1[[#This Row],[Code]],'[1]Articulos Precio'!$A:$E,5,FALSE)</f>
        <v>A0002816</v>
      </c>
    </row>
    <row r="577" spans="1:9" x14ac:dyDescent="0.25">
      <c r="A577" t="s">
        <v>234</v>
      </c>
      <c r="B577" t="str">
        <f>VLOOKUP(Tabla1[[#This Row],[Code]],[1]!Tabla4[#Data],2,FALSE)</f>
        <v>M2 MetaCast MCX 54 Bavarian Blue Mate Metalizado 1,52x30m</v>
      </c>
      <c r="C577">
        <v>25</v>
      </c>
      <c r="D577" t="s">
        <v>94</v>
      </c>
      <c r="E577" t="str">
        <f>VLOOKUP(Tabla1[[#This Row],[Cód. Atributo]],[1]!Tabla5[#Data],6,FALSE)</f>
        <v>Select</v>
      </c>
      <c r="F577">
        <v>5</v>
      </c>
      <c r="G577">
        <v>6</v>
      </c>
      <c r="H577" t="s">
        <v>95</v>
      </c>
      <c r="I577" t="str">
        <f>VLOOKUP(Tabla1[[#This Row],[Code]],'[1]Articulos Precio'!$A:$E,5,FALSE)</f>
        <v>A0002816</v>
      </c>
    </row>
    <row r="578" spans="1:9" x14ac:dyDescent="0.25">
      <c r="A578" t="s">
        <v>234</v>
      </c>
      <c r="B578" t="str">
        <f>VLOOKUP(Tabla1[[#This Row],[Code]],[1]!Tabla4[#Data],2,FALSE)</f>
        <v>M2 MetaCast MCX 54 Bavarian Blue Mate Metalizado 1,52x30m</v>
      </c>
      <c r="C578">
        <v>24</v>
      </c>
      <c r="D578" t="s">
        <v>96</v>
      </c>
      <c r="E578" t="str">
        <f>VLOOKUP(Tabla1[[#This Row],[Cód. Atributo]],[1]!Tabla5[#Data],6,FALSE)</f>
        <v>Select</v>
      </c>
      <c r="F578">
        <v>6</v>
      </c>
      <c r="G578">
        <v>6</v>
      </c>
      <c r="H578" t="s">
        <v>97</v>
      </c>
      <c r="I578" t="str">
        <f>VLOOKUP(Tabla1[[#This Row],[Code]],'[1]Articulos Precio'!$A:$E,5,FALSE)</f>
        <v>A0002816</v>
      </c>
    </row>
    <row r="579" spans="1:9" x14ac:dyDescent="0.25">
      <c r="A579" t="s">
        <v>236</v>
      </c>
      <c r="B579" t="str">
        <f>VLOOKUP(Tabla1[[#This Row],[Code]],[1]!Tabla4[#Data],2,FALSE)</f>
        <v>M2 MetaCast MCX 58 Lapis Blue Brillo 1,52x30m</v>
      </c>
      <c r="C579">
        <v>8</v>
      </c>
      <c r="D579" t="s">
        <v>86</v>
      </c>
      <c r="E579" t="str">
        <f>VLOOKUP(Tabla1[[#This Row],[Cód. Atributo]],[1]!Tabla5[#Data],6,FALSE)</f>
        <v>Select</v>
      </c>
      <c r="F579">
        <v>1</v>
      </c>
      <c r="G579">
        <v>4</v>
      </c>
      <c r="H579" t="s">
        <v>87</v>
      </c>
      <c r="I579" t="str">
        <f>VLOOKUP(Tabla1[[#This Row],[Code]],'[1]Articulos Precio'!$A:$E,5,FALSE)</f>
        <v>A0002816</v>
      </c>
    </row>
    <row r="580" spans="1:9" x14ac:dyDescent="0.25">
      <c r="A580" t="s">
        <v>236</v>
      </c>
      <c r="B580" t="str">
        <f>VLOOKUP(Tabla1[[#This Row],[Code]],[1]!Tabla4[#Data],2,FALSE)</f>
        <v>M2 MetaCast MCX 58 Lapis Blue Brillo 1,52x30m</v>
      </c>
      <c r="C580">
        <v>53</v>
      </c>
      <c r="D580" t="s">
        <v>88</v>
      </c>
      <c r="E580" t="str">
        <f>VLOOKUP(Tabla1[[#This Row],[Cód. Atributo]],[1]!Tabla5[#Data],6,FALSE)</f>
        <v>Color</v>
      </c>
      <c r="F580">
        <v>2</v>
      </c>
      <c r="G580">
        <v>13</v>
      </c>
      <c r="H580" t="s">
        <v>237</v>
      </c>
      <c r="I580" t="str">
        <f>VLOOKUP(Tabla1[[#This Row],[Code]],'[1]Articulos Precio'!$A:$E,5,FALSE)</f>
        <v>A0002816</v>
      </c>
    </row>
    <row r="581" spans="1:9" x14ac:dyDescent="0.25">
      <c r="A581" t="s">
        <v>236</v>
      </c>
      <c r="B581" t="str">
        <f>VLOOKUP(Tabla1[[#This Row],[Code]],[1]!Tabla4[#Data],2,FALSE)</f>
        <v>M2 MetaCast MCX 58 Lapis Blue Brillo 1,52x30m</v>
      </c>
      <c r="C581">
        <v>23</v>
      </c>
      <c r="D581" t="s">
        <v>90</v>
      </c>
      <c r="E581" t="str">
        <f>VLOOKUP(Tabla1[[#This Row],[Cód. Atributo]],[1]!Tabla5[#Data],6,FALSE)</f>
        <v>Select</v>
      </c>
      <c r="F581">
        <v>3</v>
      </c>
      <c r="G581">
        <v>3</v>
      </c>
      <c r="H581" t="s">
        <v>91</v>
      </c>
      <c r="I581" t="str">
        <f>VLOOKUP(Tabla1[[#This Row],[Code]],'[1]Articulos Precio'!$A:$E,5,FALSE)</f>
        <v>A0002816</v>
      </c>
    </row>
    <row r="582" spans="1:9" x14ac:dyDescent="0.25">
      <c r="A582" t="s">
        <v>236</v>
      </c>
      <c r="B582" t="str">
        <f>VLOOKUP(Tabla1[[#This Row],[Code]],[1]!Tabla4[#Data],2,FALSE)</f>
        <v>M2 MetaCast MCX 58 Lapis Blue Brillo 1,52x30m</v>
      </c>
      <c r="C582">
        <v>28</v>
      </c>
      <c r="D582" t="s">
        <v>92</v>
      </c>
      <c r="E582" t="str">
        <f>VLOOKUP(Tabla1[[#This Row],[Cód. Atributo]],[1]!Tabla5[#Data],6,FALSE)</f>
        <v>Select</v>
      </c>
      <c r="F582">
        <v>4</v>
      </c>
      <c r="G582">
        <v>1</v>
      </c>
      <c r="H582" t="s">
        <v>93</v>
      </c>
      <c r="I582" t="str">
        <f>VLOOKUP(Tabla1[[#This Row],[Code]],'[1]Articulos Precio'!$A:$E,5,FALSE)</f>
        <v>A0002816</v>
      </c>
    </row>
    <row r="583" spans="1:9" x14ac:dyDescent="0.25">
      <c r="A583" t="s">
        <v>236</v>
      </c>
      <c r="B583" t="str">
        <f>VLOOKUP(Tabla1[[#This Row],[Code]],[1]!Tabla4[#Data],2,FALSE)</f>
        <v>M2 MetaCast MCX 58 Lapis Blue Brillo 1,52x30m</v>
      </c>
      <c r="C583">
        <v>25</v>
      </c>
      <c r="D583" t="s">
        <v>94</v>
      </c>
      <c r="E583" t="str">
        <f>VLOOKUP(Tabla1[[#This Row],[Cód. Atributo]],[1]!Tabla5[#Data],6,FALSE)</f>
        <v>Select</v>
      </c>
      <c r="F583">
        <v>5</v>
      </c>
      <c r="G583">
        <v>6</v>
      </c>
      <c r="H583" t="s">
        <v>95</v>
      </c>
      <c r="I583" t="str">
        <f>VLOOKUP(Tabla1[[#This Row],[Code]],'[1]Articulos Precio'!$A:$E,5,FALSE)</f>
        <v>A0002816</v>
      </c>
    </row>
    <row r="584" spans="1:9" x14ac:dyDescent="0.25">
      <c r="A584" t="s">
        <v>236</v>
      </c>
      <c r="B584" t="str">
        <f>VLOOKUP(Tabla1[[#This Row],[Code]],[1]!Tabla4[#Data],2,FALSE)</f>
        <v>M2 MetaCast MCX 58 Lapis Blue Brillo 1,52x30m</v>
      </c>
      <c r="C584">
        <v>24</v>
      </c>
      <c r="D584" t="s">
        <v>96</v>
      </c>
      <c r="E584" t="str">
        <f>VLOOKUP(Tabla1[[#This Row],[Cód. Atributo]],[1]!Tabla5[#Data],6,FALSE)</f>
        <v>Select</v>
      </c>
      <c r="F584">
        <v>6</v>
      </c>
      <c r="G584">
        <v>6</v>
      </c>
      <c r="H584" t="s">
        <v>97</v>
      </c>
      <c r="I584" t="str">
        <f>VLOOKUP(Tabla1[[#This Row],[Code]],'[1]Articulos Precio'!$A:$E,5,FALSE)</f>
        <v>A0002816</v>
      </c>
    </row>
    <row r="585" spans="1:9" x14ac:dyDescent="0.25">
      <c r="A585" t="s">
        <v>238</v>
      </c>
      <c r="B585" t="str">
        <f>VLOOKUP(Tabla1[[#This Row],[Code]],[1]!Tabla4[#Data],2,FALSE)</f>
        <v>M2 MetaCast MCX 59 Blue Abyss Brillo Metalizado 1,52x30m</v>
      </c>
      <c r="C585">
        <v>8</v>
      </c>
      <c r="D585" t="s">
        <v>86</v>
      </c>
      <c r="E585" t="str">
        <f>VLOOKUP(Tabla1[[#This Row],[Cód. Atributo]],[1]!Tabla5[#Data],6,FALSE)</f>
        <v>Select</v>
      </c>
      <c r="F585">
        <v>1</v>
      </c>
      <c r="G585">
        <v>4</v>
      </c>
      <c r="H585" t="s">
        <v>87</v>
      </c>
      <c r="I585" t="str">
        <f>VLOOKUP(Tabla1[[#This Row],[Code]],'[1]Articulos Precio'!$A:$E,5,FALSE)</f>
        <v>A0002816</v>
      </c>
    </row>
    <row r="586" spans="1:9" x14ac:dyDescent="0.25">
      <c r="A586" t="s">
        <v>238</v>
      </c>
      <c r="B586" t="str">
        <f>VLOOKUP(Tabla1[[#This Row],[Code]],[1]!Tabla4[#Data],2,FALSE)</f>
        <v>M2 MetaCast MCX 59 Blue Abyss Brillo Metalizado 1,52x30m</v>
      </c>
      <c r="C586">
        <v>53</v>
      </c>
      <c r="D586" t="s">
        <v>88</v>
      </c>
      <c r="E586" t="str">
        <f>VLOOKUP(Tabla1[[#This Row],[Cód. Atributo]],[1]!Tabla5[#Data],6,FALSE)</f>
        <v>Color</v>
      </c>
      <c r="F586">
        <v>2</v>
      </c>
      <c r="G586">
        <v>14</v>
      </c>
      <c r="H586" t="s">
        <v>239</v>
      </c>
      <c r="I586" t="str">
        <f>VLOOKUP(Tabla1[[#This Row],[Code]],'[1]Articulos Precio'!$A:$E,5,FALSE)</f>
        <v>A0002816</v>
      </c>
    </row>
    <row r="587" spans="1:9" x14ac:dyDescent="0.25">
      <c r="A587" t="s">
        <v>238</v>
      </c>
      <c r="B587" t="str">
        <f>VLOOKUP(Tabla1[[#This Row],[Code]],[1]!Tabla4[#Data],2,FALSE)</f>
        <v>M2 MetaCast MCX 59 Blue Abyss Brillo Metalizado 1,52x30m</v>
      </c>
      <c r="C587">
        <v>23</v>
      </c>
      <c r="D587" t="s">
        <v>90</v>
      </c>
      <c r="E587" t="str">
        <f>VLOOKUP(Tabla1[[#This Row],[Cód. Atributo]],[1]!Tabla5[#Data],6,FALSE)</f>
        <v>Select</v>
      </c>
      <c r="F587">
        <v>3</v>
      </c>
      <c r="G587">
        <v>3</v>
      </c>
      <c r="H587" t="s">
        <v>91</v>
      </c>
      <c r="I587" t="str">
        <f>VLOOKUP(Tabla1[[#This Row],[Code]],'[1]Articulos Precio'!$A:$E,5,FALSE)</f>
        <v>A0002816</v>
      </c>
    </row>
    <row r="588" spans="1:9" x14ac:dyDescent="0.25">
      <c r="A588" t="s">
        <v>238</v>
      </c>
      <c r="B588" t="str">
        <f>VLOOKUP(Tabla1[[#This Row],[Code]],[1]!Tabla4[#Data],2,FALSE)</f>
        <v>M2 MetaCast MCX 59 Blue Abyss Brillo Metalizado 1,52x30m</v>
      </c>
      <c r="C588">
        <v>28</v>
      </c>
      <c r="D588" t="s">
        <v>92</v>
      </c>
      <c r="E588" t="str">
        <f>VLOOKUP(Tabla1[[#This Row],[Cód. Atributo]],[1]!Tabla5[#Data],6,FALSE)</f>
        <v>Select</v>
      </c>
      <c r="F588">
        <v>4</v>
      </c>
      <c r="G588">
        <v>1</v>
      </c>
      <c r="H588" t="s">
        <v>93</v>
      </c>
      <c r="I588" t="str">
        <f>VLOOKUP(Tabla1[[#This Row],[Code]],'[1]Articulos Precio'!$A:$E,5,FALSE)</f>
        <v>A0002816</v>
      </c>
    </row>
    <row r="589" spans="1:9" x14ac:dyDescent="0.25">
      <c r="A589" t="s">
        <v>238</v>
      </c>
      <c r="B589" t="str">
        <f>VLOOKUP(Tabla1[[#This Row],[Code]],[1]!Tabla4[#Data],2,FALSE)</f>
        <v>M2 MetaCast MCX 59 Blue Abyss Brillo Metalizado 1,52x30m</v>
      </c>
      <c r="C589">
        <v>25</v>
      </c>
      <c r="D589" t="s">
        <v>94</v>
      </c>
      <c r="E589" t="str">
        <f>VLOOKUP(Tabla1[[#This Row],[Cód. Atributo]],[1]!Tabla5[#Data],6,FALSE)</f>
        <v>Select</v>
      </c>
      <c r="F589">
        <v>5</v>
      </c>
      <c r="G589">
        <v>6</v>
      </c>
      <c r="H589" t="s">
        <v>95</v>
      </c>
      <c r="I589" t="str">
        <f>VLOOKUP(Tabla1[[#This Row],[Code]],'[1]Articulos Precio'!$A:$E,5,FALSE)</f>
        <v>A0002816</v>
      </c>
    </row>
    <row r="590" spans="1:9" x14ac:dyDescent="0.25">
      <c r="A590" t="s">
        <v>238</v>
      </c>
      <c r="B590" t="str">
        <f>VLOOKUP(Tabla1[[#This Row],[Code]],[1]!Tabla4[#Data],2,FALSE)</f>
        <v>M2 MetaCast MCX 59 Blue Abyss Brillo Metalizado 1,52x30m</v>
      </c>
      <c r="C590">
        <v>24</v>
      </c>
      <c r="D590" t="s">
        <v>96</v>
      </c>
      <c r="E590" t="str">
        <f>VLOOKUP(Tabla1[[#This Row],[Cód. Atributo]],[1]!Tabla5[#Data],6,FALSE)</f>
        <v>Select</v>
      </c>
      <c r="F590">
        <v>6</v>
      </c>
      <c r="G590">
        <v>6</v>
      </c>
      <c r="H590" t="s">
        <v>97</v>
      </c>
      <c r="I590" t="str">
        <f>VLOOKUP(Tabla1[[#This Row],[Code]],'[1]Articulos Precio'!$A:$E,5,FALSE)</f>
        <v>A0002816</v>
      </c>
    </row>
    <row r="591" spans="1:9" x14ac:dyDescent="0.25">
      <c r="A591" t="s">
        <v>240</v>
      </c>
      <c r="B591" t="str">
        <f>VLOOKUP(Tabla1[[#This Row],[Code]],[1]!Tabla4[#Data],2,FALSE)</f>
        <v>M2 MetaCast MCX 63 Speed Green Mate Metalizado 1,52x30m</v>
      </c>
      <c r="C591">
        <v>8</v>
      </c>
      <c r="D591" t="s">
        <v>86</v>
      </c>
      <c r="E591" t="str">
        <f>VLOOKUP(Tabla1[[#This Row],[Cód. Atributo]],[1]!Tabla5[#Data],6,FALSE)</f>
        <v>Select</v>
      </c>
      <c r="F591">
        <v>2</v>
      </c>
      <c r="G591">
        <v>4</v>
      </c>
      <c r="H591" t="s">
        <v>87</v>
      </c>
      <c r="I591" t="str">
        <f>VLOOKUP(Tabla1[[#This Row],[Code]],'[1]Articulos Precio'!$A:$E,5,FALSE)</f>
        <v>A0002816</v>
      </c>
    </row>
    <row r="592" spans="1:9" x14ac:dyDescent="0.25">
      <c r="A592" t="s">
        <v>240</v>
      </c>
      <c r="B592" t="str">
        <f>VLOOKUP(Tabla1[[#This Row],[Code]],[1]!Tabla4[#Data],2,FALSE)</f>
        <v>M2 MetaCast MCX 63 Speed Green Mate Metalizado 1,52x30m</v>
      </c>
      <c r="C592">
        <v>53</v>
      </c>
      <c r="D592" t="s">
        <v>88</v>
      </c>
      <c r="E592" t="str">
        <f>VLOOKUP(Tabla1[[#This Row],[Cód. Atributo]],[1]!Tabla5[#Data],6,FALSE)</f>
        <v>Color</v>
      </c>
      <c r="F592">
        <v>3</v>
      </c>
      <c r="G592">
        <v>15</v>
      </c>
      <c r="H592" t="s">
        <v>241</v>
      </c>
      <c r="I592" t="str">
        <f>VLOOKUP(Tabla1[[#This Row],[Code]],'[1]Articulos Precio'!$A:$E,5,FALSE)</f>
        <v>A0002816</v>
      </c>
    </row>
    <row r="593" spans="1:9" x14ac:dyDescent="0.25">
      <c r="A593" t="s">
        <v>240</v>
      </c>
      <c r="B593" t="str">
        <f>VLOOKUP(Tabla1[[#This Row],[Code]],[1]!Tabla4[#Data],2,FALSE)</f>
        <v>M2 MetaCast MCX 63 Speed Green Mate Metalizado 1,52x30m</v>
      </c>
      <c r="C593">
        <v>23</v>
      </c>
      <c r="D593" t="s">
        <v>90</v>
      </c>
      <c r="E593" t="str">
        <f>VLOOKUP(Tabla1[[#This Row],[Cód. Atributo]],[1]!Tabla5[#Data],6,FALSE)</f>
        <v>Select</v>
      </c>
      <c r="F593">
        <v>4</v>
      </c>
      <c r="G593">
        <v>3</v>
      </c>
      <c r="H593" t="s">
        <v>91</v>
      </c>
      <c r="I593" t="str">
        <f>VLOOKUP(Tabla1[[#This Row],[Code]],'[1]Articulos Precio'!$A:$E,5,FALSE)</f>
        <v>A0002816</v>
      </c>
    </row>
    <row r="594" spans="1:9" x14ac:dyDescent="0.25">
      <c r="A594" t="s">
        <v>240</v>
      </c>
      <c r="B594" t="str">
        <f>VLOOKUP(Tabla1[[#This Row],[Code]],[1]!Tabla4[#Data],2,FALSE)</f>
        <v>M2 MetaCast MCX 63 Speed Green Mate Metalizado 1,52x30m</v>
      </c>
      <c r="C594">
        <v>28</v>
      </c>
      <c r="D594" t="s">
        <v>92</v>
      </c>
      <c r="E594" t="str">
        <f>VLOOKUP(Tabla1[[#This Row],[Cód. Atributo]],[1]!Tabla5[#Data],6,FALSE)</f>
        <v>Select</v>
      </c>
      <c r="F594">
        <v>5</v>
      </c>
      <c r="G594">
        <v>2</v>
      </c>
      <c r="H594" t="s">
        <v>102</v>
      </c>
      <c r="I594" t="str">
        <f>VLOOKUP(Tabla1[[#This Row],[Code]],'[1]Articulos Precio'!$A:$E,5,FALSE)</f>
        <v>A0002816</v>
      </c>
    </row>
    <row r="595" spans="1:9" x14ac:dyDescent="0.25">
      <c r="A595" t="s">
        <v>240</v>
      </c>
      <c r="B595" t="str">
        <f>VLOOKUP(Tabla1[[#This Row],[Code]],[1]!Tabla4[#Data],2,FALSE)</f>
        <v>M2 MetaCast MCX 63 Speed Green Mate Metalizado 1,52x30m</v>
      </c>
      <c r="C595">
        <v>25</v>
      </c>
      <c r="D595" t="s">
        <v>94</v>
      </c>
      <c r="E595" t="str">
        <f>VLOOKUP(Tabla1[[#This Row],[Cód. Atributo]],[1]!Tabla5[#Data],6,FALSE)</f>
        <v>Select</v>
      </c>
      <c r="F595">
        <v>6</v>
      </c>
      <c r="G595">
        <v>6</v>
      </c>
      <c r="H595" t="s">
        <v>95</v>
      </c>
      <c r="I595" t="str">
        <f>VLOOKUP(Tabla1[[#This Row],[Code]],'[1]Articulos Precio'!$A:$E,5,FALSE)</f>
        <v>A0002816</v>
      </c>
    </row>
    <row r="596" spans="1:9" x14ac:dyDescent="0.25">
      <c r="A596" t="s">
        <v>240</v>
      </c>
      <c r="B596" t="str">
        <f>VLOOKUP(Tabla1[[#This Row],[Code]],[1]!Tabla4[#Data],2,FALSE)</f>
        <v>M2 MetaCast MCX 63 Speed Green Mate Metalizado 1,52x30m</v>
      </c>
      <c r="C596">
        <v>24</v>
      </c>
      <c r="D596" t="s">
        <v>96</v>
      </c>
      <c r="E596" t="str">
        <f>VLOOKUP(Tabla1[[#This Row],[Cód. Atributo]],[1]!Tabla5[#Data],6,FALSE)</f>
        <v>Select</v>
      </c>
      <c r="F596">
        <v>7</v>
      </c>
      <c r="G596">
        <v>6</v>
      </c>
      <c r="H596" t="s">
        <v>97</v>
      </c>
      <c r="I596" t="str">
        <f>VLOOKUP(Tabla1[[#This Row],[Code]],'[1]Articulos Precio'!$A:$E,5,FALSE)</f>
        <v>A0002816</v>
      </c>
    </row>
    <row r="597" spans="1:9" x14ac:dyDescent="0.25">
      <c r="A597" t="s">
        <v>242</v>
      </c>
      <c r="B597" t="str">
        <f>VLOOKUP(Tabla1[[#This Row],[Code]],[1]!Tabla4[#Data],2,FALSE)</f>
        <v>M2 MetaCast MCX 67 Bullitt Green Brillo Metalizado 1,52x30m</v>
      </c>
      <c r="C597">
        <v>8</v>
      </c>
      <c r="D597" t="s">
        <v>86</v>
      </c>
      <c r="E597" t="str">
        <f>VLOOKUP(Tabla1[[#This Row],[Cód. Atributo]],[1]!Tabla5[#Data],6,FALSE)</f>
        <v>Select</v>
      </c>
      <c r="F597">
        <v>1</v>
      </c>
      <c r="G597">
        <v>4</v>
      </c>
      <c r="H597" t="s">
        <v>87</v>
      </c>
      <c r="I597" t="str">
        <f>VLOOKUP(Tabla1[[#This Row],[Code]],'[1]Articulos Precio'!$A:$E,5,FALSE)</f>
        <v>A0002816</v>
      </c>
    </row>
    <row r="598" spans="1:9" x14ac:dyDescent="0.25">
      <c r="A598" t="s">
        <v>242</v>
      </c>
      <c r="B598" t="str">
        <f>VLOOKUP(Tabla1[[#This Row],[Code]],[1]!Tabla4[#Data],2,FALSE)</f>
        <v>M2 MetaCast MCX 67 Bullitt Green Brillo Metalizado 1,52x30m</v>
      </c>
      <c r="C598">
        <v>53</v>
      </c>
      <c r="D598" t="s">
        <v>88</v>
      </c>
      <c r="E598" t="str">
        <f>VLOOKUP(Tabla1[[#This Row],[Cód. Atributo]],[1]!Tabla5[#Data],6,FALSE)</f>
        <v>Color</v>
      </c>
      <c r="F598">
        <v>2</v>
      </c>
      <c r="G598">
        <v>16</v>
      </c>
      <c r="H598" t="s">
        <v>243</v>
      </c>
      <c r="I598" t="str">
        <f>VLOOKUP(Tabla1[[#This Row],[Code]],'[1]Articulos Precio'!$A:$E,5,FALSE)</f>
        <v>A0002816</v>
      </c>
    </row>
    <row r="599" spans="1:9" x14ac:dyDescent="0.25">
      <c r="A599" t="s">
        <v>242</v>
      </c>
      <c r="B599" t="str">
        <f>VLOOKUP(Tabla1[[#This Row],[Code]],[1]!Tabla4[#Data],2,FALSE)</f>
        <v>M2 MetaCast MCX 67 Bullitt Green Brillo Metalizado 1,52x30m</v>
      </c>
      <c r="C599">
        <v>23</v>
      </c>
      <c r="D599" t="s">
        <v>90</v>
      </c>
      <c r="E599" t="str">
        <f>VLOOKUP(Tabla1[[#This Row],[Cód. Atributo]],[1]!Tabla5[#Data],6,FALSE)</f>
        <v>Select</v>
      </c>
      <c r="F599">
        <v>3</v>
      </c>
      <c r="G599">
        <v>3</v>
      </c>
      <c r="H599" t="s">
        <v>91</v>
      </c>
      <c r="I599" t="str">
        <f>VLOOKUP(Tabla1[[#This Row],[Code]],'[1]Articulos Precio'!$A:$E,5,FALSE)</f>
        <v>A0002816</v>
      </c>
    </row>
    <row r="600" spans="1:9" x14ac:dyDescent="0.25">
      <c r="A600" t="s">
        <v>242</v>
      </c>
      <c r="B600" t="str">
        <f>VLOOKUP(Tabla1[[#This Row],[Code]],[1]!Tabla4[#Data],2,FALSE)</f>
        <v>M2 MetaCast MCX 67 Bullitt Green Brillo Metalizado 1,52x30m</v>
      </c>
      <c r="C600">
        <v>28</v>
      </c>
      <c r="D600" t="s">
        <v>92</v>
      </c>
      <c r="E600" t="str">
        <f>VLOOKUP(Tabla1[[#This Row],[Cód. Atributo]],[1]!Tabla5[#Data],6,FALSE)</f>
        <v>Select</v>
      </c>
      <c r="F600">
        <v>4</v>
      </c>
      <c r="G600">
        <v>1</v>
      </c>
      <c r="H600" t="s">
        <v>93</v>
      </c>
      <c r="I600" t="str">
        <f>VLOOKUP(Tabla1[[#This Row],[Code]],'[1]Articulos Precio'!$A:$E,5,FALSE)</f>
        <v>A0002816</v>
      </c>
    </row>
    <row r="601" spans="1:9" x14ac:dyDescent="0.25">
      <c r="A601" t="s">
        <v>242</v>
      </c>
      <c r="B601" t="str">
        <f>VLOOKUP(Tabla1[[#This Row],[Code]],[1]!Tabla4[#Data],2,FALSE)</f>
        <v>M2 MetaCast MCX 67 Bullitt Green Brillo Metalizado 1,52x30m</v>
      </c>
      <c r="C601">
        <v>25</v>
      </c>
      <c r="D601" t="s">
        <v>94</v>
      </c>
      <c r="E601" t="str">
        <f>VLOOKUP(Tabla1[[#This Row],[Cód. Atributo]],[1]!Tabla5[#Data],6,FALSE)</f>
        <v>Select</v>
      </c>
      <c r="F601">
        <v>5</v>
      </c>
      <c r="G601">
        <v>6</v>
      </c>
      <c r="H601" t="s">
        <v>95</v>
      </c>
      <c r="I601" t="str">
        <f>VLOOKUP(Tabla1[[#This Row],[Code]],'[1]Articulos Precio'!$A:$E,5,FALSE)</f>
        <v>A0002816</v>
      </c>
    </row>
    <row r="602" spans="1:9" x14ac:dyDescent="0.25">
      <c r="A602" t="s">
        <v>242</v>
      </c>
      <c r="B602" t="str">
        <f>VLOOKUP(Tabla1[[#This Row],[Code]],[1]!Tabla4[#Data],2,FALSE)</f>
        <v>M2 MetaCast MCX 67 Bullitt Green Brillo Metalizado 1,52x30m</v>
      </c>
      <c r="C602">
        <v>24</v>
      </c>
      <c r="D602" t="s">
        <v>96</v>
      </c>
      <c r="E602" t="str">
        <f>VLOOKUP(Tabla1[[#This Row],[Cód. Atributo]],[1]!Tabla5[#Data],6,FALSE)</f>
        <v>Select</v>
      </c>
      <c r="F602">
        <v>6</v>
      </c>
      <c r="G602">
        <v>6</v>
      </c>
      <c r="H602" t="s">
        <v>97</v>
      </c>
      <c r="I602" t="str">
        <f>VLOOKUP(Tabla1[[#This Row],[Code]],'[1]Articulos Precio'!$A:$E,5,FALSE)</f>
        <v>A0002816</v>
      </c>
    </row>
    <row r="603" spans="1:9" x14ac:dyDescent="0.25">
      <c r="A603" t="s">
        <v>244</v>
      </c>
      <c r="B603" t="str">
        <f>VLOOKUP(Tabla1[[#This Row],[Code]],[1]!Tabla4[#Data],2,FALSE)</f>
        <v>M2 MetaCast MCX 73 Capri Bronce Mate Metalizado 1,52x30m</v>
      </c>
      <c r="C603">
        <v>8</v>
      </c>
      <c r="D603" t="s">
        <v>86</v>
      </c>
      <c r="E603" t="str">
        <f>VLOOKUP(Tabla1[[#This Row],[Cód. Atributo]],[1]!Tabla5[#Data],6,FALSE)</f>
        <v>Select</v>
      </c>
      <c r="F603">
        <v>1</v>
      </c>
      <c r="G603">
        <v>4</v>
      </c>
      <c r="H603" t="s">
        <v>87</v>
      </c>
      <c r="I603" t="str">
        <f>VLOOKUP(Tabla1[[#This Row],[Code]],'[1]Articulos Precio'!$A:$E,5,FALSE)</f>
        <v>A0002816</v>
      </c>
    </row>
    <row r="604" spans="1:9" x14ac:dyDescent="0.25">
      <c r="A604" t="s">
        <v>244</v>
      </c>
      <c r="B604" t="str">
        <f>VLOOKUP(Tabla1[[#This Row],[Code]],[1]!Tabla4[#Data],2,FALSE)</f>
        <v>M2 MetaCast MCX 73 Capri Bronce Mate Metalizado 1,52x30m</v>
      </c>
      <c r="C604">
        <v>53</v>
      </c>
      <c r="D604" t="s">
        <v>88</v>
      </c>
      <c r="E604" t="str">
        <f>VLOOKUP(Tabla1[[#This Row],[Cód. Atributo]],[1]!Tabla5[#Data],6,FALSE)</f>
        <v>Color</v>
      </c>
      <c r="F604">
        <v>2</v>
      </c>
      <c r="G604">
        <v>17</v>
      </c>
      <c r="H604" t="s">
        <v>245</v>
      </c>
      <c r="I604" t="str">
        <f>VLOOKUP(Tabla1[[#This Row],[Code]],'[1]Articulos Precio'!$A:$E,5,FALSE)</f>
        <v>A0002816</v>
      </c>
    </row>
    <row r="605" spans="1:9" x14ac:dyDescent="0.25">
      <c r="A605" t="s">
        <v>244</v>
      </c>
      <c r="B605" t="str">
        <f>VLOOKUP(Tabla1[[#This Row],[Code]],[1]!Tabla4[#Data],2,FALSE)</f>
        <v>M2 MetaCast MCX 73 Capri Bronce Mate Metalizado 1,52x30m</v>
      </c>
      <c r="C605">
        <v>23</v>
      </c>
      <c r="D605" t="s">
        <v>90</v>
      </c>
      <c r="E605" t="str">
        <f>VLOOKUP(Tabla1[[#This Row],[Cód. Atributo]],[1]!Tabla5[#Data],6,FALSE)</f>
        <v>Select</v>
      </c>
      <c r="F605">
        <v>3</v>
      </c>
      <c r="G605">
        <v>3</v>
      </c>
      <c r="H605" t="s">
        <v>91</v>
      </c>
      <c r="I605" t="str">
        <f>VLOOKUP(Tabla1[[#This Row],[Code]],'[1]Articulos Precio'!$A:$E,5,FALSE)</f>
        <v>A0002816</v>
      </c>
    </row>
    <row r="606" spans="1:9" x14ac:dyDescent="0.25">
      <c r="A606" t="s">
        <v>244</v>
      </c>
      <c r="B606" t="str">
        <f>VLOOKUP(Tabla1[[#This Row],[Code]],[1]!Tabla4[#Data],2,FALSE)</f>
        <v>M2 MetaCast MCX 73 Capri Bronce Mate Metalizado 1,52x30m</v>
      </c>
      <c r="C606">
        <v>28</v>
      </c>
      <c r="D606" t="s">
        <v>92</v>
      </c>
      <c r="E606" t="str">
        <f>VLOOKUP(Tabla1[[#This Row],[Cód. Atributo]],[1]!Tabla5[#Data],6,FALSE)</f>
        <v>Select</v>
      </c>
      <c r="F606">
        <v>4</v>
      </c>
      <c r="G606">
        <v>2</v>
      </c>
      <c r="H606" t="s">
        <v>102</v>
      </c>
      <c r="I606" t="str">
        <f>VLOOKUP(Tabla1[[#This Row],[Code]],'[1]Articulos Precio'!$A:$E,5,FALSE)</f>
        <v>A0002816</v>
      </c>
    </row>
    <row r="607" spans="1:9" x14ac:dyDescent="0.25">
      <c r="A607" t="s">
        <v>244</v>
      </c>
      <c r="B607" t="str">
        <f>VLOOKUP(Tabla1[[#This Row],[Code]],[1]!Tabla4[#Data],2,FALSE)</f>
        <v>M2 MetaCast MCX 73 Capri Bronce Mate Metalizado 1,52x30m</v>
      </c>
      <c r="C607">
        <v>25</v>
      </c>
      <c r="D607" t="s">
        <v>94</v>
      </c>
      <c r="E607" t="str">
        <f>VLOOKUP(Tabla1[[#This Row],[Cód. Atributo]],[1]!Tabla5[#Data],6,FALSE)</f>
        <v>Select</v>
      </c>
      <c r="F607">
        <v>5</v>
      </c>
      <c r="G607">
        <v>6</v>
      </c>
      <c r="H607" t="s">
        <v>95</v>
      </c>
      <c r="I607" t="str">
        <f>VLOOKUP(Tabla1[[#This Row],[Code]],'[1]Articulos Precio'!$A:$E,5,FALSE)</f>
        <v>A0002816</v>
      </c>
    </row>
    <row r="608" spans="1:9" x14ac:dyDescent="0.25">
      <c r="A608" t="s">
        <v>244</v>
      </c>
      <c r="B608" t="str">
        <f>VLOOKUP(Tabla1[[#This Row],[Code]],[1]!Tabla4[#Data],2,FALSE)</f>
        <v>M2 MetaCast MCX 73 Capri Bronce Mate Metalizado 1,52x30m</v>
      </c>
      <c r="C608">
        <v>24</v>
      </c>
      <c r="D608" t="s">
        <v>96</v>
      </c>
      <c r="E608" t="str">
        <f>VLOOKUP(Tabla1[[#This Row],[Cód. Atributo]],[1]!Tabla5[#Data],6,FALSE)</f>
        <v>Select</v>
      </c>
      <c r="F608">
        <v>6</v>
      </c>
      <c r="G608">
        <v>6</v>
      </c>
      <c r="H608" t="s">
        <v>97</v>
      </c>
      <c r="I608" t="str">
        <f>VLOOKUP(Tabla1[[#This Row],[Code]],'[1]Articulos Precio'!$A:$E,5,FALSE)</f>
        <v>A0002816</v>
      </c>
    </row>
    <row r="609" spans="1:9" x14ac:dyDescent="0.25">
      <c r="A609" t="s">
        <v>246</v>
      </c>
      <c r="B609" t="str">
        <f>VLOOKUP(Tabla1[[#This Row],[Code]],[1]!Tabla4[#Data],2,FALSE)</f>
        <v>M2 MetaCast MCX 84 Electric Storm Brillo Metalizado 1,52x30m</v>
      </c>
      <c r="C609">
        <v>8</v>
      </c>
      <c r="D609" t="s">
        <v>86</v>
      </c>
      <c r="E609" t="str">
        <f>VLOOKUP(Tabla1[[#This Row],[Cód. Atributo]],[1]!Tabla5[#Data],6,FALSE)</f>
        <v>Select</v>
      </c>
      <c r="F609">
        <v>1</v>
      </c>
      <c r="G609">
        <v>4</v>
      </c>
      <c r="H609" t="s">
        <v>87</v>
      </c>
      <c r="I609" t="str">
        <f>VLOOKUP(Tabla1[[#This Row],[Code]],'[1]Articulos Precio'!$A:$E,5,FALSE)</f>
        <v>A0002816</v>
      </c>
    </row>
    <row r="610" spans="1:9" x14ac:dyDescent="0.25">
      <c r="A610" t="s">
        <v>246</v>
      </c>
      <c r="B610" t="str">
        <f>VLOOKUP(Tabla1[[#This Row],[Code]],[1]!Tabla4[#Data],2,FALSE)</f>
        <v>M2 MetaCast MCX 84 Electric Storm Brillo Metalizado 1,52x30m</v>
      </c>
      <c r="C610">
        <v>53</v>
      </c>
      <c r="D610" t="s">
        <v>88</v>
      </c>
      <c r="E610" t="str">
        <f>VLOOKUP(Tabla1[[#This Row],[Cód. Atributo]],[1]!Tabla5[#Data],6,FALSE)</f>
        <v>Color</v>
      </c>
      <c r="F610">
        <v>2</v>
      </c>
      <c r="G610">
        <v>18</v>
      </c>
      <c r="H610" t="s">
        <v>247</v>
      </c>
      <c r="I610" t="str">
        <f>VLOOKUP(Tabla1[[#This Row],[Code]],'[1]Articulos Precio'!$A:$E,5,FALSE)</f>
        <v>A0002816</v>
      </c>
    </row>
    <row r="611" spans="1:9" x14ac:dyDescent="0.25">
      <c r="A611" t="s">
        <v>246</v>
      </c>
      <c r="B611" t="str">
        <f>VLOOKUP(Tabla1[[#This Row],[Code]],[1]!Tabla4[#Data],2,FALSE)</f>
        <v>M2 MetaCast MCX 84 Electric Storm Brillo Metalizado 1,52x30m</v>
      </c>
      <c r="C611">
        <v>23</v>
      </c>
      <c r="D611" t="s">
        <v>90</v>
      </c>
      <c r="E611" t="str">
        <f>VLOOKUP(Tabla1[[#This Row],[Cód. Atributo]],[1]!Tabla5[#Data],6,FALSE)</f>
        <v>Select</v>
      </c>
      <c r="F611">
        <v>3</v>
      </c>
      <c r="G611">
        <v>3</v>
      </c>
      <c r="H611" t="s">
        <v>91</v>
      </c>
      <c r="I611" t="str">
        <f>VLOOKUP(Tabla1[[#This Row],[Code]],'[1]Articulos Precio'!$A:$E,5,FALSE)</f>
        <v>A0002816</v>
      </c>
    </row>
    <row r="612" spans="1:9" x14ac:dyDescent="0.25">
      <c r="A612" t="s">
        <v>246</v>
      </c>
      <c r="B612" t="str">
        <f>VLOOKUP(Tabla1[[#This Row],[Code]],[1]!Tabla4[#Data],2,FALSE)</f>
        <v>M2 MetaCast MCX 84 Electric Storm Brillo Metalizado 1,52x30m</v>
      </c>
      <c r="C612">
        <v>28</v>
      </c>
      <c r="D612" t="s">
        <v>92</v>
      </c>
      <c r="E612" t="str">
        <f>VLOOKUP(Tabla1[[#This Row],[Cód. Atributo]],[1]!Tabla5[#Data],6,FALSE)</f>
        <v>Select</v>
      </c>
      <c r="F612">
        <v>4</v>
      </c>
      <c r="G612">
        <v>1</v>
      </c>
      <c r="H612" t="s">
        <v>93</v>
      </c>
      <c r="I612" t="str">
        <f>VLOOKUP(Tabla1[[#This Row],[Code]],'[1]Articulos Precio'!$A:$E,5,FALSE)</f>
        <v>A0002816</v>
      </c>
    </row>
    <row r="613" spans="1:9" x14ac:dyDescent="0.25">
      <c r="A613" t="s">
        <v>246</v>
      </c>
      <c r="B613" t="str">
        <f>VLOOKUP(Tabla1[[#This Row],[Code]],[1]!Tabla4[#Data],2,FALSE)</f>
        <v>M2 MetaCast MCX 84 Electric Storm Brillo Metalizado 1,52x30m</v>
      </c>
      <c r="C613">
        <v>25</v>
      </c>
      <c r="D613" t="s">
        <v>94</v>
      </c>
      <c r="E613" t="str">
        <f>VLOOKUP(Tabla1[[#This Row],[Cód. Atributo]],[1]!Tabla5[#Data],6,FALSE)</f>
        <v>Select</v>
      </c>
      <c r="F613">
        <v>5</v>
      </c>
      <c r="G613">
        <v>6</v>
      </c>
      <c r="H613" t="s">
        <v>95</v>
      </c>
      <c r="I613" t="str">
        <f>VLOOKUP(Tabla1[[#This Row],[Code]],'[1]Articulos Precio'!$A:$E,5,FALSE)</f>
        <v>A0002816</v>
      </c>
    </row>
    <row r="614" spans="1:9" x14ac:dyDescent="0.25">
      <c r="A614" t="s">
        <v>246</v>
      </c>
      <c r="B614" t="str">
        <f>VLOOKUP(Tabla1[[#This Row],[Code]],[1]!Tabla4[#Data],2,FALSE)</f>
        <v>M2 MetaCast MCX 84 Electric Storm Brillo Metalizado 1,52x30m</v>
      </c>
      <c r="C614">
        <v>24</v>
      </c>
      <c r="D614" t="s">
        <v>96</v>
      </c>
      <c r="E614" t="str">
        <f>VLOOKUP(Tabla1[[#This Row],[Cód. Atributo]],[1]!Tabla5[#Data],6,FALSE)</f>
        <v>Select</v>
      </c>
      <c r="F614">
        <v>6</v>
      </c>
      <c r="G614">
        <v>6</v>
      </c>
      <c r="H614" t="s">
        <v>97</v>
      </c>
      <c r="I614" t="str">
        <f>VLOOKUP(Tabla1[[#This Row],[Code]],'[1]Articulos Precio'!$A:$E,5,FALSE)</f>
        <v>A0002816</v>
      </c>
    </row>
    <row r="615" spans="1:9" x14ac:dyDescent="0.25">
      <c r="A615" t="s">
        <v>248</v>
      </c>
      <c r="B615" t="str">
        <f>VLOOKUP(Tabla1[[#This Row],[Code]],[1]!Tabla4[#Data],2,FALSE)</f>
        <v>M2 MetaCast MCX 86 Nightlife Brillo Metalizado 1,52x30m</v>
      </c>
      <c r="C615">
        <v>8</v>
      </c>
      <c r="D615" t="s">
        <v>86</v>
      </c>
      <c r="E615" t="str">
        <f>VLOOKUP(Tabla1[[#This Row],[Cód. Atributo]],[1]!Tabla5[#Data],6,FALSE)</f>
        <v>Select</v>
      </c>
      <c r="F615">
        <v>1</v>
      </c>
      <c r="G615">
        <v>4</v>
      </c>
      <c r="H615" t="s">
        <v>87</v>
      </c>
      <c r="I615" t="str">
        <f>VLOOKUP(Tabla1[[#This Row],[Code]],'[1]Articulos Precio'!$A:$E,5,FALSE)</f>
        <v>A0002816</v>
      </c>
    </row>
    <row r="616" spans="1:9" x14ac:dyDescent="0.25">
      <c r="A616" t="s">
        <v>248</v>
      </c>
      <c r="B616" t="str">
        <f>VLOOKUP(Tabla1[[#This Row],[Code]],[1]!Tabla4[#Data],2,FALSE)</f>
        <v>M2 MetaCast MCX 86 Nightlife Brillo Metalizado 1,52x30m</v>
      </c>
      <c r="C616">
        <v>53</v>
      </c>
      <c r="D616" t="s">
        <v>88</v>
      </c>
      <c r="E616" t="str">
        <f>VLOOKUP(Tabla1[[#This Row],[Cód. Atributo]],[1]!Tabla5[#Data],6,FALSE)</f>
        <v>Color</v>
      </c>
      <c r="F616">
        <v>2</v>
      </c>
      <c r="G616">
        <v>19</v>
      </c>
      <c r="H616" t="s">
        <v>249</v>
      </c>
      <c r="I616" t="str">
        <f>VLOOKUP(Tabla1[[#This Row],[Code]],'[1]Articulos Precio'!$A:$E,5,FALSE)</f>
        <v>A0002816</v>
      </c>
    </row>
    <row r="617" spans="1:9" x14ac:dyDescent="0.25">
      <c r="A617" t="s">
        <v>248</v>
      </c>
      <c r="B617" t="str">
        <f>VLOOKUP(Tabla1[[#This Row],[Code]],[1]!Tabla4[#Data],2,FALSE)</f>
        <v>M2 MetaCast MCX 86 Nightlife Brillo Metalizado 1,52x30m</v>
      </c>
      <c r="C617">
        <v>23</v>
      </c>
      <c r="D617" t="s">
        <v>90</v>
      </c>
      <c r="E617" t="str">
        <f>VLOOKUP(Tabla1[[#This Row],[Cód. Atributo]],[1]!Tabla5[#Data],6,FALSE)</f>
        <v>Select</v>
      </c>
      <c r="F617">
        <v>3</v>
      </c>
      <c r="G617">
        <v>3</v>
      </c>
      <c r="H617" t="s">
        <v>91</v>
      </c>
      <c r="I617" t="str">
        <f>VLOOKUP(Tabla1[[#This Row],[Code]],'[1]Articulos Precio'!$A:$E,5,FALSE)</f>
        <v>A0002816</v>
      </c>
    </row>
    <row r="618" spans="1:9" x14ac:dyDescent="0.25">
      <c r="A618" t="s">
        <v>248</v>
      </c>
      <c r="B618" t="str">
        <f>VLOOKUP(Tabla1[[#This Row],[Code]],[1]!Tabla4[#Data],2,FALSE)</f>
        <v>M2 MetaCast MCX 86 Nightlife Brillo Metalizado 1,52x30m</v>
      </c>
      <c r="C618">
        <v>28</v>
      </c>
      <c r="D618" t="s">
        <v>92</v>
      </c>
      <c r="E618" t="str">
        <f>VLOOKUP(Tabla1[[#This Row],[Cód. Atributo]],[1]!Tabla5[#Data],6,FALSE)</f>
        <v>Select</v>
      </c>
      <c r="F618">
        <v>4</v>
      </c>
      <c r="G618">
        <v>1</v>
      </c>
      <c r="H618" t="s">
        <v>93</v>
      </c>
      <c r="I618" t="str">
        <f>VLOOKUP(Tabla1[[#This Row],[Code]],'[1]Articulos Precio'!$A:$E,5,FALSE)</f>
        <v>A0002816</v>
      </c>
    </row>
    <row r="619" spans="1:9" x14ac:dyDescent="0.25">
      <c r="A619" t="s">
        <v>248</v>
      </c>
      <c r="B619" t="str">
        <f>VLOOKUP(Tabla1[[#This Row],[Code]],[1]!Tabla4[#Data],2,FALSE)</f>
        <v>M2 MetaCast MCX 86 Nightlife Brillo Metalizado 1,52x30m</v>
      </c>
      <c r="C619">
        <v>25</v>
      </c>
      <c r="D619" t="s">
        <v>94</v>
      </c>
      <c r="E619" t="str">
        <f>VLOOKUP(Tabla1[[#This Row],[Cód. Atributo]],[1]!Tabla5[#Data],6,FALSE)</f>
        <v>Select</v>
      </c>
      <c r="F619">
        <v>5</v>
      </c>
      <c r="G619">
        <v>6</v>
      </c>
      <c r="H619" t="s">
        <v>95</v>
      </c>
      <c r="I619" t="str">
        <f>VLOOKUP(Tabla1[[#This Row],[Code]],'[1]Articulos Precio'!$A:$E,5,FALSE)</f>
        <v>A0002816</v>
      </c>
    </row>
    <row r="620" spans="1:9" x14ac:dyDescent="0.25">
      <c r="A620" t="s">
        <v>248</v>
      </c>
      <c r="B620" t="str">
        <f>VLOOKUP(Tabla1[[#This Row],[Code]],[1]!Tabla4[#Data],2,FALSE)</f>
        <v>M2 MetaCast MCX 86 Nightlife Brillo Metalizado 1,52x30m</v>
      </c>
      <c r="C620">
        <v>24</v>
      </c>
      <c r="D620" t="s">
        <v>96</v>
      </c>
      <c r="E620" t="str">
        <f>VLOOKUP(Tabla1[[#This Row],[Cód. Atributo]],[1]!Tabla5[#Data],6,FALSE)</f>
        <v>Select</v>
      </c>
      <c r="F620">
        <v>6</v>
      </c>
      <c r="G620">
        <v>6</v>
      </c>
      <c r="H620" t="s">
        <v>97</v>
      </c>
      <c r="I620" t="str">
        <f>VLOOKUP(Tabla1[[#This Row],[Code]],'[1]Articulos Precio'!$A:$E,5,FALSE)</f>
        <v>A0002816</v>
      </c>
    </row>
    <row r="621" spans="1:9" x14ac:dyDescent="0.25">
      <c r="A621" t="s">
        <v>250</v>
      </c>
      <c r="B621" t="str">
        <f>VLOOKUP(Tabla1[[#This Row],[Code]],[1]!Tabla4[#Data],2,FALSE)</f>
        <v>M2 MetaCast MCX 87 Plum Crazy Mate Metalizado 1,52x30m</v>
      </c>
      <c r="C621">
        <v>8</v>
      </c>
      <c r="D621" t="s">
        <v>86</v>
      </c>
      <c r="E621" t="str">
        <f>VLOOKUP(Tabla1[[#This Row],[Cód. Atributo]],[1]!Tabla5[#Data],6,FALSE)</f>
        <v>Select</v>
      </c>
      <c r="F621">
        <v>1</v>
      </c>
      <c r="G621">
        <v>4</v>
      </c>
      <c r="H621" t="s">
        <v>87</v>
      </c>
      <c r="I621" t="str">
        <f>VLOOKUP(Tabla1[[#This Row],[Code]],'[1]Articulos Precio'!$A:$E,5,FALSE)</f>
        <v>A0002816</v>
      </c>
    </row>
    <row r="622" spans="1:9" x14ac:dyDescent="0.25">
      <c r="A622" t="s">
        <v>250</v>
      </c>
      <c r="B622" t="str">
        <f>VLOOKUP(Tabla1[[#This Row],[Code]],[1]!Tabla4[#Data],2,FALSE)</f>
        <v>M2 MetaCast MCX 87 Plum Crazy Mate Metalizado 1,52x30m</v>
      </c>
      <c r="C622">
        <v>53</v>
      </c>
      <c r="D622" t="s">
        <v>88</v>
      </c>
      <c r="E622" t="str">
        <f>VLOOKUP(Tabla1[[#This Row],[Cód. Atributo]],[1]!Tabla5[#Data],6,FALSE)</f>
        <v>Color</v>
      </c>
      <c r="F622">
        <v>2</v>
      </c>
      <c r="G622">
        <v>20</v>
      </c>
      <c r="H622" t="s">
        <v>251</v>
      </c>
      <c r="I622" t="str">
        <f>VLOOKUP(Tabla1[[#This Row],[Code]],'[1]Articulos Precio'!$A:$E,5,FALSE)</f>
        <v>A0002816</v>
      </c>
    </row>
    <row r="623" spans="1:9" x14ac:dyDescent="0.25">
      <c r="A623" t="s">
        <v>250</v>
      </c>
      <c r="B623" t="str">
        <f>VLOOKUP(Tabla1[[#This Row],[Code]],[1]!Tabla4[#Data],2,FALSE)</f>
        <v>M2 MetaCast MCX 87 Plum Crazy Mate Metalizado 1,52x30m</v>
      </c>
      <c r="C623">
        <v>23</v>
      </c>
      <c r="D623" t="s">
        <v>90</v>
      </c>
      <c r="E623" t="str">
        <f>VLOOKUP(Tabla1[[#This Row],[Cód. Atributo]],[1]!Tabla5[#Data],6,FALSE)</f>
        <v>Select</v>
      </c>
      <c r="F623">
        <v>3</v>
      </c>
      <c r="G623">
        <v>3</v>
      </c>
      <c r="H623" t="s">
        <v>91</v>
      </c>
      <c r="I623" t="str">
        <f>VLOOKUP(Tabla1[[#This Row],[Code]],'[1]Articulos Precio'!$A:$E,5,FALSE)</f>
        <v>A0002816</v>
      </c>
    </row>
    <row r="624" spans="1:9" x14ac:dyDescent="0.25">
      <c r="A624" t="s">
        <v>250</v>
      </c>
      <c r="B624" t="str">
        <f>VLOOKUP(Tabla1[[#This Row],[Code]],[1]!Tabla4[#Data],2,FALSE)</f>
        <v>M2 MetaCast MCX 87 Plum Crazy Mate Metalizado 1,52x30m</v>
      </c>
      <c r="C624">
        <v>28</v>
      </c>
      <c r="D624" t="s">
        <v>92</v>
      </c>
      <c r="E624" t="str">
        <f>VLOOKUP(Tabla1[[#This Row],[Cód. Atributo]],[1]!Tabla5[#Data],6,FALSE)</f>
        <v>Select</v>
      </c>
      <c r="F624">
        <v>4</v>
      </c>
      <c r="G624">
        <v>2</v>
      </c>
      <c r="H624" t="s">
        <v>102</v>
      </c>
      <c r="I624" t="str">
        <f>VLOOKUP(Tabla1[[#This Row],[Code]],'[1]Articulos Precio'!$A:$E,5,FALSE)</f>
        <v>A0002816</v>
      </c>
    </row>
    <row r="625" spans="1:9" x14ac:dyDescent="0.25">
      <c r="A625" t="s">
        <v>250</v>
      </c>
      <c r="B625" t="str">
        <f>VLOOKUP(Tabla1[[#This Row],[Code]],[1]!Tabla4[#Data],2,FALSE)</f>
        <v>M2 MetaCast MCX 87 Plum Crazy Mate Metalizado 1,52x30m</v>
      </c>
      <c r="C625">
        <v>25</v>
      </c>
      <c r="D625" t="s">
        <v>94</v>
      </c>
      <c r="E625" t="str">
        <f>VLOOKUP(Tabla1[[#This Row],[Cód. Atributo]],[1]!Tabla5[#Data],6,FALSE)</f>
        <v>Select</v>
      </c>
      <c r="F625">
        <v>5</v>
      </c>
      <c r="G625">
        <v>6</v>
      </c>
      <c r="H625" t="s">
        <v>95</v>
      </c>
      <c r="I625" t="str">
        <f>VLOOKUP(Tabla1[[#This Row],[Code]],'[1]Articulos Precio'!$A:$E,5,FALSE)</f>
        <v>A0002816</v>
      </c>
    </row>
    <row r="626" spans="1:9" x14ac:dyDescent="0.25">
      <c r="A626" t="s">
        <v>250</v>
      </c>
      <c r="B626" t="str">
        <f>VLOOKUP(Tabla1[[#This Row],[Code]],[1]!Tabla4[#Data],2,FALSE)</f>
        <v>M2 MetaCast MCX 87 Plum Crazy Mate Metalizado 1,52x30m</v>
      </c>
      <c r="C626">
        <v>24</v>
      </c>
      <c r="D626" t="s">
        <v>96</v>
      </c>
      <c r="E626" t="str">
        <f>VLOOKUP(Tabla1[[#This Row],[Cód. Atributo]],[1]!Tabla5[#Data],6,FALSE)</f>
        <v>Select</v>
      </c>
      <c r="F626">
        <v>6</v>
      </c>
      <c r="G626">
        <v>6</v>
      </c>
      <c r="H626" t="s">
        <v>97</v>
      </c>
      <c r="I626" t="str">
        <f>VLOOKUP(Tabla1[[#This Row],[Code]],'[1]Articulos Precio'!$A:$E,5,FALSE)</f>
        <v>A0002816</v>
      </c>
    </row>
    <row r="627" spans="1:9" x14ac:dyDescent="0.25">
      <c r="A627" t="s">
        <v>252</v>
      </c>
      <c r="B627" t="str">
        <f>VLOOKUP(Tabla1[[#This Row],[Code]],[1]!Tabla4[#Data],2,FALSE)</f>
        <v>M2 MetaCast MCX 94 Pure Iridium Brillo Metalizado 1,52x30m</v>
      </c>
      <c r="C627">
        <v>8</v>
      </c>
      <c r="D627" t="s">
        <v>86</v>
      </c>
      <c r="E627" t="str">
        <f>VLOOKUP(Tabla1[[#This Row],[Cód. Atributo]],[1]!Tabla5[#Data],6,FALSE)</f>
        <v>Select</v>
      </c>
      <c r="F627">
        <v>1</v>
      </c>
      <c r="G627">
        <v>4</v>
      </c>
      <c r="H627" t="s">
        <v>87</v>
      </c>
      <c r="I627" t="str">
        <f>VLOOKUP(Tabla1[[#This Row],[Code]],'[1]Articulos Precio'!$A:$E,5,FALSE)</f>
        <v>A0002816</v>
      </c>
    </row>
    <row r="628" spans="1:9" x14ac:dyDescent="0.25">
      <c r="A628" t="s">
        <v>252</v>
      </c>
      <c r="B628" t="str">
        <f>VLOOKUP(Tabla1[[#This Row],[Code]],[1]!Tabla4[#Data],2,FALSE)</f>
        <v>M2 MetaCast MCX 94 Pure Iridium Brillo Metalizado 1,52x30m</v>
      </c>
      <c r="C628">
        <v>53</v>
      </c>
      <c r="D628" t="s">
        <v>88</v>
      </c>
      <c r="E628" t="str">
        <f>VLOOKUP(Tabla1[[#This Row],[Cód. Atributo]],[1]!Tabla5[#Data],6,FALSE)</f>
        <v>Color</v>
      </c>
      <c r="F628">
        <v>2</v>
      </c>
      <c r="G628">
        <v>21</v>
      </c>
      <c r="H628" t="s">
        <v>253</v>
      </c>
      <c r="I628" t="str">
        <f>VLOOKUP(Tabla1[[#This Row],[Code]],'[1]Articulos Precio'!$A:$E,5,FALSE)</f>
        <v>A0002816</v>
      </c>
    </row>
    <row r="629" spans="1:9" x14ac:dyDescent="0.25">
      <c r="A629" t="s">
        <v>252</v>
      </c>
      <c r="B629" t="str">
        <f>VLOOKUP(Tabla1[[#This Row],[Code]],[1]!Tabla4[#Data],2,FALSE)</f>
        <v>M2 MetaCast MCX 94 Pure Iridium Brillo Metalizado 1,52x30m</v>
      </c>
      <c r="C629">
        <v>23</v>
      </c>
      <c r="D629" t="s">
        <v>90</v>
      </c>
      <c r="E629" t="str">
        <f>VLOOKUP(Tabla1[[#This Row],[Cód. Atributo]],[1]!Tabla5[#Data],6,FALSE)</f>
        <v>Select</v>
      </c>
      <c r="F629">
        <v>3</v>
      </c>
      <c r="G629">
        <v>3</v>
      </c>
      <c r="H629" t="s">
        <v>91</v>
      </c>
      <c r="I629" t="str">
        <f>VLOOKUP(Tabla1[[#This Row],[Code]],'[1]Articulos Precio'!$A:$E,5,FALSE)</f>
        <v>A0002816</v>
      </c>
    </row>
    <row r="630" spans="1:9" x14ac:dyDescent="0.25">
      <c r="A630" t="s">
        <v>252</v>
      </c>
      <c r="B630" t="str">
        <f>VLOOKUP(Tabla1[[#This Row],[Code]],[1]!Tabla4[#Data],2,FALSE)</f>
        <v>M2 MetaCast MCX 94 Pure Iridium Brillo Metalizado 1,52x30m</v>
      </c>
      <c r="C630">
        <v>28</v>
      </c>
      <c r="D630" t="s">
        <v>92</v>
      </c>
      <c r="E630" t="str">
        <f>VLOOKUP(Tabla1[[#This Row],[Cód. Atributo]],[1]!Tabla5[#Data],6,FALSE)</f>
        <v>Select</v>
      </c>
      <c r="F630">
        <v>4</v>
      </c>
      <c r="G630">
        <v>1</v>
      </c>
      <c r="H630" t="s">
        <v>93</v>
      </c>
      <c r="I630" t="str">
        <f>VLOOKUP(Tabla1[[#This Row],[Code]],'[1]Articulos Precio'!$A:$E,5,FALSE)</f>
        <v>A0002816</v>
      </c>
    </row>
    <row r="631" spans="1:9" x14ac:dyDescent="0.25">
      <c r="A631" t="s">
        <v>252</v>
      </c>
      <c r="B631" t="str">
        <f>VLOOKUP(Tabla1[[#This Row],[Code]],[1]!Tabla4[#Data],2,FALSE)</f>
        <v>M2 MetaCast MCX 94 Pure Iridium Brillo Metalizado 1,52x30m</v>
      </c>
      <c r="C631">
        <v>25</v>
      </c>
      <c r="D631" t="s">
        <v>94</v>
      </c>
      <c r="E631" t="str">
        <f>VLOOKUP(Tabla1[[#This Row],[Cód. Atributo]],[1]!Tabla5[#Data],6,FALSE)</f>
        <v>Select</v>
      </c>
      <c r="F631">
        <v>5</v>
      </c>
      <c r="G631">
        <v>6</v>
      </c>
      <c r="H631" t="s">
        <v>95</v>
      </c>
      <c r="I631" t="str">
        <f>VLOOKUP(Tabla1[[#This Row],[Code]],'[1]Articulos Precio'!$A:$E,5,FALSE)</f>
        <v>A0002816</v>
      </c>
    </row>
    <row r="632" spans="1:9" x14ac:dyDescent="0.25">
      <c r="A632" t="s">
        <v>252</v>
      </c>
      <c r="B632" t="str">
        <f>VLOOKUP(Tabla1[[#This Row],[Code]],[1]!Tabla4[#Data],2,FALSE)</f>
        <v>M2 MetaCast MCX 94 Pure Iridium Brillo Metalizado 1,52x30m</v>
      </c>
      <c r="C632">
        <v>24</v>
      </c>
      <c r="D632" t="s">
        <v>96</v>
      </c>
      <c r="E632" t="str">
        <f>VLOOKUP(Tabla1[[#This Row],[Cód. Atributo]],[1]!Tabla5[#Data],6,FALSE)</f>
        <v>Select</v>
      </c>
      <c r="F632">
        <v>6</v>
      </c>
      <c r="G632">
        <v>6</v>
      </c>
      <c r="H632" t="s">
        <v>97</v>
      </c>
      <c r="I632" t="str">
        <f>VLOOKUP(Tabla1[[#This Row],[Code]],'[1]Articulos Precio'!$A:$E,5,FALSE)</f>
        <v>A0002816</v>
      </c>
    </row>
    <row r="633" spans="1:9" x14ac:dyDescent="0.25">
      <c r="A633" t="s">
        <v>254</v>
      </c>
      <c r="B633" t="str">
        <f>VLOOKUP(Tabla1[[#This Row],[Code]],[1]!Tabla4[#Data],2,FALSE)</f>
        <v>M2 MetaCast MCX 96 Urban Steel Mate Metalizado 1,52x30m</v>
      </c>
      <c r="C633">
        <v>8</v>
      </c>
      <c r="D633" t="s">
        <v>86</v>
      </c>
      <c r="E633" t="str">
        <f>VLOOKUP(Tabla1[[#This Row],[Cód. Atributo]],[1]!Tabla5[#Data],6,FALSE)</f>
        <v>Select</v>
      </c>
      <c r="F633">
        <v>1</v>
      </c>
      <c r="G633">
        <v>4</v>
      </c>
      <c r="H633" t="s">
        <v>87</v>
      </c>
      <c r="I633" t="str">
        <f>VLOOKUP(Tabla1[[#This Row],[Code]],'[1]Articulos Precio'!$A:$E,5,FALSE)</f>
        <v>A0002816</v>
      </c>
    </row>
    <row r="634" spans="1:9" x14ac:dyDescent="0.25">
      <c r="A634" t="s">
        <v>254</v>
      </c>
      <c r="B634" t="str">
        <f>VLOOKUP(Tabla1[[#This Row],[Code]],[1]!Tabla4[#Data],2,FALSE)</f>
        <v>M2 MetaCast MCX 96 Urban Steel Mate Metalizado 1,52x30m</v>
      </c>
      <c r="C634">
        <v>53</v>
      </c>
      <c r="D634" t="s">
        <v>88</v>
      </c>
      <c r="E634" t="str">
        <f>VLOOKUP(Tabla1[[#This Row],[Cód. Atributo]],[1]!Tabla5[#Data],6,FALSE)</f>
        <v>Color</v>
      </c>
      <c r="F634">
        <v>2</v>
      </c>
      <c r="G634">
        <v>22</v>
      </c>
      <c r="H634" t="s">
        <v>255</v>
      </c>
      <c r="I634" t="str">
        <f>VLOOKUP(Tabla1[[#This Row],[Code]],'[1]Articulos Precio'!$A:$E,5,FALSE)</f>
        <v>A0002816</v>
      </c>
    </row>
    <row r="635" spans="1:9" x14ac:dyDescent="0.25">
      <c r="A635" t="s">
        <v>254</v>
      </c>
      <c r="B635" t="str">
        <f>VLOOKUP(Tabla1[[#This Row],[Code]],[1]!Tabla4[#Data],2,FALSE)</f>
        <v>M2 MetaCast MCX 96 Urban Steel Mate Metalizado 1,52x30m</v>
      </c>
      <c r="C635">
        <v>23</v>
      </c>
      <c r="D635" t="s">
        <v>90</v>
      </c>
      <c r="E635" t="str">
        <f>VLOOKUP(Tabla1[[#This Row],[Cód. Atributo]],[1]!Tabla5[#Data],6,FALSE)</f>
        <v>Select</v>
      </c>
      <c r="F635">
        <v>3</v>
      </c>
      <c r="G635">
        <v>3</v>
      </c>
      <c r="H635" t="s">
        <v>91</v>
      </c>
      <c r="I635" t="str">
        <f>VLOOKUP(Tabla1[[#This Row],[Code]],'[1]Articulos Precio'!$A:$E,5,FALSE)</f>
        <v>A0002816</v>
      </c>
    </row>
    <row r="636" spans="1:9" x14ac:dyDescent="0.25">
      <c r="A636" t="s">
        <v>254</v>
      </c>
      <c r="B636" t="str">
        <f>VLOOKUP(Tabla1[[#This Row],[Code]],[1]!Tabla4[#Data],2,FALSE)</f>
        <v>M2 MetaCast MCX 96 Urban Steel Mate Metalizado 1,52x30m</v>
      </c>
      <c r="C636">
        <v>28</v>
      </c>
      <c r="D636" t="s">
        <v>92</v>
      </c>
      <c r="E636" t="str">
        <f>VLOOKUP(Tabla1[[#This Row],[Cód. Atributo]],[1]!Tabla5[#Data],6,FALSE)</f>
        <v>Select</v>
      </c>
      <c r="F636">
        <v>4</v>
      </c>
      <c r="G636">
        <v>2</v>
      </c>
      <c r="H636" t="s">
        <v>102</v>
      </c>
      <c r="I636" t="str">
        <f>VLOOKUP(Tabla1[[#This Row],[Code]],'[1]Articulos Precio'!$A:$E,5,FALSE)</f>
        <v>A0002816</v>
      </c>
    </row>
    <row r="637" spans="1:9" x14ac:dyDescent="0.25">
      <c r="A637" t="s">
        <v>254</v>
      </c>
      <c r="B637" t="str">
        <f>VLOOKUP(Tabla1[[#This Row],[Code]],[1]!Tabla4[#Data],2,FALSE)</f>
        <v>M2 MetaCast MCX 96 Urban Steel Mate Metalizado 1,52x30m</v>
      </c>
      <c r="C637">
        <v>25</v>
      </c>
      <c r="D637" t="s">
        <v>94</v>
      </c>
      <c r="E637" t="str">
        <f>VLOOKUP(Tabla1[[#This Row],[Cód. Atributo]],[1]!Tabla5[#Data],6,FALSE)</f>
        <v>Select</v>
      </c>
      <c r="F637">
        <v>5</v>
      </c>
      <c r="G637">
        <v>6</v>
      </c>
      <c r="H637" t="s">
        <v>95</v>
      </c>
      <c r="I637" t="str">
        <f>VLOOKUP(Tabla1[[#This Row],[Code]],'[1]Articulos Precio'!$A:$E,5,FALSE)</f>
        <v>A0002816</v>
      </c>
    </row>
    <row r="638" spans="1:9" x14ac:dyDescent="0.25">
      <c r="A638" t="s">
        <v>254</v>
      </c>
      <c r="B638" t="str">
        <f>VLOOKUP(Tabla1[[#This Row],[Code]],[1]!Tabla4[#Data],2,FALSE)</f>
        <v>M2 MetaCast MCX 96 Urban Steel Mate Metalizado 1,52x30m</v>
      </c>
      <c r="C638">
        <v>24</v>
      </c>
      <c r="D638" t="s">
        <v>96</v>
      </c>
      <c r="E638" t="str">
        <f>VLOOKUP(Tabla1[[#This Row],[Cód. Atributo]],[1]!Tabla5[#Data],6,FALSE)</f>
        <v>Select</v>
      </c>
      <c r="F638">
        <v>6</v>
      </c>
      <c r="G638">
        <v>6</v>
      </c>
      <c r="H638" t="s">
        <v>97</v>
      </c>
      <c r="I638" t="str">
        <f>VLOOKUP(Tabla1[[#This Row],[Code]],'[1]Articulos Precio'!$A:$E,5,FALSE)</f>
        <v>A0002816</v>
      </c>
    </row>
    <row r="639" spans="1:9" x14ac:dyDescent="0.25">
      <c r="A639" t="s">
        <v>256</v>
      </c>
      <c r="B639" t="str">
        <f>VLOOKUP(Tabla1[[#This Row],[Code]],[1]!Tabla4[#Data],2,FALSE)</f>
        <v>M2 MetaCast MCX 97 Carbon Steel Mate Metalizado 1,52x30m</v>
      </c>
      <c r="C639">
        <v>8</v>
      </c>
      <c r="D639" t="s">
        <v>86</v>
      </c>
      <c r="E639" t="str">
        <f>VLOOKUP(Tabla1[[#This Row],[Cód. Atributo]],[1]!Tabla5[#Data],6,FALSE)</f>
        <v>Select</v>
      </c>
      <c r="F639">
        <v>1</v>
      </c>
      <c r="G639">
        <v>4</v>
      </c>
      <c r="H639" t="s">
        <v>87</v>
      </c>
      <c r="I639" t="str">
        <f>VLOOKUP(Tabla1[[#This Row],[Code]],'[1]Articulos Precio'!$A:$E,5,FALSE)</f>
        <v>A0002816</v>
      </c>
    </row>
    <row r="640" spans="1:9" x14ac:dyDescent="0.25">
      <c r="A640" t="s">
        <v>256</v>
      </c>
      <c r="B640" t="str">
        <f>VLOOKUP(Tabla1[[#This Row],[Code]],[1]!Tabla4[#Data],2,FALSE)</f>
        <v>M2 MetaCast MCX 97 Carbon Steel Mate Metalizado 1,52x30m</v>
      </c>
      <c r="C640">
        <v>53</v>
      </c>
      <c r="D640" t="s">
        <v>88</v>
      </c>
      <c r="E640" t="str">
        <f>VLOOKUP(Tabla1[[#This Row],[Cód. Atributo]],[1]!Tabla5[#Data],6,FALSE)</f>
        <v>Color</v>
      </c>
      <c r="F640">
        <v>2</v>
      </c>
      <c r="G640">
        <v>23</v>
      </c>
      <c r="H640" t="s">
        <v>257</v>
      </c>
      <c r="I640" t="str">
        <f>VLOOKUP(Tabla1[[#This Row],[Code]],'[1]Articulos Precio'!$A:$E,5,FALSE)</f>
        <v>A0002816</v>
      </c>
    </row>
    <row r="641" spans="1:9" x14ac:dyDescent="0.25">
      <c r="A641" t="s">
        <v>256</v>
      </c>
      <c r="B641" t="str">
        <f>VLOOKUP(Tabla1[[#This Row],[Code]],[1]!Tabla4[#Data],2,FALSE)</f>
        <v>M2 MetaCast MCX 97 Carbon Steel Mate Metalizado 1,52x30m</v>
      </c>
      <c r="C641">
        <v>23</v>
      </c>
      <c r="D641" t="s">
        <v>90</v>
      </c>
      <c r="E641" t="str">
        <f>VLOOKUP(Tabla1[[#This Row],[Cód. Atributo]],[1]!Tabla5[#Data],6,FALSE)</f>
        <v>Select</v>
      </c>
      <c r="F641">
        <v>3</v>
      </c>
      <c r="G641">
        <v>3</v>
      </c>
      <c r="H641" t="s">
        <v>91</v>
      </c>
      <c r="I641" t="str">
        <f>VLOOKUP(Tabla1[[#This Row],[Code]],'[1]Articulos Precio'!$A:$E,5,FALSE)</f>
        <v>A0002816</v>
      </c>
    </row>
    <row r="642" spans="1:9" x14ac:dyDescent="0.25">
      <c r="A642" t="s">
        <v>256</v>
      </c>
      <c r="B642" t="str">
        <f>VLOOKUP(Tabla1[[#This Row],[Code]],[1]!Tabla4[#Data],2,FALSE)</f>
        <v>M2 MetaCast MCX 97 Carbon Steel Mate Metalizado 1,52x30m</v>
      </c>
      <c r="C642">
        <v>28</v>
      </c>
      <c r="D642" t="s">
        <v>92</v>
      </c>
      <c r="E642" t="str">
        <f>VLOOKUP(Tabla1[[#This Row],[Cód. Atributo]],[1]!Tabla5[#Data],6,FALSE)</f>
        <v>Select</v>
      </c>
      <c r="F642">
        <v>4</v>
      </c>
      <c r="G642">
        <v>2</v>
      </c>
      <c r="H642" t="s">
        <v>102</v>
      </c>
      <c r="I642" t="str">
        <f>VLOOKUP(Tabla1[[#This Row],[Code]],'[1]Articulos Precio'!$A:$E,5,FALSE)</f>
        <v>A0002816</v>
      </c>
    </row>
    <row r="643" spans="1:9" x14ac:dyDescent="0.25">
      <c r="A643" t="s">
        <v>256</v>
      </c>
      <c r="B643" t="str">
        <f>VLOOKUP(Tabla1[[#This Row],[Code]],[1]!Tabla4[#Data],2,FALSE)</f>
        <v>M2 MetaCast MCX 97 Carbon Steel Mate Metalizado 1,52x30m</v>
      </c>
      <c r="C643">
        <v>25</v>
      </c>
      <c r="D643" t="s">
        <v>94</v>
      </c>
      <c r="E643" t="str">
        <f>VLOOKUP(Tabla1[[#This Row],[Cód. Atributo]],[1]!Tabla5[#Data],6,FALSE)</f>
        <v>Select</v>
      </c>
      <c r="F643">
        <v>5</v>
      </c>
      <c r="G643">
        <v>6</v>
      </c>
      <c r="H643" t="s">
        <v>95</v>
      </c>
      <c r="I643" t="str">
        <f>VLOOKUP(Tabla1[[#This Row],[Code]],'[1]Articulos Precio'!$A:$E,5,FALSE)</f>
        <v>A0002816</v>
      </c>
    </row>
    <row r="644" spans="1:9" x14ac:dyDescent="0.25">
      <c r="A644" t="s">
        <v>256</v>
      </c>
      <c r="B644" t="str">
        <f>VLOOKUP(Tabla1[[#This Row],[Code]],[1]!Tabla4[#Data],2,FALSE)</f>
        <v>M2 MetaCast MCX 97 Carbon Steel Mate Metalizado 1,52x30m</v>
      </c>
      <c r="C644">
        <v>24</v>
      </c>
      <c r="D644" t="s">
        <v>96</v>
      </c>
      <c r="E644" t="str">
        <f>VLOOKUP(Tabla1[[#This Row],[Cód. Atributo]],[1]!Tabla5[#Data],6,FALSE)</f>
        <v>Select</v>
      </c>
      <c r="F644">
        <v>6</v>
      </c>
      <c r="G644">
        <v>6</v>
      </c>
      <c r="H644" t="s">
        <v>97</v>
      </c>
      <c r="I644" t="str">
        <f>VLOOKUP(Tabla1[[#This Row],[Code]],'[1]Articulos Precio'!$A:$E,5,FALSE)</f>
        <v>A0002816</v>
      </c>
    </row>
    <row r="645" spans="1:9" x14ac:dyDescent="0.25">
      <c r="A645" t="s">
        <v>258</v>
      </c>
      <c r="B645" t="str">
        <f>VLOOKUP(Tabla1[[#This Row],[Code]],[1]!Tabla4[#Data],2,FALSE)</f>
        <v>M2 MetaCast MCX 98 Blizzard Stone Brillo Metalizado 1,52x30m</v>
      </c>
      <c r="C645">
        <v>8</v>
      </c>
      <c r="D645" t="s">
        <v>86</v>
      </c>
      <c r="E645" t="str">
        <f>VLOOKUP(Tabla1[[#This Row],[Cód. Atributo]],[1]!Tabla5[#Data],6,FALSE)</f>
        <v>Select</v>
      </c>
      <c r="F645">
        <v>1</v>
      </c>
      <c r="G645">
        <v>4</v>
      </c>
      <c r="H645" t="s">
        <v>87</v>
      </c>
      <c r="I645" t="str">
        <f>VLOOKUP(Tabla1[[#This Row],[Code]],'[1]Articulos Precio'!$A:$E,5,FALSE)</f>
        <v>A0002816</v>
      </c>
    </row>
    <row r="646" spans="1:9" x14ac:dyDescent="0.25">
      <c r="A646" t="s">
        <v>258</v>
      </c>
      <c r="B646" t="str">
        <f>VLOOKUP(Tabla1[[#This Row],[Code]],[1]!Tabla4[#Data],2,FALSE)</f>
        <v>M2 MetaCast MCX 98 Blizzard Stone Brillo Metalizado 1,52x30m</v>
      </c>
      <c r="C646">
        <v>53</v>
      </c>
      <c r="D646" t="s">
        <v>88</v>
      </c>
      <c r="E646" t="str">
        <f>VLOOKUP(Tabla1[[#This Row],[Cód. Atributo]],[1]!Tabla5[#Data],6,FALSE)</f>
        <v>Color</v>
      </c>
      <c r="F646">
        <v>2</v>
      </c>
      <c r="G646">
        <v>24</v>
      </c>
      <c r="H646" t="s">
        <v>259</v>
      </c>
      <c r="I646" t="str">
        <f>VLOOKUP(Tabla1[[#This Row],[Code]],'[1]Articulos Precio'!$A:$E,5,FALSE)</f>
        <v>A0002816</v>
      </c>
    </row>
    <row r="647" spans="1:9" x14ac:dyDescent="0.25">
      <c r="A647" t="s">
        <v>258</v>
      </c>
      <c r="B647" t="str">
        <f>VLOOKUP(Tabla1[[#This Row],[Code]],[1]!Tabla4[#Data],2,FALSE)</f>
        <v>M2 MetaCast MCX 98 Blizzard Stone Brillo Metalizado 1,52x30m</v>
      </c>
      <c r="C647">
        <v>23</v>
      </c>
      <c r="D647" t="s">
        <v>90</v>
      </c>
      <c r="E647" t="str">
        <f>VLOOKUP(Tabla1[[#This Row],[Cód. Atributo]],[1]!Tabla5[#Data],6,FALSE)</f>
        <v>Select</v>
      </c>
      <c r="F647">
        <v>3</v>
      </c>
      <c r="G647">
        <v>3</v>
      </c>
      <c r="H647" t="s">
        <v>91</v>
      </c>
      <c r="I647" t="str">
        <f>VLOOKUP(Tabla1[[#This Row],[Code]],'[1]Articulos Precio'!$A:$E,5,FALSE)</f>
        <v>A0002816</v>
      </c>
    </row>
    <row r="648" spans="1:9" x14ac:dyDescent="0.25">
      <c r="A648" t="s">
        <v>258</v>
      </c>
      <c r="B648" t="str">
        <f>VLOOKUP(Tabla1[[#This Row],[Code]],[1]!Tabla4[#Data],2,FALSE)</f>
        <v>M2 MetaCast MCX 98 Blizzard Stone Brillo Metalizado 1,52x30m</v>
      </c>
      <c r="C648">
        <v>28</v>
      </c>
      <c r="D648" t="s">
        <v>92</v>
      </c>
      <c r="E648" t="str">
        <f>VLOOKUP(Tabla1[[#This Row],[Cód. Atributo]],[1]!Tabla5[#Data],6,FALSE)</f>
        <v>Select</v>
      </c>
      <c r="F648">
        <v>4</v>
      </c>
      <c r="G648">
        <v>1</v>
      </c>
      <c r="H648" t="s">
        <v>93</v>
      </c>
      <c r="I648" t="str">
        <f>VLOOKUP(Tabla1[[#This Row],[Code]],'[1]Articulos Precio'!$A:$E,5,FALSE)</f>
        <v>A0002816</v>
      </c>
    </row>
    <row r="649" spans="1:9" x14ac:dyDescent="0.25">
      <c r="A649" t="s">
        <v>258</v>
      </c>
      <c r="B649" t="str">
        <f>VLOOKUP(Tabla1[[#This Row],[Code]],[1]!Tabla4[#Data],2,FALSE)</f>
        <v>M2 MetaCast MCX 98 Blizzard Stone Brillo Metalizado 1,52x30m</v>
      </c>
      <c r="C649">
        <v>25</v>
      </c>
      <c r="D649" t="s">
        <v>94</v>
      </c>
      <c r="E649" t="str">
        <f>VLOOKUP(Tabla1[[#This Row],[Cód. Atributo]],[1]!Tabla5[#Data],6,FALSE)</f>
        <v>Select</v>
      </c>
      <c r="F649">
        <v>5</v>
      </c>
      <c r="G649">
        <v>6</v>
      </c>
      <c r="H649" t="s">
        <v>95</v>
      </c>
      <c r="I649" t="str">
        <f>VLOOKUP(Tabla1[[#This Row],[Code]],'[1]Articulos Precio'!$A:$E,5,FALSE)</f>
        <v>A0002816</v>
      </c>
    </row>
    <row r="650" spans="1:9" x14ac:dyDescent="0.25">
      <c r="A650" t="s">
        <v>258</v>
      </c>
      <c r="B650" t="str">
        <f>VLOOKUP(Tabla1[[#This Row],[Code]],[1]!Tabla4[#Data],2,FALSE)</f>
        <v>M2 MetaCast MCX 98 Blizzard Stone Brillo Metalizado 1,52x30m</v>
      </c>
      <c r="C650">
        <v>24</v>
      </c>
      <c r="D650" t="s">
        <v>96</v>
      </c>
      <c r="E650" t="str">
        <f>VLOOKUP(Tabla1[[#This Row],[Cód. Atributo]],[1]!Tabla5[#Data],6,FALSE)</f>
        <v>Select</v>
      </c>
      <c r="F650">
        <v>6</v>
      </c>
      <c r="G650">
        <v>6</v>
      </c>
      <c r="H650" t="s">
        <v>97</v>
      </c>
      <c r="I650" t="str">
        <f>VLOOKUP(Tabla1[[#This Row],[Code]],'[1]Articulos Precio'!$A:$E,5,FALSE)</f>
        <v>A0002816</v>
      </c>
    </row>
    <row r="651" spans="1:9" x14ac:dyDescent="0.25">
      <c r="A651" t="s">
        <v>260</v>
      </c>
      <c r="B651" t="str">
        <f>VLOOKUP(Tabla1[[#This Row],[Code]],[1]!Tabla4[#Data],2,FALSE)</f>
        <v>M2 MetaCast MCX 99 Negro Brillo Metalizado 1,52x30m</v>
      </c>
      <c r="C651">
        <v>8</v>
      </c>
      <c r="D651" t="s">
        <v>86</v>
      </c>
      <c r="E651" t="str">
        <f>VLOOKUP(Tabla1[[#This Row],[Cód. Atributo]],[1]!Tabla5[#Data],6,FALSE)</f>
        <v>Select</v>
      </c>
      <c r="F651">
        <v>1</v>
      </c>
      <c r="G651">
        <v>4</v>
      </c>
      <c r="H651" t="s">
        <v>87</v>
      </c>
      <c r="I651" t="str">
        <f>VLOOKUP(Tabla1[[#This Row],[Code]],'[1]Articulos Precio'!$A:$E,5,FALSE)</f>
        <v>A0002816</v>
      </c>
    </row>
    <row r="652" spans="1:9" x14ac:dyDescent="0.25">
      <c r="A652" t="s">
        <v>260</v>
      </c>
      <c r="B652" t="str">
        <f>VLOOKUP(Tabla1[[#This Row],[Code]],[1]!Tabla4[#Data],2,FALSE)</f>
        <v>M2 MetaCast MCX 99 Negro Brillo Metalizado 1,52x30m</v>
      </c>
      <c r="C652">
        <v>53</v>
      </c>
      <c r="D652" t="s">
        <v>88</v>
      </c>
      <c r="E652" t="str">
        <f>VLOOKUP(Tabla1[[#This Row],[Cód. Atributo]],[1]!Tabla5[#Data],6,FALSE)</f>
        <v>Color</v>
      </c>
      <c r="F652">
        <v>2</v>
      </c>
      <c r="G652">
        <v>25</v>
      </c>
      <c r="H652" t="s">
        <v>261</v>
      </c>
      <c r="I652" t="str">
        <f>VLOOKUP(Tabla1[[#This Row],[Code]],'[1]Articulos Precio'!$A:$E,5,FALSE)</f>
        <v>A0002816</v>
      </c>
    </row>
    <row r="653" spans="1:9" x14ac:dyDescent="0.25">
      <c r="A653" t="s">
        <v>260</v>
      </c>
      <c r="B653" t="str">
        <f>VLOOKUP(Tabla1[[#This Row],[Code]],[1]!Tabla4[#Data],2,FALSE)</f>
        <v>M2 MetaCast MCX 99 Negro Brillo Metalizado 1,52x30m</v>
      </c>
      <c r="C653">
        <v>23</v>
      </c>
      <c r="D653" t="s">
        <v>90</v>
      </c>
      <c r="E653" t="str">
        <f>VLOOKUP(Tabla1[[#This Row],[Cód. Atributo]],[1]!Tabla5[#Data],6,FALSE)</f>
        <v>Select</v>
      </c>
      <c r="F653">
        <v>3</v>
      </c>
      <c r="G653">
        <v>3</v>
      </c>
      <c r="H653" t="s">
        <v>91</v>
      </c>
      <c r="I653" t="str">
        <f>VLOOKUP(Tabla1[[#This Row],[Code]],'[1]Articulos Precio'!$A:$E,5,FALSE)</f>
        <v>A0002816</v>
      </c>
    </row>
    <row r="654" spans="1:9" x14ac:dyDescent="0.25">
      <c r="A654" t="s">
        <v>260</v>
      </c>
      <c r="B654" t="str">
        <f>VLOOKUP(Tabla1[[#This Row],[Code]],[1]!Tabla4[#Data],2,FALSE)</f>
        <v>M2 MetaCast MCX 99 Negro Brillo Metalizado 1,52x30m</v>
      </c>
      <c r="C654">
        <v>28</v>
      </c>
      <c r="D654" t="s">
        <v>92</v>
      </c>
      <c r="E654" t="str">
        <f>VLOOKUP(Tabla1[[#This Row],[Cód. Atributo]],[1]!Tabla5[#Data],6,FALSE)</f>
        <v>Select</v>
      </c>
      <c r="F654">
        <v>4</v>
      </c>
      <c r="G654">
        <v>1</v>
      </c>
      <c r="H654" t="s">
        <v>93</v>
      </c>
      <c r="I654" t="str">
        <f>VLOOKUP(Tabla1[[#This Row],[Code]],'[1]Articulos Precio'!$A:$E,5,FALSE)</f>
        <v>A0002816</v>
      </c>
    </row>
    <row r="655" spans="1:9" x14ac:dyDescent="0.25">
      <c r="A655" t="s">
        <v>260</v>
      </c>
      <c r="B655" t="str">
        <f>VLOOKUP(Tabla1[[#This Row],[Code]],[1]!Tabla4[#Data],2,FALSE)</f>
        <v>M2 MetaCast MCX 99 Negro Brillo Metalizado 1,52x30m</v>
      </c>
      <c r="C655">
        <v>25</v>
      </c>
      <c r="D655" t="s">
        <v>94</v>
      </c>
      <c r="E655" t="str">
        <f>VLOOKUP(Tabla1[[#This Row],[Cód. Atributo]],[1]!Tabla5[#Data],6,FALSE)</f>
        <v>Select</v>
      </c>
      <c r="F655">
        <v>5</v>
      </c>
      <c r="G655">
        <v>6</v>
      </c>
      <c r="H655" t="s">
        <v>95</v>
      </c>
      <c r="I655" t="str">
        <f>VLOOKUP(Tabla1[[#This Row],[Code]],'[1]Articulos Precio'!$A:$E,5,FALSE)</f>
        <v>A0002816</v>
      </c>
    </row>
    <row r="656" spans="1:9" x14ac:dyDescent="0.25">
      <c r="A656" t="s">
        <v>260</v>
      </c>
      <c r="B656" t="str">
        <f>VLOOKUP(Tabla1[[#This Row],[Code]],[1]!Tabla4[#Data],2,FALSE)</f>
        <v>M2 MetaCast MCX 99 Negro Brillo Metalizado 1,52x30m</v>
      </c>
      <c r="C656">
        <v>24</v>
      </c>
      <c r="D656" t="s">
        <v>96</v>
      </c>
      <c r="E656" t="str">
        <f>VLOOKUP(Tabla1[[#This Row],[Cód. Atributo]],[1]!Tabla5[#Data],6,FALSE)</f>
        <v>Select</v>
      </c>
      <c r="F656">
        <v>6</v>
      </c>
      <c r="G656">
        <v>6</v>
      </c>
      <c r="H656" t="s">
        <v>97</v>
      </c>
      <c r="I656" t="str">
        <f>VLOOKUP(Tabla1[[#This Row],[Code]],'[1]Articulos Precio'!$A:$E,5,FALSE)</f>
        <v>A0002816</v>
      </c>
    </row>
    <row r="657" spans="1:9" x14ac:dyDescent="0.25">
      <c r="A657" t="s">
        <v>262</v>
      </c>
      <c r="B657" t="str">
        <f>VLOOKUP(Tabla1[[#This Row],[Code]],[1]!Tabla4[#Data],2,FALSE)</f>
        <v>M2 Metamark M4 Brillo 200 Blanco 0,61 x 50m</v>
      </c>
      <c r="C657">
        <v>8</v>
      </c>
      <c r="D657" t="s">
        <v>86</v>
      </c>
      <c r="E657" t="str">
        <f>VLOOKUP(Tabla1[[#This Row],[Cód. Atributo]],[1]!Tabla5[#Data],6,FALSE)</f>
        <v>Select</v>
      </c>
      <c r="F657">
        <v>1</v>
      </c>
      <c r="G657">
        <v>1</v>
      </c>
      <c r="H657" t="s">
        <v>263</v>
      </c>
      <c r="I657" t="str">
        <f>VLOOKUP(Tabla1[[#This Row],[Code]],'[1]Articulos Precio'!$A:$E,5,FALSE)</f>
        <v>A0000270</v>
      </c>
    </row>
    <row r="658" spans="1:9" x14ac:dyDescent="0.25">
      <c r="A658" t="s">
        <v>262</v>
      </c>
      <c r="B658" t="str">
        <f>VLOOKUP(Tabla1[[#This Row],[Code]],[1]!Tabla4[#Data],2,FALSE)</f>
        <v>M2 Metamark M4 Brillo 200 Blanco 0,61 x 50m</v>
      </c>
      <c r="C658">
        <v>21</v>
      </c>
      <c r="D658" t="s">
        <v>264</v>
      </c>
      <c r="E658" t="str">
        <f>VLOOKUP(Tabla1[[#This Row],[Cód. Atributo]],[1]!Tabla5[#Data],6,FALSE)</f>
        <v>Color</v>
      </c>
      <c r="F658">
        <v>2</v>
      </c>
      <c r="G658">
        <v>1</v>
      </c>
      <c r="H658" t="s">
        <v>265</v>
      </c>
      <c r="I658" t="str">
        <f>VLOOKUP(Tabla1[[#This Row],[Code]],'[1]Articulos Precio'!$A:$E,5,FALSE)</f>
        <v>A0000270</v>
      </c>
    </row>
    <row r="659" spans="1:9" x14ac:dyDescent="0.25">
      <c r="A659" t="s">
        <v>262</v>
      </c>
      <c r="B659" t="str">
        <f>VLOOKUP(Tabla1[[#This Row],[Code]],[1]!Tabla4[#Data],2,FALSE)</f>
        <v>M2 Metamark M4 Brillo 200 Blanco 0,61 x 50m</v>
      </c>
      <c r="C659">
        <v>23</v>
      </c>
      <c r="D659" t="s">
        <v>90</v>
      </c>
      <c r="E659" t="str">
        <f>VLOOKUP(Tabla1[[#This Row],[Cód. Atributo]],[1]!Tabla5[#Data],6,FALSE)</f>
        <v>Select</v>
      </c>
      <c r="F659">
        <v>3</v>
      </c>
      <c r="G659">
        <v>1</v>
      </c>
      <c r="H659" t="s">
        <v>110</v>
      </c>
      <c r="I659" t="str">
        <f>VLOOKUP(Tabla1[[#This Row],[Code]],'[1]Articulos Precio'!$A:$E,5,FALSE)</f>
        <v>A0000270</v>
      </c>
    </row>
    <row r="660" spans="1:9" x14ac:dyDescent="0.25">
      <c r="A660" t="s">
        <v>262</v>
      </c>
      <c r="B660" t="str">
        <f>VLOOKUP(Tabla1[[#This Row],[Code]],[1]!Tabla4[#Data],2,FALSE)</f>
        <v>M2 Metamark M4 Brillo 200 Blanco 0,61 x 50m</v>
      </c>
      <c r="C660">
        <v>25</v>
      </c>
      <c r="D660" t="s">
        <v>94</v>
      </c>
      <c r="E660" t="str">
        <f>VLOOKUP(Tabla1[[#This Row],[Cód. Atributo]],[1]!Tabla5[#Data],6,FALSE)</f>
        <v>Select</v>
      </c>
      <c r="F660">
        <v>4</v>
      </c>
      <c r="G660">
        <v>2</v>
      </c>
      <c r="H660" t="s">
        <v>111</v>
      </c>
      <c r="I660" t="str">
        <f>VLOOKUP(Tabla1[[#This Row],[Code]],'[1]Articulos Precio'!$A:$E,5,FALSE)</f>
        <v>A0000270</v>
      </c>
    </row>
    <row r="661" spans="1:9" x14ac:dyDescent="0.25">
      <c r="A661" t="s">
        <v>262</v>
      </c>
      <c r="B661" t="str">
        <f>VLOOKUP(Tabla1[[#This Row],[Code]],[1]!Tabla4[#Data],2,FALSE)</f>
        <v>M2 Metamark M4 Brillo 200 Blanco 0,61 x 50m</v>
      </c>
      <c r="C661">
        <v>28</v>
      </c>
      <c r="D661" t="s">
        <v>184</v>
      </c>
      <c r="E661" t="str">
        <f>VLOOKUP(Tabla1[[#This Row],[Cód. Atributo]],[1]!Tabla5[#Data],6,FALSE)</f>
        <v>Select</v>
      </c>
      <c r="F661">
        <v>5</v>
      </c>
      <c r="G661">
        <v>1</v>
      </c>
      <c r="H661" t="s">
        <v>93</v>
      </c>
      <c r="I661" t="str">
        <f>VLOOKUP(Tabla1[[#This Row],[Code]],'[1]Articulos Precio'!$A:$E,5,FALSE)</f>
        <v>A0000270</v>
      </c>
    </row>
    <row r="662" spans="1:9" x14ac:dyDescent="0.25">
      <c r="A662" t="s">
        <v>262</v>
      </c>
      <c r="B662" t="str">
        <f>VLOOKUP(Tabla1[[#This Row],[Code]],[1]!Tabla4[#Data],2,FALSE)</f>
        <v>M2 Metamark M4 Brillo 200 Blanco 0,61 x 50m</v>
      </c>
      <c r="C662">
        <v>24</v>
      </c>
      <c r="D662" t="s">
        <v>96</v>
      </c>
      <c r="E662" t="str">
        <f>VLOOKUP(Tabla1[[#This Row],[Cód. Atributo]],[1]!Tabla5[#Data],6,FALSE)</f>
        <v>Select</v>
      </c>
      <c r="F662">
        <v>6</v>
      </c>
      <c r="G662">
        <v>2</v>
      </c>
      <c r="H662" t="s">
        <v>266</v>
      </c>
      <c r="I662" t="str">
        <f>VLOOKUP(Tabla1[[#This Row],[Code]],'[1]Articulos Precio'!$A:$E,5,FALSE)</f>
        <v>A0000270</v>
      </c>
    </row>
    <row r="663" spans="1:9" x14ac:dyDescent="0.25">
      <c r="A663" t="s">
        <v>267</v>
      </c>
      <c r="B663" t="str">
        <f>VLOOKUP(Tabla1[[#This Row],[Code]],[1]!Tabla4[#Data],2,FALSE)</f>
        <v>M2 Metamark M4 Brillo 200 Blanco 1,22 x 50m</v>
      </c>
      <c r="C663">
        <v>8</v>
      </c>
      <c r="D663" t="s">
        <v>86</v>
      </c>
      <c r="E663" t="str">
        <f>VLOOKUP(Tabla1[[#This Row],[Cód. Atributo]],[1]!Tabla5[#Data],6,FALSE)</f>
        <v>Select</v>
      </c>
      <c r="F663">
        <v>1</v>
      </c>
      <c r="G663">
        <v>2</v>
      </c>
      <c r="H663" t="s">
        <v>268</v>
      </c>
      <c r="I663" t="str">
        <f>VLOOKUP(Tabla1[[#This Row],[Code]],'[1]Articulos Precio'!$A:$E,5,FALSE)</f>
        <v>A0000270</v>
      </c>
    </row>
    <row r="664" spans="1:9" x14ac:dyDescent="0.25">
      <c r="A664" t="s">
        <v>267</v>
      </c>
      <c r="B664" t="str">
        <f>VLOOKUP(Tabla1[[#This Row],[Code]],[1]!Tabla4[#Data],2,FALSE)</f>
        <v>M2 Metamark M4 Brillo 200 Blanco 1,22 x 50m</v>
      </c>
      <c r="C664">
        <v>21</v>
      </c>
      <c r="D664" t="s">
        <v>264</v>
      </c>
      <c r="E664" t="str">
        <f>VLOOKUP(Tabla1[[#This Row],[Cód. Atributo]],[1]!Tabla5[#Data],6,FALSE)</f>
        <v>Color</v>
      </c>
      <c r="F664">
        <v>2</v>
      </c>
      <c r="G664">
        <v>1</v>
      </c>
      <c r="H664" t="s">
        <v>265</v>
      </c>
      <c r="I664" t="str">
        <f>VLOOKUP(Tabla1[[#This Row],[Code]],'[1]Articulos Precio'!$A:$E,5,FALSE)</f>
        <v>A0000270</v>
      </c>
    </row>
    <row r="665" spans="1:9" x14ac:dyDescent="0.25">
      <c r="A665" t="s">
        <v>267</v>
      </c>
      <c r="B665" t="str">
        <f>VLOOKUP(Tabla1[[#This Row],[Code]],[1]!Tabla4[#Data],2,FALSE)</f>
        <v>M2 Metamark M4 Brillo 200 Blanco 1,22 x 50m</v>
      </c>
      <c r="C665">
        <v>23</v>
      </c>
      <c r="D665" t="s">
        <v>90</v>
      </c>
      <c r="E665" t="str">
        <f>VLOOKUP(Tabla1[[#This Row],[Cód. Atributo]],[1]!Tabla5[#Data],6,FALSE)</f>
        <v>Select</v>
      </c>
      <c r="F665">
        <v>3</v>
      </c>
      <c r="G665">
        <v>1</v>
      </c>
      <c r="H665" t="s">
        <v>110</v>
      </c>
      <c r="I665" t="str">
        <f>VLOOKUP(Tabla1[[#This Row],[Code]],'[1]Articulos Precio'!$A:$E,5,FALSE)</f>
        <v>A0000270</v>
      </c>
    </row>
    <row r="666" spans="1:9" x14ac:dyDescent="0.25">
      <c r="A666" t="s">
        <v>267</v>
      </c>
      <c r="B666" t="str">
        <f>VLOOKUP(Tabla1[[#This Row],[Code]],[1]!Tabla4[#Data],2,FALSE)</f>
        <v>M2 Metamark M4 Brillo 200 Blanco 1,22 x 50m</v>
      </c>
      <c r="C666">
        <v>25</v>
      </c>
      <c r="D666" t="s">
        <v>94</v>
      </c>
      <c r="E666" t="str">
        <f>VLOOKUP(Tabla1[[#This Row],[Cód. Atributo]],[1]!Tabla5[#Data],6,FALSE)</f>
        <v>Select</v>
      </c>
      <c r="F666">
        <v>4</v>
      </c>
      <c r="G666">
        <v>2</v>
      </c>
      <c r="H666" t="s">
        <v>111</v>
      </c>
      <c r="I666" t="str">
        <f>VLOOKUP(Tabla1[[#This Row],[Code]],'[1]Articulos Precio'!$A:$E,5,FALSE)</f>
        <v>A0000270</v>
      </c>
    </row>
    <row r="667" spans="1:9" x14ac:dyDescent="0.25">
      <c r="A667" t="s">
        <v>267</v>
      </c>
      <c r="B667" t="str">
        <f>VLOOKUP(Tabla1[[#This Row],[Code]],[1]!Tabla4[#Data],2,FALSE)</f>
        <v>M2 Metamark M4 Brillo 200 Blanco 1,22 x 50m</v>
      </c>
      <c r="C667">
        <v>28</v>
      </c>
      <c r="D667" t="s">
        <v>184</v>
      </c>
      <c r="E667" t="str">
        <f>VLOOKUP(Tabla1[[#This Row],[Cód. Atributo]],[1]!Tabla5[#Data],6,FALSE)</f>
        <v>Select</v>
      </c>
      <c r="F667">
        <v>5</v>
      </c>
      <c r="G667">
        <v>1</v>
      </c>
      <c r="H667" t="s">
        <v>93</v>
      </c>
      <c r="I667" t="str">
        <f>VLOOKUP(Tabla1[[#This Row],[Code]],'[1]Articulos Precio'!$A:$E,5,FALSE)</f>
        <v>A0000270</v>
      </c>
    </row>
    <row r="668" spans="1:9" x14ac:dyDescent="0.25">
      <c r="A668" t="s">
        <v>267</v>
      </c>
      <c r="B668" t="str">
        <f>VLOOKUP(Tabla1[[#This Row],[Code]],[1]!Tabla4[#Data],2,FALSE)</f>
        <v>M2 Metamark M4 Brillo 200 Blanco 1,22 x 50m</v>
      </c>
      <c r="C668">
        <v>24</v>
      </c>
      <c r="D668" t="s">
        <v>96</v>
      </c>
      <c r="E668" t="str">
        <f>VLOOKUP(Tabla1[[#This Row],[Cód. Atributo]],[1]!Tabla5[#Data],6,FALSE)</f>
        <v>Select</v>
      </c>
      <c r="F668">
        <v>6</v>
      </c>
      <c r="G668">
        <v>2</v>
      </c>
      <c r="H668" t="s">
        <v>266</v>
      </c>
      <c r="I668" t="str">
        <f>VLOOKUP(Tabla1[[#This Row],[Code]],'[1]Articulos Precio'!$A:$E,5,FALSE)</f>
        <v>A0000270</v>
      </c>
    </row>
    <row r="669" spans="1:9" x14ac:dyDescent="0.25">
      <c r="A669" t="s">
        <v>269</v>
      </c>
      <c r="B669" t="str">
        <f>VLOOKUP(Tabla1[[#This Row],[Code]],[1]!Tabla4[#Data],2,FALSE)</f>
        <v>M2 Metamark M4 Brillo 210 Negro 0,61 x 50m</v>
      </c>
      <c r="C669">
        <v>8</v>
      </c>
      <c r="D669" t="s">
        <v>86</v>
      </c>
      <c r="E669" t="str">
        <f>VLOOKUP(Tabla1[[#This Row],[Cód. Atributo]],[1]!Tabla5[#Data],6,FALSE)</f>
        <v>Select</v>
      </c>
      <c r="F669">
        <v>1</v>
      </c>
      <c r="G669">
        <v>1</v>
      </c>
      <c r="H669" t="s">
        <v>263</v>
      </c>
      <c r="I669" t="str">
        <f>VLOOKUP(Tabla1[[#This Row],[Code]],'[1]Articulos Precio'!$A:$E,5,FALSE)</f>
        <v>A0000270</v>
      </c>
    </row>
    <row r="670" spans="1:9" x14ac:dyDescent="0.25">
      <c r="A670" t="s">
        <v>269</v>
      </c>
      <c r="B670" t="str">
        <f>VLOOKUP(Tabla1[[#This Row],[Code]],[1]!Tabla4[#Data],2,FALSE)</f>
        <v>M2 Metamark M4 Brillo 210 Negro 0,61 x 50m</v>
      </c>
      <c r="C670">
        <v>21</v>
      </c>
      <c r="D670" t="s">
        <v>264</v>
      </c>
      <c r="E670" t="str">
        <f>VLOOKUP(Tabla1[[#This Row],[Cód. Atributo]],[1]!Tabla5[#Data],6,FALSE)</f>
        <v>Color</v>
      </c>
      <c r="F670">
        <v>2</v>
      </c>
      <c r="G670">
        <v>3</v>
      </c>
      <c r="H670" t="s">
        <v>270</v>
      </c>
      <c r="I670" t="str">
        <f>VLOOKUP(Tabla1[[#This Row],[Code]],'[1]Articulos Precio'!$A:$E,5,FALSE)</f>
        <v>A0000270</v>
      </c>
    </row>
    <row r="671" spans="1:9" x14ac:dyDescent="0.25">
      <c r="A671" t="s">
        <v>269</v>
      </c>
      <c r="B671" t="str">
        <f>VLOOKUP(Tabla1[[#This Row],[Code]],[1]!Tabla4[#Data],2,FALSE)</f>
        <v>M2 Metamark M4 Brillo 210 Negro 0,61 x 50m</v>
      </c>
      <c r="C671">
        <v>23</v>
      </c>
      <c r="D671" t="s">
        <v>90</v>
      </c>
      <c r="E671" t="str">
        <f>VLOOKUP(Tabla1[[#This Row],[Cód. Atributo]],[1]!Tabla5[#Data],6,FALSE)</f>
        <v>Select</v>
      </c>
      <c r="F671">
        <v>3</v>
      </c>
      <c r="G671">
        <v>1</v>
      </c>
      <c r="H671" t="s">
        <v>110</v>
      </c>
      <c r="I671" t="str">
        <f>VLOOKUP(Tabla1[[#This Row],[Code]],'[1]Articulos Precio'!$A:$E,5,FALSE)</f>
        <v>A0000270</v>
      </c>
    </row>
    <row r="672" spans="1:9" x14ac:dyDescent="0.25">
      <c r="A672" t="s">
        <v>269</v>
      </c>
      <c r="B672" t="str">
        <f>VLOOKUP(Tabla1[[#This Row],[Code]],[1]!Tabla4[#Data],2,FALSE)</f>
        <v>M2 Metamark M4 Brillo 210 Negro 0,61 x 50m</v>
      </c>
      <c r="C672">
        <v>25</v>
      </c>
      <c r="D672" t="s">
        <v>94</v>
      </c>
      <c r="E672" t="str">
        <f>VLOOKUP(Tabla1[[#This Row],[Cód. Atributo]],[1]!Tabla5[#Data],6,FALSE)</f>
        <v>Select</v>
      </c>
      <c r="F672">
        <v>4</v>
      </c>
      <c r="G672">
        <v>2</v>
      </c>
      <c r="H672" t="s">
        <v>111</v>
      </c>
      <c r="I672" t="str">
        <f>VLOOKUP(Tabla1[[#This Row],[Code]],'[1]Articulos Precio'!$A:$E,5,FALSE)</f>
        <v>A0000270</v>
      </c>
    </row>
    <row r="673" spans="1:9" x14ac:dyDescent="0.25">
      <c r="A673" t="s">
        <v>269</v>
      </c>
      <c r="B673" t="str">
        <f>VLOOKUP(Tabla1[[#This Row],[Code]],[1]!Tabla4[#Data],2,FALSE)</f>
        <v>M2 Metamark M4 Brillo 210 Negro 0,61 x 50m</v>
      </c>
      <c r="C673">
        <v>28</v>
      </c>
      <c r="D673" t="s">
        <v>184</v>
      </c>
      <c r="E673" t="str">
        <f>VLOOKUP(Tabla1[[#This Row],[Cód. Atributo]],[1]!Tabla5[#Data],6,FALSE)</f>
        <v>Select</v>
      </c>
      <c r="F673">
        <v>5</v>
      </c>
      <c r="G673">
        <v>1</v>
      </c>
      <c r="H673" t="s">
        <v>93</v>
      </c>
      <c r="I673" t="str">
        <f>VLOOKUP(Tabla1[[#This Row],[Code]],'[1]Articulos Precio'!$A:$E,5,FALSE)</f>
        <v>A0000270</v>
      </c>
    </row>
    <row r="674" spans="1:9" x14ac:dyDescent="0.25">
      <c r="A674" t="s">
        <v>269</v>
      </c>
      <c r="B674" t="str">
        <f>VLOOKUP(Tabla1[[#This Row],[Code]],[1]!Tabla4[#Data],2,FALSE)</f>
        <v>M2 Metamark M4 Brillo 210 Negro 0,61 x 50m</v>
      </c>
      <c r="C674">
        <v>24</v>
      </c>
      <c r="D674" t="s">
        <v>96</v>
      </c>
      <c r="E674" t="str">
        <f>VLOOKUP(Tabla1[[#This Row],[Cód. Atributo]],[1]!Tabla5[#Data],6,FALSE)</f>
        <v>Select</v>
      </c>
      <c r="F674">
        <v>6</v>
      </c>
      <c r="G674">
        <v>2</v>
      </c>
      <c r="H674" t="s">
        <v>266</v>
      </c>
      <c r="I674" t="str">
        <f>VLOOKUP(Tabla1[[#This Row],[Code]],'[1]Articulos Precio'!$A:$E,5,FALSE)</f>
        <v>A0000270</v>
      </c>
    </row>
    <row r="675" spans="1:9" x14ac:dyDescent="0.25">
      <c r="A675" t="s">
        <v>271</v>
      </c>
      <c r="B675" t="str">
        <f>VLOOKUP(Tabla1[[#This Row],[Code]],[1]!Tabla4[#Data],2,FALSE)</f>
        <v>M2 Metamark M4 Brillo 210 Negro 1,22 x 50m</v>
      </c>
      <c r="C675">
        <v>8</v>
      </c>
      <c r="D675" t="s">
        <v>86</v>
      </c>
      <c r="E675" t="str">
        <f>VLOOKUP(Tabla1[[#This Row],[Cód. Atributo]],[1]!Tabla5[#Data],6,FALSE)</f>
        <v>Select</v>
      </c>
      <c r="F675">
        <v>1</v>
      </c>
      <c r="G675">
        <v>2</v>
      </c>
      <c r="H675" t="s">
        <v>268</v>
      </c>
      <c r="I675" t="str">
        <f>VLOOKUP(Tabla1[[#This Row],[Code]],'[1]Articulos Precio'!$A:$E,5,FALSE)</f>
        <v>A0000270</v>
      </c>
    </row>
    <row r="676" spans="1:9" x14ac:dyDescent="0.25">
      <c r="A676" t="s">
        <v>271</v>
      </c>
      <c r="B676" t="str">
        <f>VLOOKUP(Tabla1[[#This Row],[Code]],[1]!Tabla4[#Data],2,FALSE)</f>
        <v>M2 Metamark M4 Brillo 210 Negro 1,22 x 50m</v>
      </c>
      <c r="C676">
        <v>21</v>
      </c>
      <c r="D676" t="s">
        <v>264</v>
      </c>
      <c r="E676" t="str">
        <f>VLOOKUP(Tabla1[[#This Row],[Cód. Atributo]],[1]!Tabla5[#Data],6,FALSE)</f>
        <v>Color</v>
      </c>
      <c r="F676">
        <v>2</v>
      </c>
      <c r="G676">
        <v>3</v>
      </c>
      <c r="H676" t="s">
        <v>270</v>
      </c>
      <c r="I676" t="str">
        <f>VLOOKUP(Tabla1[[#This Row],[Code]],'[1]Articulos Precio'!$A:$E,5,FALSE)</f>
        <v>A0000270</v>
      </c>
    </row>
    <row r="677" spans="1:9" x14ac:dyDescent="0.25">
      <c r="A677" t="s">
        <v>271</v>
      </c>
      <c r="B677" t="str">
        <f>VLOOKUP(Tabla1[[#This Row],[Code]],[1]!Tabla4[#Data],2,FALSE)</f>
        <v>M2 Metamark M4 Brillo 210 Negro 1,22 x 50m</v>
      </c>
      <c r="C677">
        <v>23</v>
      </c>
      <c r="D677" t="s">
        <v>90</v>
      </c>
      <c r="E677" t="str">
        <f>VLOOKUP(Tabla1[[#This Row],[Cód. Atributo]],[1]!Tabla5[#Data],6,FALSE)</f>
        <v>Select</v>
      </c>
      <c r="F677">
        <v>3</v>
      </c>
      <c r="G677">
        <v>1</v>
      </c>
      <c r="H677" t="s">
        <v>110</v>
      </c>
      <c r="I677" t="str">
        <f>VLOOKUP(Tabla1[[#This Row],[Code]],'[1]Articulos Precio'!$A:$E,5,FALSE)</f>
        <v>A0000270</v>
      </c>
    </row>
    <row r="678" spans="1:9" x14ac:dyDescent="0.25">
      <c r="A678" t="s">
        <v>271</v>
      </c>
      <c r="B678" t="str">
        <f>VLOOKUP(Tabla1[[#This Row],[Code]],[1]!Tabla4[#Data],2,FALSE)</f>
        <v>M2 Metamark M4 Brillo 210 Negro 1,22 x 50m</v>
      </c>
      <c r="C678">
        <v>25</v>
      </c>
      <c r="D678" t="s">
        <v>94</v>
      </c>
      <c r="E678" t="str">
        <f>VLOOKUP(Tabla1[[#This Row],[Cód. Atributo]],[1]!Tabla5[#Data],6,FALSE)</f>
        <v>Select</v>
      </c>
      <c r="F678">
        <v>4</v>
      </c>
      <c r="G678">
        <v>2</v>
      </c>
      <c r="H678" t="s">
        <v>111</v>
      </c>
      <c r="I678" t="str">
        <f>VLOOKUP(Tabla1[[#This Row],[Code]],'[1]Articulos Precio'!$A:$E,5,FALSE)</f>
        <v>A0000270</v>
      </c>
    </row>
    <row r="679" spans="1:9" x14ac:dyDescent="0.25">
      <c r="A679" t="s">
        <v>271</v>
      </c>
      <c r="B679" t="str">
        <f>VLOOKUP(Tabla1[[#This Row],[Code]],[1]!Tabla4[#Data],2,FALSE)</f>
        <v>M2 Metamark M4 Brillo 210 Negro 1,22 x 50m</v>
      </c>
      <c r="C679">
        <v>28</v>
      </c>
      <c r="D679" t="s">
        <v>184</v>
      </c>
      <c r="E679" t="str">
        <f>VLOOKUP(Tabla1[[#This Row],[Cód. Atributo]],[1]!Tabla5[#Data],6,FALSE)</f>
        <v>Select</v>
      </c>
      <c r="F679">
        <v>5</v>
      </c>
      <c r="G679">
        <v>1</v>
      </c>
      <c r="H679" t="s">
        <v>93</v>
      </c>
      <c r="I679" t="str">
        <f>VLOOKUP(Tabla1[[#This Row],[Code]],'[1]Articulos Precio'!$A:$E,5,FALSE)</f>
        <v>A0000270</v>
      </c>
    </row>
    <row r="680" spans="1:9" x14ac:dyDescent="0.25">
      <c r="A680" t="s">
        <v>271</v>
      </c>
      <c r="B680" t="str">
        <f>VLOOKUP(Tabla1[[#This Row],[Code]],[1]!Tabla4[#Data],2,FALSE)</f>
        <v>M2 Metamark M4 Brillo 210 Negro 1,22 x 50m</v>
      </c>
      <c r="C680">
        <v>24</v>
      </c>
      <c r="D680" t="s">
        <v>96</v>
      </c>
      <c r="E680" t="str">
        <f>VLOOKUP(Tabla1[[#This Row],[Cód. Atributo]],[1]!Tabla5[#Data],6,FALSE)</f>
        <v>Select</v>
      </c>
      <c r="F680">
        <v>6</v>
      </c>
      <c r="G680">
        <v>2</v>
      </c>
      <c r="H680" t="s">
        <v>266</v>
      </c>
      <c r="I680" t="str">
        <f>VLOOKUP(Tabla1[[#This Row],[Code]],'[1]Articulos Precio'!$A:$E,5,FALSE)</f>
        <v>A0000270</v>
      </c>
    </row>
    <row r="681" spans="1:9" x14ac:dyDescent="0.25">
      <c r="A681" t="s">
        <v>272</v>
      </c>
      <c r="B681" t="str">
        <f>VLOOKUP(Tabla1[[#This Row],[Code]],[1]!Tabla4[#Data],2,FALSE)</f>
        <v>M2 Metamark M4 Brillo 220 Gris Ligero 0,61 x 50m</v>
      </c>
      <c r="C681">
        <v>8</v>
      </c>
      <c r="D681" t="s">
        <v>86</v>
      </c>
      <c r="E681" t="str">
        <f>VLOOKUP(Tabla1[[#This Row],[Cód. Atributo]],[1]!Tabla5[#Data],6,FALSE)</f>
        <v>Select</v>
      </c>
      <c r="F681">
        <v>1</v>
      </c>
      <c r="G681">
        <v>1</v>
      </c>
      <c r="H681" t="s">
        <v>263</v>
      </c>
      <c r="I681" t="str">
        <f>VLOOKUP(Tabla1[[#This Row],[Code]],'[1]Articulos Precio'!$A:$E,5,FALSE)</f>
        <v>A0000270</v>
      </c>
    </row>
    <row r="682" spans="1:9" x14ac:dyDescent="0.25">
      <c r="A682" t="s">
        <v>272</v>
      </c>
      <c r="B682" t="str">
        <f>VLOOKUP(Tabla1[[#This Row],[Code]],[1]!Tabla4[#Data],2,FALSE)</f>
        <v>M2 Metamark M4 Brillo 220 Gris Ligero 0,61 x 50m</v>
      </c>
      <c r="C682">
        <v>21</v>
      </c>
      <c r="D682" t="s">
        <v>264</v>
      </c>
      <c r="E682" t="str">
        <f>VLOOKUP(Tabla1[[#This Row],[Cód. Atributo]],[1]!Tabla5[#Data],6,FALSE)</f>
        <v>Color</v>
      </c>
      <c r="F682">
        <v>2</v>
      </c>
      <c r="G682">
        <v>4</v>
      </c>
      <c r="H682" t="s">
        <v>273</v>
      </c>
      <c r="I682" t="str">
        <f>VLOOKUP(Tabla1[[#This Row],[Code]],'[1]Articulos Precio'!$A:$E,5,FALSE)</f>
        <v>A0000270</v>
      </c>
    </row>
    <row r="683" spans="1:9" x14ac:dyDescent="0.25">
      <c r="A683" t="s">
        <v>272</v>
      </c>
      <c r="B683" t="str">
        <f>VLOOKUP(Tabla1[[#This Row],[Code]],[1]!Tabla4[#Data],2,FALSE)</f>
        <v>M2 Metamark M4 Brillo 220 Gris Ligero 0,61 x 50m</v>
      </c>
      <c r="C683">
        <v>23</v>
      </c>
      <c r="D683" t="s">
        <v>90</v>
      </c>
      <c r="E683" t="str">
        <f>VLOOKUP(Tabla1[[#This Row],[Cód. Atributo]],[1]!Tabla5[#Data],6,FALSE)</f>
        <v>Select</v>
      </c>
      <c r="F683">
        <v>3</v>
      </c>
      <c r="G683">
        <v>1</v>
      </c>
      <c r="H683" t="s">
        <v>110</v>
      </c>
      <c r="I683" t="str">
        <f>VLOOKUP(Tabla1[[#This Row],[Code]],'[1]Articulos Precio'!$A:$E,5,FALSE)</f>
        <v>A0000270</v>
      </c>
    </row>
    <row r="684" spans="1:9" x14ac:dyDescent="0.25">
      <c r="A684" t="s">
        <v>272</v>
      </c>
      <c r="B684" t="str">
        <f>VLOOKUP(Tabla1[[#This Row],[Code]],[1]!Tabla4[#Data],2,FALSE)</f>
        <v>M2 Metamark M4 Brillo 220 Gris Ligero 0,61 x 50m</v>
      </c>
      <c r="C684">
        <v>25</v>
      </c>
      <c r="D684" t="s">
        <v>94</v>
      </c>
      <c r="E684" t="str">
        <f>VLOOKUP(Tabla1[[#This Row],[Cód. Atributo]],[1]!Tabla5[#Data],6,FALSE)</f>
        <v>Select</v>
      </c>
      <c r="F684">
        <v>4</v>
      </c>
      <c r="G684">
        <v>2</v>
      </c>
      <c r="H684" t="s">
        <v>111</v>
      </c>
      <c r="I684" t="str">
        <f>VLOOKUP(Tabla1[[#This Row],[Code]],'[1]Articulos Precio'!$A:$E,5,FALSE)</f>
        <v>A0000270</v>
      </c>
    </row>
    <row r="685" spans="1:9" x14ac:dyDescent="0.25">
      <c r="A685" t="s">
        <v>272</v>
      </c>
      <c r="B685" t="str">
        <f>VLOOKUP(Tabla1[[#This Row],[Code]],[1]!Tabla4[#Data],2,FALSE)</f>
        <v>M2 Metamark M4 Brillo 220 Gris Ligero 0,61 x 50m</v>
      </c>
      <c r="C685">
        <v>28</v>
      </c>
      <c r="D685" t="s">
        <v>184</v>
      </c>
      <c r="E685" t="str">
        <f>VLOOKUP(Tabla1[[#This Row],[Cód. Atributo]],[1]!Tabla5[#Data],6,FALSE)</f>
        <v>Select</v>
      </c>
      <c r="F685">
        <v>5</v>
      </c>
      <c r="G685">
        <v>1</v>
      </c>
      <c r="H685" t="s">
        <v>93</v>
      </c>
      <c r="I685" t="str">
        <f>VLOOKUP(Tabla1[[#This Row],[Code]],'[1]Articulos Precio'!$A:$E,5,FALSE)</f>
        <v>A0000270</v>
      </c>
    </row>
    <row r="686" spans="1:9" x14ac:dyDescent="0.25">
      <c r="A686" t="s">
        <v>272</v>
      </c>
      <c r="B686" t="str">
        <f>VLOOKUP(Tabla1[[#This Row],[Code]],[1]!Tabla4[#Data],2,FALSE)</f>
        <v>M2 Metamark M4 Brillo 220 Gris Ligero 0,61 x 50m</v>
      </c>
      <c r="C686">
        <v>24</v>
      </c>
      <c r="D686" t="s">
        <v>96</v>
      </c>
      <c r="E686" t="str">
        <f>VLOOKUP(Tabla1[[#This Row],[Cód. Atributo]],[1]!Tabla5[#Data],6,FALSE)</f>
        <v>Select</v>
      </c>
      <c r="F686">
        <v>6</v>
      </c>
      <c r="G686">
        <v>2</v>
      </c>
      <c r="H686" t="s">
        <v>266</v>
      </c>
      <c r="I686" t="str">
        <f>VLOOKUP(Tabla1[[#This Row],[Code]],'[1]Articulos Precio'!$A:$E,5,FALSE)</f>
        <v>A0000270</v>
      </c>
    </row>
    <row r="687" spans="1:9" x14ac:dyDescent="0.25">
      <c r="A687" t="s">
        <v>274</v>
      </c>
      <c r="B687" t="str">
        <f>VLOOKUP(Tabla1[[#This Row],[Code]],[1]!Tabla4[#Data],2,FALSE)</f>
        <v>M2 Metamark M4 Brillo 220 Gris Ligero 1,22 x 50m</v>
      </c>
      <c r="C687">
        <v>8</v>
      </c>
      <c r="D687" t="s">
        <v>86</v>
      </c>
      <c r="E687" t="str">
        <f>VLOOKUP(Tabla1[[#This Row],[Cód. Atributo]],[1]!Tabla5[#Data],6,FALSE)</f>
        <v>Select</v>
      </c>
      <c r="F687">
        <v>1</v>
      </c>
      <c r="G687">
        <v>2</v>
      </c>
      <c r="H687" t="s">
        <v>268</v>
      </c>
      <c r="I687" t="str">
        <f>VLOOKUP(Tabla1[[#This Row],[Code]],'[1]Articulos Precio'!$A:$E,5,FALSE)</f>
        <v>A0000270</v>
      </c>
    </row>
    <row r="688" spans="1:9" x14ac:dyDescent="0.25">
      <c r="A688" t="s">
        <v>274</v>
      </c>
      <c r="B688" t="str">
        <f>VLOOKUP(Tabla1[[#This Row],[Code]],[1]!Tabla4[#Data],2,FALSE)</f>
        <v>M2 Metamark M4 Brillo 220 Gris Ligero 1,22 x 50m</v>
      </c>
      <c r="C688">
        <v>21</v>
      </c>
      <c r="D688" t="s">
        <v>264</v>
      </c>
      <c r="E688" t="str">
        <f>VLOOKUP(Tabla1[[#This Row],[Cód. Atributo]],[1]!Tabla5[#Data],6,FALSE)</f>
        <v>Color</v>
      </c>
      <c r="F688">
        <v>2</v>
      </c>
      <c r="G688">
        <v>4</v>
      </c>
      <c r="H688" t="s">
        <v>273</v>
      </c>
      <c r="I688" t="str">
        <f>VLOOKUP(Tabla1[[#This Row],[Code]],'[1]Articulos Precio'!$A:$E,5,FALSE)</f>
        <v>A0000270</v>
      </c>
    </row>
    <row r="689" spans="1:9" x14ac:dyDescent="0.25">
      <c r="A689" t="s">
        <v>274</v>
      </c>
      <c r="B689" t="str">
        <f>VLOOKUP(Tabla1[[#This Row],[Code]],[1]!Tabla4[#Data],2,FALSE)</f>
        <v>M2 Metamark M4 Brillo 220 Gris Ligero 1,22 x 50m</v>
      </c>
      <c r="C689">
        <v>23</v>
      </c>
      <c r="D689" t="s">
        <v>90</v>
      </c>
      <c r="E689" t="str">
        <f>VLOOKUP(Tabla1[[#This Row],[Cód. Atributo]],[1]!Tabla5[#Data],6,FALSE)</f>
        <v>Select</v>
      </c>
      <c r="F689">
        <v>3</v>
      </c>
      <c r="G689">
        <v>1</v>
      </c>
      <c r="H689" t="s">
        <v>110</v>
      </c>
      <c r="I689" t="str">
        <f>VLOOKUP(Tabla1[[#This Row],[Code]],'[1]Articulos Precio'!$A:$E,5,FALSE)</f>
        <v>A0000270</v>
      </c>
    </row>
    <row r="690" spans="1:9" x14ac:dyDescent="0.25">
      <c r="A690" t="s">
        <v>274</v>
      </c>
      <c r="B690" t="str">
        <f>VLOOKUP(Tabla1[[#This Row],[Code]],[1]!Tabla4[#Data],2,FALSE)</f>
        <v>M2 Metamark M4 Brillo 220 Gris Ligero 1,22 x 50m</v>
      </c>
      <c r="C690">
        <v>25</v>
      </c>
      <c r="D690" t="s">
        <v>94</v>
      </c>
      <c r="E690" t="str">
        <f>VLOOKUP(Tabla1[[#This Row],[Cód. Atributo]],[1]!Tabla5[#Data],6,FALSE)</f>
        <v>Select</v>
      </c>
      <c r="F690">
        <v>4</v>
      </c>
      <c r="G690">
        <v>2</v>
      </c>
      <c r="H690" t="s">
        <v>111</v>
      </c>
      <c r="I690" t="str">
        <f>VLOOKUP(Tabla1[[#This Row],[Code]],'[1]Articulos Precio'!$A:$E,5,FALSE)</f>
        <v>A0000270</v>
      </c>
    </row>
    <row r="691" spans="1:9" x14ac:dyDescent="0.25">
      <c r="A691" t="s">
        <v>274</v>
      </c>
      <c r="B691" t="str">
        <f>VLOOKUP(Tabla1[[#This Row],[Code]],[1]!Tabla4[#Data],2,FALSE)</f>
        <v>M2 Metamark M4 Brillo 220 Gris Ligero 1,22 x 50m</v>
      </c>
      <c r="C691">
        <v>28</v>
      </c>
      <c r="D691" t="s">
        <v>184</v>
      </c>
      <c r="E691" t="str">
        <f>VLOOKUP(Tabla1[[#This Row],[Cód. Atributo]],[1]!Tabla5[#Data],6,FALSE)</f>
        <v>Select</v>
      </c>
      <c r="F691">
        <v>5</v>
      </c>
      <c r="G691">
        <v>1</v>
      </c>
      <c r="H691" t="s">
        <v>93</v>
      </c>
      <c r="I691" t="str">
        <f>VLOOKUP(Tabla1[[#This Row],[Code]],'[1]Articulos Precio'!$A:$E,5,FALSE)</f>
        <v>A0000270</v>
      </c>
    </row>
    <row r="692" spans="1:9" x14ac:dyDescent="0.25">
      <c r="A692" t="s">
        <v>274</v>
      </c>
      <c r="B692" t="str">
        <f>VLOOKUP(Tabla1[[#This Row],[Code]],[1]!Tabla4[#Data],2,FALSE)</f>
        <v>M2 Metamark M4 Brillo 220 Gris Ligero 1,22 x 50m</v>
      </c>
      <c r="C692">
        <v>24</v>
      </c>
      <c r="D692" t="s">
        <v>96</v>
      </c>
      <c r="E692" t="str">
        <f>VLOOKUP(Tabla1[[#This Row],[Cód. Atributo]],[1]!Tabla5[#Data],6,FALSE)</f>
        <v>Select</v>
      </c>
      <c r="F692">
        <v>6</v>
      </c>
      <c r="G692">
        <v>2</v>
      </c>
      <c r="H692" t="s">
        <v>266</v>
      </c>
      <c r="I692" t="str">
        <f>VLOOKUP(Tabla1[[#This Row],[Code]],'[1]Articulos Precio'!$A:$E,5,FALSE)</f>
        <v>A0000270</v>
      </c>
    </row>
    <row r="693" spans="1:9" x14ac:dyDescent="0.25">
      <c r="A693" t="s">
        <v>275</v>
      </c>
      <c r="B693" t="str">
        <f>VLOOKUP(Tabla1[[#This Row],[Code]],[1]!Tabla4[#Data],2,FALSE)</f>
        <v>M2 Metamark M4 Brillo 221 Gris 0,61 x 50m</v>
      </c>
      <c r="C693">
        <v>8</v>
      </c>
      <c r="D693" t="s">
        <v>86</v>
      </c>
      <c r="E693" t="str">
        <f>VLOOKUP(Tabla1[[#This Row],[Cód. Atributo]],[1]!Tabla5[#Data],6,FALSE)</f>
        <v>Select</v>
      </c>
      <c r="F693">
        <v>1</v>
      </c>
      <c r="G693">
        <v>1</v>
      </c>
      <c r="H693" t="s">
        <v>263</v>
      </c>
      <c r="I693" t="str">
        <f>VLOOKUP(Tabla1[[#This Row],[Code]],'[1]Articulos Precio'!$A:$E,5,FALSE)</f>
        <v>A0000270</v>
      </c>
    </row>
    <row r="694" spans="1:9" x14ac:dyDescent="0.25">
      <c r="A694" t="s">
        <v>275</v>
      </c>
      <c r="B694" t="str">
        <f>VLOOKUP(Tabla1[[#This Row],[Code]],[1]!Tabla4[#Data],2,FALSE)</f>
        <v>M2 Metamark M4 Brillo 221 Gris 0,61 x 50m</v>
      </c>
      <c r="C694">
        <v>21</v>
      </c>
      <c r="D694" t="s">
        <v>264</v>
      </c>
      <c r="E694" t="str">
        <f>VLOOKUP(Tabla1[[#This Row],[Cód. Atributo]],[1]!Tabla5[#Data],6,FALSE)</f>
        <v>Color</v>
      </c>
      <c r="F694">
        <v>2</v>
      </c>
      <c r="G694">
        <v>5</v>
      </c>
      <c r="H694" t="s">
        <v>276</v>
      </c>
      <c r="I694" t="str">
        <f>VLOOKUP(Tabla1[[#This Row],[Code]],'[1]Articulos Precio'!$A:$E,5,FALSE)</f>
        <v>A0000270</v>
      </c>
    </row>
    <row r="695" spans="1:9" x14ac:dyDescent="0.25">
      <c r="A695" t="s">
        <v>275</v>
      </c>
      <c r="B695" t="str">
        <f>VLOOKUP(Tabla1[[#This Row],[Code]],[1]!Tabla4[#Data],2,FALSE)</f>
        <v>M2 Metamark M4 Brillo 221 Gris 0,61 x 50m</v>
      </c>
      <c r="C695">
        <v>23</v>
      </c>
      <c r="D695" t="s">
        <v>90</v>
      </c>
      <c r="E695" t="str">
        <f>VLOOKUP(Tabla1[[#This Row],[Cód. Atributo]],[1]!Tabla5[#Data],6,FALSE)</f>
        <v>Select</v>
      </c>
      <c r="F695">
        <v>3</v>
      </c>
      <c r="G695">
        <v>1</v>
      </c>
      <c r="H695" t="s">
        <v>110</v>
      </c>
      <c r="I695" t="str">
        <f>VLOOKUP(Tabla1[[#This Row],[Code]],'[1]Articulos Precio'!$A:$E,5,FALSE)</f>
        <v>A0000270</v>
      </c>
    </row>
    <row r="696" spans="1:9" x14ac:dyDescent="0.25">
      <c r="A696" t="s">
        <v>275</v>
      </c>
      <c r="B696" t="str">
        <f>VLOOKUP(Tabla1[[#This Row],[Code]],[1]!Tabla4[#Data],2,FALSE)</f>
        <v>M2 Metamark M4 Brillo 221 Gris 0,61 x 50m</v>
      </c>
      <c r="C696">
        <v>25</v>
      </c>
      <c r="D696" t="s">
        <v>94</v>
      </c>
      <c r="E696" t="str">
        <f>VLOOKUP(Tabla1[[#This Row],[Cód. Atributo]],[1]!Tabla5[#Data],6,FALSE)</f>
        <v>Select</v>
      </c>
      <c r="F696">
        <v>4</v>
      </c>
      <c r="G696">
        <v>2</v>
      </c>
      <c r="H696" t="s">
        <v>111</v>
      </c>
      <c r="I696" t="str">
        <f>VLOOKUP(Tabla1[[#This Row],[Code]],'[1]Articulos Precio'!$A:$E,5,FALSE)</f>
        <v>A0000270</v>
      </c>
    </row>
    <row r="697" spans="1:9" x14ac:dyDescent="0.25">
      <c r="A697" t="s">
        <v>275</v>
      </c>
      <c r="B697" t="str">
        <f>VLOOKUP(Tabla1[[#This Row],[Code]],[1]!Tabla4[#Data],2,FALSE)</f>
        <v>M2 Metamark M4 Brillo 221 Gris 0,61 x 50m</v>
      </c>
      <c r="C697">
        <v>28</v>
      </c>
      <c r="D697" t="s">
        <v>184</v>
      </c>
      <c r="E697" t="str">
        <f>VLOOKUP(Tabla1[[#This Row],[Cód. Atributo]],[1]!Tabla5[#Data],6,FALSE)</f>
        <v>Select</v>
      </c>
      <c r="F697">
        <v>5</v>
      </c>
      <c r="G697">
        <v>1</v>
      </c>
      <c r="H697" t="s">
        <v>93</v>
      </c>
      <c r="I697" t="str">
        <f>VLOOKUP(Tabla1[[#This Row],[Code]],'[1]Articulos Precio'!$A:$E,5,FALSE)</f>
        <v>A0000270</v>
      </c>
    </row>
    <row r="698" spans="1:9" x14ac:dyDescent="0.25">
      <c r="A698" t="s">
        <v>275</v>
      </c>
      <c r="B698" t="str">
        <f>VLOOKUP(Tabla1[[#This Row],[Code]],[1]!Tabla4[#Data],2,FALSE)</f>
        <v>M2 Metamark M4 Brillo 221 Gris 0,61 x 50m</v>
      </c>
      <c r="C698">
        <v>24</v>
      </c>
      <c r="D698" t="s">
        <v>96</v>
      </c>
      <c r="E698" t="str">
        <f>VLOOKUP(Tabla1[[#This Row],[Cód. Atributo]],[1]!Tabla5[#Data],6,FALSE)</f>
        <v>Select</v>
      </c>
      <c r="F698">
        <v>6</v>
      </c>
      <c r="G698">
        <v>2</v>
      </c>
      <c r="H698" t="s">
        <v>266</v>
      </c>
      <c r="I698" t="str">
        <f>VLOOKUP(Tabla1[[#This Row],[Code]],'[1]Articulos Precio'!$A:$E,5,FALSE)</f>
        <v>A0000270</v>
      </c>
    </row>
    <row r="699" spans="1:9" x14ac:dyDescent="0.25">
      <c r="A699" t="s">
        <v>277</v>
      </c>
      <c r="B699" t="str">
        <f>VLOOKUP(Tabla1[[#This Row],[Code]],[1]!Tabla4[#Data],2,FALSE)</f>
        <v>M2 Metamark M4 Brillo 221 Gris 1,22 x 50m</v>
      </c>
      <c r="C699">
        <v>8</v>
      </c>
      <c r="D699" t="s">
        <v>86</v>
      </c>
      <c r="E699" t="str">
        <f>VLOOKUP(Tabla1[[#This Row],[Cód. Atributo]],[1]!Tabla5[#Data],6,FALSE)</f>
        <v>Select</v>
      </c>
      <c r="F699">
        <v>1</v>
      </c>
      <c r="G699">
        <v>2</v>
      </c>
      <c r="H699" t="s">
        <v>268</v>
      </c>
      <c r="I699" t="str">
        <f>VLOOKUP(Tabla1[[#This Row],[Code]],'[1]Articulos Precio'!$A:$E,5,FALSE)</f>
        <v>A0000270</v>
      </c>
    </row>
    <row r="700" spans="1:9" x14ac:dyDescent="0.25">
      <c r="A700" t="s">
        <v>277</v>
      </c>
      <c r="B700" t="str">
        <f>VLOOKUP(Tabla1[[#This Row],[Code]],[1]!Tabla4[#Data],2,FALSE)</f>
        <v>M2 Metamark M4 Brillo 221 Gris 1,22 x 50m</v>
      </c>
      <c r="C700">
        <v>21</v>
      </c>
      <c r="D700" t="s">
        <v>264</v>
      </c>
      <c r="E700" t="str">
        <f>VLOOKUP(Tabla1[[#This Row],[Cód. Atributo]],[1]!Tabla5[#Data],6,FALSE)</f>
        <v>Color</v>
      </c>
      <c r="F700">
        <v>2</v>
      </c>
      <c r="G700">
        <v>5</v>
      </c>
      <c r="H700" t="s">
        <v>276</v>
      </c>
      <c r="I700" t="str">
        <f>VLOOKUP(Tabla1[[#This Row],[Code]],'[1]Articulos Precio'!$A:$E,5,FALSE)</f>
        <v>A0000270</v>
      </c>
    </row>
    <row r="701" spans="1:9" x14ac:dyDescent="0.25">
      <c r="A701" t="s">
        <v>277</v>
      </c>
      <c r="B701" t="str">
        <f>VLOOKUP(Tabla1[[#This Row],[Code]],[1]!Tabla4[#Data],2,FALSE)</f>
        <v>M2 Metamark M4 Brillo 221 Gris 1,22 x 50m</v>
      </c>
      <c r="C701">
        <v>23</v>
      </c>
      <c r="D701" t="s">
        <v>90</v>
      </c>
      <c r="E701" t="str">
        <f>VLOOKUP(Tabla1[[#This Row],[Cód. Atributo]],[1]!Tabla5[#Data],6,FALSE)</f>
        <v>Select</v>
      </c>
      <c r="F701">
        <v>3</v>
      </c>
      <c r="G701">
        <v>1</v>
      </c>
      <c r="H701" t="s">
        <v>110</v>
      </c>
      <c r="I701" t="str">
        <f>VLOOKUP(Tabla1[[#This Row],[Code]],'[1]Articulos Precio'!$A:$E,5,FALSE)</f>
        <v>A0000270</v>
      </c>
    </row>
    <row r="702" spans="1:9" x14ac:dyDescent="0.25">
      <c r="A702" t="s">
        <v>277</v>
      </c>
      <c r="B702" t="str">
        <f>VLOOKUP(Tabla1[[#This Row],[Code]],[1]!Tabla4[#Data],2,FALSE)</f>
        <v>M2 Metamark M4 Brillo 221 Gris 1,22 x 50m</v>
      </c>
      <c r="C702">
        <v>25</v>
      </c>
      <c r="D702" t="s">
        <v>94</v>
      </c>
      <c r="E702" t="str">
        <f>VLOOKUP(Tabla1[[#This Row],[Cód. Atributo]],[1]!Tabla5[#Data],6,FALSE)</f>
        <v>Select</v>
      </c>
      <c r="F702">
        <v>4</v>
      </c>
      <c r="G702">
        <v>2</v>
      </c>
      <c r="H702" t="s">
        <v>111</v>
      </c>
      <c r="I702" t="str">
        <f>VLOOKUP(Tabla1[[#This Row],[Code]],'[1]Articulos Precio'!$A:$E,5,FALSE)</f>
        <v>A0000270</v>
      </c>
    </row>
    <row r="703" spans="1:9" x14ac:dyDescent="0.25">
      <c r="A703" t="s">
        <v>277</v>
      </c>
      <c r="B703" t="str">
        <f>VLOOKUP(Tabla1[[#This Row],[Code]],[1]!Tabla4[#Data],2,FALSE)</f>
        <v>M2 Metamark M4 Brillo 221 Gris 1,22 x 50m</v>
      </c>
      <c r="C703">
        <v>28</v>
      </c>
      <c r="D703" t="s">
        <v>184</v>
      </c>
      <c r="E703" t="str">
        <f>VLOOKUP(Tabla1[[#This Row],[Cód. Atributo]],[1]!Tabla5[#Data],6,FALSE)</f>
        <v>Select</v>
      </c>
      <c r="F703">
        <v>5</v>
      </c>
      <c r="G703">
        <v>1</v>
      </c>
      <c r="H703" t="s">
        <v>93</v>
      </c>
      <c r="I703" t="str">
        <f>VLOOKUP(Tabla1[[#This Row],[Code]],'[1]Articulos Precio'!$A:$E,5,FALSE)</f>
        <v>A0000270</v>
      </c>
    </row>
    <row r="704" spans="1:9" x14ac:dyDescent="0.25">
      <c r="A704" t="s">
        <v>277</v>
      </c>
      <c r="B704" t="str">
        <f>VLOOKUP(Tabla1[[#This Row],[Code]],[1]!Tabla4[#Data],2,FALSE)</f>
        <v>M2 Metamark M4 Brillo 221 Gris 1,22 x 50m</v>
      </c>
      <c r="C704">
        <v>24</v>
      </c>
      <c r="D704" t="s">
        <v>96</v>
      </c>
      <c r="E704" t="str">
        <f>VLOOKUP(Tabla1[[#This Row],[Cód. Atributo]],[1]!Tabla5[#Data],6,FALSE)</f>
        <v>Select</v>
      </c>
      <c r="F704">
        <v>6</v>
      </c>
      <c r="G704">
        <v>2</v>
      </c>
      <c r="H704" t="s">
        <v>266</v>
      </c>
      <c r="I704" t="str">
        <f>VLOOKUP(Tabla1[[#This Row],[Code]],'[1]Articulos Precio'!$A:$E,5,FALSE)</f>
        <v>A0000270</v>
      </c>
    </row>
    <row r="705" spans="1:9" x14ac:dyDescent="0.25">
      <c r="A705" t="s">
        <v>278</v>
      </c>
      <c r="B705" t="str">
        <f>VLOOKUP(Tabla1[[#This Row],[Code]],[1]!Tabla4[#Data],2,FALSE)</f>
        <v>M2 Metamark M4 Brillo 224 Gris Oscuro 0,61 x 50m</v>
      </c>
      <c r="C705">
        <v>8</v>
      </c>
      <c r="D705" t="s">
        <v>86</v>
      </c>
      <c r="E705" t="str">
        <f>VLOOKUP(Tabla1[[#This Row],[Cód. Atributo]],[1]!Tabla5[#Data],6,FALSE)</f>
        <v>Select</v>
      </c>
      <c r="F705">
        <v>1</v>
      </c>
      <c r="G705">
        <v>1</v>
      </c>
      <c r="H705" t="s">
        <v>263</v>
      </c>
      <c r="I705" t="str">
        <f>VLOOKUP(Tabla1[[#This Row],[Code]],'[1]Articulos Precio'!$A:$E,5,FALSE)</f>
        <v>A0000270</v>
      </c>
    </row>
    <row r="706" spans="1:9" x14ac:dyDescent="0.25">
      <c r="A706" t="s">
        <v>278</v>
      </c>
      <c r="B706" t="str">
        <f>VLOOKUP(Tabla1[[#This Row],[Code]],[1]!Tabla4[#Data],2,FALSE)</f>
        <v>M2 Metamark M4 Brillo 224 Gris Oscuro 0,61 x 50m</v>
      </c>
      <c r="C706">
        <v>21</v>
      </c>
      <c r="D706" t="s">
        <v>264</v>
      </c>
      <c r="E706" t="str">
        <f>VLOOKUP(Tabla1[[#This Row],[Cód. Atributo]],[1]!Tabla5[#Data],6,FALSE)</f>
        <v>Color</v>
      </c>
      <c r="F706">
        <v>2</v>
      </c>
      <c r="G706">
        <v>6</v>
      </c>
      <c r="H706" t="s">
        <v>279</v>
      </c>
      <c r="I706" t="str">
        <f>VLOOKUP(Tabla1[[#This Row],[Code]],'[1]Articulos Precio'!$A:$E,5,FALSE)</f>
        <v>A0000270</v>
      </c>
    </row>
    <row r="707" spans="1:9" x14ac:dyDescent="0.25">
      <c r="A707" t="s">
        <v>278</v>
      </c>
      <c r="B707" t="str">
        <f>VLOOKUP(Tabla1[[#This Row],[Code]],[1]!Tabla4[#Data],2,FALSE)</f>
        <v>M2 Metamark M4 Brillo 224 Gris Oscuro 0,61 x 50m</v>
      </c>
      <c r="C707">
        <v>23</v>
      </c>
      <c r="D707" t="s">
        <v>90</v>
      </c>
      <c r="E707" t="str">
        <f>VLOOKUP(Tabla1[[#This Row],[Cód. Atributo]],[1]!Tabla5[#Data],6,FALSE)</f>
        <v>Select</v>
      </c>
      <c r="F707">
        <v>3</v>
      </c>
      <c r="G707">
        <v>1</v>
      </c>
      <c r="H707" t="s">
        <v>110</v>
      </c>
      <c r="I707" t="str">
        <f>VLOOKUP(Tabla1[[#This Row],[Code]],'[1]Articulos Precio'!$A:$E,5,FALSE)</f>
        <v>A0000270</v>
      </c>
    </row>
    <row r="708" spans="1:9" x14ac:dyDescent="0.25">
      <c r="A708" t="s">
        <v>278</v>
      </c>
      <c r="B708" t="str">
        <f>VLOOKUP(Tabla1[[#This Row],[Code]],[1]!Tabla4[#Data],2,FALSE)</f>
        <v>M2 Metamark M4 Brillo 224 Gris Oscuro 0,61 x 50m</v>
      </c>
      <c r="C708">
        <v>25</v>
      </c>
      <c r="D708" t="s">
        <v>94</v>
      </c>
      <c r="E708" t="str">
        <f>VLOOKUP(Tabla1[[#This Row],[Cód. Atributo]],[1]!Tabla5[#Data],6,FALSE)</f>
        <v>Select</v>
      </c>
      <c r="F708">
        <v>4</v>
      </c>
      <c r="G708">
        <v>2</v>
      </c>
      <c r="H708" t="s">
        <v>111</v>
      </c>
      <c r="I708" t="str">
        <f>VLOOKUP(Tabla1[[#This Row],[Code]],'[1]Articulos Precio'!$A:$E,5,FALSE)</f>
        <v>A0000270</v>
      </c>
    </row>
    <row r="709" spans="1:9" x14ac:dyDescent="0.25">
      <c r="A709" t="s">
        <v>278</v>
      </c>
      <c r="B709" t="str">
        <f>VLOOKUP(Tabla1[[#This Row],[Code]],[1]!Tabla4[#Data],2,FALSE)</f>
        <v>M2 Metamark M4 Brillo 224 Gris Oscuro 0,61 x 50m</v>
      </c>
      <c r="C709">
        <v>28</v>
      </c>
      <c r="D709" t="s">
        <v>184</v>
      </c>
      <c r="E709" t="str">
        <f>VLOOKUP(Tabla1[[#This Row],[Cód. Atributo]],[1]!Tabla5[#Data],6,FALSE)</f>
        <v>Select</v>
      </c>
      <c r="F709">
        <v>5</v>
      </c>
      <c r="G709">
        <v>1</v>
      </c>
      <c r="H709" t="s">
        <v>93</v>
      </c>
      <c r="I709" t="str">
        <f>VLOOKUP(Tabla1[[#This Row],[Code]],'[1]Articulos Precio'!$A:$E,5,FALSE)</f>
        <v>A0000270</v>
      </c>
    </row>
    <row r="710" spans="1:9" x14ac:dyDescent="0.25">
      <c r="A710" t="s">
        <v>278</v>
      </c>
      <c r="B710" t="str">
        <f>VLOOKUP(Tabla1[[#This Row],[Code]],[1]!Tabla4[#Data],2,FALSE)</f>
        <v>M2 Metamark M4 Brillo 224 Gris Oscuro 0,61 x 50m</v>
      </c>
      <c r="C710">
        <v>24</v>
      </c>
      <c r="D710" t="s">
        <v>96</v>
      </c>
      <c r="E710" t="str">
        <f>VLOOKUP(Tabla1[[#This Row],[Cód. Atributo]],[1]!Tabla5[#Data],6,FALSE)</f>
        <v>Select</v>
      </c>
      <c r="F710">
        <v>6</v>
      </c>
      <c r="G710">
        <v>2</v>
      </c>
      <c r="H710" t="s">
        <v>266</v>
      </c>
      <c r="I710" t="str">
        <f>VLOOKUP(Tabla1[[#This Row],[Code]],'[1]Articulos Precio'!$A:$E,5,FALSE)</f>
        <v>A0000270</v>
      </c>
    </row>
    <row r="711" spans="1:9" x14ac:dyDescent="0.25">
      <c r="A711" t="s">
        <v>280</v>
      </c>
      <c r="B711" t="str">
        <f>VLOOKUP(Tabla1[[#This Row],[Code]],[1]!Tabla4[#Data],2,FALSE)</f>
        <v>M2 Metamark M4 Brillo 224 Gris Oscuro 1,22 x 50m</v>
      </c>
      <c r="C711">
        <v>8</v>
      </c>
      <c r="D711" t="s">
        <v>86</v>
      </c>
      <c r="E711" t="str">
        <f>VLOOKUP(Tabla1[[#This Row],[Cód. Atributo]],[1]!Tabla5[#Data],6,FALSE)</f>
        <v>Select</v>
      </c>
      <c r="F711">
        <v>1</v>
      </c>
      <c r="G711">
        <v>2</v>
      </c>
      <c r="H711" t="s">
        <v>268</v>
      </c>
      <c r="I711" t="str">
        <f>VLOOKUP(Tabla1[[#This Row],[Code]],'[1]Articulos Precio'!$A:$E,5,FALSE)</f>
        <v>A0000270</v>
      </c>
    </row>
    <row r="712" spans="1:9" x14ac:dyDescent="0.25">
      <c r="A712" t="s">
        <v>280</v>
      </c>
      <c r="B712" t="str">
        <f>VLOOKUP(Tabla1[[#This Row],[Code]],[1]!Tabla4[#Data],2,FALSE)</f>
        <v>M2 Metamark M4 Brillo 224 Gris Oscuro 1,22 x 50m</v>
      </c>
      <c r="C712">
        <v>21</v>
      </c>
      <c r="D712" t="s">
        <v>264</v>
      </c>
      <c r="E712" t="str">
        <f>VLOOKUP(Tabla1[[#This Row],[Cód. Atributo]],[1]!Tabla5[#Data],6,FALSE)</f>
        <v>Color</v>
      </c>
      <c r="F712">
        <v>2</v>
      </c>
      <c r="G712">
        <v>6</v>
      </c>
      <c r="H712" t="s">
        <v>279</v>
      </c>
      <c r="I712" t="str">
        <f>VLOOKUP(Tabla1[[#This Row],[Code]],'[1]Articulos Precio'!$A:$E,5,FALSE)</f>
        <v>A0000270</v>
      </c>
    </row>
    <row r="713" spans="1:9" x14ac:dyDescent="0.25">
      <c r="A713" t="s">
        <v>280</v>
      </c>
      <c r="B713" t="str">
        <f>VLOOKUP(Tabla1[[#This Row],[Code]],[1]!Tabla4[#Data],2,FALSE)</f>
        <v>M2 Metamark M4 Brillo 224 Gris Oscuro 1,22 x 50m</v>
      </c>
      <c r="C713">
        <v>23</v>
      </c>
      <c r="D713" t="s">
        <v>90</v>
      </c>
      <c r="E713" t="str">
        <f>VLOOKUP(Tabla1[[#This Row],[Cód. Atributo]],[1]!Tabla5[#Data],6,FALSE)</f>
        <v>Select</v>
      </c>
      <c r="F713">
        <v>3</v>
      </c>
      <c r="G713">
        <v>1</v>
      </c>
      <c r="H713" t="s">
        <v>110</v>
      </c>
      <c r="I713" t="str">
        <f>VLOOKUP(Tabla1[[#This Row],[Code]],'[1]Articulos Precio'!$A:$E,5,FALSE)</f>
        <v>A0000270</v>
      </c>
    </row>
    <row r="714" spans="1:9" x14ac:dyDescent="0.25">
      <c r="A714" t="s">
        <v>280</v>
      </c>
      <c r="B714" t="str">
        <f>VLOOKUP(Tabla1[[#This Row],[Code]],[1]!Tabla4[#Data],2,FALSE)</f>
        <v>M2 Metamark M4 Brillo 224 Gris Oscuro 1,22 x 50m</v>
      </c>
      <c r="C714">
        <v>25</v>
      </c>
      <c r="D714" t="s">
        <v>94</v>
      </c>
      <c r="E714" t="str">
        <f>VLOOKUP(Tabla1[[#This Row],[Cód. Atributo]],[1]!Tabla5[#Data],6,FALSE)</f>
        <v>Select</v>
      </c>
      <c r="F714">
        <v>4</v>
      </c>
      <c r="G714">
        <v>2</v>
      </c>
      <c r="H714" t="s">
        <v>111</v>
      </c>
      <c r="I714" t="str">
        <f>VLOOKUP(Tabla1[[#This Row],[Code]],'[1]Articulos Precio'!$A:$E,5,FALSE)</f>
        <v>A0000270</v>
      </c>
    </row>
    <row r="715" spans="1:9" x14ac:dyDescent="0.25">
      <c r="A715" t="s">
        <v>280</v>
      </c>
      <c r="B715" t="str">
        <f>VLOOKUP(Tabla1[[#This Row],[Code]],[1]!Tabla4[#Data],2,FALSE)</f>
        <v>M2 Metamark M4 Brillo 224 Gris Oscuro 1,22 x 50m</v>
      </c>
      <c r="C715">
        <v>28</v>
      </c>
      <c r="D715" t="s">
        <v>184</v>
      </c>
      <c r="E715" t="str">
        <f>VLOOKUP(Tabla1[[#This Row],[Cód. Atributo]],[1]!Tabla5[#Data],6,FALSE)</f>
        <v>Select</v>
      </c>
      <c r="F715">
        <v>5</v>
      </c>
      <c r="G715">
        <v>1</v>
      </c>
      <c r="H715" t="s">
        <v>93</v>
      </c>
      <c r="I715" t="str">
        <f>VLOOKUP(Tabla1[[#This Row],[Code]],'[1]Articulos Precio'!$A:$E,5,FALSE)</f>
        <v>A0000270</v>
      </c>
    </row>
    <row r="716" spans="1:9" x14ac:dyDescent="0.25">
      <c r="A716" t="s">
        <v>280</v>
      </c>
      <c r="B716" t="str">
        <f>VLOOKUP(Tabla1[[#This Row],[Code]],[1]!Tabla4[#Data],2,FALSE)</f>
        <v>M2 Metamark M4 Brillo 224 Gris Oscuro 1,22 x 50m</v>
      </c>
      <c r="C716">
        <v>24</v>
      </c>
      <c r="D716" t="s">
        <v>96</v>
      </c>
      <c r="E716" t="str">
        <f>VLOOKUP(Tabla1[[#This Row],[Cód. Atributo]],[1]!Tabla5[#Data],6,FALSE)</f>
        <v>Select</v>
      </c>
      <c r="F716">
        <v>6</v>
      </c>
      <c r="G716">
        <v>2</v>
      </c>
      <c r="H716" t="s">
        <v>266</v>
      </c>
      <c r="I716" t="str">
        <f>VLOOKUP(Tabla1[[#This Row],[Code]],'[1]Articulos Precio'!$A:$E,5,FALSE)</f>
        <v>A0000270</v>
      </c>
    </row>
    <row r="717" spans="1:9" x14ac:dyDescent="0.25">
      <c r="A717" t="s">
        <v>281</v>
      </c>
      <c r="B717" t="str">
        <f>VLOOKUP(Tabla1[[#This Row],[Code]],[1]!Tabla4[#Data],2,FALSE)</f>
        <v>M2 Metamark M4 Brillo 230 Amarillo Limón  0,61 x 50m</v>
      </c>
      <c r="C717">
        <v>8</v>
      </c>
      <c r="D717" t="s">
        <v>86</v>
      </c>
      <c r="E717" t="str">
        <f>VLOOKUP(Tabla1[[#This Row],[Cód. Atributo]],[1]!Tabla5[#Data],6,FALSE)</f>
        <v>Select</v>
      </c>
      <c r="F717">
        <v>1</v>
      </c>
      <c r="G717">
        <v>1</v>
      </c>
      <c r="H717" t="s">
        <v>263</v>
      </c>
      <c r="I717" t="str">
        <f>VLOOKUP(Tabla1[[#This Row],[Code]],'[1]Articulos Precio'!$A:$E,5,FALSE)</f>
        <v>A0000270</v>
      </c>
    </row>
    <row r="718" spans="1:9" x14ac:dyDescent="0.25">
      <c r="A718" t="s">
        <v>281</v>
      </c>
      <c r="B718" t="str">
        <f>VLOOKUP(Tabla1[[#This Row],[Code]],[1]!Tabla4[#Data],2,FALSE)</f>
        <v>M2 Metamark M4 Brillo 230 Amarillo Limón  0,61 x 50m</v>
      </c>
      <c r="C718">
        <v>21</v>
      </c>
      <c r="D718" t="s">
        <v>264</v>
      </c>
      <c r="E718" t="str">
        <f>VLOOKUP(Tabla1[[#This Row],[Cód. Atributo]],[1]!Tabla5[#Data],6,FALSE)</f>
        <v>Color</v>
      </c>
      <c r="F718">
        <v>2</v>
      </c>
      <c r="G718">
        <v>7</v>
      </c>
      <c r="H718" t="s">
        <v>282</v>
      </c>
      <c r="I718" t="str">
        <f>VLOOKUP(Tabla1[[#This Row],[Code]],'[1]Articulos Precio'!$A:$E,5,FALSE)</f>
        <v>A0000270</v>
      </c>
    </row>
    <row r="719" spans="1:9" x14ac:dyDescent="0.25">
      <c r="A719" t="s">
        <v>281</v>
      </c>
      <c r="B719" t="str">
        <f>VLOOKUP(Tabla1[[#This Row],[Code]],[1]!Tabla4[#Data],2,FALSE)</f>
        <v>M2 Metamark M4 Brillo 230 Amarillo Limón  0,61 x 50m</v>
      </c>
      <c r="C719">
        <v>23</v>
      </c>
      <c r="D719" t="s">
        <v>90</v>
      </c>
      <c r="E719" t="str">
        <f>VLOOKUP(Tabla1[[#This Row],[Cód. Atributo]],[1]!Tabla5[#Data],6,FALSE)</f>
        <v>Select</v>
      </c>
      <c r="F719">
        <v>3</v>
      </c>
      <c r="G719">
        <v>1</v>
      </c>
      <c r="H719" t="s">
        <v>110</v>
      </c>
      <c r="I719" t="str">
        <f>VLOOKUP(Tabla1[[#This Row],[Code]],'[1]Articulos Precio'!$A:$E,5,FALSE)</f>
        <v>A0000270</v>
      </c>
    </row>
    <row r="720" spans="1:9" x14ac:dyDescent="0.25">
      <c r="A720" t="s">
        <v>281</v>
      </c>
      <c r="B720" t="str">
        <f>VLOOKUP(Tabla1[[#This Row],[Code]],[1]!Tabla4[#Data],2,FALSE)</f>
        <v>M2 Metamark M4 Brillo 230 Amarillo Limón  0,61 x 50m</v>
      </c>
      <c r="C720">
        <v>25</v>
      </c>
      <c r="D720" t="s">
        <v>94</v>
      </c>
      <c r="E720" t="str">
        <f>VLOOKUP(Tabla1[[#This Row],[Cód. Atributo]],[1]!Tabla5[#Data],6,FALSE)</f>
        <v>Select</v>
      </c>
      <c r="F720">
        <v>4</v>
      </c>
      <c r="G720">
        <v>2</v>
      </c>
      <c r="H720" t="s">
        <v>111</v>
      </c>
      <c r="I720" t="str">
        <f>VLOOKUP(Tabla1[[#This Row],[Code]],'[1]Articulos Precio'!$A:$E,5,FALSE)</f>
        <v>A0000270</v>
      </c>
    </row>
    <row r="721" spans="1:9" x14ac:dyDescent="0.25">
      <c r="A721" t="s">
        <v>281</v>
      </c>
      <c r="B721" t="str">
        <f>VLOOKUP(Tabla1[[#This Row],[Code]],[1]!Tabla4[#Data],2,FALSE)</f>
        <v>M2 Metamark M4 Brillo 230 Amarillo Limón  0,61 x 50m</v>
      </c>
      <c r="C721">
        <v>28</v>
      </c>
      <c r="D721" t="s">
        <v>184</v>
      </c>
      <c r="E721" t="str">
        <f>VLOOKUP(Tabla1[[#This Row],[Cód. Atributo]],[1]!Tabla5[#Data],6,FALSE)</f>
        <v>Select</v>
      </c>
      <c r="F721">
        <v>5</v>
      </c>
      <c r="G721">
        <v>1</v>
      </c>
      <c r="H721" t="s">
        <v>93</v>
      </c>
      <c r="I721" t="str">
        <f>VLOOKUP(Tabla1[[#This Row],[Code]],'[1]Articulos Precio'!$A:$E,5,FALSE)</f>
        <v>A0000270</v>
      </c>
    </row>
    <row r="722" spans="1:9" x14ac:dyDescent="0.25">
      <c r="A722" t="s">
        <v>281</v>
      </c>
      <c r="B722" t="str">
        <f>VLOOKUP(Tabla1[[#This Row],[Code]],[1]!Tabla4[#Data],2,FALSE)</f>
        <v>M2 Metamark M4 Brillo 230 Amarillo Limón  0,61 x 50m</v>
      </c>
      <c r="C722">
        <v>24</v>
      </c>
      <c r="D722" t="s">
        <v>96</v>
      </c>
      <c r="E722" t="str">
        <f>VLOOKUP(Tabla1[[#This Row],[Cód. Atributo]],[1]!Tabla5[#Data],6,FALSE)</f>
        <v>Select</v>
      </c>
      <c r="F722">
        <v>6</v>
      </c>
      <c r="G722">
        <v>2</v>
      </c>
      <c r="H722" t="s">
        <v>266</v>
      </c>
      <c r="I722" t="str">
        <f>VLOOKUP(Tabla1[[#This Row],[Code]],'[1]Articulos Precio'!$A:$E,5,FALSE)</f>
        <v>A0000270</v>
      </c>
    </row>
    <row r="723" spans="1:9" x14ac:dyDescent="0.25">
      <c r="A723" t="s">
        <v>283</v>
      </c>
      <c r="B723" t="str">
        <f>VLOOKUP(Tabla1[[#This Row],[Code]],[1]!Tabla4[#Data],2,FALSE)</f>
        <v>M2 Metamark M4 Brillo 230 Amarillo Limón  1,22 x 50m</v>
      </c>
      <c r="C723">
        <v>8</v>
      </c>
      <c r="D723" t="s">
        <v>86</v>
      </c>
      <c r="E723" t="str">
        <f>VLOOKUP(Tabla1[[#This Row],[Cód. Atributo]],[1]!Tabla5[#Data],6,FALSE)</f>
        <v>Select</v>
      </c>
      <c r="F723">
        <v>1</v>
      </c>
      <c r="G723">
        <v>2</v>
      </c>
      <c r="H723" t="s">
        <v>268</v>
      </c>
      <c r="I723" t="str">
        <f>VLOOKUP(Tabla1[[#This Row],[Code]],'[1]Articulos Precio'!$A:$E,5,FALSE)</f>
        <v>A0000270</v>
      </c>
    </row>
    <row r="724" spans="1:9" x14ac:dyDescent="0.25">
      <c r="A724" t="s">
        <v>283</v>
      </c>
      <c r="B724" t="str">
        <f>VLOOKUP(Tabla1[[#This Row],[Code]],[1]!Tabla4[#Data],2,FALSE)</f>
        <v>M2 Metamark M4 Brillo 230 Amarillo Limón  1,22 x 50m</v>
      </c>
      <c r="C724">
        <v>21</v>
      </c>
      <c r="D724" t="s">
        <v>264</v>
      </c>
      <c r="E724" t="str">
        <f>VLOOKUP(Tabla1[[#This Row],[Cód. Atributo]],[1]!Tabla5[#Data],6,FALSE)</f>
        <v>Color</v>
      </c>
      <c r="F724">
        <v>2</v>
      </c>
      <c r="G724">
        <v>7</v>
      </c>
      <c r="H724" t="s">
        <v>282</v>
      </c>
      <c r="I724" t="str">
        <f>VLOOKUP(Tabla1[[#This Row],[Code]],'[1]Articulos Precio'!$A:$E,5,FALSE)</f>
        <v>A0000270</v>
      </c>
    </row>
    <row r="725" spans="1:9" x14ac:dyDescent="0.25">
      <c r="A725" t="s">
        <v>283</v>
      </c>
      <c r="B725" t="str">
        <f>VLOOKUP(Tabla1[[#This Row],[Code]],[1]!Tabla4[#Data],2,FALSE)</f>
        <v>M2 Metamark M4 Brillo 230 Amarillo Limón  1,22 x 50m</v>
      </c>
      <c r="C725">
        <v>23</v>
      </c>
      <c r="D725" t="s">
        <v>90</v>
      </c>
      <c r="E725" t="str">
        <f>VLOOKUP(Tabla1[[#This Row],[Cód. Atributo]],[1]!Tabla5[#Data],6,FALSE)</f>
        <v>Select</v>
      </c>
      <c r="F725">
        <v>3</v>
      </c>
      <c r="G725">
        <v>1</v>
      </c>
      <c r="H725" t="s">
        <v>110</v>
      </c>
      <c r="I725" t="str">
        <f>VLOOKUP(Tabla1[[#This Row],[Code]],'[1]Articulos Precio'!$A:$E,5,FALSE)</f>
        <v>A0000270</v>
      </c>
    </row>
    <row r="726" spans="1:9" x14ac:dyDescent="0.25">
      <c r="A726" t="s">
        <v>283</v>
      </c>
      <c r="B726" t="str">
        <f>VLOOKUP(Tabla1[[#This Row],[Code]],[1]!Tabla4[#Data],2,FALSE)</f>
        <v>M2 Metamark M4 Brillo 230 Amarillo Limón  1,22 x 50m</v>
      </c>
      <c r="C726">
        <v>25</v>
      </c>
      <c r="D726" t="s">
        <v>94</v>
      </c>
      <c r="E726" t="str">
        <f>VLOOKUP(Tabla1[[#This Row],[Cód. Atributo]],[1]!Tabla5[#Data],6,FALSE)</f>
        <v>Select</v>
      </c>
      <c r="F726">
        <v>4</v>
      </c>
      <c r="G726">
        <v>2</v>
      </c>
      <c r="H726" t="s">
        <v>111</v>
      </c>
      <c r="I726" t="str">
        <f>VLOOKUP(Tabla1[[#This Row],[Code]],'[1]Articulos Precio'!$A:$E,5,FALSE)</f>
        <v>A0000270</v>
      </c>
    </row>
    <row r="727" spans="1:9" x14ac:dyDescent="0.25">
      <c r="A727" t="s">
        <v>283</v>
      </c>
      <c r="B727" t="str">
        <f>VLOOKUP(Tabla1[[#This Row],[Code]],[1]!Tabla4[#Data],2,FALSE)</f>
        <v>M2 Metamark M4 Brillo 230 Amarillo Limón  1,22 x 50m</v>
      </c>
      <c r="C727">
        <v>28</v>
      </c>
      <c r="D727" t="s">
        <v>184</v>
      </c>
      <c r="E727" t="str">
        <f>VLOOKUP(Tabla1[[#This Row],[Cód. Atributo]],[1]!Tabla5[#Data],6,FALSE)</f>
        <v>Select</v>
      </c>
      <c r="F727">
        <v>5</v>
      </c>
      <c r="G727">
        <v>1</v>
      </c>
      <c r="H727" t="s">
        <v>93</v>
      </c>
      <c r="I727" t="str">
        <f>VLOOKUP(Tabla1[[#This Row],[Code]],'[1]Articulos Precio'!$A:$E,5,FALSE)</f>
        <v>A0000270</v>
      </c>
    </row>
    <row r="728" spans="1:9" x14ac:dyDescent="0.25">
      <c r="A728" t="s">
        <v>283</v>
      </c>
      <c r="B728" t="str">
        <f>VLOOKUP(Tabla1[[#This Row],[Code]],[1]!Tabla4[#Data],2,FALSE)</f>
        <v>M2 Metamark M4 Brillo 230 Amarillo Limón  1,22 x 50m</v>
      </c>
      <c r="C728">
        <v>24</v>
      </c>
      <c r="D728" t="s">
        <v>96</v>
      </c>
      <c r="E728" t="str">
        <f>VLOOKUP(Tabla1[[#This Row],[Cód. Atributo]],[1]!Tabla5[#Data],6,FALSE)</f>
        <v>Select</v>
      </c>
      <c r="F728">
        <v>6</v>
      </c>
      <c r="G728">
        <v>2</v>
      </c>
      <c r="H728" t="s">
        <v>266</v>
      </c>
      <c r="I728" t="str">
        <f>VLOOKUP(Tabla1[[#This Row],[Code]],'[1]Articulos Precio'!$A:$E,5,FALSE)</f>
        <v>A0000270</v>
      </c>
    </row>
    <row r="729" spans="1:9" x14ac:dyDescent="0.25">
      <c r="A729" t="s">
        <v>284</v>
      </c>
      <c r="B729" t="str">
        <f>VLOOKUP(Tabla1[[#This Row],[Code]],[1]!Tabla4[#Data],2,FALSE)</f>
        <v>M2 Metamark M4 Brillo 232 Amarillo Medio 0,61 x 50m</v>
      </c>
      <c r="C729">
        <v>8</v>
      </c>
      <c r="D729" t="s">
        <v>86</v>
      </c>
      <c r="E729" t="str">
        <f>VLOOKUP(Tabla1[[#This Row],[Cód. Atributo]],[1]!Tabla5[#Data],6,FALSE)</f>
        <v>Select</v>
      </c>
      <c r="F729">
        <v>1</v>
      </c>
      <c r="G729">
        <v>1</v>
      </c>
      <c r="H729" t="s">
        <v>263</v>
      </c>
      <c r="I729" t="str">
        <f>VLOOKUP(Tabla1[[#This Row],[Code]],'[1]Articulos Precio'!$A:$E,5,FALSE)</f>
        <v>A0000270</v>
      </c>
    </row>
    <row r="730" spans="1:9" x14ac:dyDescent="0.25">
      <c r="A730" t="s">
        <v>284</v>
      </c>
      <c r="B730" t="str">
        <f>VLOOKUP(Tabla1[[#This Row],[Code]],[1]!Tabla4[#Data],2,FALSE)</f>
        <v>M2 Metamark M4 Brillo 232 Amarillo Medio 0,61 x 50m</v>
      </c>
      <c r="C730">
        <v>21</v>
      </c>
      <c r="D730" t="s">
        <v>264</v>
      </c>
      <c r="E730" t="str">
        <f>VLOOKUP(Tabla1[[#This Row],[Cód. Atributo]],[1]!Tabla5[#Data],6,FALSE)</f>
        <v>Color</v>
      </c>
      <c r="F730">
        <v>2</v>
      </c>
      <c r="G730">
        <v>8</v>
      </c>
      <c r="H730" t="s">
        <v>285</v>
      </c>
      <c r="I730" t="str">
        <f>VLOOKUP(Tabla1[[#This Row],[Code]],'[1]Articulos Precio'!$A:$E,5,FALSE)</f>
        <v>A0000270</v>
      </c>
    </row>
    <row r="731" spans="1:9" x14ac:dyDescent="0.25">
      <c r="A731" t="s">
        <v>284</v>
      </c>
      <c r="B731" t="str">
        <f>VLOOKUP(Tabla1[[#This Row],[Code]],[1]!Tabla4[#Data],2,FALSE)</f>
        <v>M2 Metamark M4 Brillo 232 Amarillo Medio 0,61 x 50m</v>
      </c>
      <c r="C731">
        <v>23</v>
      </c>
      <c r="D731" t="s">
        <v>90</v>
      </c>
      <c r="E731" t="str">
        <f>VLOOKUP(Tabla1[[#This Row],[Cód. Atributo]],[1]!Tabla5[#Data],6,FALSE)</f>
        <v>Select</v>
      </c>
      <c r="F731">
        <v>3</v>
      </c>
      <c r="G731">
        <v>1</v>
      </c>
      <c r="H731" t="s">
        <v>110</v>
      </c>
      <c r="I731" t="str">
        <f>VLOOKUP(Tabla1[[#This Row],[Code]],'[1]Articulos Precio'!$A:$E,5,FALSE)</f>
        <v>A0000270</v>
      </c>
    </row>
    <row r="732" spans="1:9" x14ac:dyDescent="0.25">
      <c r="A732" t="s">
        <v>284</v>
      </c>
      <c r="B732" t="str">
        <f>VLOOKUP(Tabla1[[#This Row],[Code]],[1]!Tabla4[#Data],2,FALSE)</f>
        <v>M2 Metamark M4 Brillo 232 Amarillo Medio 0,61 x 50m</v>
      </c>
      <c r="C732">
        <v>25</v>
      </c>
      <c r="D732" t="s">
        <v>94</v>
      </c>
      <c r="E732" t="str">
        <f>VLOOKUP(Tabla1[[#This Row],[Cód. Atributo]],[1]!Tabla5[#Data],6,FALSE)</f>
        <v>Select</v>
      </c>
      <c r="F732">
        <v>4</v>
      </c>
      <c r="G732">
        <v>2</v>
      </c>
      <c r="H732" t="s">
        <v>111</v>
      </c>
      <c r="I732" t="str">
        <f>VLOOKUP(Tabla1[[#This Row],[Code]],'[1]Articulos Precio'!$A:$E,5,FALSE)</f>
        <v>A0000270</v>
      </c>
    </row>
    <row r="733" spans="1:9" x14ac:dyDescent="0.25">
      <c r="A733" t="s">
        <v>284</v>
      </c>
      <c r="B733" t="str">
        <f>VLOOKUP(Tabla1[[#This Row],[Code]],[1]!Tabla4[#Data],2,FALSE)</f>
        <v>M2 Metamark M4 Brillo 232 Amarillo Medio 0,61 x 50m</v>
      </c>
      <c r="C733">
        <v>28</v>
      </c>
      <c r="D733" t="s">
        <v>184</v>
      </c>
      <c r="E733" t="str">
        <f>VLOOKUP(Tabla1[[#This Row],[Cód. Atributo]],[1]!Tabla5[#Data],6,FALSE)</f>
        <v>Select</v>
      </c>
      <c r="F733">
        <v>5</v>
      </c>
      <c r="G733">
        <v>1</v>
      </c>
      <c r="H733" t="s">
        <v>93</v>
      </c>
      <c r="I733" t="str">
        <f>VLOOKUP(Tabla1[[#This Row],[Code]],'[1]Articulos Precio'!$A:$E,5,FALSE)</f>
        <v>A0000270</v>
      </c>
    </row>
    <row r="734" spans="1:9" x14ac:dyDescent="0.25">
      <c r="A734" t="s">
        <v>284</v>
      </c>
      <c r="B734" t="str">
        <f>VLOOKUP(Tabla1[[#This Row],[Code]],[1]!Tabla4[#Data],2,FALSE)</f>
        <v>M2 Metamark M4 Brillo 232 Amarillo Medio 0,61 x 50m</v>
      </c>
      <c r="C734">
        <v>24</v>
      </c>
      <c r="D734" t="s">
        <v>96</v>
      </c>
      <c r="E734" t="str">
        <f>VLOOKUP(Tabla1[[#This Row],[Cód. Atributo]],[1]!Tabla5[#Data],6,FALSE)</f>
        <v>Select</v>
      </c>
      <c r="F734">
        <v>6</v>
      </c>
      <c r="G734">
        <v>2</v>
      </c>
      <c r="H734" t="s">
        <v>266</v>
      </c>
      <c r="I734" t="str">
        <f>VLOOKUP(Tabla1[[#This Row],[Code]],'[1]Articulos Precio'!$A:$E,5,FALSE)</f>
        <v>A0000270</v>
      </c>
    </row>
    <row r="735" spans="1:9" x14ac:dyDescent="0.25">
      <c r="A735" t="s">
        <v>286</v>
      </c>
      <c r="B735" t="str">
        <f>VLOOKUP(Tabla1[[#This Row],[Code]],[1]!Tabla4[#Data],2,FALSE)</f>
        <v>M2 Metamark M4 Brillo 232 Amarillo Medio 1,22 x 50m</v>
      </c>
      <c r="C735">
        <v>8</v>
      </c>
      <c r="D735" t="s">
        <v>86</v>
      </c>
      <c r="E735" t="str">
        <f>VLOOKUP(Tabla1[[#This Row],[Cód. Atributo]],[1]!Tabla5[#Data],6,FALSE)</f>
        <v>Select</v>
      </c>
      <c r="F735">
        <v>1</v>
      </c>
      <c r="G735">
        <v>2</v>
      </c>
      <c r="H735" t="s">
        <v>268</v>
      </c>
      <c r="I735" t="str">
        <f>VLOOKUP(Tabla1[[#This Row],[Code]],'[1]Articulos Precio'!$A:$E,5,FALSE)</f>
        <v>A0000270</v>
      </c>
    </row>
    <row r="736" spans="1:9" x14ac:dyDescent="0.25">
      <c r="A736" t="s">
        <v>286</v>
      </c>
      <c r="B736" t="str">
        <f>VLOOKUP(Tabla1[[#This Row],[Code]],[1]!Tabla4[#Data],2,FALSE)</f>
        <v>M2 Metamark M4 Brillo 232 Amarillo Medio 1,22 x 50m</v>
      </c>
      <c r="C736">
        <v>21</v>
      </c>
      <c r="D736" t="s">
        <v>264</v>
      </c>
      <c r="E736" t="str">
        <f>VLOOKUP(Tabla1[[#This Row],[Cód. Atributo]],[1]!Tabla5[#Data],6,FALSE)</f>
        <v>Color</v>
      </c>
      <c r="F736">
        <v>2</v>
      </c>
      <c r="G736">
        <v>8</v>
      </c>
      <c r="H736" t="s">
        <v>285</v>
      </c>
      <c r="I736" t="str">
        <f>VLOOKUP(Tabla1[[#This Row],[Code]],'[1]Articulos Precio'!$A:$E,5,FALSE)</f>
        <v>A0000270</v>
      </c>
    </row>
    <row r="737" spans="1:9" x14ac:dyDescent="0.25">
      <c r="A737" t="s">
        <v>286</v>
      </c>
      <c r="B737" t="str">
        <f>VLOOKUP(Tabla1[[#This Row],[Code]],[1]!Tabla4[#Data],2,FALSE)</f>
        <v>M2 Metamark M4 Brillo 232 Amarillo Medio 1,22 x 50m</v>
      </c>
      <c r="C737">
        <v>23</v>
      </c>
      <c r="D737" t="s">
        <v>90</v>
      </c>
      <c r="E737" t="str">
        <f>VLOOKUP(Tabla1[[#This Row],[Cód. Atributo]],[1]!Tabla5[#Data],6,FALSE)</f>
        <v>Select</v>
      </c>
      <c r="F737">
        <v>3</v>
      </c>
      <c r="G737">
        <v>1</v>
      </c>
      <c r="H737" t="s">
        <v>110</v>
      </c>
      <c r="I737" t="str">
        <f>VLOOKUP(Tabla1[[#This Row],[Code]],'[1]Articulos Precio'!$A:$E,5,FALSE)</f>
        <v>A0000270</v>
      </c>
    </row>
    <row r="738" spans="1:9" x14ac:dyDescent="0.25">
      <c r="A738" t="s">
        <v>286</v>
      </c>
      <c r="B738" t="str">
        <f>VLOOKUP(Tabla1[[#This Row],[Code]],[1]!Tabla4[#Data],2,FALSE)</f>
        <v>M2 Metamark M4 Brillo 232 Amarillo Medio 1,22 x 50m</v>
      </c>
      <c r="C738">
        <v>25</v>
      </c>
      <c r="D738" t="s">
        <v>94</v>
      </c>
      <c r="E738" t="str">
        <f>VLOOKUP(Tabla1[[#This Row],[Cód. Atributo]],[1]!Tabla5[#Data],6,FALSE)</f>
        <v>Select</v>
      </c>
      <c r="F738">
        <v>4</v>
      </c>
      <c r="G738">
        <v>2</v>
      </c>
      <c r="H738" t="s">
        <v>111</v>
      </c>
      <c r="I738" t="str">
        <f>VLOOKUP(Tabla1[[#This Row],[Code]],'[1]Articulos Precio'!$A:$E,5,FALSE)</f>
        <v>A0000270</v>
      </c>
    </row>
    <row r="739" spans="1:9" x14ac:dyDescent="0.25">
      <c r="A739" t="s">
        <v>286</v>
      </c>
      <c r="B739" t="str">
        <f>VLOOKUP(Tabla1[[#This Row],[Code]],[1]!Tabla4[#Data],2,FALSE)</f>
        <v>M2 Metamark M4 Brillo 232 Amarillo Medio 1,22 x 50m</v>
      </c>
      <c r="C739">
        <v>28</v>
      </c>
      <c r="D739" t="s">
        <v>184</v>
      </c>
      <c r="E739" t="str">
        <f>VLOOKUP(Tabla1[[#This Row],[Cód. Atributo]],[1]!Tabla5[#Data],6,FALSE)</f>
        <v>Select</v>
      </c>
      <c r="F739">
        <v>5</v>
      </c>
      <c r="G739">
        <v>1</v>
      </c>
      <c r="H739" t="s">
        <v>93</v>
      </c>
      <c r="I739" t="str">
        <f>VLOOKUP(Tabla1[[#This Row],[Code]],'[1]Articulos Precio'!$A:$E,5,FALSE)</f>
        <v>A0000270</v>
      </c>
    </row>
    <row r="740" spans="1:9" x14ac:dyDescent="0.25">
      <c r="A740" t="s">
        <v>286</v>
      </c>
      <c r="B740" t="str">
        <f>VLOOKUP(Tabla1[[#This Row],[Code]],[1]!Tabla4[#Data],2,FALSE)</f>
        <v>M2 Metamark M4 Brillo 232 Amarillo Medio 1,22 x 50m</v>
      </c>
      <c r="C740">
        <v>24</v>
      </c>
      <c r="D740" t="s">
        <v>96</v>
      </c>
      <c r="E740" t="str">
        <f>VLOOKUP(Tabla1[[#This Row],[Cód. Atributo]],[1]!Tabla5[#Data],6,FALSE)</f>
        <v>Select</v>
      </c>
      <c r="F740">
        <v>6</v>
      </c>
      <c r="G740">
        <v>2</v>
      </c>
      <c r="H740" t="s">
        <v>266</v>
      </c>
      <c r="I740" t="str">
        <f>VLOOKUP(Tabla1[[#This Row],[Code]],'[1]Articulos Precio'!$A:$E,5,FALSE)</f>
        <v>A0000270</v>
      </c>
    </row>
    <row r="741" spans="1:9" x14ac:dyDescent="0.25">
      <c r="A741" t="s">
        <v>287</v>
      </c>
      <c r="B741" t="str">
        <f>VLOOKUP(Tabla1[[#This Row],[Code]],[1]!Tabla4[#Data],2,FALSE)</f>
        <v>M2 Metamark M4 Brillo 233 Naranja 0,61 x 50m</v>
      </c>
      <c r="C741">
        <v>8</v>
      </c>
      <c r="D741" t="s">
        <v>86</v>
      </c>
      <c r="E741" t="str">
        <f>VLOOKUP(Tabla1[[#This Row],[Cód. Atributo]],[1]!Tabla5[#Data],6,FALSE)</f>
        <v>Select</v>
      </c>
      <c r="F741">
        <v>1</v>
      </c>
      <c r="G741">
        <v>1</v>
      </c>
      <c r="H741" t="s">
        <v>263</v>
      </c>
      <c r="I741" t="str">
        <f>VLOOKUP(Tabla1[[#This Row],[Code]],'[1]Articulos Precio'!$A:$E,5,FALSE)</f>
        <v>A0000270</v>
      </c>
    </row>
    <row r="742" spans="1:9" x14ac:dyDescent="0.25">
      <c r="A742" t="s">
        <v>287</v>
      </c>
      <c r="B742" t="str">
        <f>VLOOKUP(Tabla1[[#This Row],[Code]],[1]!Tabla4[#Data],2,FALSE)</f>
        <v>M2 Metamark M4 Brillo 233 Naranja 0,61 x 50m</v>
      </c>
      <c r="C742">
        <v>21</v>
      </c>
      <c r="D742" t="s">
        <v>264</v>
      </c>
      <c r="E742" t="str">
        <f>VLOOKUP(Tabla1[[#This Row],[Cód. Atributo]],[1]!Tabla5[#Data],6,FALSE)</f>
        <v>Color</v>
      </c>
      <c r="F742">
        <v>2</v>
      </c>
      <c r="G742">
        <v>9</v>
      </c>
      <c r="H742" t="s">
        <v>288</v>
      </c>
      <c r="I742" t="str">
        <f>VLOOKUP(Tabla1[[#This Row],[Code]],'[1]Articulos Precio'!$A:$E,5,FALSE)</f>
        <v>A0000270</v>
      </c>
    </row>
    <row r="743" spans="1:9" x14ac:dyDescent="0.25">
      <c r="A743" t="s">
        <v>287</v>
      </c>
      <c r="B743" t="str">
        <f>VLOOKUP(Tabla1[[#This Row],[Code]],[1]!Tabla4[#Data],2,FALSE)</f>
        <v>M2 Metamark M4 Brillo 233 Naranja 0,61 x 50m</v>
      </c>
      <c r="C743">
        <v>23</v>
      </c>
      <c r="D743" t="s">
        <v>90</v>
      </c>
      <c r="E743" t="str">
        <f>VLOOKUP(Tabla1[[#This Row],[Cód. Atributo]],[1]!Tabla5[#Data],6,FALSE)</f>
        <v>Select</v>
      </c>
      <c r="F743">
        <v>3</v>
      </c>
      <c r="G743">
        <v>1</v>
      </c>
      <c r="H743" t="s">
        <v>110</v>
      </c>
      <c r="I743" t="str">
        <f>VLOOKUP(Tabla1[[#This Row],[Code]],'[1]Articulos Precio'!$A:$E,5,FALSE)</f>
        <v>A0000270</v>
      </c>
    </row>
    <row r="744" spans="1:9" x14ac:dyDescent="0.25">
      <c r="A744" t="s">
        <v>287</v>
      </c>
      <c r="B744" t="str">
        <f>VLOOKUP(Tabla1[[#This Row],[Code]],[1]!Tabla4[#Data],2,FALSE)</f>
        <v>M2 Metamark M4 Brillo 233 Naranja 0,61 x 50m</v>
      </c>
      <c r="C744">
        <v>25</v>
      </c>
      <c r="D744" t="s">
        <v>94</v>
      </c>
      <c r="E744" t="str">
        <f>VLOOKUP(Tabla1[[#This Row],[Cód. Atributo]],[1]!Tabla5[#Data],6,FALSE)</f>
        <v>Select</v>
      </c>
      <c r="F744">
        <v>4</v>
      </c>
      <c r="G744">
        <v>2</v>
      </c>
      <c r="H744" t="s">
        <v>111</v>
      </c>
      <c r="I744" t="str">
        <f>VLOOKUP(Tabla1[[#This Row],[Code]],'[1]Articulos Precio'!$A:$E,5,FALSE)</f>
        <v>A0000270</v>
      </c>
    </row>
    <row r="745" spans="1:9" x14ac:dyDescent="0.25">
      <c r="A745" t="s">
        <v>287</v>
      </c>
      <c r="B745" t="str">
        <f>VLOOKUP(Tabla1[[#This Row],[Code]],[1]!Tabla4[#Data],2,FALSE)</f>
        <v>M2 Metamark M4 Brillo 233 Naranja 0,61 x 50m</v>
      </c>
      <c r="C745">
        <v>28</v>
      </c>
      <c r="D745" t="s">
        <v>184</v>
      </c>
      <c r="E745" t="str">
        <f>VLOOKUP(Tabla1[[#This Row],[Cód. Atributo]],[1]!Tabla5[#Data],6,FALSE)</f>
        <v>Select</v>
      </c>
      <c r="F745">
        <v>5</v>
      </c>
      <c r="G745">
        <v>1</v>
      </c>
      <c r="H745" t="s">
        <v>93</v>
      </c>
      <c r="I745" t="str">
        <f>VLOOKUP(Tabla1[[#This Row],[Code]],'[1]Articulos Precio'!$A:$E,5,FALSE)</f>
        <v>A0000270</v>
      </c>
    </row>
    <row r="746" spans="1:9" x14ac:dyDescent="0.25">
      <c r="A746" t="s">
        <v>287</v>
      </c>
      <c r="B746" t="str">
        <f>VLOOKUP(Tabla1[[#This Row],[Code]],[1]!Tabla4[#Data],2,FALSE)</f>
        <v>M2 Metamark M4 Brillo 233 Naranja 0,61 x 50m</v>
      </c>
      <c r="C746">
        <v>24</v>
      </c>
      <c r="D746" t="s">
        <v>96</v>
      </c>
      <c r="E746" t="str">
        <f>VLOOKUP(Tabla1[[#This Row],[Cód. Atributo]],[1]!Tabla5[#Data],6,FALSE)</f>
        <v>Select</v>
      </c>
      <c r="F746">
        <v>6</v>
      </c>
      <c r="G746">
        <v>2</v>
      </c>
      <c r="H746" t="s">
        <v>266</v>
      </c>
      <c r="I746" t="str">
        <f>VLOOKUP(Tabla1[[#This Row],[Code]],'[1]Articulos Precio'!$A:$E,5,FALSE)</f>
        <v>A0000270</v>
      </c>
    </row>
    <row r="747" spans="1:9" x14ac:dyDescent="0.25">
      <c r="A747" t="s">
        <v>289</v>
      </c>
      <c r="B747" t="str">
        <f>VLOOKUP(Tabla1[[#This Row],[Code]],[1]!Tabla4[#Data],2,FALSE)</f>
        <v>M2 Metamark M4 Brillo 233 Naranja 1,22 x 50m</v>
      </c>
      <c r="C747">
        <v>8</v>
      </c>
      <c r="D747" t="s">
        <v>86</v>
      </c>
      <c r="E747" t="str">
        <f>VLOOKUP(Tabla1[[#This Row],[Cód. Atributo]],[1]!Tabla5[#Data],6,FALSE)</f>
        <v>Select</v>
      </c>
      <c r="F747">
        <v>1</v>
      </c>
      <c r="G747">
        <v>2</v>
      </c>
      <c r="H747" t="s">
        <v>268</v>
      </c>
      <c r="I747" t="str">
        <f>VLOOKUP(Tabla1[[#This Row],[Code]],'[1]Articulos Precio'!$A:$E,5,FALSE)</f>
        <v>A0000270</v>
      </c>
    </row>
    <row r="748" spans="1:9" x14ac:dyDescent="0.25">
      <c r="A748" t="s">
        <v>289</v>
      </c>
      <c r="B748" t="str">
        <f>VLOOKUP(Tabla1[[#This Row],[Code]],[1]!Tabla4[#Data],2,FALSE)</f>
        <v>M2 Metamark M4 Brillo 233 Naranja 1,22 x 50m</v>
      </c>
      <c r="C748">
        <v>21</v>
      </c>
      <c r="D748" t="s">
        <v>264</v>
      </c>
      <c r="E748" t="str">
        <f>VLOOKUP(Tabla1[[#This Row],[Cód. Atributo]],[1]!Tabla5[#Data],6,FALSE)</f>
        <v>Color</v>
      </c>
      <c r="F748">
        <v>2</v>
      </c>
      <c r="G748">
        <v>9</v>
      </c>
      <c r="H748" t="s">
        <v>288</v>
      </c>
      <c r="I748" t="str">
        <f>VLOOKUP(Tabla1[[#This Row],[Code]],'[1]Articulos Precio'!$A:$E,5,FALSE)</f>
        <v>A0000270</v>
      </c>
    </row>
    <row r="749" spans="1:9" x14ac:dyDescent="0.25">
      <c r="A749" t="s">
        <v>289</v>
      </c>
      <c r="B749" t="str">
        <f>VLOOKUP(Tabla1[[#This Row],[Code]],[1]!Tabla4[#Data],2,FALSE)</f>
        <v>M2 Metamark M4 Brillo 233 Naranja 1,22 x 50m</v>
      </c>
      <c r="C749">
        <v>23</v>
      </c>
      <c r="D749" t="s">
        <v>90</v>
      </c>
      <c r="E749" t="str">
        <f>VLOOKUP(Tabla1[[#This Row],[Cód. Atributo]],[1]!Tabla5[#Data],6,FALSE)</f>
        <v>Select</v>
      </c>
      <c r="F749">
        <v>3</v>
      </c>
      <c r="G749">
        <v>1</v>
      </c>
      <c r="H749" t="s">
        <v>110</v>
      </c>
      <c r="I749" t="str">
        <f>VLOOKUP(Tabla1[[#This Row],[Code]],'[1]Articulos Precio'!$A:$E,5,FALSE)</f>
        <v>A0000270</v>
      </c>
    </row>
    <row r="750" spans="1:9" x14ac:dyDescent="0.25">
      <c r="A750" t="s">
        <v>289</v>
      </c>
      <c r="B750" t="str">
        <f>VLOOKUP(Tabla1[[#This Row],[Code]],[1]!Tabla4[#Data],2,FALSE)</f>
        <v>M2 Metamark M4 Brillo 233 Naranja 1,22 x 50m</v>
      </c>
      <c r="C750">
        <v>25</v>
      </c>
      <c r="D750" t="s">
        <v>94</v>
      </c>
      <c r="E750" t="str">
        <f>VLOOKUP(Tabla1[[#This Row],[Cód. Atributo]],[1]!Tabla5[#Data],6,FALSE)</f>
        <v>Select</v>
      </c>
      <c r="F750">
        <v>4</v>
      </c>
      <c r="G750">
        <v>2</v>
      </c>
      <c r="H750" t="s">
        <v>111</v>
      </c>
      <c r="I750" t="str">
        <f>VLOOKUP(Tabla1[[#This Row],[Code]],'[1]Articulos Precio'!$A:$E,5,FALSE)</f>
        <v>A0000270</v>
      </c>
    </row>
    <row r="751" spans="1:9" x14ac:dyDescent="0.25">
      <c r="A751" t="s">
        <v>289</v>
      </c>
      <c r="B751" t="str">
        <f>VLOOKUP(Tabla1[[#This Row],[Code]],[1]!Tabla4[#Data],2,FALSE)</f>
        <v>M2 Metamark M4 Brillo 233 Naranja 1,22 x 50m</v>
      </c>
      <c r="C751">
        <v>28</v>
      </c>
      <c r="D751" t="s">
        <v>184</v>
      </c>
      <c r="E751" t="str">
        <f>VLOOKUP(Tabla1[[#This Row],[Cód. Atributo]],[1]!Tabla5[#Data],6,FALSE)</f>
        <v>Select</v>
      </c>
      <c r="F751">
        <v>5</v>
      </c>
      <c r="G751">
        <v>1</v>
      </c>
      <c r="H751" t="s">
        <v>93</v>
      </c>
      <c r="I751" t="str">
        <f>VLOOKUP(Tabla1[[#This Row],[Code]],'[1]Articulos Precio'!$A:$E,5,FALSE)</f>
        <v>A0000270</v>
      </c>
    </row>
    <row r="752" spans="1:9" x14ac:dyDescent="0.25">
      <c r="A752" t="s">
        <v>289</v>
      </c>
      <c r="B752" t="str">
        <f>VLOOKUP(Tabla1[[#This Row],[Code]],[1]!Tabla4[#Data],2,FALSE)</f>
        <v>M2 Metamark M4 Brillo 233 Naranja 1,22 x 50m</v>
      </c>
      <c r="C752">
        <v>24</v>
      </c>
      <c r="D752" t="s">
        <v>96</v>
      </c>
      <c r="E752" t="str">
        <f>VLOOKUP(Tabla1[[#This Row],[Cód. Atributo]],[1]!Tabla5[#Data],6,FALSE)</f>
        <v>Select</v>
      </c>
      <c r="F752">
        <v>6</v>
      </c>
      <c r="G752">
        <v>2</v>
      </c>
      <c r="H752" t="s">
        <v>266</v>
      </c>
      <c r="I752" t="str">
        <f>VLOOKUP(Tabla1[[#This Row],[Code]],'[1]Articulos Precio'!$A:$E,5,FALSE)</f>
        <v>A0000270</v>
      </c>
    </row>
    <row r="753" spans="1:9" x14ac:dyDescent="0.25">
      <c r="A753" t="s">
        <v>290</v>
      </c>
      <c r="B753" t="str">
        <f>VLOOKUP(Tabla1[[#This Row],[Code]],[1]!Tabla4[#Data],2,FALSE)</f>
        <v>M2 Metamark M4 Brillo 235 Amarillo Botón 0,61 x 50m</v>
      </c>
      <c r="C753">
        <v>8</v>
      </c>
      <c r="D753" t="s">
        <v>86</v>
      </c>
      <c r="E753" t="str">
        <f>VLOOKUP(Tabla1[[#This Row],[Cód. Atributo]],[1]!Tabla5[#Data],6,FALSE)</f>
        <v>Select</v>
      </c>
      <c r="F753">
        <v>1</v>
      </c>
      <c r="G753">
        <v>1</v>
      </c>
      <c r="H753" t="s">
        <v>263</v>
      </c>
      <c r="I753" t="str">
        <f>VLOOKUP(Tabla1[[#This Row],[Code]],'[1]Articulos Precio'!$A:$E,5,FALSE)</f>
        <v>A0000270</v>
      </c>
    </row>
    <row r="754" spans="1:9" x14ac:dyDescent="0.25">
      <c r="A754" t="s">
        <v>290</v>
      </c>
      <c r="B754" t="str">
        <f>VLOOKUP(Tabla1[[#This Row],[Code]],[1]!Tabla4[#Data],2,FALSE)</f>
        <v>M2 Metamark M4 Brillo 235 Amarillo Botón 0,61 x 50m</v>
      </c>
      <c r="C754">
        <v>21</v>
      </c>
      <c r="D754" t="s">
        <v>264</v>
      </c>
      <c r="E754" t="str">
        <f>VLOOKUP(Tabla1[[#This Row],[Cód. Atributo]],[1]!Tabla5[#Data],6,FALSE)</f>
        <v>Color</v>
      </c>
      <c r="F754">
        <v>2</v>
      </c>
      <c r="G754">
        <v>10</v>
      </c>
      <c r="H754" t="s">
        <v>291</v>
      </c>
      <c r="I754" t="str">
        <f>VLOOKUP(Tabla1[[#This Row],[Code]],'[1]Articulos Precio'!$A:$E,5,FALSE)</f>
        <v>A0000270</v>
      </c>
    </row>
    <row r="755" spans="1:9" x14ac:dyDescent="0.25">
      <c r="A755" t="s">
        <v>290</v>
      </c>
      <c r="B755" t="str">
        <f>VLOOKUP(Tabla1[[#This Row],[Code]],[1]!Tabla4[#Data],2,FALSE)</f>
        <v>M2 Metamark M4 Brillo 235 Amarillo Botón 0,61 x 50m</v>
      </c>
      <c r="C755">
        <v>23</v>
      </c>
      <c r="D755" t="s">
        <v>90</v>
      </c>
      <c r="E755" t="str">
        <f>VLOOKUP(Tabla1[[#This Row],[Cód. Atributo]],[1]!Tabla5[#Data],6,FALSE)</f>
        <v>Select</v>
      </c>
      <c r="F755">
        <v>3</v>
      </c>
      <c r="G755">
        <v>1</v>
      </c>
      <c r="H755" t="s">
        <v>110</v>
      </c>
      <c r="I755" t="str">
        <f>VLOOKUP(Tabla1[[#This Row],[Code]],'[1]Articulos Precio'!$A:$E,5,FALSE)</f>
        <v>A0000270</v>
      </c>
    </row>
    <row r="756" spans="1:9" x14ac:dyDescent="0.25">
      <c r="A756" t="s">
        <v>290</v>
      </c>
      <c r="B756" t="str">
        <f>VLOOKUP(Tabla1[[#This Row],[Code]],[1]!Tabla4[#Data],2,FALSE)</f>
        <v>M2 Metamark M4 Brillo 235 Amarillo Botón 0,61 x 50m</v>
      </c>
      <c r="C756">
        <v>25</v>
      </c>
      <c r="D756" t="s">
        <v>94</v>
      </c>
      <c r="E756" t="str">
        <f>VLOOKUP(Tabla1[[#This Row],[Cód. Atributo]],[1]!Tabla5[#Data],6,FALSE)</f>
        <v>Select</v>
      </c>
      <c r="F756">
        <v>4</v>
      </c>
      <c r="G756">
        <v>2</v>
      </c>
      <c r="H756" t="s">
        <v>111</v>
      </c>
      <c r="I756" t="str">
        <f>VLOOKUP(Tabla1[[#This Row],[Code]],'[1]Articulos Precio'!$A:$E,5,FALSE)</f>
        <v>A0000270</v>
      </c>
    </row>
    <row r="757" spans="1:9" x14ac:dyDescent="0.25">
      <c r="A757" t="s">
        <v>290</v>
      </c>
      <c r="B757" t="str">
        <f>VLOOKUP(Tabla1[[#This Row],[Code]],[1]!Tabla4[#Data],2,FALSE)</f>
        <v>M2 Metamark M4 Brillo 235 Amarillo Botón 0,61 x 50m</v>
      </c>
      <c r="C757">
        <v>28</v>
      </c>
      <c r="D757" t="s">
        <v>184</v>
      </c>
      <c r="E757" t="str">
        <f>VLOOKUP(Tabla1[[#This Row],[Cód. Atributo]],[1]!Tabla5[#Data],6,FALSE)</f>
        <v>Select</v>
      </c>
      <c r="F757">
        <v>5</v>
      </c>
      <c r="G757">
        <v>1</v>
      </c>
      <c r="H757" t="s">
        <v>93</v>
      </c>
      <c r="I757" t="str">
        <f>VLOOKUP(Tabla1[[#This Row],[Code]],'[1]Articulos Precio'!$A:$E,5,FALSE)</f>
        <v>A0000270</v>
      </c>
    </row>
    <row r="758" spans="1:9" x14ac:dyDescent="0.25">
      <c r="A758" t="s">
        <v>290</v>
      </c>
      <c r="B758" t="str">
        <f>VLOOKUP(Tabla1[[#This Row],[Code]],[1]!Tabla4[#Data],2,FALSE)</f>
        <v>M2 Metamark M4 Brillo 235 Amarillo Botón 0,61 x 50m</v>
      </c>
      <c r="C758">
        <v>24</v>
      </c>
      <c r="D758" t="s">
        <v>96</v>
      </c>
      <c r="E758" t="str">
        <f>VLOOKUP(Tabla1[[#This Row],[Cód. Atributo]],[1]!Tabla5[#Data],6,FALSE)</f>
        <v>Select</v>
      </c>
      <c r="F758">
        <v>6</v>
      </c>
      <c r="G758">
        <v>2</v>
      </c>
      <c r="H758" t="s">
        <v>266</v>
      </c>
      <c r="I758" t="str">
        <f>VLOOKUP(Tabla1[[#This Row],[Code]],'[1]Articulos Precio'!$A:$E,5,FALSE)</f>
        <v>A0000270</v>
      </c>
    </row>
    <row r="759" spans="1:9" x14ac:dyDescent="0.25">
      <c r="A759" t="s">
        <v>292</v>
      </c>
      <c r="B759" t="str">
        <f>VLOOKUP(Tabla1[[#This Row],[Code]],[1]!Tabla4[#Data],2,FALSE)</f>
        <v>M2 Metamark M4 Brillo 235 Amarillo Botón 1,22 x 50m</v>
      </c>
      <c r="C759">
        <v>8</v>
      </c>
      <c r="D759" t="s">
        <v>86</v>
      </c>
      <c r="E759" t="str">
        <f>VLOOKUP(Tabla1[[#This Row],[Cód. Atributo]],[1]!Tabla5[#Data],6,FALSE)</f>
        <v>Select</v>
      </c>
      <c r="F759">
        <v>1</v>
      </c>
      <c r="G759">
        <v>2</v>
      </c>
      <c r="H759" t="s">
        <v>268</v>
      </c>
      <c r="I759" t="str">
        <f>VLOOKUP(Tabla1[[#This Row],[Code]],'[1]Articulos Precio'!$A:$E,5,FALSE)</f>
        <v>A0000270</v>
      </c>
    </row>
    <row r="760" spans="1:9" x14ac:dyDescent="0.25">
      <c r="A760" t="s">
        <v>292</v>
      </c>
      <c r="B760" t="str">
        <f>VLOOKUP(Tabla1[[#This Row],[Code]],[1]!Tabla4[#Data],2,FALSE)</f>
        <v>M2 Metamark M4 Brillo 235 Amarillo Botón 1,22 x 50m</v>
      </c>
      <c r="C760">
        <v>21</v>
      </c>
      <c r="D760" t="s">
        <v>264</v>
      </c>
      <c r="E760" t="str">
        <f>VLOOKUP(Tabla1[[#This Row],[Cód. Atributo]],[1]!Tabla5[#Data],6,FALSE)</f>
        <v>Color</v>
      </c>
      <c r="F760">
        <v>2</v>
      </c>
      <c r="G760">
        <v>10</v>
      </c>
      <c r="H760" t="s">
        <v>291</v>
      </c>
      <c r="I760" t="str">
        <f>VLOOKUP(Tabla1[[#This Row],[Code]],'[1]Articulos Precio'!$A:$E,5,FALSE)</f>
        <v>A0000270</v>
      </c>
    </row>
    <row r="761" spans="1:9" x14ac:dyDescent="0.25">
      <c r="A761" t="s">
        <v>292</v>
      </c>
      <c r="B761" t="str">
        <f>VLOOKUP(Tabla1[[#This Row],[Code]],[1]!Tabla4[#Data],2,FALSE)</f>
        <v>M2 Metamark M4 Brillo 235 Amarillo Botón 1,22 x 50m</v>
      </c>
      <c r="C761">
        <v>23</v>
      </c>
      <c r="D761" t="s">
        <v>90</v>
      </c>
      <c r="E761" t="str">
        <f>VLOOKUP(Tabla1[[#This Row],[Cód. Atributo]],[1]!Tabla5[#Data],6,FALSE)</f>
        <v>Select</v>
      </c>
      <c r="F761">
        <v>3</v>
      </c>
      <c r="G761">
        <v>1</v>
      </c>
      <c r="H761" t="s">
        <v>110</v>
      </c>
      <c r="I761" t="str">
        <f>VLOOKUP(Tabla1[[#This Row],[Code]],'[1]Articulos Precio'!$A:$E,5,FALSE)</f>
        <v>A0000270</v>
      </c>
    </row>
    <row r="762" spans="1:9" x14ac:dyDescent="0.25">
      <c r="A762" t="s">
        <v>292</v>
      </c>
      <c r="B762" t="str">
        <f>VLOOKUP(Tabla1[[#This Row],[Code]],[1]!Tabla4[#Data],2,FALSE)</f>
        <v>M2 Metamark M4 Brillo 235 Amarillo Botón 1,22 x 50m</v>
      </c>
      <c r="C762">
        <v>25</v>
      </c>
      <c r="D762" t="s">
        <v>94</v>
      </c>
      <c r="E762" t="str">
        <f>VLOOKUP(Tabla1[[#This Row],[Cód. Atributo]],[1]!Tabla5[#Data],6,FALSE)</f>
        <v>Select</v>
      </c>
      <c r="F762">
        <v>4</v>
      </c>
      <c r="G762">
        <v>2</v>
      </c>
      <c r="H762" t="s">
        <v>111</v>
      </c>
      <c r="I762" t="str">
        <f>VLOOKUP(Tabla1[[#This Row],[Code]],'[1]Articulos Precio'!$A:$E,5,FALSE)</f>
        <v>A0000270</v>
      </c>
    </row>
    <row r="763" spans="1:9" x14ac:dyDescent="0.25">
      <c r="A763" t="s">
        <v>292</v>
      </c>
      <c r="B763" t="str">
        <f>VLOOKUP(Tabla1[[#This Row],[Code]],[1]!Tabla4[#Data],2,FALSE)</f>
        <v>M2 Metamark M4 Brillo 235 Amarillo Botón 1,22 x 50m</v>
      </c>
      <c r="C763">
        <v>28</v>
      </c>
      <c r="D763" t="s">
        <v>184</v>
      </c>
      <c r="E763" t="str">
        <f>VLOOKUP(Tabla1[[#This Row],[Cód. Atributo]],[1]!Tabla5[#Data],6,FALSE)</f>
        <v>Select</v>
      </c>
      <c r="F763">
        <v>5</v>
      </c>
      <c r="G763">
        <v>1</v>
      </c>
      <c r="H763" t="s">
        <v>93</v>
      </c>
      <c r="I763" t="str">
        <f>VLOOKUP(Tabla1[[#This Row],[Code]],'[1]Articulos Precio'!$A:$E,5,FALSE)</f>
        <v>A0000270</v>
      </c>
    </row>
    <row r="764" spans="1:9" x14ac:dyDescent="0.25">
      <c r="A764" t="s">
        <v>292</v>
      </c>
      <c r="B764" t="str">
        <f>VLOOKUP(Tabla1[[#This Row],[Code]],[1]!Tabla4[#Data],2,FALSE)</f>
        <v>M2 Metamark M4 Brillo 235 Amarillo Botón 1,22 x 50m</v>
      </c>
      <c r="C764">
        <v>24</v>
      </c>
      <c r="D764" t="s">
        <v>96</v>
      </c>
      <c r="E764" t="str">
        <f>VLOOKUP(Tabla1[[#This Row],[Cód. Atributo]],[1]!Tabla5[#Data],6,FALSE)</f>
        <v>Select</v>
      </c>
      <c r="F764">
        <v>6</v>
      </c>
      <c r="G764">
        <v>2</v>
      </c>
      <c r="H764" t="s">
        <v>266</v>
      </c>
      <c r="I764" t="str">
        <f>VLOOKUP(Tabla1[[#This Row],[Code]],'[1]Articulos Precio'!$A:$E,5,FALSE)</f>
        <v>A0000270</v>
      </c>
    </row>
    <row r="765" spans="1:9" x14ac:dyDescent="0.25">
      <c r="A765" t="s">
        <v>293</v>
      </c>
      <c r="B765" t="str">
        <f>VLOOKUP(Tabla1[[#This Row],[Code]],[1]!Tabla4[#Data],2,FALSE)</f>
        <v>M2 Metamark M4 Brillo 237 Amarillo Melón 0,61 x 50m</v>
      </c>
      <c r="C765">
        <v>8</v>
      </c>
      <c r="D765" t="s">
        <v>86</v>
      </c>
      <c r="E765" t="str">
        <f>VLOOKUP(Tabla1[[#This Row],[Cód. Atributo]],[1]!Tabla5[#Data],6,FALSE)</f>
        <v>Select</v>
      </c>
      <c r="F765">
        <v>1</v>
      </c>
      <c r="G765">
        <v>1</v>
      </c>
      <c r="H765" t="s">
        <v>263</v>
      </c>
      <c r="I765" t="str">
        <f>VLOOKUP(Tabla1[[#This Row],[Code]],'[1]Articulos Precio'!$A:$E,5,FALSE)</f>
        <v>A0000270</v>
      </c>
    </row>
    <row r="766" spans="1:9" x14ac:dyDescent="0.25">
      <c r="A766" t="s">
        <v>293</v>
      </c>
      <c r="B766" t="str">
        <f>VLOOKUP(Tabla1[[#This Row],[Code]],[1]!Tabla4[#Data],2,FALSE)</f>
        <v>M2 Metamark M4 Brillo 237 Amarillo Melón 0,61 x 50m</v>
      </c>
      <c r="C766">
        <v>21</v>
      </c>
      <c r="D766" t="s">
        <v>264</v>
      </c>
      <c r="E766" t="str">
        <f>VLOOKUP(Tabla1[[#This Row],[Cód. Atributo]],[1]!Tabla5[#Data],6,FALSE)</f>
        <v>Color</v>
      </c>
      <c r="F766">
        <v>2</v>
      </c>
      <c r="G766">
        <v>11</v>
      </c>
      <c r="H766" t="s">
        <v>294</v>
      </c>
      <c r="I766" t="str">
        <f>VLOOKUP(Tabla1[[#This Row],[Code]],'[1]Articulos Precio'!$A:$E,5,FALSE)</f>
        <v>A0000270</v>
      </c>
    </row>
    <row r="767" spans="1:9" x14ac:dyDescent="0.25">
      <c r="A767" t="s">
        <v>293</v>
      </c>
      <c r="B767" t="str">
        <f>VLOOKUP(Tabla1[[#This Row],[Code]],[1]!Tabla4[#Data],2,FALSE)</f>
        <v>M2 Metamark M4 Brillo 237 Amarillo Melón 0,61 x 50m</v>
      </c>
      <c r="C767">
        <v>23</v>
      </c>
      <c r="D767" t="s">
        <v>90</v>
      </c>
      <c r="E767" t="str">
        <f>VLOOKUP(Tabla1[[#This Row],[Cód. Atributo]],[1]!Tabla5[#Data],6,FALSE)</f>
        <v>Select</v>
      </c>
      <c r="F767">
        <v>3</v>
      </c>
      <c r="G767">
        <v>1</v>
      </c>
      <c r="H767" t="s">
        <v>110</v>
      </c>
      <c r="I767" t="str">
        <f>VLOOKUP(Tabla1[[#This Row],[Code]],'[1]Articulos Precio'!$A:$E,5,FALSE)</f>
        <v>A0000270</v>
      </c>
    </row>
    <row r="768" spans="1:9" x14ac:dyDescent="0.25">
      <c r="A768" t="s">
        <v>293</v>
      </c>
      <c r="B768" t="str">
        <f>VLOOKUP(Tabla1[[#This Row],[Code]],[1]!Tabla4[#Data],2,FALSE)</f>
        <v>M2 Metamark M4 Brillo 237 Amarillo Melón 0,61 x 50m</v>
      </c>
      <c r="C768">
        <v>25</v>
      </c>
      <c r="D768" t="s">
        <v>94</v>
      </c>
      <c r="E768" t="str">
        <f>VLOOKUP(Tabla1[[#This Row],[Cód. Atributo]],[1]!Tabla5[#Data],6,FALSE)</f>
        <v>Select</v>
      </c>
      <c r="F768">
        <v>4</v>
      </c>
      <c r="G768">
        <v>2</v>
      </c>
      <c r="H768" t="s">
        <v>111</v>
      </c>
      <c r="I768" t="str">
        <f>VLOOKUP(Tabla1[[#This Row],[Code]],'[1]Articulos Precio'!$A:$E,5,FALSE)</f>
        <v>A0000270</v>
      </c>
    </row>
    <row r="769" spans="1:9" x14ac:dyDescent="0.25">
      <c r="A769" t="s">
        <v>293</v>
      </c>
      <c r="B769" t="str">
        <f>VLOOKUP(Tabla1[[#This Row],[Code]],[1]!Tabla4[#Data],2,FALSE)</f>
        <v>M2 Metamark M4 Brillo 237 Amarillo Melón 0,61 x 50m</v>
      </c>
      <c r="C769">
        <v>28</v>
      </c>
      <c r="D769" t="s">
        <v>184</v>
      </c>
      <c r="E769" t="str">
        <f>VLOOKUP(Tabla1[[#This Row],[Cód. Atributo]],[1]!Tabla5[#Data],6,FALSE)</f>
        <v>Select</v>
      </c>
      <c r="F769">
        <v>5</v>
      </c>
      <c r="G769">
        <v>1</v>
      </c>
      <c r="H769" t="s">
        <v>93</v>
      </c>
      <c r="I769" t="str">
        <f>VLOOKUP(Tabla1[[#This Row],[Code]],'[1]Articulos Precio'!$A:$E,5,FALSE)</f>
        <v>A0000270</v>
      </c>
    </row>
    <row r="770" spans="1:9" x14ac:dyDescent="0.25">
      <c r="A770" t="s">
        <v>293</v>
      </c>
      <c r="B770" t="str">
        <f>VLOOKUP(Tabla1[[#This Row],[Code]],[1]!Tabla4[#Data],2,FALSE)</f>
        <v>M2 Metamark M4 Brillo 237 Amarillo Melón 0,61 x 50m</v>
      </c>
      <c r="C770">
        <v>24</v>
      </c>
      <c r="D770" t="s">
        <v>96</v>
      </c>
      <c r="E770" t="str">
        <f>VLOOKUP(Tabla1[[#This Row],[Cód. Atributo]],[1]!Tabla5[#Data],6,FALSE)</f>
        <v>Select</v>
      </c>
      <c r="F770">
        <v>6</v>
      </c>
      <c r="G770">
        <v>2</v>
      </c>
      <c r="H770" t="s">
        <v>266</v>
      </c>
      <c r="I770" t="str">
        <f>VLOOKUP(Tabla1[[#This Row],[Code]],'[1]Articulos Precio'!$A:$E,5,FALSE)</f>
        <v>A0000270</v>
      </c>
    </row>
    <row r="771" spans="1:9" x14ac:dyDescent="0.25">
      <c r="A771" t="s">
        <v>295</v>
      </c>
      <c r="B771" t="str">
        <f>VLOOKUP(Tabla1[[#This Row],[Code]],[1]!Tabla4[#Data],2,FALSE)</f>
        <v>M2 Metamark M4 Brillo 237 Amarillo Melón 1,22 x 50m</v>
      </c>
      <c r="C771">
        <v>8</v>
      </c>
      <c r="D771" t="s">
        <v>86</v>
      </c>
      <c r="E771" t="str">
        <f>VLOOKUP(Tabla1[[#This Row],[Cód. Atributo]],[1]!Tabla5[#Data],6,FALSE)</f>
        <v>Select</v>
      </c>
      <c r="F771">
        <v>1</v>
      </c>
      <c r="G771">
        <v>2</v>
      </c>
      <c r="H771" t="s">
        <v>268</v>
      </c>
      <c r="I771" t="str">
        <f>VLOOKUP(Tabla1[[#This Row],[Code]],'[1]Articulos Precio'!$A:$E,5,FALSE)</f>
        <v>A0000270</v>
      </c>
    </row>
    <row r="772" spans="1:9" x14ac:dyDescent="0.25">
      <c r="A772" t="s">
        <v>295</v>
      </c>
      <c r="B772" t="str">
        <f>VLOOKUP(Tabla1[[#This Row],[Code]],[1]!Tabla4[#Data],2,FALSE)</f>
        <v>M2 Metamark M4 Brillo 237 Amarillo Melón 1,22 x 50m</v>
      </c>
      <c r="C772">
        <v>21</v>
      </c>
      <c r="D772" t="s">
        <v>264</v>
      </c>
      <c r="E772" t="str">
        <f>VLOOKUP(Tabla1[[#This Row],[Cód. Atributo]],[1]!Tabla5[#Data],6,FALSE)</f>
        <v>Color</v>
      </c>
      <c r="F772">
        <v>2</v>
      </c>
      <c r="G772">
        <v>11</v>
      </c>
      <c r="H772" t="s">
        <v>294</v>
      </c>
      <c r="I772" t="str">
        <f>VLOOKUP(Tabla1[[#This Row],[Code]],'[1]Articulos Precio'!$A:$E,5,FALSE)</f>
        <v>A0000270</v>
      </c>
    </row>
    <row r="773" spans="1:9" x14ac:dyDescent="0.25">
      <c r="A773" t="s">
        <v>295</v>
      </c>
      <c r="B773" t="str">
        <f>VLOOKUP(Tabla1[[#This Row],[Code]],[1]!Tabla4[#Data],2,FALSE)</f>
        <v>M2 Metamark M4 Brillo 237 Amarillo Melón 1,22 x 50m</v>
      </c>
      <c r="C773">
        <v>23</v>
      </c>
      <c r="D773" t="s">
        <v>90</v>
      </c>
      <c r="E773" t="str">
        <f>VLOOKUP(Tabla1[[#This Row],[Cód. Atributo]],[1]!Tabla5[#Data],6,FALSE)</f>
        <v>Select</v>
      </c>
      <c r="F773">
        <v>3</v>
      </c>
      <c r="G773">
        <v>1</v>
      </c>
      <c r="H773" t="s">
        <v>110</v>
      </c>
      <c r="I773" t="str">
        <f>VLOOKUP(Tabla1[[#This Row],[Code]],'[1]Articulos Precio'!$A:$E,5,FALSE)</f>
        <v>A0000270</v>
      </c>
    </row>
    <row r="774" spans="1:9" x14ac:dyDescent="0.25">
      <c r="A774" t="s">
        <v>295</v>
      </c>
      <c r="B774" t="str">
        <f>VLOOKUP(Tabla1[[#This Row],[Code]],[1]!Tabla4[#Data],2,FALSE)</f>
        <v>M2 Metamark M4 Brillo 237 Amarillo Melón 1,22 x 50m</v>
      </c>
      <c r="C774">
        <v>25</v>
      </c>
      <c r="D774" t="s">
        <v>94</v>
      </c>
      <c r="E774" t="str">
        <f>VLOOKUP(Tabla1[[#This Row],[Cód. Atributo]],[1]!Tabla5[#Data],6,FALSE)</f>
        <v>Select</v>
      </c>
      <c r="F774">
        <v>4</v>
      </c>
      <c r="G774">
        <v>2</v>
      </c>
      <c r="H774" t="s">
        <v>111</v>
      </c>
      <c r="I774" t="str">
        <f>VLOOKUP(Tabla1[[#This Row],[Code]],'[1]Articulos Precio'!$A:$E,5,FALSE)</f>
        <v>A0000270</v>
      </c>
    </row>
    <row r="775" spans="1:9" x14ac:dyDescent="0.25">
      <c r="A775" t="s">
        <v>295</v>
      </c>
      <c r="B775" t="str">
        <f>VLOOKUP(Tabla1[[#This Row],[Code]],[1]!Tabla4[#Data],2,FALSE)</f>
        <v>M2 Metamark M4 Brillo 237 Amarillo Melón 1,22 x 50m</v>
      </c>
      <c r="C775">
        <v>28</v>
      </c>
      <c r="D775" t="s">
        <v>184</v>
      </c>
      <c r="E775" t="str">
        <f>VLOOKUP(Tabla1[[#This Row],[Cód. Atributo]],[1]!Tabla5[#Data],6,FALSE)</f>
        <v>Select</v>
      </c>
      <c r="F775">
        <v>5</v>
      </c>
      <c r="G775">
        <v>1</v>
      </c>
      <c r="H775" t="s">
        <v>93</v>
      </c>
      <c r="I775" t="str">
        <f>VLOOKUP(Tabla1[[#This Row],[Code]],'[1]Articulos Precio'!$A:$E,5,FALSE)</f>
        <v>A0000270</v>
      </c>
    </row>
    <row r="776" spans="1:9" x14ac:dyDescent="0.25">
      <c r="A776" t="s">
        <v>295</v>
      </c>
      <c r="B776" t="str">
        <f>VLOOKUP(Tabla1[[#This Row],[Code]],[1]!Tabla4[#Data],2,FALSE)</f>
        <v>M2 Metamark M4 Brillo 237 Amarillo Melón 1,22 x 50m</v>
      </c>
      <c r="C776">
        <v>24</v>
      </c>
      <c r="D776" t="s">
        <v>96</v>
      </c>
      <c r="E776" t="str">
        <f>VLOOKUP(Tabla1[[#This Row],[Cód. Atributo]],[1]!Tabla5[#Data],6,FALSE)</f>
        <v>Select</v>
      </c>
      <c r="F776">
        <v>6</v>
      </c>
      <c r="G776">
        <v>2</v>
      </c>
      <c r="H776" t="s">
        <v>266</v>
      </c>
      <c r="I776" t="str">
        <f>VLOOKUP(Tabla1[[#This Row],[Code]],'[1]Articulos Precio'!$A:$E,5,FALSE)</f>
        <v>A0000270</v>
      </c>
    </row>
    <row r="777" spans="1:9" x14ac:dyDescent="0.25">
      <c r="A777" t="s">
        <v>296</v>
      </c>
      <c r="B777" t="str">
        <f>VLOOKUP(Tabla1[[#This Row],[Code]],[1]!Tabla4[#Data],2,FALSE)</f>
        <v>M2 Metamark M4 Brillo 240 Amapola 0,61 x 50m</v>
      </c>
      <c r="C777">
        <v>8</v>
      </c>
      <c r="D777" t="s">
        <v>86</v>
      </c>
      <c r="E777" t="str">
        <f>VLOOKUP(Tabla1[[#This Row],[Cód. Atributo]],[1]!Tabla5[#Data],6,FALSE)</f>
        <v>Select</v>
      </c>
      <c r="F777">
        <v>1</v>
      </c>
      <c r="G777">
        <v>1</v>
      </c>
      <c r="H777" t="s">
        <v>263</v>
      </c>
      <c r="I777" t="str">
        <f>VLOOKUP(Tabla1[[#This Row],[Code]],'[1]Articulos Precio'!$A:$E,5,FALSE)</f>
        <v>A0000270</v>
      </c>
    </row>
    <row r="778" spans="1:9" x14ac:dyDescent="0.25">
      <c r="A778" t="s">
        <v>296</v>
      </c>
      <c r="B778" t="str">
        <f>VLOOKUP(Tabla1[[#This Row],[Code]],[1]!Tabla4[#Data],2,FALSE)</f>
        <v>M2 Metamark M4 Brillo 240 Amapola 0,61 x 50m</v>
      </c>
      <c r="C778">
        <v>21</v>
      </c>
      <c r="D778" t="s">
        <v>264</v>
      </c>
      <c r="E778" t="str">
        <f>VLOOKUP(Tabla1[[#This Row],[Cód. Atributo]],[1]!Tabla5[#Data],6,FALSE)</f>
        <v>Color</v>
      </c>
      <c r="F778">
        <v>2</v>
      </c>
      <c r="G778">
        <v>12</v>
      </c>
      <c r="H778" t="s">
        <v>297</v>
      </c>
      <c r="I778" t="str">
        <f>VLOOKUP(Tabla1[[#This Row],[Code]],'[1]Articulos Precio'!$A:$E,5,FALSE)</f>
        <v>A0000270</v>
      </c>
    </row>
    <row r="779" spans="1:9" x14ac:dyDescent="0.25">
      <c r="A779" t="s">
        <v>296</v>
      </c>
      <c r="B779" t="str">
        <f>VLOOKUP(Tabla1[[#This Row],[Code]],[1]!Tabla4[#Data],2,FALSE)</f>
        <v>M2 Metamark M4 Brillo 240 Amapola 0,61 x 50m</v>
      </c>
      <c r="C779">
        <v>23</v>
      </c>
      <c r="D779" t="s">
        <v>90</v>
      </c>
      <c r="E779" t="str">
        <f>VLOOKUP(Tabla1[[#This Row],[Cód. Atributo]],[1]!Tabla5[#Data],6,FALSE)</f>
        <v>Select</v>
      </c>
      <c r="F779">
        <v>3</v>
      </c>
      <c r="G779">
        <v>1</v>
      </c>
      <c r="H779" t="s">
        <v>110</v>
      </c>
      <c r="I779" t="str">
        <f>VLOOKUP(Tabla1[[#This Row],[Code]],'[1]Articulos Precio'!$A:$E,5,FALSE)</f>
        <v>A0000270</v>
      </c>
    </row>
    <row r="780" spans="1:9" x14ac:dyDescent="0.25">
      <c r="A780" t="s">
        <v>296</v>
      </c>
      <c r="B780" t="str">
        <f>VLOOKUP(Tabla1[[#This Row],[Code]],[1]!Tabla4[#Data],2,FALSE)</f>
        <v>M2 Metamark M4 Brillo 240 Amapola 0,61 x 50m</v>
      </c>
      <c r="C780">
        <v>25</v>
      </c>
      <c r="D780" t="s">
        <v>94</v>
      </c>
      <c r="E780" t="str">
        <f>VLOOKUP(Tabla1[[#This Row],[Cód. Atributo]],[1]!Tabla5[#Data],6,FALSE)</f>
        <v>Select</v>
      </c>
      <c r="F780">
        <v>4</v>
      </c>
      <c r="G780">
        <v>2</v>
      </c>
      <c r="H780" t="s">
        <v>111</v>
      </c>
      <c r="I780" t="str">
        <f>VLOOKUP(Tabla1[[#This Row],[Code]],'[1]Articulos Precio'!$A:$E,5,FALSE)</f>
        <v>A0000270</v>
      </c>
    </row>
    <row r="781" spans="1:9" x14ac:dyDescent="0.25">
      <c r="A781" t="s">
        <v>296</v>
      </c>
      <c r="B781" t="str">
        <f>VLOOKUP(Tabla1[[#This Row],[Code]],[1]!Tabla4[#Data],2,FALSE)</f>
        <v>M2 Metamark M4 Brillo 240 Amapola 0,61 x 50m</v>
      </c>
      <c r="C781">
        <v>28</v>
      </c>
      <c r="D781" t="s">
        <v>184</v>
      </c>
      <c r="E781" t="str">
        <f>VLOOKUP(Tabla1[[#This Row],[Cód. Atributo]],[1]!Tabla5[#Data],6,FALSE)</f>
        <v>Select</v>
      </c>
      <c r="F781">
        <v>5</v>
      </c>
      <c r="G781">
        <v>1</v>
      </c>
      <c r="H781" t="s">
        <v>93</v>
      </c>
      <c r="I781" t="str">
        <f>VLOOKUP(Tabla1[[#This Row],[Code]],'[1]Articulos Precio'!$A:$E,5,FALSE)</f>
        <v>A0000270</v>
      </c>
    </row>
    <row r="782" spans="1:9" x14ac:dyDescent="0.25">
      <c r="A782" t="s">
        <v>296</v>
      </c>
      <c r="B782" t="str">
        <f>VLOOKUP(Tabla1[[#This Row],[Code]],[1]!Tabla4[#Data],2,FALSE)</f>
        <v>M2 Metamark M4 Brillo 240 Amapola 0,61 x 50m</v>
      </c>
      <c r="C782">
        <v>24</v>
      </c>
      <c r="D782" t="s">
        <v>96</v>
      </c>
      <c r="E782" t="str">
        <f>VLOOKUP(Tabla1[[#This Row],[Cód. Atributo]],[1]!Tabla5[#Data],6,FALSE)</f>
        <v>Select</v>
      </c>
      <c r="F782">
        <v>6</v>
      </c>
      <c r="G782">
        <v>2</v>
      </c>
      <c r="H782" t="s">
        <v>266</v>
      </c>
      <c r="I782" t="str">
        <f>VLOOKUP(Tabla1[[#This Row],[Code]],'[1]Articulos Precio'!$A:$E,5,FALSE)</f>
        <v>A0000270</v>
      </c>
    </row>
    <row r="783" spans="1:9" x14ac:dyDescent="0.25">
      <c r="A783" t="s">
        <v>298</v>
      </c>
      <c r="B783" t="str">
        <f>VLOOKUP(Tabla1[[#This Row],[Code]],[1]!Tabla4[#Data],2,FALSE)</f>
        <v>M2 Metamark M4 Brillo 240 Amapola 1,22 x 50m</v>
      </c>
      <c r="C783">
        <v>8</v>
      </c>
      <c r="D783" t="s">
        <v>86</v>
      </c>
      <c r="E783" t="str">
        <f>VLOOKUP(Tabla1[[#This Row],[Cód. Atributo]],[1]!Tabla5[#Data],6,FALSE)</f>
        <v>Select</v>
      </c>
      <c r="F783">
        <v>1</v>
      </c>
      <c r="G783">
        <v>2</v>
      </c>
      <c r="H783" t="s">
        <v>268</v>
      </c>
      <c r="I783" t="str">
        <f>VLOOKUP(Tabla1[[#This Row],[Code]],'[1]Articulos Precio'!$A:$E,5,FALSE)</f>
        <v>A0000270</v>
      </c>
    </row>
    <row r="784" spans="1:9" x14ac:dyDescent="0.25">
      <c r="A784" t="s">
        <v>298</v>
      </c>
      <c r="B784" t="str">
        <f>VLOOKUP(Tabla1[[#This Row],[Code]],[1]!Tabla4[#Data],2,FALSE)</f>
        <v>M2 Metamark M4 Brillo 240 Amapola 1,22 x 50m</v>
      </c>
      <c r="C784">
        <v>21</v>
      </c>
      <c r="D784" t="s">
        <v>264</v>
      </c>
      <c r="E784" t="str">
        <f>VLOOKUP(Tabla1[[#This Row],[Cód. Atributo]],[1]!Tabla5[#Data],6,FALSE)</f>
        <v>Color</v>
      </c>
      <c r="F784">
        <v>2</v>
      </c>
      <c r="G784">
        <v>12</v>
      </c>
      <c r="H784" t="s">
        <v>297</v>
      </c>
      <c r="I784" t="str">
        <f>VLOOKUP(Tabla1[[#This Row],[Code]],'[1]Articulos Precio'!$A:$E,5,FALSE)</f>
        <v>A0000270</v>
      </c>
    </row>
    <row r="785" spans="1:9" x14ac:dyDescent="0.25">
      <c r="A785" t="s">
        <v>298</v>
      </c>
      <c r="B785" t="str">
        <f>VLOOKUP(Tabla1[[#This Row],[Code]],[1]!Tabla4[#Data],2,FALSE)</f>
        <v>M2 Metamark M4 Brillo 240 Amapola 1,22 x 50m</v>
      </c>
      <c r="C785">
        <v>23</v>
      </c>
      <c r="D785" t="s">
        <v>90</v>
      </c>
      <c r="E785" t="str">
        <f>VLOOKUP(Tabla1[[#This Row],[Cód. Atributo]],[1]!Tabla5[#Data],6,FALSE)</f>
        <v>Select</v>
      </c>
      <c r="F785">
        <v>3</v>
      </c>
      <c r="G785">
        <v>1</v>
      </c>
      <c r="H785" t="s">
        <v>110</v>
      </c>
      <c r="I785" t="str">
        <f>VLOOKUP(Tabla1[[#This Row],[Code]],'[1]Articulos Precio'!$A:$E,5,FALSE)</f>
        <v>A0000270</v>
      </c>
    </row>
    <row r="786" spans="1:9" x14ac:dyDescent="0.25">
      <c r="A786" t="s">
        <v>298</v>
      </c>
      <c r="B786" t="str">
        <f>VLOOKUP(Tabla1[[#This Row],[Code]],[1]!Tabla4[#Data],2,FALSE)</f>
        <v>M2 Metamark M4 Brillo 240 Amapola 1,22 x 50m</v>
      </c>
      <c r="C786">
        <v>25</v>
      </c>
      <c r="D786" t="s">
        <v>94</v>
      </c>
      <c r="E786" t="str">
        <f>VLOOKUP(Tabla1[[#This Row],[Cód. Atributo]],[1]!Tabla5[#Data],6,FALSE)</f>
        <v>Select</v>
      </c>
      <c r="F786">
        <v>4</v>
      </c>
      <c r="G786">
        <v>2</v>
      </c>
      <c r="H786" t="s">
        <v>111</v>
      </c>
      <c r="I786" t="str">
        <f>VLOOKUP(Tabla1[[#This Row],[Code]],'[1]Articulos Precio'!$A:$E,5,FALSE)</f>
        <v>A0000270</v>
      </c>
    </row>
    <row r="787" spans="1:9" x14ac:dyDescent="0.25">
      <c r="A787" t="s">
        <v>298</v>
      </c>
      <c r="B787" t="str">
        <f>VLOOKUP(Tabla1[[#This Row],[Code]],[1]!Tabla4[#Data],2,FALSE)</f>
        <v>M2 Metamark M4 Brillo 240 Amapola 1,22 x 50m</v>
      </c>
      <c r="C787">
        <v>28</v>
      </c>
      <c r="D787" t="s">
        <v>184</v>
      </c>
      <c r="E787" t="str">
        <f>VLOOKUP(Tabla1[[#This Row],[Cód. Atributo]],[1]!Tabla5[#Data],6,FALSE)</f>
        <v>Select</v>
      </c>
      <c r="F787">
        <v>5</v>
      </c>
      <c r="G787">
        <v>1</v>
      </c>
      <c r="H787" t="s">
        <v>93</v>
      </c>
      <c r="I787" t="str">
        <f>VLOOKUP(Tabla1[[#This Row],[Code]],'[1]Articulos Precio'!$A:$E,5,FALSE)</f>
        <v>A0000270</v>
      </c>
    </row>
    <row r="788" spans="1:9" x14ac:dyDescent="0.25">
      <c r="A788" t="s">
        <v>298</v>
      </c>
      <c r="B788" t="str">
        <f>VLOOKUP(Tabla1[[#This Row],[Code]],[1]!Tabla4[#Data],2,FALSE)</f>
        <v>M2 Metamark M4 Brillo 240 Amapola 1,22 x 50m</v>
      </c>
      <c r="C788">
        <v>24</v>
      </c>
      <c r="D788" t="s">
        <v>96</v>
      </c>
      <c r="E788" t="str">
        <f>VLOOKUP(Tabla1[[#This Row],[Cód. Atributo]],[1]!Tabla5[#Data],6,FALSE)</f>
        <v>Select</v>
      </c>
      <c r="F788">
        <v>6</v>
      </c>
      <c r="G788">
        <v>2</v>
      </c>
      <c r="H788" t="s">
        <v>266</v>
      </c>
      <c r="I788" t="str">
        <f>VLOOKUP(Tabla1[[#This Row],[Code]],'[1]Articulos Precio'!$A:$E,5,FALSE)</f>
        <v>A0000270</v>
      </c>
    </row>
    <row r="789" spans="1:9" x14ac:dyDescent="0.25">
      <c r="A789" t="s">
        <v>299</v>
      </c>
      <c r="B789" t="str">
        <f>VLOOKUP(Tabla1[[#This Row],[Code]],[1]!Tabla4[#Data],2,FALSE)</f>
        <v>M2 Metamark M4 Brillo 243 Rojo Cereza 0,61 x 50m</v>
      </c>
      <c r="C789">
        <v>8</v>
      </c>
      <c r="D789" t="s">
        <v>86</v>
      </c>
      <c r="E789" t="str">
        <f>VLOOKUP(Tabla1[[#This Row],[Cód. Atributo]],[1]!Tabla5[#Data],6,FALSE)</f>
        <v>Select</v>
      </c>
      <c r="F789">
        <v>1</v>
      </c>
      <c r="G789">
        <v>1</v>
      </c>
      <c r="H789" t="s">
        <v>263</v>
      </c>
      <c r="I789" t="str">
        <f>VLOOKUP(Tabla1[[#This Row],[Code]],'[1]Articulos Precio'!$A:$E,5,FALSE)</f>
        <v>A0000270</v>
      </c>
    </row>
    <row r="790" spans="1:9" x14ac:dyDescent="0.25">
      <c r="A790" t="s">
        <v>299</v>
      </c>
      <c r="B790" t="str">
        <f>VLOOKUP(Tabla1[[#This Row],[Code]],[1]!Tabla4[#Data],2,FALSE)</f>
        <v>M2 Metamark M4 Brillo 243 Rojo Cereza 0,61 x 50m</v>
      </c>
      <c r="C790">
        <v>21</v>
      </c>
      <c r="D790" t="s">
        <v>264</v>
      </c>
      <c r="E790" t="str">
        <f>VLOOKUP(Tabla1[[#This Row],[Cód. Atributo]],[1]!Tabla5[#Data],6,FALSE)</f>
        <v>Color</v>
      </c>
      <c r="F790">
        <v>2</v>
      </c>
      <c r="G790">
        <v>13</v>
      </c>
      <c r="H790" t="s">
        <v>300</v>
      </c>
      <c r="I790" t="str">
        <f>VLOOKUP(Tabla1[[#This Row],[Code]],'[1]Articulos Precio'!$A:$E,5,FALSE)</f>
        <v>A0000270</v>
      </c>
    </row>
    <row r="791" spans="1:9" x14ac:dyDescent="0.25">
      <c r="A791" t="s">
        <v>299</v>
      </c>
      <c r="B791" t="str">
        <f>VLOOKUP(Tabla1[[#This Row],[Code]],[1]!Tabla4[#Data],2,FALSE)</f>
        <v>M2 Metamark M4 Brillo 243 Rojo Cereza 0,61 x 50m</v>
      </c>
      <c r="C791">
        <v>23</v>
      </c>
      <c r="D791" t="s">
        <v>90</v>
      </c>
      <c r="E791" t="str">
        <f>VLOOKUP(Tabla1[[#This Row],[Cód. Atributo]],[1]!Tabla5[#Data],6,FALSE)</f>
        <v>Select</v>
      </c>
      <c r="F791">
        <v>3</v>
      </c>
      <c r="G791">
        <v>1</v>
      </c>
      <c r="H791" t="s">
        <v>110</v>
      </c>
      <c r="I791" t="str">
        <f>VLOOKUP(Tabla1[[#This Row],[Code]],'[1]Articulos Precio'!$A:$E,5,FALSE)</f>
        <v>A0000270</v>
      </c>
    </row>
    <row r="792" spans="1:9" x14ac:dyDescent="0.25">
      <c r="A792" t="s">
        <v>299</v>
      </c>
      <c r="B792" t="str">
        <f>VLOOKUP(Tabla1[[#This Row],[Code]],[1]!Tabla4[#Data],2,FALSE)</f>
        <v>M2 Metamark M4 Brillo 243 Rojo Cereza 0,61 x 50m</v>
      </c>
      <c r="C792">
        <v>25</v>
      </c>
      <c r="D792" t="s">
        <v>94</v>
      </c>
      <c r="E792" t="str">
        <f>VLOOKUP(Tabla1[[#This Row],[Cód. Atributo]],[1]!Tabla5[#Data],6,FALSE)</f>
        <v>Select</v>
      </c>
      <c r="F792">
        <v>4</v>
      </c>
      <c r="G792">
        <v>2</v>
      </c>
      <c r="H792" t="s">
        <v>111</v>
      </c>
      <c r="I792" t="str">
        <f>VLOOKUP(Tabla1[[#This Row],[Code]],'[1]Articulos Precio'!$A:$E,5,FALSE)</f>
        <v>A0000270</v>
      </c>
    </row>
    <row r="793" spans="1:9" x14ac:dyDescent="0.25">
      <c r="A793" t="s">
        <v>299</v>
      </c>
      <c r="B793" t="str">
        <f>VLOOKUP(Tabla1[[#This Row],[Code]],[1]!Tabla4[#Data],2,FALSE)</f>
        <v>M2 Metamark M4 Brillo 243 Rojo Cereza 0,61 x 50m</v>
      </c>
      <c r="C793">
        <v>28</v>
      </c>
      <c r="D793" t="s">
        <v>184</v>
      </c>
      <c r="E793" t="str">
        <f>VLOOKUP(Tabla1[[#This Row],[Cód. Atributo]],[1]!Tabla5[#Data],6,FALSE)</f>
        <v>Select</v>
      </c>
      <c r="F793">
        <v>5</v>
      </c>
      <c r="G793">
        <v>1</v>
      </c>
      <c r="H793" t="s">
        <v>93</v>
      </c>
      <c r="I793" t="str">
        <f>VLOOKUP(Tabla1[[#This Row],[Code]],'[1]Articulos Precio'!$A:$E,5,FALSE)</f>
        <v>A0000270</v>
      </c>
    </row>
    <row r="794" spans="1:9" x14ac:dyDescent="0.25">
      <c r="A794" t="s">
        <v>299</v>
      </c>
      <c r="B794" t="str">
        <f>VLOOKUP(Tabla1[[#This Row],[Code]],[1]!Tabla4[#Data],2,FALSE)</f>
        <v>M2 Metamark M4 Brillo 243 Rojo Cereza 0,61 x 50m</v>
      </c>
      <c r="C794">
        <v>24</v>
      </c>
      <c r="D794" t="s">
        <v>96</v>
      </c>
      <c r="E794" t="str">
        <f>VLOOKUP(Tabla1[[#This Row],[Cód. Atributo]],[1]!Tabla5[#Data],6,FALSE)</f>
        <v>Select</v>
      </c>
      <c r="F794">
        <v>6</v>
      </c>
      <c r="G794">
        <v>2</v>
      </c>
      <c r="H794" t="s">
        <v>266</v>
      </c>
      <c r="I794" t="str">
        <f>VLOOKUP(Tabla1[[#This Row],[Code]],'[1]Articulos Precio'!$A:$E,5,FALSE)</f>
        <v>A0000270</v>
      </c>
    </row>
    <row r="795" spans="1:9" x14ac:dyDescent="0.25">
      <c r="A795" t="s">
        <v>301</v>
      </c>
      <c r="B795" t="str">
        <f>VLOOKUP(Tabla1[[#This Row],[Code]],[1]!Tabla4[#Data],2,FALSE)</f>
        <v>M2 Metamark M4 Brillo 243 Rojo Cereza 1,22 x 50m</v>
      </c>
      <c r="C795">
        <v>8</v>
      </c>
      <c r="D795" t="s">
        <v>86</v>
      </c>
      <c r="E795" t="str">
        <f>VLOOKUP(Tabla1[[#This Row],[Cód. Atributo]],[1]!Tabla5[#Data],6,FALSE)</f>
        <v>Select</v>
      </c>
      <c r="F795">
        <v>1</v>
      </c>
      <c r="G795">
        <v>2</v>
      </c>
      <c r="H795" t="s">
        <v>268</v>
      </c>
      <c r="I795" t="str">
        <f>VLOOKUP(Tabla1[[#This Row],[Code]],'[1]Articulos Precio'!$A:$E,5,FALSE)</f>
        <v>A0000270</v>
      </c>
    </row>
    <row r="796" spans="1:9" x14ac:dyDescent="0.25">
      <c r="A796" t="s">
        <v>301</v>
      </c>
      <c r="B796" t="str">
        <f>VLOOKUP(Tabla1[[#This Row],[Code]],[1]!Tabla4[#Data],2,FALSE)</f>
        <v>M2 Metamark M4 Brillo 243 Rojo Cereza 1,22 x 50m</v>
      </c>
      <c r="C796">
        <v>21</v>
      </c>
      <c r="D796" t="s">
        <v>264</v>
      </c>
      <c r="E796" t="str">
        <f>VLOOKUP(Tabla1[[#This Row],[Cód. Atributo]],[1]!Tabla5[#Data],6,FALSE)</f>
        <v>Color</v>
      </c>
      <c r="F796">
        <v>2</v>
      </c>
      <c r="G796">
        <v>13</v>
      </c>
      <c r="H796" t="s">
        <v>300</v>
      </c>
      <c r="I796" t="str">
        <f>VLOOKUP(Tabla1[[#This Row],[Code]],'[1]Articulos Precio'!$A:$E,5,FALSE)</f>
        <v>A0000270</v>
      </c>
    </row>
    <row r="797" spans="1:9" x14ac:dyDescent="0.25">
      <c r="A797" t="s">
        <v>301</v>
      </c>
      <c r="B797" t="str">
        <f>VLOOKUP(Tabla1[[#This Row],[Code]],[1]!Tabla4[#Data],2,FALSE)</f>
        <v>M2 Metamark M4 Brillo 243 Rojo Cereza 1,22 x 50m</v>
      </c>
      <c r="C797">
        <v>23</v>
      </c>
      <c r="D797" t="s">
        <v>90</v>
      </c>
      <c r="E797" t="str">
        <f>VLOOKUP(Tabla1[[#This Row],[Cód. Atributo]],[1]!Tabla5[#Data],6,FALSE)</f>
        <v>Select</v>
      </c>
      <c r="F797">
        <v>3</v>
      </c>
      <c r="G797">
        <v>1</v>
      </c>
      <c r="H797" t="s">
        <v>110</v>
      </c>
      <c r="I797" t="str">
        <f>VLOOKUP(Tabla1[[#This Row],[Code]],'[1]Articulos Precio'!$A:$E,5,FALSE)</f>
        <v>A0000270</v>
      </c>
    </row>
    <row r="798" spans="1:9" x14ac:dyDescent="0.25">
      <c r="A798" t="s">
        <v>301</v>
      </c>
      <c r="B798" t="str">
        <f>VLOOKUP(Tabla1[[#This Row],[Code]],[1]!Tabla4[#Data],2,FALSE)</f>
        <v>M2 Metamark M4 Brillo 243 Rojo Cereza 1,22 x 50m</v>
      </c>
      <c r="C798">
        <v>25</v>
      </c>
      <c r="D798" t="s">
        <v>94</v>
      </c>
      <c r="E798" t="str">
        <f>VLOOKUP(Tabla1[[#This Row],[Cód. Atributo]],[1]!Tabla5[#Data],6,FALSE)</f>
        <v>Select</v>
      </c>
      <c r="F798">
        <v>4</v>
      </c>
      <c r="G798">
        <v>2</v>
      </c>
      <c r="H798" t="s">
        <v>111</v>
      </c>
      <c r="I798" t="str">
        <f>VLOOKUP(Tabla1[[#This Row],[Code]],'[1]Articulos Precio'!$A:$E,5,FALSE)</f>
        <v>A0000270</v>
      </c>
    </row>
    <row r="799" spans="1:9" x14ac:dyDescent="0.25">
      <c r="A799" t="s">
        <v>301</v>
      </c>
      <c r="B799" t="str">
        <f>VLOOKUP(Tabla1[[#This Row],[Code]],[1]!Tabla4[#Data],2,FALSE)</f>
        <v>M2 Metamark M4 Brillo 243 Rojo Cereza 1,22 x 50m</v>
      </c>
      <c r="C799">
        <v>28</v>
      </c>
      <c r="D799" t="s">
        <v>184</v>
      </c>
      <c r="E799" t="str">
        <f>VLOOKUP(Tabla1[[#This Row],[Cód. Atributo]],[1]!Tabla5[#Data],6,FALSE)</f>
        <v>Select</v>
      </c>
      <c r="F799">
        <v>5</v>
      </c>
      <c r="G799">
        <v>1</v>
      </c>
      <c r="H799" t="s">
        <v>93</v>
      </c>
      <c r="I799" t="str">
        <f>VLOOKUP(Tabla1[[#This Row],[Code]],'[1]Articulos Precio'!$A:$E,5,FALSE)</f>
        <v>A0000270</v>
      </c>
    </row>
    <row r="800" spans="1:9" x14ac:dyDescent="0.25">
      <c r="A800" t="s">
        <v>301</v>
      </c>
      <c r="B800" t="str">
        <f>VLOOKUP(Tabla1[[#This Row],[Code]],[1]!Tabla4[#Data],2,FALSE)</f>
        <v>M2 Metamark M4 Brillo 243 Rojo Cereza 1,22 x 50m</v>
      </c>
      <c r="C800">
        <v>24</v>
      </c>
      <c r="D800" t="s">
        <v>96</v>
      </c>
      <c r="E800" t="str">
        <f>VLOOKUP(Tabla1[[#This Row],[Cód. Atributo]],[1]!Tabla5[#Data],6,FALSE)</f>
        <v>Select</v>
      </c>
      <c r="F800">
        <v>6</v>
      </c>
      <c r="G800">
        <v>2</v>
      </c>
      <c r="H800" t="s">
        <v>266</v>
      </c>
      <c r="I800" t="str">
        <f>VLOOKUP(Tabla1[[#This Row],[Code]],'[1]Articulos Precio'!$A:$E,5,FALSE)</f>
        <v>A0000270</v>
      </c>
    </row>
    <row r="801" spans="1:9" x14ac:dyDescent="0.25">
      <c r="A801" t="s">
        <v>302</v>
      </c>
      <c r="B801" t="str">
        <f>VLOOKUP(Tabla1[[#This Row],[Code]],[1]!Tabla4[#Data],2,FALSE)</f>
        <v>M2 Metamark M4 Brillo 245 Rojo Borgoña 0,61 x 50m</v>
      </c>
      <c r="C801">
        <v>8</v>
      </c>
      <c r="D801" t="s">
        <v>86</v>
      </c>
      <c r="E801" t="str">
        <f>VLOOKUP(Tabla1[[#This Row],[Cód. Atributo]],[1]!Tabla5[#Data],6,FALSE)</f>
        <v>Select</v>
      </c>
      <c r="F801">
        <v>1</v>
      </c>
      <c r="G801">
        <v>1</v>
      </c>
      <c r="H801" t="s">
        <v>263</v>
      </c>
      <c r="I801" t="str">
        <f>VLOOKUP(Tabla1[[#This Row],[Code]],'[1]Articulos Precio'!$A:$E,5,FALSE)</f>
        <v>A0000270</v>
      </c>
    </row>
    <row r="802" spans="1:9" x14ac:dyDescent="0.25">
      <c r="A802" t="s">
        <v>302</v>
      </c>
      <c r="B802" t="str">
        <f>VLOOKUP(Tabla1[[#This Row],[Code]],[1]!Tabla4[#Data],2,FALSE)</f>
        <v>M2 Metamark M4 Brillo 245 Rojo Borgoña 0,61 x 50m</v>
      </c>
      <c r="C802">
        <v>21</v>
      </c>
      <c r="D802" t="s">
        <v>264</v>
      </c>
      <c r="E802" t="str">
        <f>VLOOKUP(Tabla1[[#This Row],[Cód. Atributo]],[1]!Tabla5[#Data],6,FALSE)</f>
        <v>Color</v>
      </c>
      <c r="F802">
        <v>2</v>
      </c>
      <c r="G802">
        <v>14</v>
      </c>
      <c r="H802" t="s">
        <v>303</v>
      </c>
      <c r="I802" t="str">
        <f>VLOOKUP(Tabla1[[#This Row],[Code]],'[1]Articulos Precio'!$A:$E,5,FALSE)</f>
        <v>A0000270</v>
      </c>
    </row>
    <row r="803" spans="1:9" x14ac:dyDescent="0.25">
      <c r="A803" t="s">
        <v>302</v>
      </c>
      <c r="B803" t="str">
        <f>VLOOKUP(Tabla1[[#This Row],[Code]],[1]!Tabla4[#Data],2,FALSE)</f>
        <v>M2 Metamark M4 Brillo 245 Rojo Borgoña 0,61 x 50m</v>
      </c>
      <c r="C803">
        <v>23</v>
      </c>
      <c r="D803" t="s">
        <v>90</v>
      </c>
      <c r="E803" t="str">
        <f>VLOOKUP(Tabla1[[#This Row],[Cód. Atributo]],[1]!Tabla5[#Data],6,FALSE)</f>
        <v>Select</v>
      </c>
      <c r="F803">
        <v>3</v>
      </c>
      <c r="G803">
        <v>1</v>
      </c>
      <c r="H803" t="s">
        <v>110</v>
      </c>
      <c r="I803" t="str">
        <f>VLOOKUP(Tabla1[[#This Row],[Code]],'[1]Articulos Precio'!$A:$E,5,FALSE)</f>
        <v>A0000270</v>
      </c>
    </row>
    <row r="804" spans="1:9" x14ac:dyDescent="0.25">
      <c r="A804" t="s">
        <v>302</v>
      </c>
      <c r="B804" t="str">
        <f>VLOOKUP(Tabla1[[#This Row],[Code]],[1]!Tabla4[#Data],2,FALSE)</f>
        <v>M2 Metamark M4 Brillo 245 Rojo Borgoña 0,61 x 50m</v>
      </c>
      <c r="C804">
        <v>25</v>
      </c>
      <c r="D804" t="s">
        <v>94</v>
      </c>
      <c r="E804" t="str">
        <f>VLOOKUP(Tabla1[[#This Row],[Cód. Atributo]],[1]!Tabla5[#Data],6,FALSE)</f>
        <v>Select</v>
      </c>
      <c r="F804">
        <v>4</v>
      </c>
      <c r="G804">
        <v>2</v>
      </c>
      <c r="H804" t="s">
        <v>111</v>
      </c>
      <c r="I804" t="str">
        <f>VLOOKUP(Tabla1[[#This Row],[Code]],'[1]Articulos Precio'!$A:$E,5,FALSE)</f>
        <v>A0000270</v>
      </c>
    </row>
    <row r="805" spans="1:9" x14ac:dyDescent="0.25">
      <c r="A805" t="s">
        <v>302</v>
      </c>
      <c r="B805" t="str">
        <f>VLOOKUP(Tabla1[[#This Row],[Code]],[1]!Tabla4[#Data],2,FALSE)</f>
        <v>M2 Metamark M4 Brillo 245 Rojo Borgoña 0,61 x 50m</v>
      </c>
      <c r="C805">
        <v>28</v>
      </c>
      <c r="D805" t="s">
        <v>184</v>
      </c>
      <c r="E805" t="str">
        <f>VLOOKUP(Tabla1[[#This Row],[Cód. Atributo]],[1]!Tabla5[#Data],6,FALSE)</f>
        <v>Select</v>
      </c>
      <c r="F805">
        <v>5</v>
      </c>
      <c r="G805">
        <v>1</v>
      </c>
      <c r="H805" t="s">
        <v>93</v>
      </c>
      <c r="I805" t="str">
        <f>VLOOKUP(Tabla1[[#This Row],[Code]],'[1]Articulos Precio'!$A:$E,5,FALSE)</f>
        <v>A0000270</v>
      </c>
    </row>
    <row r="806" spans="1:9" x14ac:dyDescent="0.25">
      <c r="A806" t="s">
        <v>302</v>
      </c>
      <c r="B806" t="str">
        <f>VLOOKUP(Tabla1[[#This Row],[Code]],[1]!Tabla4[#Data],2,FALSE)</f>
        <v>M2 Metamark M4 Brillo 245 Rojo Borgoña 0,61 x 50m</v>
      </c>
      <c r="C806">
        <v>24</v>
      </c>
      <c r="D806" t="s">
        <v>96</v>
      </c>
      <c r="E806" t="str">
        <f>VLOOKUP(Tabla1[[#This Row],[Cód. Atributo]],[1]!Tabla5[#Data],6,FALSE)</f>
        <v>Select</v>
      </c>
      <c r="F806">
        <v>6</v>
      </c>
      <c r="G806">
        <v>2</v>
      </c>
      <c r="H806" t="s">
        <v>266</v>
      </c>
      <c r="I806" t="str">
        <f>VLOOKUP(Tabla1[[#This Row],[Code]],'[1]Articulos Precio'!$A:$E,5,FALSE)</f>
        <v>A0000270</v>
      </c>
    </row>
    <row r="807" spans="1:9" x14ac:dyDescent="0.25">
      <c r="A807" t="s">
        <v>304</v>
      </c>
      <c r="B807" t="str">
        <f>VLOOKUP(Tabla1[[#This Row],[Code]],[1]!Tabla4[#Data],2,FALSE)</f>
        <v>M2 Metamark M4 Brillo 245 Rojo Borgoña 1,22 x 50m</v>
      </c>
      <c r="C807">
        <v>8</v>
      </c>
      <c r="D807" t="s">
        <v>86</v>
      </c>
      <c r="E807" t="str">
        <f>VLOOKUP(Tabla1[[#This Row],[Cód. Atributo]],[1]!Tabla5[#Data],6,FALSE)</f>
        <v>Select</v>
      </c>
      <c r="F807">
        <v>1</v>
      </c>
      <c r="G807">
        <v>2</v>
      </c>
      <c r="H807" t="s">
        <v>268</v>
      </c>
      <c r="I807" t="str">
        <f>VLOOKUP(Tabla1[[#This Row],[Code]],'[1]Articulos Precio'!$A:$E,5,FALSE)</f>
        <v>A0000270</v>
      </c>
    </row>
    <row r="808" spans="1:9" x14ac:dyDescent="0.25">
      <c r="A808" t="s">
        <v>304</v>
      </c>
      <c r="B808" t="str">
        <f>VLOOKUP(Tabla1[[#This Row],[Code]],[1]!Tabla4[#Data],2,FALSE)</f>
        <v>M2 Metamark M4 Brillo 245 Rojo Borgoña 1,22 x 50m</v>
      </c>
      <c r="C808">
        <v>21</v>
      </c>
      <c r="D808" t="s">
        <v>264</v>
      </c>
      <c r="E808" t="str">
        <f>VLOOKUP(Tabla1[[#This Row],[Cód. Atributo]],[1]!Tabla5[#Data],6,FALSE)</f>
        <v>Color</v>
      </c>
      <c r="F808">
        <v>2</v>
      </c>
      <c r="G808">
        <v>14</v>
      </c>
      <c r="H808" t="s">
        <v>303</v>
      </c>
      <c r="I808" t="str">
        <f>VLOOKUP(Tabla1[[#This Row],[Code]],'[1]Articulos Precio'!$A:$E,5,FALSE)</f>
        <v>A0000270</v>
      </c>
    </row>
    <row r="809" spans="1:9" x14ac:dyDescent="0.25">
      <c r="A809" t="s">
        <v>304</v>
      </c>
      <c r="B809" t="str">
        <f>VLOOKUP(Tabla1[[#This Row],[Code]],[1]!Tabla4[#Data],2,FALSE)</f>
        <v>M2 Metamark M4 Brillo 245 Rojo Borgoña 1,22 x 50m</v>
      </c>
      <c r="C809">
        <v>23</v>
      </c>
      <c r="D809" t="s">
        <v>90</v>
      </c>
      <c r="E809" t="str">
        <f>VLOOKUP(Tabla1[[#This Row],[Cód. Atributo]],[1]!Tabla5[#Data],6,FALSE)</f>
        <v>Select</v>
      </c>
      <c r="F809">
        <v>3</v>
      </c>
      <c r="G809">
        <v>1</v>
      </c>
      <c r="H809" t="s">
        <v>110</v>
      </c>
      <c r="I809" t="str">
        <f>VLOOKUP(Tabla1[[#This Row],[Code]],'[1]Articulos Precio'!$A:$E,5,FALSE)</f>
        <v>A0000270</v>
      </c>
    </row>
    <row r="810" spans="1:9" x14ac:dyDescent="0.25">
      <c r="A810" t="s">
        <v>304</v>
      </c>
      <c r="B810" t="str">
        <f>VLOOKUP(Tabla1[[#This Row],[Code]],[1]!Tabla4[#Data],2,FALSE)</f>
        <v>M2 Metamark M4 Brillo 245 Rojo Borgoña 1,22 x 50m</v>
      </c>
      <c r="C810">
        <v>25</v>
      </c>
      <c r="D810" t="s">
        <v>94</v>
      </c>
      <c r="E810" t="str">
        <f>VLOOKUP(Tabla1[[#This Row],[Cód. Atributo]],[1]!Tabla5[#Data],6,FALSE)</f>
        <v>Select</v>
      </c>
      <c r="F810">
        <v>4</v>
      </c>
      <c r="G810">
        <v>2</v>
      </c>
      <c r="H810" t="s">
        <v>111</v>
      </c>
      <c r="I810" t="str">
        <f>VLOOKUP(Tabla1[[#This Row],[Code]],'[1]Articulos Precio'!$A:$E,5,FALSE)</f>
        <v>A0000270</v>
      </c>
    </row>
    <row r="811" spans="1:9" x14ac:dyDescent="0.25">
      <c r="A811" t="s">
        <v>304</v>
      </c>
      <c r="B811" t="str">
        <f>VLOOKUP(Tabla1[[#This Row],[Code]],[1]!Tabla4[#Data],2,FALSE)</f>
        <v>M2 Metamark M4 Brillo 245 Rojo Borgoña 1,22 x 50m</v>
      </c>
      <c r="C811">
        <v>28</v>
      </c>
      <c r="D811" t="s">
        <v>184</v>
      </c>
      <c r="E811" t="str">
        <f>VLOOKUP(Tabla1[[#This Row],[Cód. Atributo]],[1]!Tabla5[#Data],6,FALSE)</f>
        <v>Select</v>
      </c>
      <c r="F811">
        <v>5</v>
      </c>
      <c r="G811">
        <v>1</v>
      </c>
      <c r="H811" t="s">
        <v>93</v>
      </c>
      <c r="I811" t="str">
        <f>VLOOKUP(Tabla1[[#This Row],[Code]],'[1]Articulos Precio'!$A:$E,5,FALSE)</f>
        <v>A0000270</v>
      </c>
    </row>
    <row r="812" spans="1:9" x14ac:dyDescent="0.25">
      <c r="A812" t="s">
        <v>304</v>
      </c>
      <c r="B812" t="str">
        <f>VLOOKUP(Tabla1[[#This Row],[Code]],[1]!Tabla4[#Data],2,FALSE)</f>
        <v>M2 Metamark M4 Brillo 245 Rojo Borgoña 1,22 x 50m</v>
      </c>
      <c r="C812">
        <v>24</v>
      </c>
      <c r="D812" t="s">
        <v>96</v>
      </c>
      <c r="E812" t="str">
        <f>VLOOKUP(Tabla1[[#This Row],[Cód. Atributo]],[1]!Tabla5[#Data],6,FALSE)</f>
        <v>Select</v>
      </c>
      <c r="F812">
        <v>6</v>
      </c>
      <c r="G812">
        <v>2</v>
      </c>
      <c r="H812" t="s">
        <v>266</v>
      </c>
      <c r="I812" t="str">
        <f>VLOOKUP(Tabla1[[#This Row],[Code]],'[1]Articulos Precio'!$A:$E,5,FALSE)</f>
        <v>A0000270</v>
      </c>
    </row>
    <row r="813" spans="1:9" x14ac:dyDescent="0.25">
      <c r="A813" t="s">
        <v>305</v>
      </c>
      <c r="B813" t="str">
        <f>VLOOKUP(Tabla1[[#This Row],[Code]],[1]!Tabla4[#Data],2,FALSE)</f>
        <v>M2 Metamark M4 Brillo 246 Rojo Llama 0,61 x 50m</v>
      </c>
      <c r="C813">
        <v>8</v>
      </c>
      <c r="D813" t="s">
        <v>86</v>
      </c>
      <c r="E813" t="str">
        <f>VLOOKUP(Tabla1[[#This Row],[Cód. Atributo]],[1]!Tabla5[#Data],6,FALSE)</f>
        <v>Select</v>
      </c>
      <c r="F813">
        <v>1</v>
      </c>
      <c r="G813">
        <v>1</v>
      </c>
      <c r="H813" t="s">
        <v>263</v>
      </c>
      <c r="I813" t="str">
        <f>VLOOKUP(Tabla1[[#This Row],[Code]],'[1]Articulos Precio'!$A:$E,5,FALSE)</f>
        <v>A0000270</v>
      </c>
    </row>
    <row r="814" spans="1:9" x14ac:dyDescent="0.25">
      <c r="A814" t="s">
        <v>305</v>
      </c>
      <c r="B814" t="str">
        <f>VLOOKUP(Tabla1[[#This Row],[Code]],[1]!Tabla4[#Data],2,FALSE)</f>
        <v>M2 Metamark M4 Brillo 246 Rojo Llama 0,61 x 50m</v>
      </c>
      <c r="C814">
        <v>21</v>
      </c>
      <c r="D814" t="s">
        <v>264</v>
      </c>
      <c r="E814" t="str">
        <f>VLOOKUP(Tabla1[[#This Row],[Cód. Atributo]],[1]!Tabla5[#Data],6,FALSE)</f>
        <v>Color</v>
      </c>
      <c r="F814">
        <v>2</v>
      </c>
      <c r="G814">
        <v>15</v>
      </c>
      <c r="H814" t="s">
        <v>306</v>
      </c>
      <c r="I814" t="str">
        <f>VLOOKUP(Tabla1[[#This Row],[Code]],'[1]Articulos Precio'!$A:$E,5,FALSE)</f>
        <v>A0000270</v>
      </c>
    </row>
    <row r="815" spans="1:9" x14ac:dyDescent="0.25">
      <c r="A815" t="s">
        <v>305</v>
      </c>
      <c r="B815" t="str">
        <f>VLOOKUP(Tabla1[[#This Row],[Code]],[1]!Tabla4[#Data],2,FALSE)</f>
        <v>M2 Metamark M4 Brillo 246 Rojo Llama 0,61 x 50m</v>
      </c>
      <c r="C815">
        <v>23</v>
      </c>
      <c r="D815" t="s">
        <v>90</v>
      </c>
      <c r="E815" t="str">
        <f>VLOOKUP(Tabla1[[#This Row],[Cód. Atributo]],[1]!Tabla5[#Data],6,FALSE)</f>
        <v>Select</v>
      </c>
      <c r="F815">
        <v>3</v>
      </c>
      <c r="G815">
        <v>1</v>
      </c>
      <c r="H815" t="s">
        <v>110</v>
      </c>
      <c r="I815" t="str">
        <f>VLOOKUP(Tabla1[[#This Row],[Code]],'[1]Articulos Precio'!$A:$E,5,FALSE)</f>
        <v>A0000270</v>
      </c>
    </row>
    <row r="816" spans="1:9" x14ac:dyDescent="0.25">
      <c r="A816" t="s">
        <v>305</v>
      </c>
      <c r="B816" t="str">
        <f>VLOOKUP(Tabla1[[#This Row],[Code]],[1]!Tabla4[#Data],2,FALSE)</f>
        <v>M2 Metamark M4 Brillo 246 Rojo Llama 0,61 x 50m</v>
      </c>
      <c r="C816">
        <v>25</v>
      </c>
      <c r="D816" t="s">
        <v>94</v>
      </c>
      <c r="E816" t="str">
        <f>VLOOKUP(Tabla1[[#This Row],[Cód. Atributo]],[1]!Tabla5[#Data],6,FALSE)</f>
        <v>Select</v>
      </c>
      <c r="F816">
        <v>4</v>
      </c>
      <c r="G816">
        <v>2</v>
      </c>
      <c r="H816" t="s">
        <v>111</v>
      </c>
      <c r="I816" t="str">
        <f>VLOOKUP(Tabla1[[#This Row],[Code]],'[1]Articulos Precio'!$A:$E,5,FALSE)</f>
        <v>A0000270</v>
      </c>
    </row>
    <row r="817" spans="1:9" x14ac:dyDescent="0.25">
      <c r="A817" t="s">
        <v>305</v>
      </c>
      <c r="B817" t="str">
        <f>VLOOKUP(Tabla1[[#This Row],[Code]],[1]!Tabla4[#Data],2,FALSE)</f>
        <v>M2 Metamark M4 Brillo 246 Rojo Llama 0,61 x 50m</v>
      </c>
      <c r="C817">
        <v>28</v>
      </c>
      <c r="D817" t="s">
        <v>184</v>
      </c>
      <c r="E817" t="str">
        <f>VLOOKUP(Tabla1[[#This Row],[Cód. Atributo]],[1]!Tabla5[#Data],6,FALSE)</f>
        <v>Select</v>
      </c>
      <c r="F817">
        <v>5</v>
      </c>
      <c r="G817">
        <v>1</v>
      </c>
      <c r="H817" t="s">
        <v>93</v>
      </c>
      <c r="I817" t="str">
        <f>VLOOKUP(Tabla1[[#This Row],[Code]],'[1]Articulos Precio'!$A:$E,5,FALSE)</f>
        <v>A0000270</v>
      </c>
    </row>
    <row r="818" spans="1:9" x14ac:dyDescent="0.25">
      <c r="A818" t="s">
        <v>305</v>
      </c>
      <c r="B818" t="str">
        <f>VLOOKUP(Tabla1[[#This Row],[Code]],[1]!Tabla4[#Data],2,FALSE)</f>
        <v>M2 Metamark M4 Brillo 246 Rojo Llama 0,61 x 50m</v>
      </c>
      <c r="C818">
        <v>24</v>
      </c>
      <c r="D818" t="s">
        <v>96</v>
      </c>
      <c r="E818" t="str">
        <f>VLOOKUP(Tabla1[[#This Row],[Cód. Atributo]],[1]!Tabla5[#Data],6,FALSE)</f>
        <v>Select</v>
      </c>
      <c r="F818">
        <v>6</v>
      </c>
      <c r="G818">
        <v>2</v>
      </c>
      <c r="H818" t="s">
        <v>266</v>
      </c>
      <c r="I818" t="str">
        <f>VLOOKUP(Tabla1[[#This Row],[Code]],'[1]Articulos Precio'!$A:$E,5,FALSE)</f>
        <v>A0000270</v>
      </c>
    </row>
    <row r="819" spans="1:9" x14ac:dyDescent="0.25">
      <c r="A819" t="s">
        <v>307</v>
      </c>
      <c r="B819" t="str">
        <f>VLOOKUP(Tabla1[[#This Row],[Code]],[1]!Tabla4[#Data],2,FALSE)</f>
        <v>M2 Metamark M4 Brillo 246 Rojo Llama 1,22 x 50m</v>
      </c>
      <c r="C819">
        <v>8</v>
      </c>
      <c r="D819" t="s">
        <v>86</v>
      </c>
      <c r="E819" t="str">
        <f>VLOOKUP(Tabla1[[#This Row],[Cód. Atributo]],[1]!Tabla5[#Data],6,FALSE)</f>
        <v>Select</v>
      </c>
      <c r="F819">
        <v>1</v>
      </c>
      <c r="G819">
        <v>2</v>
      </c>
      <c r="H819" t="s">
        <v>268</v>
      </c>
      <c r="I819" t="str">
        <f>VLOOKUP(Tabla1[[#This Row],[Code]],'[1]Articulos Precio'!$A:$E,5,FALSE)</f>
        <v>A0000270</v>
      </c>
    </row>
    <row r="820" spans="1:9" x14ac:dyDescent="0.25">
      <c r="A820" t="s">
        <v>307</v>
      </c>
      <c r="B820" t="str">
        <f>VLOOKUP(Tabla1[[#This Row],[Code]],[1]!Tabla4[#Data],2,FALSE)</f>
        <v>M2 Metamark M4 Brillo 246 Rojo Llama 1,22 x 50m</v>
      </c>
      <c r="C820">
        <v>21</v>
      </c>
      <c r="D820" t="s">
        <v>264</v>
      </c>
      <c r="E820" t="str">
        <f>VLOOKUP(Tabla1[[#This Row],[Cód. Atributo]],[1]!Tabla5[#Data],6,FALSE)</f>
        <v>Color</v>
      </c>
      <c r="F820">
        <v>2</v>
      </c>
      <c r="G820">
        <v>15</v>
      </c>
      <c r="H820" t="s">
        <v>306</v>
      </c>
      <c r="I820" t="str">
        <f>VLOOKUP(Tabla1[[#This Row],[Code]],'[1]Articulos Precio'!$A:$E,5,FALSE)</f>
        <v>A0000270</v>
      </c>
    </row>
    <row r="821" spans="1:9" x14ac:dyDescent="0.25">
      <c r="A821" t="s">
        <v>307</v>
      </c>
      <c r="B821" t="str">
        <f>VLOOKUP(Tabla1[[#This Row],[Code]],[1]!Tabla4[#Data],2,FALSE)</f>
        <v>M2 Metamark M4 Brillo 246 Rojo Llama 1,22 x 50m</v>
      </c>
      <c r="C821">
        <v>23</v>
      </c>
      <c r="D821" t="s">
        <v>90</v>
      </c>
      <c r="E821" t="str">
        <f>VLOOKUP(Tabla1[[#This Row],[Cód. Atributo]],[1]!Tabla5[#Data],6,FALSE)</f>
        <v>Select</v>
      </c>
      <c r="F821">
        <v>3</v>
      </c>
      <c r="G821">
        <v>1</v>
      </c>
      <c r="H821" t="s">
        <v>110</v>
      </c>
      <c r="I821" t="str">
        <f>VLOOKUP(Tabla1[[#This Row],[Code]],'[1]Articulos Precio'!$A:$E,5,FALSE)</f>
        <v>A0000270</v>
      </c>
    </row>
    <row r="822" spans="1:9" x14ac:dyDescent="0.25">
      <c r="A822" t="s">
        <v>307</v>
      </c>
      <c r="B822" t="str">
        <f>VLOOKUP(Tabla1[[#This Row],[Code]],[1]!Tabla4[#Data],2,FALSE)</f>
        <v>M2 Metamark M4 Brillo 246 Rojo Llama 1,22 x 50m</v>
      </c>
      <c r="C822">
        <v>25</v>
      </c>
      <c r="D822" t="s">
        <v>94</v>
      </c>
      <c r="E822" t="str">
        <f>VLOOKUP(Tabla1[[#This Row],[Cód. Atributo]],[1]!Tabla5[#Data],6,FALSE)</f>
        <v>Select</v>
      </c>
      <c r="F822">
        <v>4</v>
      </c>
      <c r="G822">
        <v>2</v>
      </c>
      <c r="H822" t="s">
        <v>111</v>
      </c>
      <c r="I822" t="str">
        <f>VLOOKUP(Tabla1[[#This Row],[Code]],'[1]Articulos Precio'!$A:$E,5,FALSE)</f>
        <v>A0000270</v>
      </c>
    </row>
    <row r="823" spans="1:9" x14ac:dyDescent="0.25">
      <c r="A823" t="s">
        <v>307</v>
      </c>
      <c r="B823" t="str">
        <f>VLOOKUP(Tabla1[[#This Row],[Code]],[1]!Tabla4[#Data],2,FALSE)</f>
        <v>M2 Metamark M4 Brillo 246 Rojo Llama 1,22 x 50m</v>
      </c>
      <c r="C823">
        <v>28</v>
      </c>
      <c r="D823" t="s">
        <v>184</v>
      </c>
      <c r="E823" t="str">
        <f>VLOOKUP(Tabla1[[#This Row],[Cód. Atributo]],[1]!Tabla5[#Data],6,FALSE)</f>
        <v>Select</v>
      </c>
      <c r="F823">
        <v>5</v>
      </c>
      <c r="G823">
        <v>1</v>
      </c>
      <c r="H823" t="s">
        <v>93</v>
      </c>
      <c r="I823" t="str">
        <f>VLOOKUP(Tabla1[[#This Row],[Code]],'[1]Articulos Precio'!$A:$E,5,FALSE)</f>
        <v>A0000270</v>
      </c>
    </row>
    <row r="824" spans="1:9" x14ac:dyDescent="0.25">
      <c r="A824" t="s">
        <v>307</v>
      </c>
      <c r="B824" t="str">
        <f>VLOOKUP(Tabla1[[#This Row],[Code]],[1]!Tabla4[#Data],2,FALSE)</f>
        <v>M2 Metamark M4 Brillo 246 Rojo Llama 1,22 x 50m</v>
      </c>
      <c r="C824">
        <v>24</v>
      </c>
      <c r="D824" t="s">
        <v>96</v>
      </c>
      <c r="E824" t="str">
        <f>VLOOKUP(Tabla1[[#This Row],[Cód. Atributo]],[1]!Tabla5[#Data],6,FALSE)</f>
        <v>Select</v>
      </c>
      <c r="F824">
        <v>6</v>
      </c>
      <c r="G824">
        <v>2</v>
      </c>
      <c r="H824" t="s">
        <v>266</v>
      </c>
      <c r="I824" t="str">
        <f>VLOOKUP(Tabla1[[#This Row],[Code]],'[1]Articulos Precio'!$A:$E,5,FALSE)</f>
        <v>A0000270</v>
      </c>
    </row>
    <row r="825" spans="1:9" x14ac:dyDescent="0.25">
      <c r="A825" t="s">
        <v>308</v>
      </c>
      <c r="B825" t="str">
        <f>VLOOKUP(Tabla1[[#This Row],[Code]],[1]!Tabla4[#Data],2,FALSE)</f>
        <v>M2 Metamark M4 Brillo 247 Rojo Carmesí 0,61 x 50m</v>
      </c>
      <c r="C825">
        <v>8</v>
      </c>
      <c r="D825" t="s">
        <v>86</v>
      </c>
      <c r="E825" t="str">
        <f>VLOOKUP(Tabla1[[#This Row],[Cód. Atributo]],[1]!Tabla5[#Data],6,FALSE)</f>
        <v>Select</v>
      </c>
      <c r="F825">
        <v>1</v>
      </c>
      <c r="G825">
        <v>1</v>
      </c>
      <c r="H825" t="s">
        <v>263</v>
      </c>
      <c r="I825" t="str">
        <f>VLOOKUP(Tabla1[[#This Row],[Code]],'[1]Articulos Precio'!$A:$E,5,FALSE)</f>
        <v>A0000270</v>
      </c>
    </row>
    <row r="826" spans="1:9" x14ac:dyDescent="0.25">
      <c r="A826" t="s">
        <v>308</v>
      </c>
      <c r="B826" t="str">
        <f>VLOOKUP(Tabla1[[#This Row],[Code]],[1]!Tabla4[#Data],2,FALSE)</f>
        <v>M2 Metamark M4 Brillo 247 Rojo Carmesí 0,61 x 50m</v>
      </c>
      <c r="C826">
        <v>21</v>
      </c>
      <c r="D826" t="s">
        <v>309</v>
      </c>
      <c r="E826" t="str">
        <f>VLOOKUP(Tabla1[[#This Row],[Cód. Atributo]],[1]!Tabla5[#Data],6,FALSE)</f>
        <v>Color</v>
      </c>
      <c r="F826">
        <v>2</v>
      </c>
      <c r="G826">
        <v>16</v>
      </c>
      <c r="H826" t="s">
        <v>310</v>
      </c>
      <c r="I826" t="str">
        <f>VLOOKUP(Tabla1[[#This Row],[Code]],'[1]Articulos Precio'!$A:$E,5,FALSE)</f>
        <v>A0000270</v>
      </c>
    </row>
    <row r="827" spans="1:9" x14ac:dyDescent="0.25">
      <c r="A827" t="s">
        <v>308</v>
      </c>
      <c r="B827" t="str">
        <f>VLOOKUP(Tabla1[[#This Row],[Code]],[1]!Tabla4[#Data],2,FALSE)</f>
        <v>M2 Metamark M4 Brillo 247 Rojo Carmesí 0,61 x 50m</v>
      </c>
      <c r="C827">
        <v>23</v>
      </c>
      <c r="D827" t="s">
        <v>90</v>
      </c>
      <c r="E827" t="str">
        <f>VLOOKUP(Tabla1[[#This Row],[Cód. Atributo]],[1]!Tabla5[#Data],6,FALSE)</f>
        <v>Select</v>
      </c>
      <c r="F827">
        <v>3</v>
      </c>
      <c r="G827">
        <v>1</v>
      </c>
      <c r="H827" t="s">
        <v>110</v>
      </c>
      <c r="I827" t="str">
        <f>VLOOKUP(Tabla1[[#This Row],[Code]],'[1]Articulos Precio'!$A:$E,5,FALSE)</f>
        <v>A0000270</v>
      </c>
    </row>
    <row r="828" spans="1:9" x14ac:dyDescent="0.25">
      <c r="A828" t="s">
        <v>308</v>
      </c>
      <c r="B828" t="str">
        <f>VLOOKUP(Tabla1[[#This Row],[Code]],[1]!Tabla4[#Data],2,FALSE)</f>
        <v>M2 Metamark M4 Brillo 247 Rojo Carmesí 0,61 x 50m</v>
      </c>
      <c r="C828">
        <v>25</v>
      </c>
      <c r="D828" t="s">
        <v>94</v>
      </c>
      <c r="E828" t="str">
        <f>VLOOKUP(Tabla1[[#This Row],[Cód. Atributo]],[1]!Tabla5[#Data],6,FALSE)</f>
        <v>Select</v>
      </c>
      <c r="F828">
        <v>4</v>
      </c>
      <c r="G828">
        <v>2</v>
      </c>
      <c r="H828" t="s">
        <v>111</v>
      </c>
      <c r="I828" t="str">
        <f>VLOOKUP(Tabla1[[#This Row],[Code]],'[1]Articulos Precio'!$A:$E,5,FALSE)</f>
        <v>A0000270</v>
      </c>
    </row>
    <row r="829" spans="1:9" x14ac:dyDescent="0.25">
      <c r="A829" t="s">
        <v>308</v>
      </c>
      <c r="B829" t="str">
        <f>VLOOKUP(Tabla1[[#This Row],[Code]],[1]!Tabla4[#Data],2,FALSE)</f>
        <v>M2 Metamark M4 Brillo 247 Rojo Carmesí 0,61 x 50m</v>
      </c>
      <c r="C829">
        <v>28</v>
      </c>
      <c r="D829" t="s">
        <v>184</v>
      </c>
      <c r="E829" t="str">
        <f>VLOOKUP(Tabla1[[#This Row],[Cód. Atributo]],[1]!Tabla5[#Data],6,FALSE)</f>
        <v>Select</v>
      </c>
      <c r="F829">
        <v>5</v>
      </c>
      <c r="G829">
        <v>1</v>
      </c>
      <c r="H829" t="s">
        <v>93</v>
      </c>
      <c r="I829" t="str">
        <f>VLOOKUP(Tabla1[[#This Row],[Code]],'[1]Articulos Precio'!$A:$E,5,FALSE)</f>
        <v>A0000270</v>
      </c>
    </row>
    <row r="830" spans="1:9" x14ac:dyDescent="0.25">
      <c r="A830" t="s">
        <v>308</v>
      </c>
      <c r="B830" t="str">
        <f>VLOOKUP(Tabla1[[#This Row],[Code]],[1]!Tabla4[#Data],2,FALSE)</f>
        <v>M2 Metamark M4 Brillo 247 Rojo Carmesí 0,61 x 50m</v>
      </c>
      <c r="C830">
        <v>24</v>
      </c>
      <c r="D830" t="s">
        <v>96</v>
      </c>
      <c r="E830" t="str">
        <f>VLOOKUP(Tabla1[[#This Row],[Cód. Atributo]],[1]!Tabla5[#Data],6,FALSE)</f>
        <v>Select</v>
      </c>
      <c r="F830">
        <v>6</v>
      </c>
      <c r="G830">
        <v>2</v>
      </c>
      <c r="H830" t="s">
        <v>266</v>
      </c>
      <c r="I830" t="str">
        <f>VLOOKUP(Tabla1[[#This Row],[Code]],'[1]Articulos Precio'!$A:$E,5,FALSE)</f>
        <v>A0000270</v>
      </c>
    </row>
    <row r="831" spans="1:9" x14ac:dyDescent="0.25">
      <c r="A831" t="s">
        <v>311</v>
      </c>
      <c r="B831" t="str">
        <f>VLOOKUP(Tabla1[[#This Row],[Code]],[1]!Tabla4[#Data],2,FALSE)</f>
        <v>M2 Metamark M4 Brillo 247 Rojo Carmesí 1,22 x 50m</v>
      </c>
      <c r="C831">
        <v>8</v>
      </c>
      <c r="D831" t="s">
        <v>86</v>
      </c>
      <c r="E831" t="str">
        <f>VLOOKUP(Tabla1[[#This Row],[Cód. Atributo]],[1]!Tabla5[#Data],6,FALSE)</f>
        <v>Select</v>
      </c>
      <c r="F831">
        <v>1</v>
      </c>
      <c r="G831">
        <v>2</v>
      </c>
      <c r="H831" t="s">
        <v>268</v>
      </c>
      <c r="I831" t="str">
        <f>VLOOKUP(Tabla1[[#This Row],[Code]],'[1]Articulos Precio'!$A:$E,5,FALSE)</f>
        <v>A0000270</v>
      </c>
    </row>
    <row r="832" spans="1:9" x14ac:dyDescent="0.25">
      <c r="A832" t="s">
        <v>311</v>
      </c>
      <c r="B832" t="str">
        <f>VLOOKUP(Tabla1[[#This Row],[Code]],[1]!Tabla4[#Data],2,FALSE)</f>
        <v>M2 Metamark M4 Brillo 247 Rojo Carmesí 1,22 x 50m</v>
      </c>
      <c r="C832">
        <v>21</v>
      </c>
      <c r="D832" t="s">
        <v>264</v>
      </c>
      <c r="E832" t="str">
        <f>VLOOKUP(Tabla1[[#This Row],[Cód. Atributo]],[1]!Tabla5[#Data],6,FALSE)</f>
        <v>Color</v>
      </c>
      <c r="F832">
        <v>2</v>
      </c>
      <c r="G832">
        <v>16</v>
      </c>
      <c r="H832" t="s">
        <v>312</v>
      </c>
      <c r="I832" t="str">
        <f>VLOOKUP(Tabla1[[#This Row],[Code]],'[1]Articulos Precio'!$A:$E,5,FALSE)</f>
        <v>A0000270</v>
      </c>
    </row>
    <row r="833" spans="1:9" x14ac:dyDescent="0.25">
      <c r="A833" t="s">
        <v>311</v>
      </c>
      <c r="B833" t="str">
        <f>VLOOKUP(Tabla1[[#This Row],[Code]],[1]!Tabla4[#Data],2,FALSE)</f>
        <v>M2 Metamark M4 Brillo 247 Rojo Carmesí 1,22 x 50m</v>
      </c>
      <c r="C833">
        <v>23</v>
      </c>
      <c r="D833" t="s">
        <v>90</v>
      </c>
      <c r="E833" t="str">
        <f>VLOOKUP(Tabla1[[#This Row],[Cód. Atributo]],[1]!Tabla5[#Data],6,FALSE)</f>
        <v>Select</v>
      </c>
      <c r="F833">
        <v>3</v>
      </c>
      <c r="G833">
        <v>1</v>
      </c>
      <c r="H833" t="s">
        <v>110</v>
      </c>
      <c r="I833" t="str">
        <f>VLOOKUP(Tabla1[[#This Row],[Code]],'[1]Articulos Precio'!$A:$E,5,FALSE)</f>
        <v>A0000270</v>
      </c>
    </row>
    <row r="834" spans="1:9" x14ac:dyDescent="0.25">
      <c r="A834" t="s">
        <v>311</v>
      </c>
      <c r="B834" t="str">
        <f>VLOOKUP(Tabla1[[#This Row],[Code]],[1]!Tabla4[#Data],2,FALSE)</f>
        <v>M2 Metamark M4 Brillo 247 Rojo Carmesí 1,22 x 50m</v>
      </c>
      <c r="C834">
        <v>25</v>
      </c>
      <c r="D834" t="s">
        <v>94</v>
      </c>
      <c r="E834" t="str">
        <f>VLOOKUP(Tabla1[[#This Row],[Cód. Atributo]],[1]!Tabla5[#Data],6,FALSE)</f>
        <v>Select</v>
      </c>
      <c r="F834">
        <v>4</v>
      </c>
      <c r="G834">
        <v>2</v>
      </c>
      <c r="H834" t="s">
        <v>111</v>
      </c>
      <c r="I834" t="str">
        <f>VLOOKUP(Tabla1[[#This Row],[Code]],'[1]Articulos Precio'!$A:$E,5,FALSE)</f>
        <v>A0000270</v>
      </c>
    </row>
    <row r="835" spans="1:9" x14ac:dyDescent="0.25">
      <c r="A835" t="s">
        <v>311</v>
      </c>
      <c r="B835" t="str">
        <f>VLOOKUP(Tabla1[[#This Row],[Code]],[1]!Tabla4[#Data],2,FALSE)</f>
        <v>M2 Metamark M4 Brillo 247 Rojo Carmesí 1,22 x 50m</v>
      </c>
      <c r="C835">
        <v>28</v>
      </c>
      <c r="D835" t="s">
        <v>184</v>
      </c>
      <c r="E835" t="str">
        <f>VLOOKUP(Tabla1[[#This Row],[Cód. Atributo]],[1]!Tabla5[#Data],6,FALSE)</f>
        <v>Select</v>
      </c>
      <c r="F835">
        <v>5</v>
      </c>
      <c r="G835">
        <v>1</v>
      </c>
      <c r="H835" t="s">
        <v>93</v>
      </c>
      <c r="I835" t="str">
        <f>VLOOKUP(Tabla1[[#This Row],[Code]],'[1]Articulos Precio'!$A:$E,5,FALSE)</f>
        <v>A0000270</v>
      </c>
    </row>
    <row r="836" spans="1:9" x14ac:dyDescent="0.25">
      <c r="A836" t="s">
        <v>311</v>
      </c>
      <c r="B836" t="str">
        <f>VLOOKUP(Tabla1[[#This Row],[Code]],[1]!Tabla4[#Data],2,FALSE)</f>
        <v>M2 Metamark M4 Brillo 247 Rojo Carmesí 1,22 x 50m</v>
      </c>
      <c r="C836">
        <v>24</v>
      </c>
      <c r="D836" t="s">
        <v>96</v>
      </c>
      <c r="E836" t="str">
        <f>VLOOKUP(Tabla1[[#This Row],[Cód. Atributo]],[1]!Tabla5[#Data],6,FALSE)</f>
        <v>Select</v>
      </c>
      <c r="F836">
        <v>6</v>
      </c>
      <c r="G836">
        <v>2</v>
      </c>
      <c r="H836" t="s">
        <v>266</v>
      </c>
      <c r="I836" t="str">
        <f>VLOOKUP(Tabla1[[#This Row],[Code]],'[1]Articulos Precio'!$A:$E,5,FALSE)</f>
        <v>A0000270</v>
      </c>
    </row>
    <row r="837" spans="1:9" x14ac:dyDescent="0.25">
      <c r="A837" t="s">
        <v>313</v>
      </c>
      <c r="B837" t="str">
        <f>VLOOKUP(Tabla1[[#This Row],[Code]],[1]!Tabla4[#Data],2,FALSE)</f>
        <v>M2 Metamark M4 Brillo 250 Azul Pálido 0,61 x 50m</v>
      </c>
      <c r="C837">
        <v>8</v>
      </c>
      <c r="D837" t="s">
        <v>86</v>
      </c>
      <c r="E837" t="str">
        <f>VLOOKUP(Tabla1[[#This Row],[Cód. Atributo]],[1]!Tabla5[#Data],6,FALSE)</f>
        <v>Select</v>
      </c>
      <c r="F837">
        <v>1</v>
      </c>
      <c r="G837">
        <v>1</v>
      </c>
      <c r="H837" t="s">
        <v>263</v>
      </c>
      <c r="I837" t="str">
        <f>VLOOKUP(Tabla1[[#This Row],[Code]],'[1]Articulos Precio'!$A:$E,5,FALSE)</f>
        <v>A0000270</v>
      </c>
    </row>
    <row r="838" spans="1:9" x14ac:dyDescent="0.25">
      <c r="A838" t="s">
        <v>313</v>
      </c>
      <c r="B838" t="str">
        <f>VLOOKUP(Tabla1[[#This Row],[Code]],[1]!Tabla4[#Data],2,FALSE)</f>
        <v>M2 Metamark M4 Brillo 250 Azul Pálido 0,61 x 50m</v>
      </c>
      <c r="C838">
        <v>21</v>
      </c>
      <c r="D838" t="s">
        <v>264</v>
      </c>
      <c r="E838" t="str">
        <f>VLOOKUP(Tabla1[[#This Row],[Cód. Atributo]],[1]!Tabla5[#Data],6,FALSE)</f>
        <v>Color</v>
      </c>
      <c r="F838">
        <v>2</v>
      </c>
      <c r="G838">
        <v>17</v>
      </c>
      <c r="H838" t="s">
        <v>314</v>
      </c>
      <c r="I838" t="str">
        <f>VLOOKUP(Tabla1[[#This Row],[Code]],'[1]Articulos Precio'!$A:$E,5,FALSE)</f>
        <v>A0000270</v>
      </c>
    </row>
    <row r="839" spans="1:9" x14ac:dyDescent="0.25">
      <c r="A839" t="s">
        <v>313</v>
      </c>
      <c r="B839" t="str">
        <f>VLOOKUP(Tabla1[[#This Row],[Code]],[1]!Tabla4[#Data],2,FALSE)</f>
        <v>M2 Metamark M4 Brillo 250 Azul Pálido 0,61 x 50m</v>
      </c>
      <c r="C839">
        <v>23</v>
      </c>
      <c r="D839" t="s">
        <v>90</v>
      </c>
      <c r="E839" t="str">
        <f>VLOOKUP(Tabla1[[#This Row],[Cód. Atributo]],[1]!Tabla5[#Data],6,FALSE)</f>
        <v>Select</v>
      </c>
      <c r="F839">
        <v>3</v>
      </c>
      <c r="G839">
        <v>1</v>
      </c>
      <c r="H839" t="s">
        <v>110</v>
      </c>
      <c r="I839" t="str">
        <f>VLOOKUP(Tabla1[[#This Row],[Code]],'[1]Articulos Precio'!$A:$E,5,FALSE)</f>
        <v>A0000270</v>
      </c>
    </row>
    <row r="840" spans="1:9" x14ac:dyDescent="0.25">
      <c r="A840" t="s">
        <v>313</v>
      </c>
      <c r="B840" t="str">
        <f>VLOOKUP(Tabla1[[#This Row],[Code]],[1]!Tabla4[#Data],2,FALSE)</f>
        <v>M2 Metamark M4 Brillo 250 Azul Pálido 0,61 x 50m</v>
      </c>
      <c r="C840">
        <v>25</v>
      </c>
      <c r="D840" t="s">
        <v>94</v>
      </c>
      <c r="E840" t="str">
        <f>VLOOKUP(Tabla1[[#This Row],[Cód. Atributo]],[1]!Tabla5[#Data],6,FALSE)</f>
        <v>Select</v>
      </c>
      <c r="F840">
        <v>4</v>
      </c>
      <c r="G840">
        <v>2</v>
      </c>
      <c r="H840" t="s">
        <v>111</v>
      </c>
      <c r="I840" t="str">
        <f>VLOOKUP(Tabla1[[#This Row],[Code]],'[1]Articulos Precio'!$A:$E,5,FALSE)</f>
        <v>A0000270</v>
      </c>
    </row>
    <row r="841" spans="1:9" x14ac:dyDescent="0.25">
      <c r="A841" t="s">
        <v>313</v>
      </c>
      <c r="B841" t="str">
        <f>VLOOKUP(Tabla1[[#This Row],[Code]],[1]!Tabla4[#Data],2,FALSE)</f>
        <v>M2 Metamark M4 Brillo 250 Azul Pálido 0,61 x 50m</v>
      </c>
      <c r="C841">
        <v>28</v>
      </c>
      <c r="D841" t="s">
        <v>184</v>
      </c>
      <c r="E841" t="str">
        <f>VLOOKUP(Tabla1[[#This Row],[Cód. Atributo]],[1]!Tabla5[#Data],6,FALSE)</f>
        <v>Select</v>
      </c>
      <c r="F841">
        <v>5</v>
      </c>
      <c r="G841">
        <v>1</v>
      </c>
      <c r="H841" t="s">
        <v>93</v>
      </c>
      <c r="I841" t="str">
        <f>VLOOKUP(Tabla1[[#This Row],[Code]],'[1]Articulos Precio'!$A:$E,5,FALSE)</f>
        <v>A0000270</v>
      </c>
    </row>
    <row r="842" spans="1:9" x14ac:dyDescent="0.25">
      <c r="A842" t="s">
        <v>313</v>
      </c>
      <c r="B842" t="str">
        <f>VLOOKUP(Tabla1[[#This Row],[Code]],[1]!Tabla4[#Data],2,FALSE)</f>
        <v>M2 Metamark M4 Brillo 250 Azul Pálido 0,61 x 50m</v>
      </c>
      <c r="C842">
        <v>24</v>
      </c>
      <c r="D842" t="s">
        <v>96</v>
      </c>
      <c r="E842" t="str">
        <f>VLOOKUP(Tabla1[[#This Row],[Cód. Atributo]],[1]!Tabla5[#Data],6,FALSE)</f>
        <v>Select</v>
      </c>
      <c r="F842">
        <v>6</v>
      </c>
      <c r="G842">
        <v>2</v>
      </c>
      <c r="H842" t="s">
        <v>266</v>
      </c>
      <c r="I842" t="str">
        <f>VLOOKUP(Tabla1[[#This Row],[Code]],'[1]Articulos Precio'!$A:$E,5,FALSE)</f>
        <v>A0000270</v>
      </c>
    </row>
    <row r="843" spans="1:9" x14ac:dyDescent="0.25">
      <c r="A843" t="s">
        <v>315</v>
      </c>
      <c r="B843" t="str">
        <f>VLOOKUP(Tabla1[[#This Row],[Code]],[1]!Tabla4[#Data],2,FALSE)</f>
        <v>M2 Metamark M4 Brillo 250 Azul Pálido 1,22 x 50m</v>
      </c>
      <c r="C843">
        <v>8</v>
      </c>
      <c r="D843" t="s">
        <v>86</v>
      </c>
      <c r="E843" t="str">
        <f>VLOOKUP(Tabla1[[#This Row],[Cód. Atributo]],[1]!Tabla5[#Data],6,FALSE)</f>
        <v>Select</v>
      </c>
      <c r="F843">
        <v>1</v>
      </c>
      <c r="G843">
        <v>2</v>
      </c>
      <c r="H843" t="s">
        <v>268</v>
      </c>
      <c r="I843" t="str">
        <f>VLOOKUP(Tabla1[[#This Row],[Code]],'[1]Articulos Precio'!$A:$E,5,FALSE)</f>
        <v>A0000270</v>
      </c>
    </row>
    <row r="844" spans="1:9" x14ac:dyDescent="0.25">
      <c r="A844" t="s">
        <v>315</v>
      </c>
      <c r="B844" t="str">
        <f>VLOOKUP(Tabla1[[#This Row],[Code]],[1]!Tabla4[#Data],2,FALSE)</f>
        <v>M2 Metamark M4 Brillo 250 Azul Pálido 1,22 x 50m</v>
      </c>
      <c r="C844">
        <v>21</v>
      </c>
      <c r="D844" t="s">
        <v>264</v>
      </c>
      <c r="E844" t="str">
        <f>VLOOKUP(Tabla1[[#This Row],[Cód. Atributo]],[1]!Tabla5[#Data],6,FALSE)</f>
        <v>Color</v>
      </c>
      <c r="F844">
        <v>2</v>
      </c>
      <c r="G844">
        <v>17</v>
      </c>
      <c r="H844" t="s">
        <v>314</v>
      </c>
      <c r="I844" t="str">
        <f>VLOOKUP(Tabla1[[#This Row],[Code]],'[1]Articulos Precio'!$A:$E,5,FALSE)</f>
        <v>A0000270</v>
      </c>
    </row>
    <row r="845" spans="1:9" x14ac:dyDescent="0.25">
      <c r="A845" t="s">
        <v>315</v>
      </c>
      <c r="B845" t="str">
        <f>VLOOKUP(Tabla1[[#This Row],[Code]],[1]!Tabla4[#Data],2,FALSE)</f>
        <v>M2 Metamark M4 Brillo 250 Azul Pálido 1,22 x 50m</v>
      </c>
      <c r="C845">
        <v>23</v>
      </c>
      <c r="D845" t="s">
        <v>90</v>
      </c>
      <c r="E845" t="str">
        <f>VLOOKUP(Tabla1[[#This Row],[Cód. Atributo]],[1]!Tabla5[#Data],6,FALSE)</f>
        <v>Select</v>
      </c>
      <c r="F845">
        <v>3</v>
      </c>
      <c r="G845">
        <v>1</v>
      </c>
      <c r="H845" t="s">
        <v>110</v>
      </c>
      <c r="I845" t="str">
        <f>VLOOKUP(Tabla1[[#This Row],[Code]],'[1]Articulos Precio'!$A:$E,5,FALSE)</f>
        <v>A0000270</v>
      </c>
    </row>
    <row r="846" spans="1:9" x14ac:dyDescent="0.25">
      <c r="A846" t="s">
        <v>315</v>
      </c>
      <c r="B846" t="str">
        <f>VLOOKUP(Tabla1[[#This Row],[Code]],[1]!Tabla4[#Data],2,FALSE)</f>
        <v>M2 Metamark M4 Brillo 250 Azul Pálido 1,22 x 50m</v>
      </c>
      <c r="C846">
        <v>25</v>
      </c>
      <c r="D846" t="s">
        <v>94</v>
      </c>
      <c r="E846" t="str">
        <f>VLOOKUP(Tabla1[[#This Row],[Cód. Atributo]],[1]!Tabla5[#Data],6,FALSE)</f>
        <v>Select</v>
      </c>
      <c r="F846">
        <v>4</v>
      </c>
      <c r="G846">
        <v>2</v>
      </c>
      <c r="H846" t="s">
        <v>111</v>
      </c>
      <c r="I846" t="str">
        <f>VLOOKUP(Tabla1[[#This Row],[Code]],'[1]Articulos Precio'!$A:$E,5,FALSE)</f>
        <v>A0000270</v>
      </c>
    </row>
    <row r="847" spans="1:9" x14ac:dyDescent="0.25">
      <c r="A847" t="s">
        <v>315</v>
      </c>
      <c r="B847" t="str">
        <f>VLOOKUP(Tabla1[[#This Row],[Code]],[1]!Tabla4[#Data],2,FALSE)</f>
        <v>M2 Metamark M4 Brillo 250 Azul Pálido 1,22 x 50m</v>
      </c>
      <c r="C847">
        <v>28</v>
      </c>
      <c r="D847" t="s">
        <v>184</v>
      </c>
      <c r="E847" t="str">
        <f>VLOOKUP(Tabla1[[#This Row],[Cód. Atributo]],[1]!Tabla5[#Data],6,FALSE)</f>
        <v>Select</v>
      </c>
      <c r="F847">
        <v>5</v>
      </c>
      <c r="G847">
        <v>1</v>
      </c>
      <c r="H847" t="s">
        <v>93</v>
      </c>
      <c r="I847" t="str">
        <f>VLOOKUP(Tabla1[[#This Row],[Code]],'[1]Articulos Precio'!$A:$E,5,FALSE)</f>
        <v>A0000270</v>
      </c>
    </row>
    <row r="848" spans="1:9" x14ac:dyDescent="0.25">
      <c r="A848" t="s">
        <v>315</v>
      </c>
      <c r="B848" t="str">
        <f>VLOOKUP(Tabla1[[#This Row],[Code]],[1]!Tabla4[#Data],2,FALSE)</f>
        <v>M2 Metamark M4 Brillo 250 Azul Pálido 1,22 x 50m</v>
      </c>
      <c r="C848">
        <v>24</v>
      </c>
      <c r="D848" t="s">
        <v>96</v>
      </c>
      <c r="E848" t="str">
        <f>VLOOKUP(Tabla1[[#This Row],[Cód. Atributo]],[1]!Tabla5[#Data],6,FALSE)</f>
        <v>Select</v>
      </c>
      <c r="F848">
        <v>6</v>
      </c>
      <c r="G848">
        <v>2</v>
      </c>
      <c r="H848" t="s">
        <v>266</v>
      </c>
      <c r="I848" t="str">
        <f>VLOOKUP(Tabla1[[#This Row],[Code]],'[1]Articulos Precio'!$A:$E,5,FALSE)</f>
        <v>A0000270</v>
      </c>
    </row>
    <row r="849" spans="1:9" x14ac:dyDescent="0.25">
      <c r="A849" t="s">
        <v>316</v>
      </c>
      <c r="B849" t="str">
        <f>VLOOKUP(Tabla1[[#This Row],[Code]],[1]!Tabla4[#Data],2,FALSE)</f>
        <v>M2 Metamark M4 Brillo 252 Azul Oceano 0,61 x 50m</v>
      </c>
      <c r="C849">
        <v>8</v>
      </c>
      <c r="D849" t="s">
        <v>86</v>
      </c>
      <c r="E849" t="str">
        <f>VLOOKUP(Tabla1[[#This Row],[Cód. Atributo]],[1]!Tabla5[#Data],6,FALSE)</f>
        <v>Select</v>
      </c>
      <c r="F849">
        <v>1</v>
      </c>
      <c r="G849">
        <v>1</v>
      </c>
      <c r="H849" t="s">
        <v>263</v>
      </c>
      <c r="I849" t="str">
        <f>VLOOKUP(Tabla1[[#This Row],[Code]],'[1]Articulos Precio'!$A:$E,5,FALSE)</f>
        <v>A0000270</v>
      </c>
    </row>
    <row r="850" spans="1:9" x14ac:dyDescent="0.25">
      <c r="A850" t="s">
        <v>316</v>
      </c>
      <c r="B850" t="str">
        <f>VLOOKUP(Tabla1[[#This Row],[Code]],[1]!Tabla4[#Data],2,FALSE)</f>
        <v>M2 Metamark M4 Brillo 252 Azul Oceano 0,61 x 50m</v>
      </c>
      <c r="C850">
        <v>21</v>
      </c>
      <c r="D850" t="s">
        <v>264</v>
      </c>
      <c r="E850" t="str">
        <f>VLOOKUP(Tabla1[[#This Row],[Cód. Atributo]],[1]!Tabla5[#Data],6,FALSE)</f>
        <v>Color</v>
      </c>
      <c r="F850">
        <v>2</v>
      </c>
      <c r="G850">
        <v>18</v>
      </c>
      <c r="H850" t="s">
        <v>317</v>
      </c>
      <c r="I850" t="str">
        <f>VLOOKUP(Tabla1[[#This Row],[Code]],'[1]Articulos Precio'!$A:$E,5,FALSE)</f>
        <v>A0000270</v>
      </c>
    </row>
    <row r="851" spans="1:9" x14ac:dyDescent="0.25">
      <c r="A851" t="s">
        <v>316</v>
      </c>
      <c r="B851" t="str">
        <f>VLOOKUP(Tabla1[[#This Row],[Code]],[1]!Tabla4[#Data],2,FALSE)</f>
        <v>M2 Metamark M4 Brillo 252 Azul Oceano 0,61 x 50m</v>
      </c>
      <c r="C851">
        <v>23</v>
      </c>
      <c r="D851" t="s">
        <v>90</v>
      </c>
      <c r="E851" t="str">
        <f>VLOOKUP(Tabla1[[#This Row],[Cód. Atributo]],[1]!Tabla5[#Data],6,FALSE)</f>
        <v>Select</v>
      </c>
      <c r="F851">
        <v>3</v>
      </c>
      <c r="G851">
        <v>1</v>
      </c>
      <c r="H851" t="s">
        <v>110</v>
      </c>
      <c r="I851" t="str">
        <f>VLOOKUP(Tabla1[[#This Row],[Code]],'[1]Articulos Precio'!$A:$E,5,FALSE)</f>
        <v>A0000270</v>
      </c>
    </row>
    <row r="852" spans="1:9" x14ac:dyDescent="0.25">
      <c r="A852" t="s">
        <v>316</v>
      </c>
      <c r="B852" t="str">
        <f>VLOOKUP(Tabla1[[#This Row],[Code]],[1]!Tabla4[#Data],2,FALSE)</f>
        <v>M2 Metamark M4 Brillo 252 Azul Oceano 0,61 x 50m</v>
      </c>
      <c r="C852">
        <v>25</v>
      </c>
      <c r="D852" t="s">
        <v>94</v>
      </c>
      <c r="E852" t="str">
        <f>VLOOKUP(Tabla1[[#This Row],[Cód. Atributo]],[1]!Tabla5[#Data],6,FALSE)</f>
        <v>Select</v>
      </c>
      <c r="F852">
        <v>4</v>
      </c>
      <c r="G852">
        <v>2</v>
      </c>
      <c r="H852" t="s">
        <v>111</v>
      </c>
      <c r="I852" t="str">
        <f>VLOOKUP(Tabla1[[#This Row],[Code]],'[1]Articulos Precio'!$A:$E,5,FALSE)</f>
        <v>A0000270</v>
      </c>
    </row>
    <row r="853" spans="1:9" x14ac:dyDescent="0.25">
      <c r="A853" t="s">
        <v>316</v>
      </c>
      <c r="B853" t="str">
        <f>VLOOKUP(Tabla1[[#This Row],[Code]],[1]!Tabla4[#Data],2,FALSE)</f>
        <v>M2 Metamark M4 Brillo 252 Azul Oceano 0,61 x 50m</v>
      </c>
      <c r="C853">
        <v>28</v>
      </c>
      <c r="D853" t="s">
        <v>92</v>
      </c>
      <c r="E853" t="str">
        <f>VLOOKUP(Tabla1[[#This Row],[Cód. Atributo]],[1]!Tabla5[#Data],6,FALSE)</f>
        <v>Select</v>
      </c>
      <c r="F853">
        <v>5</v>
      </c>
      <c r="G853">
        <v>1</v>
      </c>
      <c r="H853" t="s">
        <v>93</v>
      </c>
      <c r="I853" t="str">
        <f>VLOOKUP(Tabla1[[#This Row],[Code]],'[1]Articulos Precio'!$A:$E,5,FALSE)</f>
        <v>A0000270</v>
      </c>
    </row>
    <row r="854" spans="1:9" x14ac:dyDescent="0.25">
      <c r="A854" t="s">
        <v>316</v>
      </c>
      <c r="B854" t="str">
        <f>VLOOKUP(Tabla1[[#This Row],[Code]],[1]!Tabla4[#Data],2,FALSE)</f>
        <v>M2 Metamark M4 Brillo 252 Azul Oceano 0,61 x 50m</v>
      </c>
      <c r="C854">
        <v>24</v>
      </c>
      <c r="D854" t="s">
        <v>96</v>
      </c>
      <c r="E854" t="str">
        <f>VLOOKUP(Tabla1[[#This Row],[Cód. Atributo]],[1]!Tabla5[#Data],6,FALSE)</f>
        <v>Select</v>
      </c>
      <c r="F854">
        <v>6</v>
      </c>
      <c r="G854">
        <v>2</v>
      </c>
      <c r="H854" t="s">
        <v>266</v>
      </c>
      <c r="I854" t="str">
        <f>VLOOKUP(Tabla1[[#This Row],[Code]],'[1]Articulos Precio'!$A:$E,5,FALSE)</f>
        <v>A0000270</v>
      </c>
    </row>
    <row r="855" spans="1:9" x14ac:dyDescent="0.25">
      <c r="A855" t="s">
        <v>318</v>
      </c>
      <c r="B855" t="str">
        <f>VLOOKUP(Tabla1[[#This Row],[Code]],[1]!Tabla4[#Data],2,FALSE)</f>
        <v>M2 Metamark M4 Brillo 252 Azul Oceano 1,22 x 50m</v>
      </c>
      <c r="C855">
        <v>8</v>
      </c>
      <c r="D855" t="s">
        <v>86</v>
      </c>
      <c r="E855" t="str">
        <f>VLOOKUP(Tabla1[[#This Row],[Cód. Atributo]],[1]!Tabla5[#Data],6,FALSE)</f>
        <v>Select</v>
      </c>
      <c r="F855">
        <v>1</v>
      </c>
      <c r="G855">
        <v>2</v>
      </c>
      <c r="H855" t="s">
        <v>268</v>
      </c>
      <c r="I855" t="str">
        <f>VLOOKUP(Tabla1[[#This Row],[Code]],'[1]Articulos Precio'!$A:$E,5,FALSE)</f>
        <v>A0000270</v>
      </c>
    </row>
    <row r="856" spans="1:9" x14ac:dyDescent="0.25">
      <c r="A856" t="s">
        <v>318</v>
      </c>
      <c r="B856" t="str">
        <f>VLOOKUP(Tabla1[[#This Row],[Code]],[1]!Tabla4[#Data],2,FALSE)</f>
        <v>M2 Metamark M4 Brillo 252 Azul Oceano 1,22 x 50m</v>
      </c>
      <c r="C856">
        <v>21</v>
      </c>
      <c r="D856" t="s">
        <v>264</v>
      </c>
      <c r="E856" t="str">
        <f>VLOOKUP(Tabla1[[#This Row],[Cód. Atributo]],[1]!Tabla5[#Data],6,FALSE)</f>
        <v>Color</v>
      </c>
      <c r="F856">
        <v>2</v>
      </c>
      <c r="G856">
        <v>18</v>
      </c>
      <c r="H856" t="s">
        <v>317</v>
      </c>
      <c r="I856" t="str">
        <f>VLOOKUP(Tabla1[[#This Row],[Code]],'[1]Articulos Precio'!$A:$E,5,FALSE)</f>
        <v>A0000270</v>
      </c>
    </row>
    <row r="857" spans="1:9" x14ac:dyDescent="0.25">
      <c r="A857" t="s">
        <v>318</v>
      </c>
      <c r="B857" t="str">
        <f>VLOOKUP(Tabla1[[#This Row],[Code]],[1]!Tabla4[#Data],2,FALSE)</f>
        <v>M2 Metamark M4 Brillo 252 Azul Oceano 1,22 x 50m</v>
      </c>
      <c r="C857">
        <v>23</v>
      </c>
      <c r="D857" t="s">
        <v>90</v>
      </c>
      <c r="E857" t="str">
        <f>VLOOKUP(Tabla1[[#This Row],[Cód. Atributo]],[1]!Tabla5[#Data],6,FALSE)</f>
        <v>Select</v>
      </c>
      <c r="F857">
        <v>3</v>
      </c>
      <c r="G857">
        <v>1</v>
      </c>
      <c r="H857" t="s">
        <v>110</v>
      </c>
      <c r="I857" t="str">
        <f>VLOOKUP(Tabla1[[#This Row],[Code]],'[1]Articulos Precio'!$A:$E,5,FALSE)</f>
        <v>A0000270</v>
      </c>
    </row>
    <row r="858" spans="1:9" x14ac:dyDescent="0.25">
      <c r="A858" t="s">
        <v>318</v>
      </c>
      <c r="B858" t="str">
        <f>VLOOKUP(Tabla1[[#This Row],[Code]],[1]!Tabla4[#Data],2,FALSE)</f>
        <v>M2 Metamark M4 Brillo 252 Azul Oceano 1,22 x 50m</v>
      </c>
      <c r="C858">
        <v>25</v>
      </c>
      <c r="D858" t="s">
        <v>94</v>
      </c>
      <c r="E858" t="str">
        <f>VLOOKUP(Tabla1[[#This Row],[Cód. Atributo]],[1]!Tabla5[#Data],6,FALSE)</f>
        <v>Select</v>
      </c>
      <c r="F858">
        <v>4</v>
      </c>
      <c r="G858">
        <v>2</v>
      </c>
      <c r="H858" t="s">
        <v>111</v>
      </c>
      <c r="I858" t="str">
        <f>VLOOKUP(Tabla1[[#This Row],[Code]],'[1]Articulos Precio'!$A:$E,5,FALSE)</f>
        <v>A0000270</v>
      </c>
    </row>
    <row r="859" spans="1:9" x14ac:dyDescent="0.25">
      <c r="A859" t="s">
        <v>318</v>
      </c>
      <c r="B859" t="str">
        <f>VLOOKUP(Tabla1[[#This Row],[Code]],[1]!Tabla4[#Data],2,FALSE)</f>
        <v>M2 Metamark M4 Brillo 252 Azul Oceano 1,22 x 50m</v>
      </c>
      <c r="C859">
        <v>28</v>
      </c>
      <c r="D859" t="s">
        <v>184</v>
      </c>
      <c r="E859" t="str">
        <f>VLOOKUP(Tabla1[[#This Row],[Cód. Atributo]],[1]!Tabla5[#Data],6,FALSE)</f>
        <v>Select</v>
      </c>
      <c r="F859">
        <v>5</v>
      </c>
      <c r="G859">
        <v>1</v>
      </c>
      <c r="H859" t="s">
        <v>93</v>
      </c>
      <c r="I859" t="str">
        <f>VLOOKUP(Tabla1[[#This Row],[Code]],'[1]Articulos Precio'!$A:$E,5,FALSE)</f>
        <v>A0000270</v>
      </c>
    </row>
    <row r="860" spans="1:9" x14ac:dyDescent="0.25">
      <c r="A860" t="s">
        <v>318</v>
      </c>
      <c r="B860" t="str">
        <f>VLOOKUP(Tabla1[[#This Row],[Code]],[1]!Tabla4[#Data],2,FALSE)</f>
        <v>M2 Metamark M4 Brillo 252 Azul Oceano 1,22 x 50m</v>
      </c>
      <c r="C860">
        <v>24</v>
      </c>
      <c r="D860" t="s">
        <v>96</v>
      </c>
      <c r="E860" t="str">
        <f>VLOOKUP(Tabla1[[#This Row],[Cód. Atributo]],[1]!Tabla5[#Data],6,FALSE)</f>
        <v>Select</v>
      </c>
      <c r="F860">
        <v>6</v>
      </c>
      <c r="G860">
        <v>2</v>
      </c>
      <c r="H860" t="s">
        <v>266</v>
      </c>
      <c r="I860" t="str">
        <f>VLOOKUP(Tabla1[[#This Row],[Code]],'[1]Articulos Precio'!$A:$E,5,FALSE)</f>
        <v>A0000270</v>
      </c>
    </row>
    <row r="861" spans="1:9" x14ac:dyDescent="0.25">
      <c r="A861" t="s">
        <v>319</v>
      </c>
      <c r="B861" t="str">
        <f>VLOOKUP(Tabla1[[#This Row],[Code]],[1]!Tabla4[#Data],2,FALSE)</f>
        <v>M2 Metamark M4 Brillo 254 Azul Medio 0,61 x 50m</v>
      </c>
      <c r="C861">
        <v>8</v>
      </c>
      <c r="D861" t="s">
        <v>86</v>
      </c>
      <c r="E861" t="str">
        <f>VLOOKUP(Tabla1[[#This Row],[Cód. Atributo]],[1]!Tabla5[#Data],6,FALSE)</f>
        <v>Select</v>
      </c>
      <c r="F861">
        <v>1</v>
      </c>
      <c r="G861">
        <v>1</v>
      </c>
      <c r="H861" t="s">
        <v>263</v>
      </c>
      <c r="I861" t="str">
        <f>VLOOKUP(Tabla1[[#This Row],[Code]],'[1]Articulos Precio'!$A:$E,5,FALSE)</f>
        <v>A0000270</v>
      </c>
    </row>
    <row r="862" spans="1:9" x14ac:dyDescent="0.25">
      <c r="A862" t="s">
        <v>319</v>
      </c>
      <c r="B862" t="str">
        <f>VLOOKUP(Tabla1[[#This Row],[Code]],[1]!Tabla4[#Data],2,FALSE)</f>
        <v>M2 Metamark M4 Brillo 254 Azul Medio 0,61 x 50m</v>
      </c>
      <c r="C862">
        <v>21</v>
      </c>
      <c r="D862" t="s">
        <v>264</v>
      </c>
      <c r="E862" t="str">
        <f>VLOOKUP(Tabla1[[#This Row],[Cód. Atributo]],[1]!Tabla5[#Data],6,FALSE)</f>
        <v>Color</v>
      </c>
      <c r="F862">
        <v>2</v>
      </c>
      <c r="G862">
        <v>19</v>
      </c>
      <c r="H862" t="s">
        <v>320</v>
      </c>
      <c r="I862" t="str">
        <f>VLOOKUP(Tabla1[[#This Row],[Code]],'[1]Articulos Precio'!$A:$E,5,FALSE)</f>
        <v>A0000270</v>
      </c>
    </row>
    <row r="863" spans="1:9" x14ac:dyDescent="0.25">
      <c r="A863" t="s">
        <v>319</v>
      </c>
      <c r="B863" t="str">
        <f>VLOOKUP(Tabla1[[#This Row],[Code]],[1]!Tabla4[#Data],2,FALSE)</f>
        <v>M2 Metamark M4 Brillo 254 Azul Medio 0,61 x 50m</v>
      </c>
      <c r="C863">
        <v>23</v>
      </c>
      <c r="D863" t="s">
        <v>90</v>
      </c>
      <c r="E863" t="str">
        <f>VLOOKUP(Tabla1[[#This Row],[Cód. Atributo]],[1]!Tabla5[#Data],6,FALSE)</f>
        <v>Select</v>
      </c>
      <c r="F863">
        <v>3</v>
      </c>
      <c r="G863">
        <v>1</v>
      </c>
      <c r="H863" t="s">
        <v>110</v>
      </c>
      <c r="I863" t="str">
        <f>VLOOKUP(Tabla1[[#This Row],[Code]],'[1]Articulos Precio'!$A:$E,5,FALSE)</f>
        <v>A0000270</v>
      </c>
    </row>
    <row r="864" spans="1:9" x14ac:dyDescent="0.25">
      <c r="A864" t="s">
        <v>319</v>
      </c>
      <c r="B864" t="str">
        <f>VLOOKUP(Tabla1[[#This Row],[Code]],[1]!Tabla4[#Data],2,FALSE)</f>
        <v>M2 Metamark M4 Brillo 254 Azul Medio 0,61 x 50m</v>
      </c>
      <c r="C864">
        <v>25</v>
      </c>
      <c r="D864" t="s">
        <v>94</v>
      </c>
      <c r="E864" t="str">
        <f>VLOOKUP(Tabla1[[#This Row],[Cód. Atributo]],[1]!Tabla5[#Data],6,FALSE)</f>
        <v>Select</v>
      </c>
      <c r="F864">
        <v>4</v>
      </c>
      <c r="G864">
        <v>2</v>
      </c>
      <c r="H864" t="s">
        <v>111</v>
      </c>
      <c r="I864" t="str">
        <f>VLOOKUP(Tabla1[[#This Row],[Code]],'[1]Articulos Precio'!$A:$E,5,FALSE)</f>
        <v>A0000270</v>
      </c>
    </row>
    <row r="865" spans="1:9" x14ac:dyDescent="0.25">
      <c r="A865" t="s">
        <v>319</v>
      </c>
      <c r="B865" t="str">
        <f>VLOOKUP(Tabla1[[#This Row],[Code]],[1]!Tabla4[#Data],2,FALSE)</f>
        <v>M2 Metamark M4 Brillo 254 Azul Medio 0,61 x 50m</v>
      </c>
      <c r="C865">
        <v>28</v>
      </c>
      <c r="D865" t="s">
        <v>184</v>
      </c>
      <c r="E865" t="str">
        <f>VLOOKUP(Tabla1[[#This Row],[Cód. Atributo]],[1]!Tabla5[#Data],6,FALSE)</f>
        <v>Select</v>
      </c>
      <c r="F865">
        <v>5</v>
      </c>
      <c r="G865">
        <v>1</v>
      </c>
      <c r="H865" t="s">
        <v>93</v>
      </c>
      <c r="I865" t="str">
        <f>VLOOKUP(Tabla1[[#This Row],[Code]],'[1]Articulos Precio'!$A:$E,5,FALSE)</f>
        <v>A0000270</v>
      </c>
    </row>
    <row r="866" spans="1:9" x14ac:dyDescent="0.25">
      <c r="A866" t="s">
        <v>319</v>
      </c>
      <c r="B866" t="str">
        <f>VLOOKUP(Tabla1[[#This Row],[Code]],[1]!Tabla4[#Data],2,FALSE)</f>
        <v>M2 Metamark M4 Brillo 254 Azul Medio 0,61 x 50m</v>
      </c>
      <c r="C866">
        <v>24</v>
      </c>
      <c r="D866" t="s">
        <v>96</v>
      </c>
      <c r="E866" t="str">
        <f>VLOOKUP(Tabla1[[#This Row],[Cód. Atributo]],[1]!Tabla5[#Data],6,FALSE)</f>
        <v>Select</v>
      </c>
      <c r="F866">
        <v>6</v>
      </c>
      <c r="G866">
        <v>2</v>
      </c>
      <c r="H866" t="s">
        <v>266</v>
      </c>
      <c r="I866" t="str">
        <f>VLOOKUP(Tabla1[[#This Row],[Code]],'[1]Articulos Precio'!$A:$E,5,FALSE)</f>
        <v>A0000270</v>
      </c>
    </row>
    <row r="867" spans="1:9" x14ac:dyDescent="0.25">
      <c r="A867" t="s">
        <v>321</v>
      </c>
      <c r="B867" t="str">
        <f>VLOOKUP(Tabla1[[#This Row],[Code]],[1]!Tabla4[#Data],2,FALSE)</f>
        <v>M2 Metamark M4 Brillo 254 Azul Medio 1,22 x 50m</v>
      </c>
      <c r="C867">
        <v>8</v>
      </c>
      <c r="D867" t="s">
        <v>86</v>
      </c>
      <c r="E867" t="str">
        <f>VLOOKUP(Tabla1[[#This Row],[Cód. Atributo]],[1]!Tabla5[#Data],6,FALSE)</f>
        <v>Select</v>
      </c>
      <c r="F867">
        <v>1</v>
      </c>
      <c r="G867">
        <v>2</v>
      </c>
      <c r="H867" t="s">
        <v>268</v>
      </c>
      <c r="I867" t="str">
        <f>VLOOKUP(Tabla1[[#This Row],[Code]],'[1]Articulos Precio'!$A:$E,5,FALSE)</f>
        <v>A0000270</v>
      </c>
    </row>
    <row r="868" spans="1:9" x14ac:dyDescent="0.25">
      <c r="A868" t="s">
        <v>321</v>
      </c>
      <c r="B868" t="str">
        <f>VLOOKUP(Tabla1[[#This Row],[Code]],[1]!Tabla4[#Data],2,FALSE)</f>
        <v>M2 Metamark M4 Brillo 254 Azul Medio 1,22 x 50m</v>
      </c>
      <c r="C868">
        <v>21</v>
      </c>
      <c r="D868" t="s">
        <v>264</v>
      </c>
      <c r="E868" t="str">
        <f>VLOOKUP(Tabla1[[#This Row],[Cód. Atributo]],[1]!Tabla5[#Data],6,FALSE)</f>
        <v>Color</v>
      </c>
      <c r="F868">
        <v>2</v>
      </c>
      <c r="G868">
        <v>19</v>
      </c>
      <c r="H868" t="s">
        <v>320</v>
      </c>
      <c r="I868" t="str">
        <f>VLOOKUP(Tabla1[[#This Row],[Code]],'[1]Articulos Precio'!$A:$E,5,FALSE)</f>
        <v>A0000270</v>
      </c>
    </row>
    <row r="869" spans="1:9" x14ac:dyDescent="0.25">
      <c r="A869" t="s">
        <v>321</v>
      </c>
      <c r="B869" t="str">
        <f>VLOOKUP(Tabla1[[#This Row],[Code]],[1]!Tabla4[#Data],2,FALSE)</f>
        <v>M2 Metamark M4 Brillo 254 Azul Medio 1,22 x 50m</v>
      </c>
      <c r="C869">
        <v>23</v>
      </c>
      <c r="D869" t="s">
        <v>90</v>
      </c>
      <c r="E869" t="str">
        <f>VLOOKUP(Tabla1[[#This Row],[Cód. Atributo]],[1]!Tabla5[#Data],6,FALSE)</f>
        <v>Select</v>
      </c>
      <c r="F869">
        <v>3</v>
      </c>
      <c r="G869">
        <v>1</v>
      </c>
      <c r="H869" t="s">
        <v>110</v>
      </c>
      <c r="I869" t="str">
        <f>VLOOKUP(Tabla1[[#This Row],[Code]],'[1]Articulos Precio'!$A:$E,5,FALSE)</f>
        <v>A0000270</v>
      </c>
    </row>
    <row r="870" spans="1:9" x14ac:dyDescent="0.25">
      <c r="A870" t="s">
        <v>321</v>
      </c>
      <c r="B870" t="str">
        <f>VLOOKUP(Tabla1[[#This Row],[Code]],[1]!Tabla4[#Data],2,FALSE)</f>
        <v>M2 Metamark M4 Brillo 254 Azul Medio 1,22 x 50m</v>
      </c>
      <c r="C870">
        <v>25</v>
      </c>
      <c r="D870" t="s">
        <v>94</v>
      </c>
      <c r="E870" t="str">
        <f>VLOOKUP(Tabla1[[#This Row],[Cód. Atributo]],[1]!Tabla5[#Data],6,FALSE)</f>
        <v>Select</v>
      </c>
      <c r="F870">
        <v>4</v>
      </c>
      <c r="G870">
        <v>2</v>
      </c>
      <c r="H870" t="s">
        <v>111</v>
      </c>
      <c r="I870" t="str">
        <f>VLOOKUP(Tabla1[[#This Row],[Code]],'[1]Articulos Precio'!$A:$E,5,FALSE)</f>
        <v>A0000270</v>
      </c>
    </row>
    <row r="871" spans="1:9" x14ac:dyDescent="0.25">
      <c r="A871" t="s">
        <v>321</v>
      </c>
      <c r="B871" t="str">
        <f>VLOOKUP(Tabla1[[#This Row],[Code]],[1]!Tabla4[#Data],2,FALSE)</f>
        <v>M2 Metamark M4 Brillo 254 Azul Medio 1,22 x 50m</v>
      </c>
      <c r="C871">
        <v>28</v>
      </c>
      <c r="D871" t="s">
        <v>184</v>
      </c>
      <c r="E871" t="str">
        <f>VLOOKUP(Tabla1[[#This Row],[Cód. Atributo]],[1]!Tabla5[#Data],6,FALSE)</f>
        <v>Select</v>
      </c>
      <c r="F871">
        <v>5</v>
      </c>
      <c r="G871">
        <v>1</v>
      </c>
      <c r="H871" t="s">
        <v>93</v>
      </c>
      <c r="I871" t="str">
        <f>VLOOKUP(Tabla1[[#This Row],[Code]],'[1]Articulos Precio'!$A:$E,5,FALSE)</f>
        <v>A0000270</v>
      </c>
    </row>
    <row r="872" spans="1:9" x14ac:dyDescent="0.25">
      <c r="A872" t="s">
        <v>321</v>
      </c>
      <c r="B872" t="str">
        <f>VLOOKUP(Tabla1[[#This Row],[Code]],[1]!Tabla4[#Data],2,FALSE)</f>
        <v>M2 Metamark M4 Brillo 254 Azul Medio 1,22 x 50m</v>
      </c>
      <c r="C872">
        <v>24</v>
      </c>
      <c r="D872" t="s">
        <v>96</v>
      </c>
      <c r="E872" t="str">
        <f>VLOOKUP(Tabla1[[#This Row],[Cód. Atributo]],[1]!Tabla5[#Data],6,FALSE)</f>
        <v>Select</v>
      </c>
      <c r="F872">
        <v>6</v>
      </c>
      <c r="G872">
        <v>2</v>
      </c>
      <c r="H872" t="s">
        <v>266</v>
      </c>
      <c r="I872" t="str">
        <f>VLOOKUP(Tabla1[[#This Row],[Code]],'[1]Articulos Precio'!$A:$E,5,FALSE)</f>
        <v>A0000270</v>
      </c>
    </row>
    <row r="873" spans="1:9" x14ac:dyDescent="0.25">
      <c r="A873" t="s">
        <v>322</v>
      </c>
      <c r="B873" t="str">
        <f>VLOOKUP(Tabla1[[#This Row],[Code]],[1]!Tabla4[#Data],2,FALSE)</f>
        <v>M2 Metamark M4 Brillo 255 Azul Ultramarino 0,61 x 50m</v>
      </c>
      <c r="C873">
        <v>8</v>
      </c>
      <c r="D873" t="s">
        <v>86</v>
      </c>
      <c r="E873" t="str">
        <f>VLOOKUP(Tabla1[[#This Row],[Cód. Atributo]],[1]!Tabla5[#Data],6,FALSE)</f>
        <v>Select</v>
      </c>
      <c r="F873">
        <v>1</v>
      </c>
      <c r="G873">
        <v>1</v>
      </c>
      <c r="H873" t="s">
        <v>263</v>
      </c>
      <c r="I873" t="str">
        <f>VLOOKUP(Tabla1[[#This Row],[Code]],'[1]Articulos Precio'!$A:$E,5,FALSE)</f>
        <v>A0000270</v>
      </c>
    </row>
    <row r="874" spans="1:9" x14ac:dyDescent="0.25">
      <c r="A874" t="s">
        <v>322</v>
      </c>
      <c r="B874" t="str">
        <f>VLOOKUP(Tabla1[[#This Row],[Code]],[1]!Tabla4[#Data],2,FALSE)</f>
        <v>M2 Metamark M4 Brillo 255 Azul Ultramarino 0,61 x 50m</v>
      </c>
      <c r="C874">
        <v>21</v>
      </c>
      <c r="D874" t="s">
        <v>264</v>
      </c>
      <c r="E874" t="str">
        <f>VLOOKUP(Tabla1[[#This Row],[Cód. Atributo]],[1]!Tabla5[#Data],6,FALSE)</f>
        <v>Color</v>
      </c>
      <c r="F874">
        <v>2</v>
      </c>
      <c r="G874">
        <v>20</v>
      </c>
      <c r="H874" t="s">
        <v>323</v>
      </c>
      <c r="I874" t="str">
        <f>VLOOKUP(Tabla1[[#This Row],[Code]],'[1]Articulos Precio'!$A:$E,5,FALSE)</f>
        <v>A0000270</v>
      </c>
    </row>
    <row r="875" spans="1:9" x14ac:dyDescent="0.25">
      <c r="A875" t="s">
        <v>322</v>
      </c>
      <c r="B875" t="str">
        <f>VLOOKUP(Tabla1[[#This Row],[Code]],[1]!Tabla4[#Data],2,FALSE)</f>
        <v>M2 Metamark M4 Brillo 255 Azul Ultramarino 0,61 x 50m</v>
      </c>
      <c r="C875">
        <v>23</v>
      </c>
      <c r="D875" t="s">
        <v>90</v>
      </c>
      <c r="E875" t="str">
        <f>VLOOKUP(Tabla1[[#This Row],[Cód. Atributo]],[1]!Tabla5[#Data],6,FALSE)</f>
        <v>Select</v>
      </c>
      <c r="F875">
        <v>3</v>
      </c>
      <c r="G875">
        <v>1</v>
      </c>
      <c r="H875" t="s">
        <v>110</v>
      </c>
      <c r="I875" t="str">
        <f>VLOOKUP(Tabla1[[#This Row],[Code]],'[1]Articulos Precio'!$A:$E,5,FALSE)</f>
        <v>A0000270</v>
      </c>
    </row>
    <row r="876" spans="1:9" x14ac:dyDescent="0.25">
      <c r="A876" t="s">
        <v>322</v>
      </c>
      <c r="B876" t="str">
        <f>VLOOKUP(Tabla1[[#This Row],[Code]],[1]!Tabla4[#Data],2,FALSE)</f>
        <v>M2 Metamark M4 Brillo 255 Azul Ultramarino 0,61 x 50m</v>
      </c>
      <c r="C876">
        <v>25</v>
      </c>
      <c r="D876" t="s">
        <v>94</v>
      </c>
      <c r="E876" t="str">
        <f>VLOOKUP(Tabla1[[#This Row],[Cód. Atributo]],[1]!Tabla5[#Data],6,FALSE)</f>
        <v>Select</v>
      </c>
      <c r="F876">
        <v>4</v>
      </c>
      <c r="G876">
        <v>2</v>
      </c>
      <c r="H876" t="s">
        <v>111</v>
      </c>
      <c r="I876" t="str">
        <f>VLOOKUP(Tabla1[[#This Row],[Code]],'[1]Articulos Precio'!$A:$E,5,FALSE)</f>
        <v>A0000270</v>
      </c>
    </row>
    <row r="877" spans="1:9" x14ac:dyDescent="0.25">
      <c r="A877" t="s">
        <v>322</v>
      </c>
      <c r="B877" t="str">
        <f>VLOOKUP(Tabla1[[#This Row],[Code]],[1]!Tabla4[#Data],2,FALSE)</f>
        <v>M2 Metamark M4 Brillo 255 Azul Ultramarino 0,61 x 50m</v>
      </c>
      <c r="C877">
        <v>28</v>
      </c>
      <c r="D877" t="s">
        <v>92</v>
      </c>
      <c r="E877" t="str">
        <f>VLOOKUP(Tabla1[[#This Row],[Cód. Atributo]],[1]!Tabla5[#Data],6,FALSE)</f>
        <v>Select</v>
      </c>
      <c r="F877">
        <v>5</v>
      </c>
      <c r="G877">
        <v>1</v>
      </c>
      <c r="H877" t="s">
        <v>93</v>
      </c>
      <c r="I877" t="str">
        <f>VLOOKUP(Tabla1[[#This Row],[Code]],'[1]Articulos Precio'!$A:$E,5,FALSE)</f>
        <v>A0000270</v>
      </c>
    </row>
    <row r="878" spans="1:9" x14ac:dyDescent="0.25">
      <c r="A878" t="s">
        <v>322</v>
      </c>
      <c r="B878" t="str">
        <f>VLOOKUP(Tabla1[[#This Row],[Code]],[1]!Tabla4[#Data],2,FALSE)</f>
        <v>M2 Metamark M4 Brillo 255 Azul Ultramarino 0,61 x 50m</v>
      </c>
      <c r="C878">
        <v>24</v>
      </c>
      <c r="D878" t="s">
        <v>96</v>
      </c>
      <c r="E878" t="str">
        <f>VLOOKUP(Tabla1[[#This Row],[Cód. Atributo]],[1]!Tabla5[#Data],6,FALSE)</f>
        <v>Select</v>
      </c>
      <c r="F878">
        <v>6</v>
      </c>
      <c r="G878">
        <v>2</v>
      </c>
      <c r="H878" t="s">
        <v>266</v>
      </c>
      <c r="I878" t="str">
        <f>VLOOKUP(Tabla1[[#This Row],[Code]],'[1]Articulos Precio'!$A:$E,5,FALSE)</f>
        <v>A0000270</v>
      </c>
    </row>
    <row r="879" spans="1:9" x14ac:dyDescent="0.25">
      <c r="A879" t="s">
        <v>324</v>
      </c>
      <c r="B879" t="str">
        <f>VLOOKUP(Tabla1[[#This Row],[Code]],[1]!Tabla4[#Data],2,FALSE)</f>
        <v>M2 Metamark M4 Brillo 255 Azul Ultramarino 1,22 x 50m</v>
      </c>
      <c r="C879">
        <v>8</v>
      </c>
      <c r="D879" t="s">
        <v>86</v>
      </c>
      <c r="E879" t="str">
        <f>VLOOKUP(Tabla1[[#This Row],[Cód. Atributo]],[1]!Tabla5[#Data],6,FALSE)</f>
        <v>Select</v>
      </c>
      <c r="F879">
        <v>1</v>
      </c>
      <c r="G879">
        <v>2</v>
      </c>
      <c r="H879" t="s">
        <v>268</v>
      </c>
      <c r="I879" t="str">
        <f>VLOOKUP(Tabla1[[#This Row],[Code]],'[1]Articulos Precio'!$A:$E,5,FALSE)</f>
        <v>A0000270</v>
      </c>
    </row>
    <row r="880" spans="1:9" x14ac:dyDescent="0.25">
      <c r="A880" t="s">
        <v>324</v>
      </c>
      <c r="B880" t="str">
        <f>VLOOKUP(Tabla1[[#This Row],[Code]],[1]!Tabla4[#Data],2,FALSE)</f>
        <v>M2 Metamark M4 Brillo 255 Azul Ultramarino 1,22 x 50m</v>
      </c>
      <c r="C880">
        <v>21</v>
      </c>
      <c r="D880" t="s">
        <v>264</v>
      </c>
      <c r="E880" t="str">
        <f>VLOOKUP(Tabla1[[#This Row],[Cód. Atributo]],[1]!Tabla5[#Data],6,FALSE)</f>
        <v>Color</v>
      </c>
      <c r="F880">
        <v>2</v>
      </c>
      <c r="G880">
        <v>20</v>
      </c>
      <c r="H880" t="s">
        <v>323</v>
      </c>
      <c r="I880" t="str">
        <f>VLOOKUP(Tabla1[[#This Row],[Code]],'[1]Articulos Precio'!$A:$E,5,FALSE)</f>
        <v>A0000270</v>
      </c>
    </row>
    <row r="881" spans="1:9" x14ac:dyDescent="0.25">
      <c r="A881" t="s">
        <v>324</v>
      </c>
      <c r="B881" t="str">
        <f>VLOOKUP(Tabla1[[#This Row],[Code]],[1]!Tabla4[#Data],2,FALSE)</f>
        <v>M2 Metamark M4 Brillo 255 Azul Ultramarino 1,22 x 50m</v>
      </c>
      <c r="C881">
        <v>23</v>
      </c>
      <c r="D881" t="s">
        <v>90</v>
      </c>
      <c r="E881" t="str">
        <f>VLOOKUP(Tabla1[[#This Row],[Cód. Atributo]],[1]!Tabla5[#Data],6,FALSE)</f>
        <v>Select</v>
      </c>
      <c r="F881">
        <v>3</v>
      </c>
      <c r="G881">
        <v>1</v>
      </c>
      <c r="H881" t="s">
        <v>110</v>
      </c>
      <c r="I881" t="str">
        <f>VLOOKUP(Tabla1[[#This Row],[Code]],'[1]Articulos Precio'!$A:$E,5,FALSE)</f>
        <v>A0000270</v>
      </c>
    </row>
    <row r="882" spans="1:9" x14ac:dyDescent="0.25">
      <c r="A882" t="s">
        <v>324</v>
      </c>
      <c r="B882" t="str">
        <f>VLOOKUP(Tabla1[[#This Row],[Code]],[1]!Tabla4[#Data],2,FALSE)</f>
        <v>M2 Metamark M4 Brillo 255 Azul Ultramarino 1,22 x 50m</v>
      </c>
      <c r="C882">
        <v>25</v>
      </c>
      <c r="D882" t="s">
        <v>94</v>
      </c>
      <c r="E882" t="str">
        <f>VLOOKUP(Tabla1[[#This Row],[Cód. Atributo]],[1]!Tabla5[#Data],6,FALSE)</f>
        <v>Select</v>
      </c>
      <c r="F882">
        <v>4</v>
      </c>
      <c r="G882">
        <v>2</v>
      </c>
      <c r="H882" t="s">
        <v>111</v>
      </c>
      <c r="I882" t="str">
        <f>VLOOKUP(Tabla1[[#This Row],[Code]],'[1]Articulos Precio'!$A:$E,5,FALSE)</f>
        <v>A0000270</v>
      </c>
    </row>
    <row r="883" spans="1:9" x14ac:dyDescent="0.25">
      <c r="A883" t="s">
        <v>324</v>
      </c>
      <c r="B883" t="str">
        <f>VLOOKUP(Tabla1[[#This Row],[Code]],[1]!Tabla4[#Data],2,FALSE)</f>
        <v>M2 Metamark M4 Brillo 255 Azul Ultramarino 1,22 x 50m</v>
      </c>
      <c r="C883">
        <v>28</v>
      </c>
      <c r="D883" t="s">
        <v>184</v>
      </c>
      <c r="E883" t="str">
        <f>VLOOKUP(Tabla1[[#This Row],[Cód. Atributo]],[1]!Tabla5[#Data],6,FALSE)</f>
        <v>Select</v>
      </c>
      <c r="F883">
        <v>5</v>
      </c>
      <c r="G883">
        <v>1</v>
      </c>
      <c r="H883" t="s">
        <v>93</v>
      </c>
      <c r="I883" t="str">
        <f>VLOOKUP(Tabla1[[#This Row],[Code]],'[1]Articulos Precio'!$A:$E,5,FALSE)</f>
        <v>A0000270</v>
      </c>
    </row>
    <row r="884" spans="1:9" x14ac:dyDescent="0.25">
      <c r="A884" t="s">
        <v>324</v>
      </c>
      <c r="B884" t="str">
        <f>VLOOKUP(Tabla1[[#This Row],[Code]],[1]!Tabla4[#Data],2,FALSE)</f>
        <v>M2 Metamark M4 Brillo 255 Azul Ultramarino 1,22 x 50m</v>
      </c>
      <c r="C884">
        <v>24</v>
      </c>
      <c r="D884" t="s">
        <v>96</v>
      </c>
      <c r="E884" t="str">
        <f>VLOOKUP(Tabla1[[#This Row],[Cód. Atributo]],[1]!Tabla5[#Data],6,FALSE)</f>
        <v>Select</v>
      </c>
      <c r="F884">
        <v>6</v>
      </c>
      <c r="G884">
        <v>2</v>
      </c>
      <c r="H884" t="s">
        <v>266</v>
      </c>
      <c r="I884" t="str">
        <f>VLOOKUP(Tabla1[[#This Row],[Code]],'[1]Articulos Precio'!$A:$E,5,FALSE)</f>
        <v>A0000270</v>
      </c>
    </row>
    <row r="885" spans="1:9" x14ac:dyDescent="0.25">
      <c r="A885" t="s">
        <v>325</v>
      </c>
      <c r="B885" t="str">
        <f>VLOOKUP(Tabla1[[#This Row],[Code]],[1]!Tabla4[#Data],2,FALSE)</f>
        <v>M2 Metamark M4 Brillo 258 Azul Cielo 0,61 x 50m</v>
      </c>
      <c r="C885">
        <v>8</v>
      </c>
      <c r="D885" t="s">
        <v>86</v>
      </c>
      <c r="E885" t="str">
        <f>VLOOKUP(Tabla1[[#This Row],[Cód. Atributo]],[1]!Tabla5[#Data],6,FALSE)</f>
        <v>Select</v>
      </c>
      <c r="F885">
        <v>1</v>
      </c>
      <c r="G885">
        <v>1</v>
      </c>
      <c r="H885" t="s">
        <v>263</v>
      </c>
      <c r="I885" t="str">
        <f>VLOOKUP(Tabla1[[#This Row],[Code]],'[1]Articulos Precio'!$A:$E,5,FALSE)</f>
        <v>A0000270</v>
      </c>
    </row>
    <row r="886" spans="1:9" x14ac:dyDescent="0.25">
      <c r="A886" t="s">
        <v>325</v>
      </c>
      <c r="B886" t="str">
        <f>VLOOKUP(Tabla1[[#This Row],[Code]],[1]!Tabla4[#Data],2,FALSE)</f>
        <v>M2 Metamark M4 Brillo 258 Azul Cielo 0,61 x 50m</v>
      </c>
      <c r="C886">
        <v>21</v>
      </c>
      <c r="D886" t="s">
        <v>264</v>
      </c>
      <c r="E886" t="str">
        <f>VLOOKUP(Tabla1[[#This Row],[Cód. Atributo]],[1]!Tabla5[#Data],6,FALSE)</f>
        <v>Color</v>
      </c>
      <c r="F886">
        <v>2</v>
      </c>
      <c r="G886">
        <v>21</v>
      </c>
      <c r="H886" t="s">
        <v>326</v>
      </c>
      <c r="I886" t="str">
        <f>VLOOKUP(Tabla1[[#This Row],[Code]],'[1]Articulos Precio'!$A:$E,5,FALSE)</f>
        <v>A0000270</v>
      </c>
    </row>
    <row r="887" spans="1:9" x14ac:dyDescent="0.25">
      <c r="A887" t="s">
        <v>325</v>
      </c>
      <c r="B887" t="str">
        <f>VLOOKUP(Tabla1[[#This Row],[Code]],[1]!Tabla4[#Data],2,FALSE)</f>
        <v>M2 Metamark M4 Brillo 258 Azul Cielo 0,61 x 50m</v>
      </c>
      <c r="C887">
        <v>23</v>
      </c>
      <c r="D887" t="s">
        <v>90</v>
      </c>
      <c r="E887" t="str">
        <f>VLOOKUP(Tabla1[[#This Row],[Cód. Atributo]],[1]!Tabla5[#Data],6,FALSE)</f>
        <v>Select</v>
      </c>
      <c r="F887">
        <v>3</v>
      </c>
      <c r="G887">
        <v>1</v>
      </c>
      <c r="H887" t="s">
        <v>110</v>
      </c>
      <c r="I887" t="str">
        <f>VLOOKUP(Tabla1[[#This Row],[Code]],'[1]Articulos Precio'!$A:$E,5,FALSE)</f>
        <v>A0000270</v>
      </c>
    </row>
    <row r="888" spans="1:9" x14ac:dyDescent="0.25">
      <c r="A888" t="s">
        <v>325</v>
      </c>
      <c r="B888" t="str">
        <f>VLOOKUP(Tabla1[[#This Row],[Code]],[1]!Tabla4[#Data],2,FALSE)</f>
        <v>M2 Metamark M4 Brillo 258 Azul Cielo 0,61 x 50m</v>
      </c>
      <c r="C888">
        <v>25</v>
      </c>
      <c r="D888" t="s">
        <v>94</v>
      </c>
      <c r="E888" t="str">
        <f>VLOOKUP(Tabla1[[#This Row],[Cód. Atributo]],[1]!Tabla5[#Data],6,FALSE)</f>
        <v>Select</v>
      </c>
      <c r="F888">
        <v>4</v>
      </c>
      <c r="G888">
        <v>2</v>
      </c>
      <c r="H888" t="s">
        <v>111</v>
      </c>
      <c r="I888" t="str">
        <f>VLOOKUP(Tabla1[[#This Row],[Code]],'[1]Articulos Precio'!$A:$E,5,FALSE)</f>
        <v>A0000270</v>
      </c>
    </row>
    <row r="889" spans="1:9" x14ac:dyDescent="0.25">
      <c r="A889" t="s">
        <v>325</v>
      </c>
      <c r="B889" t="str">
        <f>VLOOKUP(Tabla1[[#This Row],[Code]],[1]!Tabla4[#Data],2,FALSE)</f>
        <v>M2 Metamark M4 Brillo 258 Azul Cielo 0,61 x 50m</v>
      </c>
      <c r="C889">
        <v>28</v>
      </c>
      <c r="D889" t="s">
        <v>92</v>
      </c>
      <c r="E889" t="str">
        <f>VLOOKUP(Tabla1[[#This Row],[Cód. Atributo]],[1]!Tabla5[#Data],6,FALSE)</f>
        <v>Select</v>
      </c>
      <c r="F889">
        <v>5</v>
      </c>
      <c r="G889">
        <v>1</v>
      </c>
      <c r="H889" t="s">
        <v>93</v>
      </c>
      <c r="I889" t="str">
        <f>VLOOKUP(Tabla1[[#This Row],[Code]],'[1]Articulos Precio'!$A:$E,5,FALSE)</f>
        <v>A0000270</v>
      </c>
    </row>
    <row r="890" spans="1:9" x14ac:dyDescent="0.25">
      <c r="A890" t="s">
        <v>325</v>
      </c>
      <c r="B890" t="str">
        <f>VLOOKUP(Tabla1[[#This Row],[Code]],[1]!Tabla4[#Data],2,FALSE)</f>
        <v>M2 Metamark M4 Brillo 258 Azul Cielo 0,61 x 50m</v>
      </c>
      <c r="C890">
        <v>24</v>
      </c>
      <c r="D890" t="s">
        <v>96</v>
      </c>
      <c r="E890" t="str">
        <f>VLOOKUP(Tabla1[[#This Row],[Cód. Atributo]],[1]!Tabla5[#Data],6,FALSE)</f>
        <v>Select</v>
      </c>
      <c r="F890">
        <v>6</v>
      </c>
      <c r="G890">
        <v>2</v>
      </c>
      <c r="H890" t="s">
        <v>266</v>
      </c>
      <c r="I890" t="str">
        <f>VLOOKUP(Tabla1[[#This Row],[Code]],'[1]Articulos Precio'!$A:$E,5,FALSE)</f>
        <v>A0000270</v>
      </c>
    </row>
    <row r="891" spans="1:9" x14ac:dyDescent="0.25">
      <c r="A891" t="s">
        <v>327</v>
      </c>
      <c r="B891" t="str">
        <f>VLOOKUP(Tabla1[[#This Row],[Code]],[1]!Tabla4[#Data],2,FALSE)</f>
        <v>M2 Metamark M4 Brillo 258 Azul Cielo 1,22 x 50m</v>
      </c>
      <c r="C891">
        <v>8</v>
      </c>
      <c r="D891" t="s">
        <v>86</v>
      </c>
      <c r="E891" t="str">
        <f>VLOOKUP(Tabla1[[#This Row],[Cód. Atributo]],[1]!Tabla5[#Data],6,FALSE)</f>
        <v>Select</v>
      </c>
      <c r="F891">
        <v>1</v>
      </c>
      <c r="G891">
        <v>2</v>
      </c>
      <c r="H891" t="s">
        <v>268</v>
      </c>
      <c r="I891" t="str">
        <f>VLOOKUP(Tabla1[[#This Row],[Code]],'[1]Articulos Precio'!$A:$E,5,FALSE)</f>
        <v>A0000270</v>
      </c>
    </row>
    <row r="892" spans="1:9" x14ac:dyDescent="0.25">
      <c r="A892" t="s">
        <v>327</v>
      </c>
      <c r="B892" t="str">
        <f>VLOOKUP(Tabla1[[#This Row],[Code]],[1]!Tabla4[#Data],2,FALSE)</f>
        <v>M2 Metamark M4 Brillo 258 Azul Cielo 1,22 x 50m</v>
      </c>
      <c r="C892">
        <v>21</v>
      </c>
      <c r="D892" t="s">
        <v>264</v>
      </c>
      <c r="E892" t="str">
        <f>VLOOKUP(Tabla1[[#This Row],[Cód. Atributo]],[1]!Tabla5[#Data],6,FALSE)</f>
        <v>Color</v>
      </c>
      <c r="F892">
        <v>2</v>
      </c>
      <c r="G892">
        <v>21</v>
      </c>
      <c r="H892" t="s">
        <v>326</v>
      </c>
      <c r="I892" t="str">
        <f>VLOOKUP(Tabla1[[#This Row],[Code]],'[1]Articulos Precio'!$A:$E,5,FALSE)</f>
        <v>A0000270</v>
      </c>
    </row>
    <row r="893" spans="1:9" x14ac:dyDescent="0.25">
      <c r="A893" t="s">
        <v>327</v>
      </c>
      <c r="B893" t="str">
        <f>VLOOKUP(Tabla1[[#This Row],[Code]],[1]!Tabla4[#Data],2,FALSE)</f>
        <v>M2 Metamark M4 Brillo 258 Azul Cielo 1,22 x 50m</v>
      </c>
      <c r="C893">
        <v>23</v>
      </c>
      <c r="D893" t="s">
        <v>90</v>
      </c>
      <c r="E893" t="str">
        <f>VLOOKUP(Tabla1[[#This Row],[Cód. Atributo]],[1]!Tabla5[#Data],6,FALSE)</f>
        <v>Select</v>
      </c>
      <c r="F893">
        <v>3</v>
      </c>
      <c r="G893">
        <v>1</v>
      </c>
      <c r="H893" t="s">
        <v>110</v>
      </c>
      <c r="I893" t="str">
        <f>VLOOKUP(Tabla1[[#This Row],[Code]],'[1]Articulos Precio'!$A:$E,5,FALSE)</f>
        <v>A0000270</v>
      </c>
    </row>
    <row r="894" spans="1:9" x14ac:dyDescent="0.25">
      <c r="A894" t="s">
        <v>327</v>
      </c>
      <c r="B894" t="str">
        <f>VLOOKUP(Tabla1[[#This Row],[Code]],[1]!Tabla4[#Data],2,FALSE)</f>
        <v>M2 Metamark M4 Brillo 258 Azul Cielo 1,22 x 50m</v>
      </c>
      <c r="C894">
        <v>25</v>
      </c>
      <c r="D894" t="s">
        <v>94</v>
      </c>
      <c r="E894" t="str">
        <f>VLOOKUP(Tabla1[[#This Row],[Cód. Atributo]],[1]!Tabla5[#Data],6,FALSE)</f>
        <v>Select</v>
      </c>
      <c r="F894">
        <v>4</v>
      </c>
      <c r="G894">
        <v>2</v>
      </c>
      <c r="H894" t="s">
        <v>111</v>
      </c>
      <c r="I894" t="str">
        <f>VLOOKUP(Tabla1[[#This Row],[Code]],'[1]Articulos Precio'!$A:$E,5,FALSE)</f>
        <v>A0000270</v>
      </c>
    </row>
    <row r="895" spans="1:9" x14ac:dyDescent="0.25">
      <c r="A895" t="s">
        <v>327</v>
      </c>
      <c r="B895" t="str">
        <f>VLOOKUP(Tabla1[[#This Row],[Code]],[1]!Tabla4[#Data],2,FALSE)</f>
        <v>M2 Metamark M4 Brillo 258 Azul Cielo 1,22 x 50m</v>
      </c>
      <c r="C895">
        <v>28</v>
      </c>
      <c r="D895" t="s">
        <v>184</v>
      </c>
      <c r="E895" t="str">
        <f>VLOOKUP(Tabla1[[#This Row],[Cód. Atributo]],[1]!Tabla5[#Data],6,FALSE)</f>
        <v>Select</v>
      </c>
      <c r="F895">
        <v>5</v>
      </c>
      <c r="G895">
        <v>1</v>
      </c>
      <c r="H895" t="s">
        <v>93</v>
      </c>
      <c r="I895" t="str">
        <f>VLOOKUP(Tabla1[[#This Row],[Code]],'[1]Articulos Precio'!$A:$E,5,FALSE)</f>
        <v>A0000270</v>
      </c>
    </row>
    <row r="896" spans="1:9" x14ac:dyDescent="0.25">
      <c r="A896" t="s">
        <v>327</v>
      </c>
      <c r="B896" t="str">
        <f>VLOOKUP(Tabla1[[#This Row],[Code]],[1]!Tabla4[#Data],2,FALSE)</f>
        <v>M2 Metamark M4 Brillo 258 Azul Cielo 1,22 x 50m</v>
      </c>
      <c r="C896">
        <v>24</v>
      </c>
      <c r="D896" t="s">
        <v>96</v>
      </c>
      <c r="E896" t="str">
        <f>VLOOKUP(Tabla1[[#This Row],[Cód. Atributo]],[1]!Tabla5[#Data],6,FALSE)</f>
        <v>Select</v>
      </c>
      <c r="F896">
        <v>6</v>
      </c>
      <c r="G896">
        <v>2</v>
      </c>
      <c r="H896" t="s">
        <v>266</v>
      </c>
      <c r="I896" t="str">
        <f>VLOOKUP(Tabla1[[#This Row],[Code]],'[1]Articulos Precio'!$A:$E,5,FALSE)</f>
        <v>A0000270</v>
      </c>
    </row>
    <row r="897" spans="1:9" x14ac:dyDescent="0.25">
      <c r="A897" t="s">
        <v>328</v>
      </c>
      <c r="B897" t="str">
        <f>VLOOKUP(Tabla1[[#This Row],[Code]],[1]!Tabla4[#Data],2,FALSE)</f>
        <v>M2 Metamark M4 Brillo 259 Azul Cobalto 0,61 x 50m</v>
      </c>
      <c r="C897">
        <v>8</v>
      </c>
      <c r="D897" t="s">
        <v>86</v>
      </c>
      <c r="E897" t="str">
        <f>VLOOKUP(Tabla1[[#This Row],[Cód. Atributo]],[1]!Tabla5[#Data],6,FALSE)</f>
        <v>Select</v>
      </c>
      <c r="F897">
        <v>1</v>
      </c>
      <c r="G897">
        <v>1</v>
      </c>
      <c r="H897" t="s">
        <v>263</v>
      </c>
      <c r="I897" t="str">
        <f>VLOOKUP(Tabla1[[#This Row],[Code]],'[1]Articulos Precio'!$A:$E,5,FALSE)</f>
        <v>A0000270</v>
      </c>
    </row>
    <row r="898" spans="1:9" x14ac:dyDescent="0.25">
      <c r="A898" t="s">
        <v>328</v>
      </c>
      <c r="B898" t="str">
        <f>VLOOKUP(Tabla1[[#This Row],[Code]],[1]!Tabla4[#Data],2,FALSE)</f>
        <v>M2 Metamark M4 Brillo 259 Azul Cobalto 0,61 x 50m</v>
      </c>
      <c r="C898">
        <v>21</v>
      </c>
      <c r="D898" t="s">
        <v>264</v>
      </c>
      <c r="E898" t="str">
        <f>VLOOKUP(Tabla1[[#This Row],[Cód. Atributo]],[1]!Tabla5[#Data],6,FALSE)</f>
        <v>Color</v>
      </c>
      <c r="F898">
        <v>2</v>
      </c>
      <c r="G898">
        <v>22</v>
      </c>
      <c r="H898" t="s">
        <v>329</v>
      </c>
      <c r="I898" t="str">
        <f>VLOOKUP(Tabla1[[#This Row],[Code]],'[1]Articulos Precio'!$A:$E,5,FALSE)</f>
        <v>A0000270</v>
      </c>
    </row>
    <row r="899" spans="1:9" x14ac:dyDescent="0.25">
      <c r="A899" t="s">
        <v>328</v>
      </c>
      <c r="B899" t="str">
        <f>VLOOKUP(Tabla1[[#This Row],[Code]],[1]!Tabla4[#Data],2,FALSE)</f>
        <v>M2 Metamark M4 Brillo 259 Azul Cobalto 0,61 x 50m</v>
      </c>
      <c r="C899">
        <v>23</v>
      </c>
      <c r="D899" t="s">
        <v>90</v>
      </c>
      <c r="E899" t="str">
        <f>VLOOKUP(Tabla1[[#This Row],[Cód. Atributo]],[1]!Tabla5[#Data],6,FALSE)</f>
        <v>Select</v>
      </c>
      <c r="F899">
        <v>3</v>
      </c>
      <c r="G899">
        <v>1</v>
      </c>
      <c r="H899" t="s">
        <v>110</v>
      </c>
      <c r="I899" t="str">
        <f>VLOOKUP(Tabla1[[#This Row],[Code]],'[1]Articulos Precio'!$A:$E,5,FALSE)</f>
        <v>A0000270</v>
      </c>
    </row>
    <row r="900" spans="1:9" x14ac:dyDescent="0.25">
      <c r="A900" t="s">
        <v>328</v>
      </c>
      <c r="B900" t="str">
        <f>VLOOKUP(Tabla1[[#This Row],[Code]],[1]!Tabla4[#Data],2,FALSE)</f>
        <v>M2 Metamark M4 Brillo 259 Azul Cobalto 0,61 x 50m</v>
      </c>
      <c r="C900">
        <v>25</v>
      </c>
      <c r="D900" t="s">
        <v>94</v>
      </c>
      <c r="E900" t="str">
        <f>VLOOKUP(Tabla1[[#This Row],[Cód. Atributo]],[1]!Tabla5[#Data],6,FALSE)</f>
        <v>Select</v>
      </c>
      <c r="F900">
        <v>4</v>
      </c>
      <c r="G900">
        <v>2</v>
      </c>
      <c r="H900" t="s">
        <v>111</v>
      </c>
      <c r="I900" t="str">
        <f>VLOOKUP(Tabla1[[#This Row],[Code]],'[1]Articulos Precio'!$A:$E,5,FALSE)</f>
        <v>A0000270</v>
      </c>
    </row>
    <row r="901" spans="1:9" x14ac:dyDescent="0.25">
      <c r="A901" t="s">
        <v>328</v>
      </c>
      <c r="B901" t="str">
        <f>VLOOKUP(Tabla1[[#This Row],[Code]],[1]!Tabla4[#Data],2,FALSE)</f>
        <v>M2 Metamark M4 Brillo 259 Azul Cobalto 0,61 x 50m</v>
      </c>
      <c r="C901">
        <v>28</v>
      </c>
      <c r="D901" t="s">
        <v>92</v>
      </c>
      <c r="E901" t="str">
        <f>VLOOKUP(Tabla1[[#This Row],[Cód. Atributo]],[1]!Tabla5[#Data],6,FALSE)</f>
        <v>Select</v>
      </c>
      <c r="F901">
        <v>5</v>
      </c>
      <c r="G901">
        <v>1</v>
      </c>
      <c r="H901" t="s">
        <v>93</v>
      </c>
      <c r="I901" t="str">
        <f>VLOOKUP(Tabla1[[#This Row],[Code]],'[1]Articulos Precio'!$A:$E,5,FALSE)</f>
        <v>A0000270</v>
      </c>
    </row>
    <row r="902" spans="1:9" x14ac:dyDescent="0.25">
      <c r="A902" t="s">
        <v>328</v>
      </c>
      <c r="B902" t="str">
        <f>VLOOKUP(Tabla1[[#This Row],[Code]],[1]!Tabla4[#Data],2,FALSE)</f>
        <v>M2 Metamark M4 Brillo 259 Azul Cobalto 0,61 x 50m</v>
      </c>
      <c r="C902">
        <v>24</v>
      </c>
      <c r="D902" t="s">
        <v>96</v>
      </c>
      <c r="E902" t="str">
        <f>VLOOKUP(Tabla1[[#This Row],[Cód. Atributo]],[1]!Tabla5[#Data],6,FALSE)</f>
        <v>Select</v>
      </c>
      <c r="F902">
        <v>6</v>
      </c>
      <c r="G902">
        <v>2</v>
      </c>
      <c r="H902" t="s">
        <v>266</v>
      </c>
      <c r="I902" t="str">
        <f>VLOOKUP(Tabla1[[#This Row],[Code]],'[1]Articulos Precio'!$A:$E,5,FALSE)</f>
        <v>A0000270</v>
      </c>
    </row>
    <row r="903" spans="1:9" x14ac:dyDescent="0.25">
      <c r="A903" t="s">
        <v>330</v>
      </c>
      <c r="B903" t="str">
        <f>VLOOKUP(Tabla1[[#This Row],[Code]],[1]!Tabla4[#Data],2,FALSE)</f>
        <v>M2 Metamark M4 Brillo 259 Azul Cobalto 1,22 x 50m</v>
      </c>
      <c r="C903">
        <v>8</v>
      </c>
      <c r="D903" t="s">
        <v>86</v>
      </c>
      <c r="E903" t="str">
        <f>VLOOKUP(Tabla1[[#This Row],[Cód. Atributo]],[1]!Tabla5[#Data],6,FALSE)</f>
        <v>Select</v>
      </c>
      <c r="F903">
        <v>1</v>
      </c>
      <c r="G903">
        <v>2</v>
      </c>
      <c r="H903" t="s">
        <v>268</v>
      </c>
      <c r="I903" t="str">
        <f>VLOOKUP(Tabla1[[#This Row],[Code]],'[1]Articulos Precio'!$A:$E,5,FALSE)</f>
        <v>A0000270</v>
      </c>
    </row>
    <row r="904" spans="1:9" x14ac:dyDescent="0.25">
      <c r="A904" t="s">
        <v>330</v>
      </c>
      <c r="B904" t="str">
        <f>VLOOKUP(Tabla1[[#This Row],[Code]],[1]!Tabla4[#Data],2,FALSE)</f>
        <v>M2 Metamark M4 Brillo 259 Azul Cobalto 1,22 x 50m</v>
      </c>
      <c r="C904">
        <v>21</v>
      </c>
      <c r="D904" t="s">
        <v>264</v>
      </c>
      <c r="E904" t="str">
        <f>VLOOKUP(Tabla1[[#This Row],[Cód. Atributo]],[1]!Tabla5[#Data],6,FALSE)</f>
        <v>Color</v>
      </c>
      <c r="F904">
        <v>2</v>
      </c>
      <c r="G904">
        <v>22</v>
      </c>
      <c r="H904" t="s">
        <v>329</v>
      </c>
      <c r="I904" t="str">
        <f>VLOOKUP(Tabla1[[#This Row],[Code]],'[1]Articulos Precio'!$A:$E,5,FALSE)</f>
        <v>A0000270</v>
      </c>
    </row>
    <row r="905" spans="1:9" x14ac:dyDescent="0.25">
      <c r="A905" t="s">
        <v>330</v>
      </c>
      <c r="B905" t="str">
        <f>VLOOKUP(Tabla1[[#This Row],[Code]],[1]!Tabla4[#Data],2,FALSE)</f>
        <v>M2 Metamark M4 Brillo 259 Azul Cobalto 1,22 x 50m</v>
      </c>
      <c r="C905">
        <v>23</v>
      </c>
      <c r="D905" t="s">
        <v>90</v>
      </c>
      <c r="E905" t="str">
        <f>VLOOKUP(Tabla1[[#This Row],[Cód. Atributo]],[1]!Tabla5[#Data],6,FALSE)</f>
        <v>Select</v>
      </c>
      <c r="F905">
        <v>3</v>
      </c>
      <c r="G905">
        <v>1</v>
      </c>
      <c r="H905" t="s">
        <v>110</v>
      </c>
      <c r="I905" t="str">
        <f>VLOOKUP(Tabla1[[#This Row],[Code]],'[1]Articulos Precio'!$A:$E,5,FALSE)</f>
        <v>A0000270</v>
      </c>
    </row>
    <row r="906" spans="1:9" x14ac:dyDescent="0.25">
      <c r="A906" t="s">
        <v>330</v>
      </c>
      <c r="B906" t="str">
        <f>VLOOKUP(Tabla1[[#This Row],[Code]],[1]!Tabla4[#Data],2,FALSE)</f>
        <v>M2 Metamark M4 Brillo 259 Azul Cobalto 1,22 x 50m</v>
      </c>
      <c r="C906">
        <v>25</v>
      </c>
      <c r="D906" t="s">
        <v>94</v>
      </c>
      <c r="E906" t="str">
        <f>VLOOKUP(Tabla1[[#This Row],[Cód. Atributo]],[1]!Tabla5[#Data],6,FALSE)</f>
        <v>Select</v>
      </c>
      <c r="F906">
        <v>4</v>
      </c>
      <c r="G906">
        <v>2</v>
      </c>
      <c r="H906" t="s">
        <v>111</v>
      </c>
      <c r="I906" t="str">
        <f>VLOOKUP(Tabla1[[#This Row],[Code]],'[1]Articulos Precio'!$A:$E,5,FALSE)</f>
        <v>A0000270</v>
      </c>
    </row>
    <row r="907" spans="1:9" x14ac:dyDescent="0.25">
      <c r="A907" t="s">
        <v>330</v>
      </c>
      <c r="B907" t="str">
        <f>VLOOKUP(Tabla1[[#This Row],[Code]],[1]!Tabla4[#Data],2,FALSE)</f>
        <v>M2 Metamark M4 Brillo 259 Azul Cobalto 1,22 x 50m</v>
      </c>
      <c r="C907">
        <v>28</v>
      </c>
      <c r="D907" t="s">
        <v>184</v>
      </c>
      <c r="E907" t="str">
        <f>VLOOKUP(Tabla1[[#This Row],[Cód. Atributo]],[1]!Tabla5[#Data],6,FALSE)</f>
        <v>Select</v>
      </c>
      <c r="F907">
        <v>5</v>
      </c>
      <c r="G907">
        <v>1</v>
      </c>
      <c r="H907" t="s">
        <v>93</v>
      </c>
      <c r="I907" t="str">
        <f>VLOOKUP(Tabla1[[#This Row],[Code]],'[1]Articulos Precio'!$A:$E,5,FALSE)</f>
        <v>A0000270</v>
      </c>
    </row>
    <row r="908" spans="1:9" x14ac:dyDescent="0.25">
      <c r="A908" t="s">
        <v>330</v>
      </c>
      <c r="B908" t="str">
        <f>VLOOKUP(Tabla1[[#This Row],[Code]],[1]!Tabla4[#Data],2,FALSE)</f>
        <v>M2 Metamark M4 Brillo 259 Azul Cobalto 1,22 x 50m</v>
      </c>
      <c r="C908">
        <v>24</v>
      </c>
      <c r="D908" t="s">
        <v>96</v>
      </c>
      <c r="E908" t="str">
        <f>VLOOKUP(Tabla1[[#This Row],[Cód. Atributo]],[1]!Tabla5[#Data],6,FALSE)</f>
        <v>Select</v>
      </c>
      <c r="F908">
        <v>6</v>
      </c>
      <c r="G908">
        <v>2</v>
      </c>
      <c r="H908" t="s">
        <v>266</v>
      </c>
      <c r="I908" t="str">
        <f>VLOOKUP(Tabla1[[#This Row],[Code]],'[1]Articulos Precio'!$A:$E,5,FALSE)</f>
        <v>A0000270</v>
      </c>
    </row>
    <row r="909" spans="1:9" x14ac:dyDescent="0.25">
      <c r="A909" t="s">
        <v>331</v>
      </c>
      <c r="B909" t="str">
        <f>VLOOKUP(Tabla1[[#This Row],[Code]],[1]!Tabla4[#Data],2,FALSE)</f>
        <v>M2 Metamark M4 Brillo 261 Verde Cesped 0,61 x 50m</v>
      </c>
      <c r="C909">
        <v>8</v>
      </c>
      <c r="D909" t="s">
        <v>86</v>
      </c>
      <c r="E909" t="str">
        <f>VLOOKUP(Tabla1[[#This Row],[Cód. Atributo]],[1]!Tabla5[#Data],6,FALSE)</f>
        <v>Select</v>
      </c>
      <c r="F909">
        <v>1</v>
      </c>
      <c r="G909">
        <v>1</v>
      </c>
      <c r="H909" t="s">
        <v>263</v>
      </c>
      <c r="I909" t="str">
        <f>VLOOKUP(Tabla1[[#This Row],[Code]],'[1]Articulos Precio'!$A:$E,5,FALSE)</f>
        <v>A0000270</v>
      </c>
    </row>
    <row r="910" spans="1:9" x14ac:dyDescent="0.25">
      <c r="A910" t="s">
        <v>331</v>
      </c>
      <c r="B910" t="str">
        <f>VLOOKUP(Tabla1[[#This Row],[Code]],[1]!Tabla4[#Data],2,FALSE)</f>
        <v>M2 Metamark M4 Brillo 261 Verde Cesped 0,61 x 50m</v>
      </c>
      <c r="C910">
        <v>21</v>
      </c>
      <c r="D910" t="s">
        <v>264</v>
      </c>
      <c r="E910" t="str">
        <f>VLOOKUP(Tabla1[[#This Row],[Cód. Atributo]],[1]!Tabla5[#Data],6,FALSE)</f>
        <v>Color</v>
      </c>
      <c r="F910">
        <v>2</v>
      </c>
      <c r="G910">
        <v>23</v>
      </c>
      <c r="H910" t="s">
        <v>332</v>
      </c>
      <c r="I910" t="str">
        <f>VLOOKUP(Tabla1[[#This Row],[Code]],'[1]Articulos Precio'!$A:$E,5,FALSE)</f>
        <v>A0000270</v>
      </c>
    </row>
    <row r="911" spans="1:9" x14ac:dyDescent="0.25">
      <c r="A911" t="s">
        <v>331</v>
      </c>
      <c r="B911" t="str">
        <f>VLOOKUP(Tabla1[[#This Row],[Code]],[1]!Tabla4[#Data],2,FALSE)</f>
        <v>M2 Metamark M4 Brillo 261 Verde Cesped 0,61 x 50m</v>
      </c>
      <c r="C911">
        <v>23</v>
      </c>
      <c r="D911" t="s">
        <v>90</v>
      </c>
      <c r="E911" t="str">
        <f>VLOOKUP(Tabla1[[#This Row],[Cód. Atributo]],[1]!Tabla5[#Data],6,FALSE)</f>
        <v>Select</v>
      </c>
      <c r="F911">
        <v>3</v>
      </c>
      <c r="G911">
        <v>1</v>
      </c>
      <c r="H911" t="s">
        <v>110</v>
      </c>
      <c r="I911" t="str">
        <f>VLOOKUP(Tabla1[[#This Row],[Code]],'[1]Articulos Precio'!$A:$E,5,FALSE)</f>
        <v>A0000270</v>
      </c>
    </row>
    <row r="912" spans="1:9" x14ac:dyDescent="0.25">
      <c r="A912" t="s">
        <v>331</v>
      </c>
      <c r="B912" t="str">
        <f>VLOOKUP(Tabla1[[#This Row],[Code]],[1]!Tabla4[#Data],2,FALSE)</f>
        <v>M2 Metamark M4 Brillo 261 Verde Cesped 0,61 x 50m</v>
      </c>
      <c r="C912">
        <v>25</v>
      </c>
      <c r="D912" t="s">
        <v>94</v>
      </c>
      <c r="E912" t="str">
        <f>VLOOKUP(Tabla1[[#This Row],[Cód. Atributo]],[1]!Tabla5[#Data],6,FALSE)</f>
        <v>Select</v>
      </c>
      <c r="F912">
        <v>4</v>
      </c>
      <c r="G912">
        <v>2</v>
      </c>
      <c r="H912" t="s">
        <v>111</v>
      </c>
      <c r="I912" t="str">
        <f>VLOOKUP(Tabla1[[#This Row],[Code]],'[1]Articulos Precio'!$A:$E,5,FALSE)</f>
        <v>A0000270</v>
      </c>
    </row>
    <row r="913" spans="1:9" x14ac:dyDescent="0.25">
      <c r="A913" t="s">
        <v>331</v>
      </c>
      <c r="B913" t="str">
        <f>VLOOKUP(Tabla1[[#This Row],[Code]],[1]!Tabla4[#Data],2,FALSE)</f>
        <v>M2 Metamark M4 Brillo 261 Verde Cesped 0,61 x 50m</v>
      </c>
      <c r="C913">
        <v>28</v>
      </c>
      <c r="D913" t="s">
        <v>92</v>
      </c>
      <c r="E913" t="str">
        <f>VLOOKUP(Tabla1[[#This Row],[Cód. Atributo]],[1]!Tabla5[#Data],6,FALSE)</f>
        <v>Select</v>
      </c>
      <c r="F913">
        <v>5</v>
      </c>
      <c r="G913">
        <v>1</v>
      </c>
      <c r="H913" t="s">
        <v>93</v>
      </c>
      <c r="I913" t="str">
        <f>VLOOKUP(Tabla1[[#This Row],[Code]],'[1]Articulos Precio'!$A:$E,5,FALSE)</f>
        <v>A0000270</v>
      </c>
    </row>
    <row r="914" spans="1:9" x14ac:dyDescent="0.25">
      <c r="A914" t="s">
        <v>331</v>
      </c>
      <c r="B914" t="str">
        <f>VLOOKUP(Tabla1[[#This Row],[Code]],[1]!Tabla4[#Data],2,FALSE)</f>
        <v>M2 Metamark M4 Brillo 261 Verde Cesped 0,61 x 50m</v>
      </c>
      <c r="C914">
        <v>24</v>
      </c>
      <c r="D914" t="s">
        <v>96</v>
      </c>
      <c r="E914" t="str">
        <f>VLOOKUP(Tabla1[[#This Row],[Cód. Atributo]],[1]!Tabla5[#Data],6,FALSE)</f>
        <v>Select</v>
      </c>
      <c r="F914">
        <v>6</v>
      </c>
      <c r="G914">
        <v>2</v>
      </c>
      <c r="H914" t="s">
        <v>266</v>
      </c>
      <c r="I914" t="str">
        <f>VLOOKUP(Tabla1[[#This Row],[Code]],'[1]Articulos Precio'!$A:$E,5,FALSE)</f>
        <v>A0000270</v>
      </c>
    </row>
    <row r="915" spans="1:9" x14ac:dyDescent="0.25">
      <c r="A915" t="s">
        <v>333</v>
      </c>
      <c r="B915" t="str">
        <f>VLOOKUP(Tabla1[[#This Row],[Code]],[1]!Tabla4[#Data],2,FALSE)</f>
        <v>M2 Metamark M4 Brillo 261 Verde Cesped 1,22 x 50m</v>
      </c>
      <c r="C915">
        <v>8</v>
      </c>
      <c r="D915" t="s">
        <v>86</v>
      </c>
      <c r="E915" t="str">
        <f>VLOOKUP(Tabla1[[#This Row],[Cód. Atributo]],[1]!Tabla5[#Data],6,FALSE)</f>
        <v>Select</v>
      </c>
      <c r="F915">
        <v>1</v>
      </c>
      <c r="G915">
        <v>2</v>
      </c>
      <c r="H915" t="s">
        <v>268</v>
      </c>
      <c r="I915" t="str">
        <f>VLOOKUP(Tabla1[[#This Row],[Code]],'[1]Articulos Precio'!$A:$E,5,FALSE)</f>
        <v>A0000270</v>
      </c>
    </row>
    <row r="916" spans="1:9" x14ac:dyDescent="0.25">
      <c r="A916" t="s">
        <v>333</v>
      </c>
      <c r="B916" t="str">
        <f>VLOOKUP(Tabla1[[#This Row],[Code]],[1]!Tabla4[#Data],2,FALSE)</f>
        <v>M2 Metamark M4 Brillo 261 Verde Cesped 1,22 x 50m</v>
      </c>
      <c r="C916">
        <v>21</v>
      </c>
      <c r="D916" t="s">
        <v>264</v>
      </c>
      <c r="E916" t="str">
        <f>VLOOKUP(Tabla1[[#This Row],[Cód. Atributo]],[1]!Tabla5[#Data],6,FALSE)</f>
        <v>Color</v>
      </c>
      <c r="F916">
        <v>2</v>
      </c>
      <c r="G916">
        <v>23</v>
      </c>
      <c r="H916" t="s">
        <v>332</v>
      </c>
      <c r="I916" t="str">
        <f>VLOOKUP(Tabla1[[#This Row],[Code]],'[1]Articulos Precio'!$A:$E,5,FALSE)</f>
        <v>A0000270</v>
      </c>
    </row>
    <row r="917" spans="1:9" x14ac:dyDescent="0.25">
      <c r="A917" t="s">
        <v>333</v>
      </c>
      <c r="B917" t="str">
        <f>VLOOKUP(Tabla1[[#This Row],[Code]],[1]!Tabla4[#Data],2,FALSE)</f>
        <v>M2 Metamark M4 Brillo 261 Verde Cesped 1,22 x 50m</v>
      </c>
      <c r="C917">
        <v>23</v>
      </c>
      <c r="D917" t="s">
        <v>90</v>
      </c>
      <c r="E917" t="str">
        <f>VLOOKUP(Tabla1[[#This Row],[Cód. Atributo]],[1]!Tabla5[#Data],6,FALSE)</f>
        <v>Select</v>
      </c>
      <c r="F917">
        <v>3</v>
      </c>
      <c r="G917">
        <v>1</v>
      </c>
      <c r="H917" t="s">
        <v>110</v>
      </c>
      <c r="I917" t="str">
        <f>VLOOKUP(Tabla1[[#This Row],[Code]],'[1]Articulos Precio'!$A:$E,5,FALSE)</f>
        <v>A0000270</v>
      </c>
    </row>
    <row r="918" spans="1:9" x14ac:dyDescent="0.25">
      <c r="A918" t="s">
        <v>333</v>
      </c>
      <c r="B918" t="str">
        <f>VLOOKUP(Tabla1[[#This Row],[Code]],[1]!Tabla4[#Data],2,FALSE)</f>
        <v>M2 Metamark M4 Brillo 261 Verde Cesped 1,22 x 50m</v>
      </c>
      <c r="C918">
        <v>25</v>
      </c>
      <c r="D918" t="s">
        <v>94</v>
      </c>
      <c r="E918" t="str">
        <f>VLOOKUP(Tabla1[[#This Row],[Cód. Atributo]],[1]!Tabla5[#Data],6,FALSE)</f>
        <v>Select</v>
      </c>
      <c r="F918">
        <v>4</v>
      </c>
      <c r="G918">
        <v>2</v>
      </c>
      <c r="H918" t="s">
        <v>111</v>
      </c>
      <c r="I918" t="str">
        <f>VLOOKUP(Tabla1[[#This Row],[Code]],'[1]Articulos Precio'!$A:$E,5,FALSE)</f>
        <v>A0000270</v>
      </c>
    </row>
    <row r="919" spans="1:9" x14ac:dyDescent="0.25">
      <c r="A919" t="s">
        <v>333</v>
      </c>
      <c r="B919" t="str">
        <f>VLOOKUP(Tabla1[[#This Row],[Code]],[1]!Tabla4[#Data],2,FALSE)</f>
        <v>M2 Metamark M4 Brillo 261 Verde Cesped 1,22 x 50m</v>
      </c>
      <c r="C919">
        <v>28</v>
      </c>
      <c r="D919" t="s">
        <v>184</v>
      </c>
      <c r="E919" t="str">
        <f>VLOOKUP(Tabla1[[#This Row],[Cód. Atributo]],[1]!Tabla5[#Data],6,FALSE)</f>
        <v>Select</v>
      </c>
      <c r="F919">
        <v>5</v>
      </c>
      <c r="G919">
        <v>1</v>
      </c>
      <c r="H919" t="s">
        <v>93</v>
      </c>
      <c r="I919" t="str">
        <f>VLOOKUP(Tabla1[[#This Row],[Code]],'[1]Articulos Precio'!$A:$E,5,FALSE)</f>
        <v>A0000270</v>
      </c>
    </row>
    <row r="920" spans="1:9" x14ac:dyDescent="0.25">
      <c r="A920" t="s">
        <v>333</v>
      </c>
      <c r="B920" t="str">
        <f>VLOOKUP(Tabla1[[#This Row],[Code]],[1]!Tabla4[#Data],2,FALSE)</f>
        <v>M2 Metamark M4 Brillo 261 Verde Cesped 1,22 x 50m</v>
      </c>
      <c r="C920">
        <v>24</v>
      </c>
      <c r="D920" t="s">
        <v>96</v>
      </c>
      <c r="E920" t="str">
        <f>VLOOKUP(Tabla1[[#This Row],[Cód. Atributo]],[1]!Tabla5[#Data],6,FALSE)</f>
        <v>Select</v>
      </c>
      <c r="F920">
        <v>6</v>
      </c>
      <c r="G920">
        <v>2</v>
      </c>
      <c r="H920" t="s">
        <v>266</v>
      </c>
      <c r="I920" t="str">
        <f>VLOOKUP(Tabla1[[#This Row],[Code]],'[1]Articulos Precio'!$A:$E,5,FALSE)</f>
        <v>A0000270</v>
      </c>
    </row>
    <row r="921" spans="1:9" x14ac:dyDescent="0.25">
      <c r="A921" t="s">
        <v>334</v>
      </c>
      <c r="B921" t="str">
        <f>VLOOKUP(Tabla1[[#This Row],[Code]],[1]!Tabla4[#Data],2,FALSE)</f>
        <v>M2 Metamark M4 Brillo 263 Verde Medio 0,61 x 50m</v>
      </c>
      <c r="C921">
        <v>8</v>
      </c>
      <c r="D921" t="s">
        <v>86</v>
      </c>
      <c r="E921" t="str">
        <f>VLOOKUP(Tabla1[[#This Row],[Cód. Atributo]],[1]!Tabla5[#Data],6,FALSE)</f>
        <v>Select</v>
      </c>
      <c r="F921">
        <v>1</v>
      </c>
      <c r="G921">
        <v>1</v>
      </c>
      <c r="H921" t="s">
        <v>263</v>
      </c>
      <c r="I921" t="str">
        <f>VLOOKUP(Tabla1[[#This Row],[Code]],'[1]Articulos Precio'!$A:$E,5,FALSE)</f>
        <v>A0000270</v>
      </c>
    </row>
    <row r="922" spans="1:9" x14ac:dyDescent="0.25">
      <c r="A922" t="s">
        <v>334</v>
      </c>
      <c r="B922" t="str">
        <f>VLOOKUP(Tabla1[[#This Row],[Code]],[1]!Tabla4[#Data],2,FALSE)</f>
        <v>M2 Metamark M4 Brillo 263 Verde Medio 0,61 x 50m</v>
      </c>
      <c r="C922">
        <v>21</v>
      </c>
      <c r="D922" t="s">
        <v>264</v>
      </c>
      <c r="E922" t="str">
        <f>VLOOKUP(Tabla1[[#This Row],[Cód. Atributo]],[1]!Tabla5[#Data],6,FALSE)</f>
        <v>Color</v>
      </c>
      <c r="F922">
        <v>2</v>
      </c>
      <c r="G922">
        <v>24</v>
      </c>
      <c r="H922" t="s">
        <v>335</v>
      </c>
      <c r="I922" t="str">
        <f>VLOOKUP(Tabla1[[#This Row],[Code]],'[1]Articulos Precio'!$A:$E,5,FALSE)</f>
        <v>A0000270</v>
      </c>
    </row>
    <row r="923" spans="1:9" x14ac:dyDescent="0.25">
      <c r="A923" t="s">
        <v>334</v>
      </c>
      <c r="B923" t="str">
        <f>VLOOKUP(Tabla1[[#This Row],[Code]],[1]!Tabla4[#Data],2,FALSE)</f>
        <v>M2 Metamark M4 Brillo 263 Verde Medio 0,61 x 50m</v>
      </c>
      <c r="C923">
        <v>23</v>
      </c>
      <c r="D923" t="s">
        <v>90</v>
      </c>
      <c r="E923" t="str">
        <f>VLOOKUP(Tabla1[[#This Row],[Cód. Atributo]],[1]!Tabla5[#Data],6,FALSE)</f>
        <v>Select</v>
      </c>
      <c r="F923">
        <v>3</v>
      </c>
      <c r="G923">
        <v>1</v>
      </c>
      <c r="H923" t="s">
        <v>110</v>
      </c>
      <c r="I923" t="str">
        <f>VLOOKUP(Tabla1[[#This Row],[Code]],'[1]Articulos Precio'!$A:$E,5,FALSE)</f>
        <v>A0000270</v>
      </c>
    </row>
    <row r="924" spans="1:9" x14ac:dyDescent="0.25">
      <c r="A924" t="s">
        <v>334</v>
      </c>
      <c r="B924" t="str">
        <f>VLOOKUP(Tabla1[[#This Row],[Code]],[1]!Tabla4[#Data],2,FALSE)</f>
        <v>M2 Metamark M4 Brillo 263 Verde Medio 0,61 x 50m</v>
      </c>
      <c r="C924">
        <v>25</v>
      </c>
      <c r="D924" t="s">
        <v>94</v>
      </c>
      <c r="E924" t="str">
        <f>VLOOKUP(Tabla1[[#This Row],[Cód. Atributo]],[1]!Tabla5[#Data],6,FALSE)</f>
        <v>Select</v>
      </c>
      <c r="F924">
        <v>4</v>
      </c>
      <c r="G924">
        <v>2</v>
      </c>
      <c r="H924" t="s">
        <v>111</v>
      </c>
      <c r="I924" t="str">
        <f>VLOOKUP(Tabla1[[#This Row],[Code]],'[1]Articulos Precio'!$A:$E,5,FALSE)</f>
        <v>A0000270</v>
      </c>
    </row>
    <row r="925" spans="1:9" x14ac:dyDescent="0.25">
      <c r="A925" t="s">
        <v>334</v>
      </c>
      <c r="B925" t="str">
        <f>VLOOKUP(Tabla1[[#This Row],[Code]],[1]!Tabla4[#Data],2,FALSE)</f>
        <v>M2 Metamark M4 Brillo 263 Verde Medio 0,61 x 50m</v>
      </c>
      <c r="C925">
        <v>28</v>
      </c>
      <c r="D925" t="s">
        <v>92</v>
      </c>
      <c r="E925" t="str">
        <f>VLOOKUP(Tabla1[[#This Row],[Cód. Atributo]],[1]!Tabla5[#Data],6,FALSE)</f>
        <v>Select</v>
      </c>
      <c r="F925">
        <v>5</v>
      </c>
      <c r="G925">
        <v>1</v>
      </c>
      <c r="H925" t="s">
        <v>93</v>
      </c>
      <c r="I925" t="str">
        <f>VLOOKUP(Tabla1[[#This Row],[Code]],'[1]Articulos Precio'!$A:$E,5,FALSE)</f>
        <v>A0000270</v>
      </c>
    </row>
    <row r="926" spans="1:9" x14ac:dyDescent="0.25">
      <c r="A926" t="s">
        <v>334</v>
      </c>
      <c r="B926" t="str">
        <f>VLOOKUP(Tabla1[[#This Row],[Code]],[1]!Tabla4[#Data],2,FALSE)</f>
        <v>M2 Metamark M4 Brillo 263 Verde Medio 0,61 x 50m</v>
      </c>
      <c r="C926">
        <v>24</v>
      </c>
      <c r="D926" t="s">
        <v>96</v>
      </c>
      <c r="E926" t="str">
        <f>VLOOKUP(Tabla1[[#This Row],[Cód. Atributo]],[1]!Tabla5[#Data],6,FALSE)</f>
        <v>Select</v>
      </c>
      <c r="F926">
        <v>6</v>
      </c>
      <c r="G926">
        <v>2</v>
      </c>
      <c r="H926" t="s">
        <v>266</v>
      </c>
      <c r="I926" t="str">
        <f>VLOOKUP(Tabla1[[#This Row],[Code]],'[1]Articulos Precio'!$A:$E,5,FALSE)</f>
        <v>A0000270</v>
      </c>
    </row>
    <row r="927" spans="1:9" x14ac:dyDescent="0.25">
      <c r="A927" t="s">
        <v>336</v>
      </c>
      <c r="B927" t="str">
        <f>VLOOKUP(Tabla1[[#This Row],[Code]],[1]!Tabla4[#Data],2,FALSE)</f>
        <v>M2 Metamark M4 Brillo 263 Verde Medio 1,22 x 50m</v>
      </c>
      <c r="C927">
        <v>8</v>
      </c>
      <c r="D927" t="s">
        <v>86</v>
      </c>
      <c r="E927" t="str">
        <f>VLOOKUP(Tabla1[[#This Row],[Cód. Atributo]],[1]!Tabla5[#Data],6,FALSE)</f>
        <v>Select</v>
      </c>
      <c r="F927">
        <v>1</v>
      </c>
      <c r="G927">
        <v>2</v>
      </c>
      <c r="H927" t="s">
        <v>268</v>
      </c>
      <c r="I927" t="str">
        <f>VLOOKUP(Tabla1[[#This Row],[Code]],'[1]Articulos Precio'!$A:$E,5,FALSE)</f>
        <v>A0000270</v>
      </c>
    </row>
    <row r="928" spans="1:9" x14ac:dyDescent="0.25">
      <c r="A928" t="s">
        <v>336</v>
      </c>
      <c r="B928" t="str">
        <f>VLOOKUP(Tabla1[[#This Row],[Code]],[1]!Tabla4[#Data],2,FALSE)</f>
        <v>M2 Metamark M4 Brillo 263 Verde Medio 1,22 x 50m</v>
      </c>
      <c r="C928">
        <v>21</v>
      </c>
      <c r="D928" t="s">
        <v>264</v>
      </c>
      <c r="E928" t="str">
        <f>VLOOKUP(Tabla1[[#This Row],[Cód. Atributo]],[1]!Tabla5[#Data],6,FALSE)</f>
        <v>Color</v>
      </c>
      <c r="F928">
        <v>2</v>
      </c>
      <c r="G928">
        <v>24</v>
      </c>
      <c r="H928" t="s">
        <v>335</v>
      </c>
      <c r="I928" t="str">
        <f>VLOOKUP(Tabla1[[#This Row],[Code]],'[1]Articulos Precio'!$A:$E,5,FALSE)</f>
        <v>A0000270</v>
      </c>
    </row>
    <row r="929" spans="1:9" x14ac:dyDescent="0.25">
      <c r="A929" t="s">
        <v>336</v>
      </c>
      <c r="B929" t="str">
        <f>VLOOKUP(Tabla1[[#This Row],[Code]],[1]!Tabla4[#Data],2,FALSE)</f>
        <v>M2 Metamark M4 Brillo 263 Verde Medio 1,22 x 50m</v>
      </c>
      <c r="C929">
        <v>23</v>
      </c>
      <c r="D929" t="s">
        <v>90</v>
      </c>
      <c r="E929" t="str">
        <f>VLOOKUP(Tabla1[[#This Row],[Cód. Atributo]],[1]!Tabla5[#Data],6,FALSE)</f>
        <v>Select</v>
      </c>
      <c r="F929">
        <v>3</v>
      </c>
      <c r="G929">
        <v>1</v>
      </c>
      <c r="H929" t="s">
        <v>110</v>
      </c>
      <c r="I929" t="str">
        <f>VLOOKUP(Tabla1[[#This Row],[Code]],'[1]Articulos Precio'!$A:$E,5,FALSE)</f>
        <v>A0000270</v>
      </c>
    </row>
    <row r="930" spans="1:9" x14ac:dyDescent="0.25">
      <c r="A930" t="s">
        <v>336</v>
      </c>
      <c r="B930" t="str">
        <f>VLOOKUP(Tabla1[[#This Row],[Code]],[1]!Tabla4[#Data],2,FALSE)</f>
        <v>M2 Metamark M4 Brillo 263 Verde Medio 1,22 x 50m</v>
      </c>
      <c r="C930">
        <v>25</v>
      </c>
      <c r="D930" t="s">
        <v>94</v>
      </c>
      <c r="E930" t="str">
        <f>VLOOKUP(Tabla1[[#This Row],[Cód. Atributo]],[1]!Tabla5[#Data],6,FALSE)</f>
        <v>Select</v>
      </c>
      <c r="F930">
        <v>4</v>
      </c>
      <c r="G930">
        <v>2</v>
      </c>
      <c r="H930" t="s">
        <v>111</v>
      </c>
      <c r="I930" t="str">
        <f>VLOOKUP(Tabla1[[#This Row],[Code]],'[1]Articulos Precio'!$A:$E,5,FALSE)</f>
        <v>A0000270</v>
      </c>
    </row>
    <row r="931" spans="1:9" x14ac:dyDescent="0.25">
      <c r="A931" t="s">
        <v>336</v>
      </c>
      <c r="B931" t="str">
        <f>VLOOKUP(Tabla1[[#This Row],[Code]],[1]!Tabla4[#Data],2,FALSE)</f>
        <v>M2 Metamark M4 Brillo 263 Verde Medio 1,22 x 50m</v>
      </c>
      <c r="C931">
        <v>28</v>
      </c>
      <c r="D931" t="s">
        <v>184</v>
      </c>
      <c r="E931" t="str">
        <f>VLOOKUP(Tabla1[[#This Row],[Cód. Atributo]],[1]!Tabla5[#Data],6,FALSE)</f>
        <v>Select</v>
      </c>
      <c r="F931">
        <v>5</v>
      </c>
      <c r="G931">
        <v>1</v>
      </c>
      <c r="H931" t="s">
        <v>93</v>
      </c>
      <c r="I931" t="str">
        <f>VLOOKUP(Tabla1[[#This Row],[Code]],'[1]Articulos Precio'!$A:$E,5,FALSE)</f>
        <v>A0000270</v>
      </c>
    </row>
    <row r="932" spans="1:9" x14ac:dyDescent="0.25">
      <c r="A932" t="s">
        <v>336</v>
      </c>
      <c r="B932" t="str">
        <f>VLOOKUP(Tabla1[[#This Row],[Code]],[1]!Tabla4[#Data],2,FALSE)</f>
        <v>M2 Metamark M4 Brillo 263 Verde Medio 1,22 x 50m</v>
      </c>
      <c r="C932">
        <v>24</v>
      </c>
      <c r="D932" t="s">
        <v>96</v>
      </c>
      <c r="E932" t="str">
        <f>VLOOKUP(Tabla1[[#This Row],[Cód. Atributo]],[1]!Tabla5[#Data],6,FALSE)</f>
        <v>Select</v>
      </c>
      <c r="F932">
        <v>6</v>
      </c>
      <c r="G932">
        <v>2</v>
      </c>
      <c r="H932" t="s">
        <v>266</v>
      </c>
      <c r="I932" t="str">
        <f>VLOOKUP(Tabla1[[#This Row],[Code]],'[1]Articulos Precio'!$A:$E,5,FALSE)</f>
        <v>A0000270</v>
      </c>
    </row>
    <row r="933" spans="1:9" x14ac:dyDescent="0.25">
      <c r="A933" t="s">
        <v>337</v>
      </c>
      <c r="B933" t="str">
        <f>VLOOKUP(Tabla1[[#This Row],[Code]],[1]!Tabla4[#Data],2,FALSE)</f>
        <v>M2 Metamark M4 Brillo 264 Verde Bosque 0,61 x 50m</v>
      </c>
      <c r="C933">
        <v>8</v>
      </c>
      <c r="D933" t="s">
        <v>86</v>
      </c>
      <c r="E933" t="str">
        <f>VLOOKUP(Tabla1[[#This Row],[Cód. Atributo]],[1]!Tabla5[#Data],6,FALSE)</f>
        <v>Select</v>
      </c>
      <c r="F933">
        <v>1</v>
      </c>
      <c r="G933">
        <v>1</v>
      </c>
      <c r="H933" t="s">
        <v>263</v>
      </c>
      <c r="I933" t="str">
        <f>VLOOKUP(Tabla1[[#This Row],[Code]],'[1]Articulos Precio'!$A:$E,5,FALSE)</f>
        <v>A0000270</v>
      </c>
    </row>
    <row r="934" spans="1:9" x14ac:dyDescent="0.25">
      <c r="A934" t="s">
        <v>337</v>
      </c>
      <c r="B934" t="str">
        <f>VLOOKUP(Tabla1[[#This Row],[Code]],[1]!Tabla4[#Data],2,FALSE)</f>
        <v>M2 Metamark M4 Brillo 264 Verde Bosque 0,61 x 50m</v>
      </c>
      <c r="C934">
        <v>21</v>
      </c>
      <c r="D934" t="s">
        <v>264</v>
      </c>
      <c r="E934" t="str">
        <f>VLOOKUP(Tabla1[[#This Row],[Cód. Atributo]],[1]!Tabla5[#Data],6,FALSE)</f>
        <v>Color</v>
      </c>
      <c r="F934">
        <v>2</v>
      </c>
      <c r="G934">
        <v>25</v>
      </c>
      <c r="H934" t="s">
        <v>338</v>
      </c>
      <c r="I934" t="str">
        <f>VLOOKUP(Tabla1[[#This Row],[Code]],'[1]Articulos Precio'!$A:$E,5,FALSE)</f>
        <v>A0000270</v>
      </c>
    </row>
    <row r="935" spans="1:9" x14ac:dyDescent="0.25">
      <c r="A935" t="s">
        <v>337</v>
      </c>
      <c r="B935" t="str">
        <f>VLOOKUP(Tabla1[[#This Row],[Code]],[1]!Tabla4[#Data],2,FALSE)</f>
        <v>M2 Metamark M4 Brillo 264 Verde Bosque 0,61 x 50m</v>
      </c>
      <c r="C935">
        <v>23</v>
      </c>
      <c r="D935" t="s">
        <v>90</v>
      </c>
      <c r="E935" t="str">
        <f>VLOOKUP(Tabla1[[#This Row],[Cód. Atributo]],[1]!Tabla5[#Data],6,FALSE)</f>
        <v>Select</v>
      </c>
      <c r="F935">
        <v>3</v>
      </c>
      <c r="G935">
        <v>1</v>
      </c>
      <c r="H935" t="s">
        <v>110</v>
      </c>
      <c r="I935" t="str">
        <f>VLOOKUP(Tabla1[[#This Row],[Code]],'[1]Articulos Precio'!$A:$E,5,FALSE)</f>
        <v>A0000270</v>
      </c>
    </row>
    <row r="936" spans="1:9" x14ac:dyDescent="0.25">
      <c r="A936" t="s">
        <v>337</v>
      </c>
      <c r="B936" t="str">
        <f>VLOOKUP(Tabla1[[#This Row],[Code]],[1]!Tabla4[#Data],2,FALSE)</f>
        <v>M2 Metamark M4 Brillo 264 Verde Bosque 0,61 x 50m</v>
      </c>
      <c r="C936">
        <v>25</v>
      </c>
      <c r="D936" t="s">
        <v>94</v>
      </c>
      <c r="E936" t="str">
        <f>VLOOKUP(Tabla1[[#This Row],[Cód. Atributo]],[1]!Tabla5[#Data],6,FALSE)</f>
        <v>Select</v>
      </c>
      <c r="F936">
        <v>4</v>
      </c>
      <c r="G936">
        <v>2</v>
      </c>
      <c r="H936" t="s">
        <v>111</v>
      </c>
      <c r="I936" t="str">
        <f>VLOOKUP(Tabla1[[#This Row],[Code]],'[1]Articulos Precio'!$A:$E,5,FALSE)</f>
        <v>A0000270</v>
      </c>
    </row>
    <row r="937" spans="1:9" x14ac:dyDescent="0.25">
      <c r="A937" t="s">
        <v>337</v>
      </c>
      <c r="B937" t="str">
        <f>VLOOKUP(Tabla1[[#This Row],[Code]],[1]!Tabla4[#Data],2,FALSE)</f>
        <v>M2 Metamark M4 Brillo 264 Verde Bosque 0,61 x 50m</v>
      </c>
      <c r="C937">
        <v>28</v>
      </c>
      <c r="D937" t="s">
        <v>92</v>
      </c>
      <c r="E937" t="str">
        <f>VLOOKUP(Tabla1[[#This Row],[Cód. Atributo]],[1]!Tabla5[#Data],6,FALSE)</f>
        <v>Select</v>
      </c>
      <c r="F937">
        <v>5</v>
      </c>
      <c r="G937">
        <v>1</v>
      </c>
      <c r="H937" t="s">
        <v>93</v>
      </c>
      <c r="I937" t="str">
        <f>VLOOKUP(Tabla1[[#This Row],[Code]],'[1]Articulos Precio'!$A:$E,5,FALSE)</f>
        <v>A0000270</v>
      </c>
    </row>
    <row r="938" spans="1:9" x14ac:dyDescent="0.25">
      <c r="A938" t="s">
        <v>337</v>
      </c>
      <c r="B938" t="str">
        <f>VLOOKUP(Tabla1[[#This Row],[Code]],[1]!Tabla4[#Data],2,FALSE)</f>
        <v>M2 Metamark M4 Brillo 264 Verde Bosque 0,61 x 50m</v>
      </c>
      <c r="C938">
        <v>24</v>
      </c>
      <c r="D938" t="s">
        <v>96</v>
      </c>
      <c r="E938" t="str">
        <f>VLOOKUP(Tabla1[[#This Row],[Cód. Atributo]],[1]!Tabla5[#Data],6,FALSE)</f>
        <v>Select</v>
      </c>
      <c r="F938">
        <v>6</v>
      </c>
      <c r="G938">
        <v>2</v>
      </c>
      <c r="H938" t="s">
        <v>266</v>
      </c>
      <c r="I938" t="str">
        <f>VLOOKUP(Tabla1[[#This Row],[Code]],'[1]Articulos Precio'!$A:$E,5,FALSE)</f>
        <v>A0000270</v>
      </c>
    </row>
    <row r="939" spans="1:9" x14ac:dyDescent="0.25">
      <c r="A939" t="s">
        <v>339</v>
      </c>
      <c r="B939" t="str">
        <f>VLOOKUP(Tabla1[[#This Row],[Code]],[1]!Tabla4[#Data],2,FALSE)</f>
        <v>M2 Metamark M4 Brillo 264 Verde Bosque 1,22 x 50m</v>
      </c>
      <c r="C939">
        <v>8</v>
      </c>
      <c r="D939" t="s">
        <v>86</v>
      </c>
      <c r="E939" t="str">
        <f>VLOOKUP(Tabla1[[#This Row],[Cód. Atributo]],[1]!Tabla5[#Data],6,FALSE)</f>
        <v>Select</v>
      </c>
      <c r="F939">
        <v>1</v>
      </c>
      <c r="G939">
        <v>2</v>
      </c>
      <c r="H939" t="s">
        <v>268</v>
      </c>
      <c r="I939" t="str">
        <f>VLOOKUP(Tabla1[[#This Row],[Code]],'[1]Articulos Precio'!$A:$E,5,FALSE)</f>
        <v>A0000270</v>
      </c>
    </row>
    <row r="940" spans="1:9" x14ac:dyDescent="0.25">
      <c r="A940" t="s">
        <v>339</v>
      </c>
      <c r="B940" t="str">
        <f>VLOOKUP(Tabla1[[#This Row],[Code]],[1]!Tabla4[#Data],2,FALSE)</f>
        <v>M2 Metamark M4 Brillo 264 Verde Bosque 1,22 x 50m</v>
      </c>
      <c r="C940">
        <v>21</v>
      </c>
      <c r="D940" t="s">
        <v>264</v>
      </c>
      <c r="E940" t="str">
        <f>VLOOKUP(Tabla1[[#This Row],[Cód. Atributo]],[1]!Tabla5[#Data],6,FALSE)</f>
        <v>Color</v>
      </c>
      <c r="F940">
        <v>2</v>
      </c>
      <c r="G940">
        <v>25</v>
      </c>
      <c r="H940" t="s">
        <v>338</v>
      </c>
      <c r="I940" t="str">
        <f>VLOOKUP(Tabla1[[#This Row],[Code]],'[1]Articulos Precio'!$A:$E,5,FALSE)</f>
        <v>A0000270</v>
      </c>
    </row>
    <row r="941" spans="1:9" x14ac:dyDescent="0.25">
      <c r="A941" t="s">
        <v>339</v>
      </c>
      <c r="B941" t="str">
        <f>VLOOKUP(Tabla1[[#This Row],[Code]],[1]!Tabla4[#Data],2,FALSE)</f>
        <v>M2 Metamark M4 Brillo 264 Verde Bosque 1,22 x 50m</v>
      </c>
      <c r="C941">
        <v>23</v>
      </c>
      <c r="D941" t="s">
        <v>90</v>
      </c>
      <c r="E941" t="str">
        <f>VLOOKUP(Tabla1[[#This Row],[Cód. Atributo]],[1]!Tabla5[#Data],6,FALSE)</f>
        <v>Select</v>
      </c>
      <c r="F941">
        <v>3</v>
      </c>
      <c r="G941">
        <v>1</v>
      </c>
      <c r="H941" t="s">
        <v>110</v>
      </c>
      <c r="I941" t="str">
        <f>VLOOKUP(Tabla1[[#This Row],[Code]],'[1]Articulos Precio'!$A:$E,5,FALSE)</f>
        <v>A0000270</v>
      </c>
    </row>
    <row r="942" spans="1:9" x14ac:dyDescent="0.25">
      <c r="A942" t="s">
        <v>339</v>
      </c>
      <c r="B942" t="str">
        <f>VLOOKUP(Tabla1[[#This Row],[Code]],[1]!Tabla4[#Data],2,FALSE)</f>
        <v>M2 Metamark M4 Brillo 264 Verde Bosque 1,22 x 50m</v>
      </c>
      <c r="C942">
        <v>25</v>
      </c>
      <c r="D942" t="s">
        <v>94</v>
      </c>
      <c r="E942" t="str">
        <f>VLOOKUP(Tabla1[[#This Row],[Cód. Atributo]],[1]!Tabla5[#Data],6,FALSE)</f>
        <v>Select</v>
      </c>
      <c r="F942">
        <v>4</v>
      </c>
      <c r="G942">
        <v>2</v>
      </c>
      <c r="H942" t="s">
        <v>111</v>
      </c>
      <c r="I942" t="str">
        <f>VLOOKUP(Tabla1[[#This Row],[Code]],'[1]Articulos Precio'!$A:$E,5,FALSE)</f>
        <v>A0000270</v>
      </c>
    </row>
    <row r="943" spans="1:9" x14ac:dyDescent="0.25">
      <c r="A943" t="s">
        <v>339</v>
      </c>
      <c r="B943" t="str">
        <f>VLOOKUP(Tabla1[[#This Row],[Code]],[1]!Tabla4[#Data],2,FALSE)</f>
        <v>M2 Metamark M4 Brillo 264 Verde Bosque 1,22 x 50m</v>
      </c>
      <c r="C943">
        <v>28</v>
      </c>
      <c r="D943" t="s">
        <v>184</v>
      </c>
      <c r="E943" t="str">
        <f>VLOOKUP(Tabla1[[#This Row],[Cód. Atributo]],[1]!Tabla5[#Data],6,FALSE)</f>
        <v>Select</v>
      </c>
      <c r="F943">
        <v>5</v>
      </c>
      <c r="G943">
        <v>1</v>
      </c>
      <c r="H943" t="s">
        <v>93</v>
      </c>
      <c r="I943" t="str">
        <f>VLOOKUP(Tabla1[[#This Row],[Code]],'[1]Articulos Precio'!$A:$E,5,FALSE)</f>
        <v>A0000270</v>
      </c>
    </row>
    <row r="944" spans="1:9" x14ac:dyDescent="0.25">
      <c r="A944" t="s">
        <v>339</v>
      </c>
      <c r="B944" t="str">
        <f>VLOOKUP(Tabla1[[#This Row],[Code]],[1]!Tabla4[#Data],2,FALSE)</f>
        <v>M2 Metamark M4 Brillo 264 Verde Bosque 1,22 x 50m</v>
      </c>
      <c r="C944">
        <v>24</v>
      </c>
      <c r="D944" t="s">
        <v>96</v>
      </c>
      <c r="E944" t="str">
        <f>VLOOKUP(Tabla1[[#This Row],[Cód. Atributo]],[1]!Tabla5[#Data],6,FALSE)</f>
        <v>Select</v>
      </c>
      <c r="F944">
        <v>6</v>
      </c>
      <c r="G944">
        <v>2</v>
      </c>
      <c r="H944" t="s">
        <v>266</v>
      </c>
      <c r="I944" t="str">
        <f>VLOOKUP(Tabla1[[#This Row],[Code]],'[1]Articulos Precio'!$A:$E,5,FALSE)</f>
        <v>A0000270</v>
      </c>
    </row>
    <row r="945" spans="1:9" x14ac:dyDescent="0.25">
      <c r="A945" t="s">
        <v>340</v>
      </c>
      <c r="B945" t="str">
        <f>VLOOKUP(Tabla1[[#This Row],[Code]],[1]!Tabla4[#Data],2,FALSE)</f>
        <v>M2 Metamark M4 Brillo 265 Verde Azulado 0,61 x 50m</v>
      </c>
      <c r="C945">
        <v>8</v>
      </c>
      <c r="D945" t="s">
        <v>86</v>
      </c>
      <c r="E945" t="str">
        <f>VLOOKUP(Tabla1[[#This Row],[Cód. Atributo]],[1]!Tabla5[#Data],6,FALSE)</f>
        <v>Select</v>
      </c>
      <c r="F945">
        <v>1</v>
      </c>
      <c r="G945">
        <v>1</v>
      </c>
      <c r="H945" t="s">
        <v>263</v>
      </c>
      <c r="I945" t="str">
        <f>VLOOKUP(Tabla1[[#This Row],[Code]],'[1]Articulos Precio'!$A:$E,5,FALSE)</f>
        <v>A0000270</v>
      </c>
    </row>
    <row r="946" spans="1:9" x14ac:dyDescent="0.25">
      <c r="A946" t="s">
        <v>340</v>
      </c>
      <c r="B946" t="str">
        <f>VLOOKUP(Tabla1[[#This Row],[Code]],[1]!Tabla4[#Data],2,FALSE)</f>
        <v>M2 Metamark M4 Brillo 265 Verde Azulado 0,61 x 50m</v>
      </c>
      <c r="C946">
        <v>21</v>
      </c>
      <c r="D946" t="s">
        <v>264</v>
      </c>
      <c r="E946" t="str">
        <f>VLOOKUP(Tabla1[[#This Row],[Cód. Atributo]],[1]!Tabla5[#Data],6,FALSE)</f>
        <v>Color</v>
      </c>
      <c r="F946">
        <v>2</v>
      </c>
      <c r="G946">
        <v>26</v>
      </c>
      <c r="H946" t="s">
        <v>341</v>
      </c>
      <c r="I946" t="str">
        <f>VLOOKUP(Tabla1[[#This Row],[Code]],'[1]Articulos Precio'!$A:$E,5,FALSE)</f>
        <v>A0000270</v>
      </c>
    </row>
    <row r="947" spans="1:9" x14ac:dyDescent="0.25">
      <c r="A947" t="s">
        <v>340</v>
      </c>
      <c r="B947" t="str">
        <f>VLOOKUP(Tabla1[[#This Row],[Code]],[1]!Tabla4[#Data],2,FALSE)</f>
        <v>M2 Metamark M4 Brillo 265 Verde Azulado 0,61 x 50m</v>
      </c>
      <c r="C947">
        <v>23</v>
      </c>
      <c r="D947" t="s">
        <v>90</v>
      </c>
      <c r="E947" t="str">
        <f>VLOOKUP(Tabla1[[#This Row],[Cód. Atributo]],[1]!Tabla5[#Data],6,FALSE)</f>
        <v>Select</v>
      </c>
      <c r="F947">
        <v>3</v>
      </c>
      <c r="G947">
        <v>1</v>
      </c>
      <c r="H947" t="s">
        <v>110</v>
      </c>
      <c r="I947" t="str">
        <f>VLOOKUP(Tabla1[[#This Row],[Code]],'[1]Articulos Precio'!$A:$E,5,FALSE)</f>
        <v>A0000270</v>
      </c>
    </row>
    <row r="948" spans="1:9" x14ac:dyDescent="0.25">
      <c r="A948" t="s">
        <v>340</v>
      </c>
      <c r="B948" t="str">
        <f>VLOOKUP(Tabla1[[#This Row],[Code]],[1]!Tabla4[#Data],2,FALSE)</f>
        <v>M2 Metamark M4 Brillo 265 Verde Azulado 0,61 x 50m</v>
      </c>
      <c r="C948">
        <v>25</v>
      </c>
      <c r="D948" t="s">
        <v>94</v>
      </c>
      <c r="E948" t="str">
        <f>VLOOKUP(Tabla1[[#This Row],[Cód. Atributo]],[1]!Tabla5[#Data],6,FALSE)</f>
        <v>Select</v>
      </c>
      <c r="F948">
        <v>4</v>
      </c>
      <c r="G948">
        <v>2</v>
      </c>
      <c r="H948" t="s">
        <v>111</v>
      </c>
      <c r="I948" t="str">
        <f>VLOOKUP(Tabla1[[#This Row],[Code]],'[1]Articulos Precio'!$A:$E,5,FALSE)</f>
        <v>A0000270</v>
      </c>
    </row>
    <row r="949" spans="1:9" x14ac:dyDescent="0.25">
      <c r="A949" t="s">
        <v>340</v>
      </c>
      <c r="B949" t="str">
        <f>VLOOKUP(Tabla1[[#This Row],[Code]],[1]!Tabla4[#Data],2,FALSE)</f>
        <v>M2 Metamark M4 Brillo 265 Verde Azulado 0,61 x 50m</v>
      </c>
      <c r="C949">
        <v>28</v>
      </c>
      <c r="D949" t="s">
        <v>92</v>
      </c>
      <c r="E949" t="str">
        <f>VLOOKUP(Tabla1[[#This Row],[Cód. Atributo]],[1]!Tabla5[#Data],6,FALSE)</f>
        <v>Select</v>
      </c>
      <c r="F949">
        <v>5</v>
      </c>
      <c r="G949">
        <v>1</v>
      </c>
      <c r="H949" t="s">
        <v>93</v>
      </c>
      <c r="I949" t="str">
        <f>VLOOKUP(Tabla1[[#This Row],[Code]],'[1]Articulos Precio'!$A:$E,5,FALSE)</f>
        <v>A0000270</v>
      </c>
    </row>
    <row r="950" spans="1:9" x14ac:dyDescent="0.25">
      <c r="A950" t="s">
        <v>340</v>
      </c>
      <c r="B950" t="str">
        <f>VLOOKUP(Tabla1[[#This Row],[Code]],[1]!Tabla4[#Data],2,FALSE)</f>
        <v>M2 Metamark M4 Brillo 265 Verde Azulado 0,61 x 50m</v>
      </c>
      <c r="C950">
        <v>24</v>
      </c>
      <c r="D950" t="s">
        <v>96</v>
      </c>
      <c r="E950" t="str">
        <f>VLOOKUP(Tabla1[[#This Row],[Cód. Atributo]],[1]!Tabla5[#Data],6,FALSE)</f>
        <v>Select</v>
      </c>
      <c r="F950">
        <v>6</v>
      </c>
      <c r="G950">
        <v>2</v>
      </c>
      <c r="H950" t="s">
        <v>266</v>
      </c>
      <c r="I950" t="str">
        <f>VLOOKUP(Tabla1[[#This Row],[Code]],'[1]Articulos Precio'!$A:$E,5,FALSE)</f>
        <v>A0000270</v>
      </c>
    </row>
    <row r="951" spans="1:9" x14ac:dyDescent="0.25">
      <c r="A951" t="s">
        <v>342</v>
      </c>
      <c r="B951" t="str">
        <f>VLOOKUP(Tabla1[[#This Row],[Code]],[1]!Tabla4[#Data],2,FALSE)</f>
        <v>M2 Metamark M4 Brillo 265 Verde Azulado 1,22 x 50m</v>
      </c>
      <c r="C951">
        <v>8</v>
      </c>
      <c r="D951" t="s">
        <v>86</v>
      </c>
      <c r="E951" t="str">
        <f>VLOOKUP(Tabla1[[#This Row],[Cód. Atributo]],[1]!Tabla5[#Data],6,FALSE)</f>
        <v>Select</v>
      </c>
      <c r="F951">
        <v>1</v>
      </c>
      <c r="G951">
        <v>2</v>
      </c>
      <c r="H951" t="s">
        <v>268</v>
      </c>
      <c r="I951" t="str">
        <f>VLOOKUP(Tabla1[[#This Row],[Code]],'[1]Articulos Precio'!$A:$E,5,FALSE)</f>
        <v>A0000270</v>
      </c>
    </row>
    <row r="952" spans="1:9" x14ac:dyDescent="0.25">
      <c r="A952" t="s">
        <v>342</v>
      </c>
      <c r="B952" t="str">
        <f>VLOOKUP(Tabla1[[#This Row],[Code]],[1]!Tabla4[#Data],2,FALSE)</f>
        <v>M2 Metamark M4 Brillo 265 Verde Azulado 1,22 x 50m</v>
      </c>
      <c r="C952">
        <v>21</v>
      </c>
      <c r="D952" t="s">
        <v>264</v>
      </c>
      <c r="E952" t="str">
        <f>VLOOKUP(Tabla1[[#This Row],[Cód. Atributo]],[1]!Tabla5[#Data],6,FALSE)</f>
        <v>Color</v>
      </c>
      <c r="F952">
        <v>2</v>
      </c>
      <c r="G952">
        <v>26</v>
      </c>
      <c r="H952" t="s">
        <v>341</v>
      </c>
      <c r="I952" t="str">
        <f>VLOOKUP(Tabla1[[#This Row],[Code]],'[1]Articulos Precio'!$A:$E,5,FALSE)</f>
        <v>A0000270</v>
      </c>
    </row>
    <row r="953" spans="1:9" x14ac:dyDescent="0.25">
      <c r="A953" t="s">
        <v>342</v>
      </c>
      <c r="B953" t="str">
        <f>VLOOKUP(Tabla1[[#This Row],[Code]],[1]!Tabla4[#Data],2,FALSE)</f>
        <v>M2 Metamark M4 Brillo 265 Verde Azulado 1,22 x 50m</v>
      </c>
      <c r="C953">
        <v>23</v>
      </c>
      <c r="D953" t="s">
        <v>90</v>
      </c>
      <c r="E953" t="str">
        <f>VLOOKUP(Tabla1[[#This Row],[Cód. Atributo]],[1]!Tabla5[#Data],6,FALSE)</f>
        <v>Select</v>
      </c>
      <c r="F953">
        <v>3</v>
      </c>
      <c r="G953">
        <v>1</v>
      </c>
      <c r="H953" t="s">
        <v>110</v>
      </c>
      <c r="I953" t="str">
        <f>VLOOKUP(Tabla1[[#This Row],[Code]],'[1]Articulos Precio'!$A:$E,5,FALSE)</f>
        <v>A0000270</v>
      </c>
    </row>
    <row r="954" spans="1:9" x14ac:dyDescent="0.25">
      <c r="A954" t="s">
        <v>342</v>
      </c>
      <c r="B954" t="str">
        <f>VLOOKUP(Tabla1[[#This Row],[Code]],[1]!Tabla4[#Data],2,FALSE)</f>
        <v>M2 Metamark M4 Brillo 265 Verde Azulado 1,22 x 50m</v>
      </c>
      <c r="C954">
        <v>25</v>
      </c>
      <c r="D954" t="s">
        <v>94</v>
      </c>
      <c r="E954" t="str">
        <f>VLOOKUP(Tabla1[[#This Row],[Cód. Atributo]],[1]!Tabla5[#Data],6,FALSE)</f>
        <v>Select</v>
      </c>
      <c r="F954">
        <v>4</v>
      </c>
      <c r="G954">
        <v>2</v>
      </c>
      <c r="H954" t="s">
        <v>111</v>
      </c>
      <c r="I954" t="str">
        <f>VLOOKUP(Tabla1[[#This Row],[Code]],'[1]Articulos Precio'!$A:$E,5,FALSE)</f>
        <v>A0000270</v>
      </c>
    </row>
    <row r="955" spans="1:9" x14ac:dyDescent="0.25">
      <c r="A955" t="s">
        <v>342</v>
      </c>
      <c r="B955" t="str">
        <f>VLOOKUP(Tabla1[[#This Row],[Code]],[1]!Tabla4[#Data],2,FALSE)</f>
        <v>M2 Metamark M4 Brillo 265 Verde Azulado 1,22 x 50m</v>
      </c>
      <c r="C955">
        <v>28</v>
      </c>
      <c r="D955" t="s">
        <v>184</v>
      </c>
      <c r="E955" t="str">
        <f>VLOOKUP(Tabla1[[#This Row],[Cód. Atributo]],[1]!Tabla5[#Data],6,FALSE)</f>
        <v>Select</v>
      </c>
      <c r="F955">
        <v>5</v>
      </c>
      <c r="G955">
        <v>1</v>
      </c>
      <c r="H955" t="s">
        <v>93</v>
      </c>
      <c r="I955" t="str">
        <f>VLOOKUP(Tabla1[[#This Row],[Code]],'[1]Articulos Precio'!$A:$E,5,FALSE)</f>
        <v>A0000270</v>
      </c>
    </row>
    <row r="956" spans="1:9" x14ac:dyDescent="0.25">
      <c r="A956" t="s">
        <v>342</v>
      </c>
      <c r="B956" t="str">
        <f>VLOOKUP(Tabla1[[#This Row],[Code]],[1]!Tabla4[#Data],2,FALSE)</f>
        <v>M2 Metamark M4 Brillo 265 Verde Azulado 1,22 x 50m</v>
      </c>
      <c r="C956">
        <v>24</v>
      </c>
      <c r="D956" t="s">
        <v>96</v>
      </c>
      <c r="E956" t="str">
        <f>VLOOKUP(Tabla1[[#This Row],[Cód. Atributo]],[1]!Tabla5[#Data],6,FALSE)</f>
        <v>Select</v>
      </c>
      <c r="F956">
        <v>6</v>
      </c>
      <c r="G956">
        <v>2</v>
      </c>
      <c r="H956" t="s">
        <v>266</v>
      </c>
      <c r="I956" t="str">
        <f>VLOOKUP(Tabla1[[#This Row],[Code]],'[1]Articulos Precio'!$A:$E,5,FALSE)</f>
        <v>A0000270</v>
      </c>
    </row>
    <row r="957" spans="1:9" x14ac:dyDescent="0.25">
      <c r="A957" t="s">
        <v>343</v>
      </c>
      <c r="B957" t="str">
        <f>VLOOKUP(Tabla1[[#This Row],[Code]],[1]!Tabla4[#Data],2,FALSE)</f>
        <v>M2 Metamark M4 Brillo 267 Verde Forestal 0,61 x 50m</v>
      </c>
      <c r="C957">
        <v>8</v>
      </c>
      <c r="D957" t="s">
        <v>86</v>
      </c>
      <c r="E957" t="str">
        <f>VLOOKUP(Tabla1[[#This Row],[Cód. Atributo]],[1]!Tabla5[#Data],6,FALSE)</f>
        <v>Select</v>
      </c>
      <c r="F957">
        <v>1</v>
      </c>
      <c r="G957">
        <v>1</v>
      </c>
      <c r="H957" t="s">
        <v>263</v>
      </c>
      <c r="I957" t="str">
        <f>VLOOKUP(Tabla1[[#This Row],[Code]],'[1]Articulos Precio'!$A:$E,5,FALSE)</f>
        <v>A0000270</v>
      </c>
    </row>
    <row r="958" spans="1:9" x14ac:dyDescent="0.25">
      <c r="A958" t="s">
        <v>343</v>
      </c>
      <c r="B958" t="str">
        <f>VLOOKUP(Tabla1[[#This Row],[Code]],[1]!Tabla4[#Data],2,FALSE)</f>
        <v>M2 Metamark M4 Brillo 267 Verde Forestal 0,61 x 50m</v>
      </c>
      <c r="C958">
        <v>21</v>
      </c>
      <c r="D958" t="s">
        <v>264</v>
      </c>
      <c r="E958" t="str">
        <f>VLOOKUP(Tabla1[[#This Row],[Cód. Atributo]],[1]!Tabla5[#Data],6,FALSE)</f>
        <v>Color</v>
      </c>
      <c r="F958">
        <v>2</v>
      </c>
      <c r="G958">
        <v>27</v>
      </c>
      <c r="H958" t="s">
        <v>344</v>
      </c>
      <c r="I958" t="str">
        <f>VLOOKUP(Tabla1[[#This Row],[Code]],'[1]Articulos Precio'!$A:$E,5,FALSE)</f>
        <v>A0000270</v>
      </c>
    </row>
    <row r="959" spans="1:9" x14ac:dyDescent="0.25">
      <c r="A959" t="s">
        <v>343</v>
      </c>
      <c r="B959" t="str">
        <f>VLOOKUP(Tabla1[[#This Row],[Code]],[1]!Tabla4[#Data],2,FALSE)</f>
        <v>M2 Metamark M4 Brillo 267 Verde Forestal 0,61 x 50m</v>
      </c>
      <c r="C959">
        <v>23</v>
      </c>
      <c r="D959" t="s">
        <v>90</v>
      </c>
      <c r="E959" t="str">
        <f>VLOOKUP(Tabla1[[#This Row],[Cód. Atributo]],[1]!Tabla5[#Data],6,FALSE)</f>
        <v>Select</v>
      </c>
      <c r="F959">
        <v>3</v>
      </c>
      <c r="G959">
        <v>1</v>
      </c>
      <c r="H959" t="s">
        <v>110</v>
      </c>
      <c r="I959" t="str">
        <f>VLOOKUP(Tabla1[[#This Row],[Code]],'[1]Articulos Precio'!$A:$E,5,FALSE)</f>
        <v>A0000270</v>
      </c>
    </row>
    <row r="960" spans="1:9" x14ac:dyDescent="0.25">
      <c r="A960" t="s">
        <v>343</v>
      </c>
      <c r="B960" t="str">
        <f>VLOOKUP(Tabla1[[#This Row],[Code]],[1]!Tabla4[#Data],2,FALSE)</f>
        <v>M2 Metamark M4 Brillo 267 Verde Forestal 0,61 x 50m</v>
      </c>
      <c r="C960">
        <v>25</v>
      </c>
      <c r="D960" t="s">
        <v>94</v>
      </c>
      <c r="E960" t="str">
        <f>VLOOKUP(Tabla1[[#This Row],[Cód. Atributo]],[1]!Tabla5[#Data],6,FALSE)</f>
        <v>Select</v>
      </c>
      <c r="F960">
        <v>4</v>
      </c>
      <c r="G960">
        <v>2</v>
      </c>
      <c r="H960" t="s">
        <v>111</v>
      </c>
      <c r="I960" t="str">
        <f>VLOOKUP(Tabla1[[#This Row],[Code]],'[1]Articulos Precio'!$A:$E,5,FALSE)</f>
        <v>A0000270</v>
      </c>
    </row>
    <row r="961" spans="1:9" x14ac:dyDescent="0.25">
      <c r="A961" t="s">
        <v>343</v>
      </c>
      <c r="B961" t="str">
        <f>VLOOKUP(Tabla1[[#This Row],[Code]],[1]!Tabla4[#Data],2,FALSE)</f>
        <v>M2 Metamark M4 Brillo 267 Verde Forestal 0,61 x 50m</v>
      </c>
      <c r="C961">
        <v>28</v>
      </c>
      <c r="D961" t="s">
        <v>92</v>
      </c>
      <c r="E961" t="str">
        <f>VLOOKUP(Tabla1[[#This Row],[Cód. Atributo]],[1]!Tabla5[#Data],6,FALSE)</f>
        <v>Select</v>
      </c>
      <c r="F961">
        <v>5</v>
      </c>
      <c r="G961">
        <v>1</v>
      </c>
      <c r="H961" t="s">
        <v>93</v>
      </c>
      <c r="I961" t="str">
        <f>VLOOKUP(Tabla1[[#This Row],[Code]],'[1]Articulos Precio'!$A:$E,5,FALSE)</f>
        <v>A0000270</v>
      </c>
    </row>
    <row r="962" spans="1:9" x14ac:dyDescent="0.25">
      <c r="A962" t="s">
        <v>343</v>
      </c>
      <c r="B962" t="str">
        <f>VLOOKUP(Tabla1[[#This Row],[Code]],[1]!Tabla4[#Data],2,FALSE)</f>
        <v>M2 Metamark M4 Brillo 267 Verde Forestal 0,61 x 50m</v>
      </c>
      <c r="C962">
        <v>24</v>
      </c>
      <c r="D962" t="s">
        <v>96</v>
      </c>
      <c r="E962" t="str">
        <f>VLOOKUP(Tabla1[[#This Row],[Cód. Atributo]],[1]!Tabla5[#Data],6,FALSE)</f>
        <v>Select</v>
      </c>
      <c r="F962">
        <v>6</v>
      </c>
      <c r="G962">
        <v>2</v>
      </c>
      <c r="H962" t="s">
        <v>266</v>
      </c>
      <c r="I962" t="str">
        <f>VLOOKUP(Tabla1[[#This Row],[Code]],'[1]Articulos Precio'!$A:$E,5,FALSE)</f>
        <v>A0000270</v>
      </c>
    </row>
    <row r="963" spans="1:9" x14ac:dyDescent="0.25">
      <c r="A963" t="s">
        <v>345</v>
      </c>
      <c r="B963" t="str">
        <f>VLOOKUP(Tabla1[[#This Row],[Code]],[1]!Tabla4[#Data],2,FALSE)</f>
        <v>M2 Metamark M4 Brillo 267 Verde Forestal 1,22 x 50m</v>
      </c>
      <c r="C963">
        <v>8</v>
      </c>
      <c r="D963" t="s">
        <v>86</v>
      </c>
      <c r="E963" t="str">
        <f>VLOOKUP(Tabla1[[#This Row],[Cód. Atributo]],[1]!Tabla5[#Data],6,FALSE)</f>
        <v>Select</v>
      </c>
      <c r="F963">
        <v>1</v>
      </c>
      <c r="G963">
        <v>2</v>
      </c>
      <c r="H963" t="s">
        <v>268</v>
      </c>
      <c r="I963" t="str">
        <f>VLOOKUP(Tabla1[[#This Row],[Code]],'[1]Articulos Precio'!$A:$E,5,FALSE)</f>
        <v>A0000270</v>
      </c>
    </row>
    <row r="964" spans="1:9" x14ac:dyDescent="0.25">
      <c r="A964" t="s">
        <v>345</v>
      </c>
      <c r="B964" t="str">
        <f>VLOOKUP(Tabla1[[#This Row],[Code]],[1]!Tabla4[#Data],2,FALSE)</f>
        <v>M2 Metamark M4 Brillo 267 Verde Forestal 1,22 x 50m</v>
      </c>
      <c r="C964">
        <v>21</v>
      </c>
      <c r="D964" t="s">
        <v>264</v>
      </c>
      <c r="E964" t="str">
        <f>VLOOKUP(Tabla1[[#This Row],[Cód. Atributo]],[1]!Tabla5[#Data],6,FALSE)</f>
        <v>Color</v>
      </c>
      <c r="F964">
        <v>2</v>
      </c>
      <c r="G964">
        <v>27</v>
      </c>
      <c r="H964" t="s">
        <v>344</v>
      </c>
      <c r="I964" t="str">
        <f>VLOOKUP(Tabla1[[#This Row],[Code]],'[1]Articulos Precio'!$A:$E,5,FALSE)</f>
        <v>A0000270</v>
      </c>
    </row>
    <row r="965" spans="1:9" x14ac:dyDescent="0.25">
      <c r="A965" t="s">
        <v>345</v>
      </c>
      <c r="B965" t="str">
        <f>VLOOKUP(Tabla1[[#This Row],[Code]],[1]!Tabla4[#Data],2,FALSE)</f>
        <v>M2 Metamark M4 Brillo 267 Verde Forestal 1,22 x 50m</v>
      </c>
      <c r="C965">
        <v>23</v>
      </c>
      <c r="D965" t="s">
        <v>90</v>
      </c>
      <c r="E965" t="str">
        <f>VLOOKUP(Tabla1[[#This Row],[Cód. Atributo]],[1]!Tabla5[#Data],6,FALSE)</f>
        <v>Select</v>
      </c>
      <c r="F965">
        <v>3</v>
      </c>
      <c r="G965">
        <v>1</v>
      </c>
      <c r="H965" t="s">
        <v>110</v>
      </c>
      <c r="I965" t="str">
        <f>VLOOKUP(Tabla1[[#This Row],[Code]],'[1]Articulos Precio'!$A:$E,5,FALSE)</f>
        <v>A0000270</v>
      </c>
    </row>
    <row r="966" spans="1:9" x14ac:dyDescent="0.25">
      <c r="A966" t="s">
        <v>345</v>
      </c>
      <c r="B966" t="str">
        <f>VLOOKUP(Tabla1[[#This Row],[Code]],[1]!Tabla4[#Data],2,FALSE)</f>
        <v>M2 Metamark M4 Brillo 267 Verde Forestal 1,22 x 50m</v>
      </c>
      <c r="C966">
        <v>25</v>
      </c>
      <c r="D966" t="s">
        <v>94</v>
      </c>
      <c r="E966" t="str">
        <f>VLOOKUP(Tabla1[[#This Row],[Cód. Atributo]],[1]!Tabla5[#Data],6,FALSE)</f>
        <v>Select</v>
      </c>
      <c r="F966">
        <v>4</v>
      </c>
      <c r="G966">
        <v>2</v>
      </c>
      <c r="H966" t="s">
        <v>111</v>
      </c>
      <c r="I966" t="str">
        <f>VLOOKUP(Tabla1[[#This Row],[Code]],'[1]Articulos Precio'!$A:$E,5,FALSE)</f>
        <v>A0000270</v>
      </c>
    </row>
    <row r="967" spans="1:9" x14ac:dyDescent="0.25">
      <c r="A967" t="s">
        <v>345</v>
      </c>
      <c r="B967" t="str">
        <f>VLOOKUP(Tabla1[[#This Row],[Code]],[1]!Tabla4[#Data],2,FALSE)</f>
        <v>M2 Metamark M4 Brillo 267 Verde Forestal 1,22 x 50m</v>
      </c>
      <c r="C967">
        <v>28</v>
      </c>
      <c r="D967" t="s">
        <v>184</v>
      </c>
      <c r="E967" t="str">
        <f>VLOOKUP(Tabla1[[#This Row],[Cód. Atributo]],[1]!Tabla5[#Data],6,FALSE)</f>
        <v>Select</v>
      </c>
      <c r="F967">
        <v>5</v>
      </c>
      <c r="G967">
        <v>1</v>
      </c>
      <c r="H967" t="s">
        <v>93</v>
      </c>
      <c r="I967" t="str">
        <f>VLOOKUP(Tabla1[[#This Row],[Code]],'[1]Articulos Precio'!$A:$E,5,FALSE)</f>
        <v>A0000270</v>
      </c>
    </row>
    <row r="968" spans="1:9" x14ac:dyDescent="0.25">
      <c r="A968" t="s">
        <v>345</v>
      </c>
      <c r="B968" t="str">
        <f>VLOOKUP(Tabla1[[#This Row],[Code]],[1]!Tabla4[#Data],2,FALSE)</f>
        <v>M2 Metamark M4 Brillo 267 Verde Forestal 1,22 x 50m</v>
      </c>
      <c r="C968">
        <v>24</v>
      </c>
      <c r="D968" t="s">
        <v>96</v>
      </c>
      <c r="E968" t="str">
        <f>VLOOKUP(Tabla1[[#This Row],[Cód. Atributo]],[1]!Tabla5[#Data],6,FALSE)</f>
        <v>Select</v>
      </c>
      <c r="F968">
        <v>6</v>
      </c>
      <c r="G968">
        <v>2</v>
      </c>
      <c r="H968" t="s">
        <v>266</v>
      </c>
      <c r="I968" t="str">
        <f>VLOOKUP(Tabla1[[#This Row],[Code]],'[1]Articulos Precio'!$A:$E,5,FALSE)</f>
        <v>A0000270</v>
      </c>
    </row>
    <row r="969" spans="1:9" x14ac:dyDescent="0.25">
      <c r="A969" t="s">
        <v>346</v>
      </c>
      <c r="B969" t="str">
        <f>VLOOKUP(Tabla1[[#This Row],[Code]],[1]!Tabla4[#Data],2,FALSE)</f>
        <v>M2 Metamark M4 Brillo 268 Verde Prado 0,61 x 50m</v>
      </c>
      <c r="C969">
        <v>8</v>
      </c>
      <c r="D969" t="s">
        <v>86</v>
      </c>
      <c r="E969" t="str">
        <f>VLOOKUP(Tabla1[[#This Row],[Cód. Atributo]],[1]!Tabla5[#Data],6,FALSE)</f>
        <v>Select</v>
      </c>
      <c r="F969">
        <v>1</v>
      </c>
      <c r="G969">
        <v>1</v>
      </c>
      <c r="H969" t="s">
        <v>263</v>
      </c>
      <c r="I969" t="str">
        <f>VLOOKUP(Tabla1[[#This Row],[Code]],'[1]Articulos Precio'!$A:$E,5,FALSE)</f>
        <v>A0000270</v>
      </c>
    </row>
    <row r="970" spans="1:9" x14ac:dyDescent="0.25">
      <c r="A970" t="s">
        <v>346</v>
      </c>
      <c r="B970" t="str">
        <f>VLOOKUP(Tabla1[[#This Row],[Code]],[1]!Tabla4[#Data],2,FALSE)</f>
        <v>M2 Metamark M4 Brillo 268 Verde Prado 0,61 x 50m</v>
      </c>
      <c r="C970">
        <v>21</v>
      </c>
      <c r="D970" t="s">
        <v>264</v>
      </c>
      <c r="E970" t="str">
        <f>VLOOKUP(Tabla1[[#This Row],[Cód. Atributo]],[1]!Tabla5[#Data],6,FALSE)</f>
        <v>Color</v>
      </c>
      <c r="F970">
        <v>2</v>
      </c>
      <c r="G970">
        <v>28</v>
      </c>
      <c r="H970" t="s">
        <v>347</v>
      </c>
      <c r="I970" t="str">
        <f>VLOOKUP(Tabla1[[#This Row],[Code]],'[1]Articulos Precio'!$A:$E,5,FALSE)</f>
        <v>A0000270</v>
      </c>
    </row>
    <row r="971" spans="1:9" x14ac:dyDescent="0.25">
      <c r="A971" t="s">
        <v>346</v>
      </c>
      <c r="B971" t="str">
        <f>VLOOKUP(Tabla1[[#This Row],[Code]],[1]!Tabla4[#Data],2,FALSE)</f>
        <v>M2 Metamark M4 Brillo 268 Verde Prado 0,61 x 50m</v>
      </c>
      <c r="C971">
        <v>23</v>
      </c>
      <c r="D971" t="s">
        <v>90</v>
      </c>
      <c r="E971" t="str">
        <f>VLOOKUP(Tabla1[[#This Row],[Cód. Atributo]],[1]!Tabla5[#Data],6,FALSE)</f>
        <v>Select</v>
      </c>
      <c r="F971">
        <v>3</v>
      </c>
      <c r="G971">
        <v>1</v>
      </c>
      <c r="H971" t="s">
        <v>110</v>
      </c>
      <c r="I971" t="str">
        <f>VLOOKUP(Tabla1[[#This Row],[Code]],'[1]Articulos Precio'!$A:$E,5,FALSE)</f>
        <v>A0000270</v>
      </c>
    </row>
    <row r="972" spans="1:9" x14ac:dyDescent="0.25">
      <c r="A972" t="s">
        <v>346</v>
      </c>
      <c r="B972" t="str">
        <f>VLOOKUP(Tabla1[[#This Row],[Code]],[1]!Tabla4[#Data],2,FALSE)</f>
        <v>M2 Metamark M4 Brillo 268 Verde Prado 0,61 x 50m</v>
      </c>
      <c r="C972">
        <v>25</v>
      </c>
      <c r="D972" t="s">
        <v>94</v>
      </c>
      <c r="E972" t="str">
        <f>VLOOKUP(Tabla1[[#This Row],[Cód. Atributo]],[1]!Tabla5[#Data],6,FALSE)</f>
        <v>Select</v>
      </c>
      <c r="F972">
        <v>4</v>
      </c>
      <c r="G972">
        <v>2</v>
      </c>
      <c r="H972" t="s">
        <v>111</v>
      </c>
      <c r="I972" t="str">
        <f>VLOOKUP(Tabla1[[#This Row],[Code]],'[1]Articulos Precio'!$A:$E,5,FALSE)</f>
        <v>A0000270</v>
      </c>
    </row>
    <row r="973" spans="1:9" x14ac:dyDescent="0.25">
      <c r="A973" t="s">
        <v>346</v>
      </c>
      <c r="B973" t="str">
        <f>VLOOKUP(Tabla1[[#This Row],[Code]],[1]!Tabla4[#Data],2,FALSE)</f>
        <v>M2 Metamark M4 Brillo 268 Verde Prado 0,61 x 50m</v>
      </c>
      <c r="C973">
        <v>28</v>
      </c>
      <c r="D973" t="s">
        <v>92</v>
      </c>
      <c r="E973" t="str">
        <f>VLOOKUP(Tabla1[[#This Row],[Cód. Atributo]],[1]!Tabla5[#Data],6,FALSE)</f>
        <v>Select</v>
      </c>
      <c r="F973">
        <v>5</v>
      </c>
      <c r="G973">
        <v>1</v>
      </c>
      <c r="H973" t="s">
        <v>93</v>
      </c>
      <c r="I973" t="str">
        <f>VLOOKUP(Tabla1[[#This Row],[Code]],'[1]Articulos Precio'!$A:$E,5,FALSE)</f>
        <v>A0000270</v>
      </c>
    </row>
    <row r="974" spans="1:9" x14ac:dyDescent="0.25">
      <c r="A974" t="s">
        <v>346</v>
      </c>
      <c r="B974" t="str">
        <f>VLOOKUP(Tabla1[[#This Row],[Code]],[1]!Tabla4[#Data],2,FALSE)</f>
        <v>M2 Metamark M4 Brillo 268 Verde Prado 0,61 x 50m</v>
      </c>
      <c r="C974">
        <v>24</v>
      </c>
      <c r="D974" t="s">
        <v>96</v>
      </c>
      <c r="E974" t="str">
        <f>VLOOKUP(Tabla1[[#This Row],[Cód. Atributo]],[1]!Tabla5[#Data],6,FALSE)</f>
        <v>Select</v>
      </c>
      <c r="F974">
        <v>6</v>
      </c>
      <c r="G974">
        <v>2</v>
      </c>
      <c r="H974" t="s">
        <v>266</v>
      </c>
      <c r="I974" t="str">
        <f>VLOOKUP(Tabla1[[#This Row],[Code]],'[1]Articulos Precio'!$A:$E,5,FALSE)</f>
        <v>A0000270</v>
      </c>
    </row>
    <row r="975" spans="1:9" x14ac:dyDescent="0.25">
      <c r="A975" t="s">
        <v>348</v>
      </c>
      <c r="B975" t="str">
        <f>VLOOKUP(Tabla1[[#This Row],[Code]],[1]!Tabla4[#Data],2,FALSE)</f>
        <v>M2 Metamark M4 Brillo 268 Verde Prado 1,22 x 50m</v>
      </c>
      <c r="C975">
        <v>8</v>
      </c>
      <c r="D975" t="s">
        <v>86</v>
      </c>
      <c r="E975" t="str">
        <f>VLOOKUP(Tabla1[[#This Row],[Cód. Atributo]],[1]!Tabla5[#Data],6,FALSE)</f>
        <v>Select</v>
      </c>
      <c r="F975">
        <v>1</v>
      </c>
      <c r="G975">
        <v>2</v>
      </c>
      <c r="H975" t="s">
        <v>268</v>
      </c>
      <c r="I975" t="str">
        <f>VLOOKUP(Tabla1[[#This Row],[Code]],'[1]Articulos Precio'!$A:$E,5,FALSE)</f>
        <v>A0000270</v>
      </c>
    </row>
    <row r="976" spans="1:9" x14ac:dyDescent="0.25">
      <c r="A976" t="s">
        <v>348</v>
      </c>
      <c r="B976" t="str">
        <f>VLOOKUP(Tabla1[[#This Row],[Code]],[1]!Tabla4[#Data],2,FALSE)</f>
        <v>M2 Metamark M4 Brillo 268 Verde Prado 1,22 x 50m</v>
      </c>
      <c r="C976">
        <v>21</v>
      </c>
      <c r="D976" t="s">
        <v>264</v>
      </c>
      <c r="E976" t="str">
        <f>VLOOKUP(Tabla1[[#This Row],[Cód. Atributo]],[1]!Tabla5[#Data],6,FALSE)</f>
        <v>Color</v>
      </c>
      <c r="F976">
        <v>2</v>
      </c>
      <c r="G976">
        <v>28</v>
      </c>
      <c r="H976" t="s">
        <v>347</v>
      </c>
      <c r="I976" t="str">
        <f>VLOOKUP(Tabla1[[#This Row],[Code]],'[1]Articulos Precio'!$A:$E,5,FALSE)</f>
        <v>A0000270</v>
      </c>
    </row>
    <row r="977" spans="1:9" x14ac:dyDescent="0.25">
      <c r="A977" t="s">
        <v>348</v>
      </c>
      <c r="B977" t="str">
        <f>VLOOKUP(Tabla1[[#This Row],[Code]],[1]!Tabla4[#Data],2,FALSE)</f>
        <v>M2 Metamark M4 Brillo 268 Verde Prado 1,22 x 50m</v>
      </c>
      <c r="C977">
        <v>23</v>
      </c>
      <c r="D977" t="s">
        <v>90</v>
      </c>
      <c r="E977" t="str">
        <f>VLOOKUP(Tabla1[[#This Row],[Cód. Atributo]],[1]!Tabla5[#Data],6,FALSE)</f>
        <v>Select</v>
      </c>
      <c r="F977">
        <v>3</v>
      </c>
      <c r="G977">
        <v>1</v>
      </c>
      <c r="H977" t="s">
        <v>110</v>
      </c>
      <c r="I977" t="str">
        <f>VLOOKUP(Tabla1[[#This Row],[Code]],'[1]Articulos Precio'!$A:$E,5,FALSE)</f>
        <v>A0000270</v>
      </c>
    </row>
    <row r="978" spans="1:9" x14ac:dyDescent="0.25">
      <c r="A978" t="s">
        <v>348</v>
      </c>
      <c r="B978" t="str">
        <f>VLOOKUP(Tabla1[[#This Row],[Code]],[1]!Tabla4[#Data],2,FALSE)</f>
        <v>M2 Metamark M4 Brillo 268 Verde Prado 1,22 x 50m</v>
      </c>
      <c r="C978">
        <v>25</v>
      </c>
      <c r="D978" t="s">
        <v>94</v>
      </c>
      <c r="E978" t="str">
        <f>VLOOKUP(Tabla1[[#This Row],[Cód. Atributo]],[1]!Tabla5[#Data],6,FALSE)</f>
        <v>Select</v>
      </c>
      <c r="F978">
        <v>4</v>
      </c>
      <c r="G978">
        <v>2</v>
      </c>
      <c r="H978" t="s">
        <v>111</v>
      </c>
      <c r="I978" t="str">
        <f>VLOOKUP(Tabla1[[#This Row],[Code]],'[1]Articulos Precio'!$A:$E,5,FALSE)</f>
        <v>A0000270</v>
      </c>
    </row>
    <row r="979" spans="1:9" x14ac:dyDescent="0.25">
      <c r="A979" t="s">
        <v>348</v>
      </c>
      <c r="B979" t="str">
        <f>VLOOKUP(Tabla1[[#This Row],[Code]],[1]!Tabla4[#Data],2,FALSE)</f>
        <v>M2 Metamark M4 Brillo 268 Verde Prado 1,22 x 50m</v>
      </c>
      <c r="C979">
        <v>28</v>
      </c>
      <c r="D979" t="s">
        <v>184</v>
      </c>
      <c r="E979" t="str">
        <f>VLOOKUP(Tabla1[[#This Row],[Cód. Atributo]],[1]!Tabla5[#Data],6,FALSE)</f>
        <v>Select</v>
      </c>
      <c r="F979">
        <v>5</v>
      </c>
      <c r="G979">
        <v>1</v>
      </c>
      <c r="H979" t="s">
        <v>93</v>
      </c>
      <c r="I979" t="str">
        <f>VLOOKUP(Tabla1[[#This Row],[Code]],'[1]Articulos Precio'!$A:$E,5,FALSE)</f>
        <v>A0000270</v>
      </c>
    </row>
    <row r="980" spans="1:9" x14ac:dyDescent="0.25">
      <c r="A980" t="s">
        <v>348</v>
      </c>
      <c r="B980" t="str">
        <f>VLOOKUP(Tabla1[[#This Row],[Code]],[1]!Tabla4[#Data],2,FALSE)</f>
        <v>M2 Metamark M4 Brillo 268 Verde Prado 1,22 x 50m</v>
      </c>
      <c r="C980">
        <v>24</v>
      </c>
      <c r="D980" t="s">
        <v>96</v>
      </c>
      <c r="E980" t="str">
        <f>VLOOKUP(Tabla1[[#This Row],[Cód. Atributo]],[1]!Tabla5[#Data],6,FALSE)</f>
        <v>Select</v>
      </c>
      <c r="F980">
        <v>6</v>
      </c>
      <c r="G980">
        <v>2</v>
      </c>
      <c r="H980" t="s">
        <v>266</v>
      </c>
      <c r="I980" t="str">
        <f>VLOOKUP(Tabla1[[#This Row],[Code]],'[1]Articulos Precio'!$A:$E,5,FALSE)</f>
        <v>A0000270</v>
      </c>
    </row>
    <row r="981" spans="1:9" x14ac:dyDescent="0.25">
      <c r="A981" t="s">
        <v>349</v>
      </c>
      <c r="B981" t="str">
        <f>VLOOKUP(Tabla1[[#This Row],[Code]],[1]!Tabla4[#Data],2,FALSE)</f>
        <v>M2 Metamark M4 Brillo 269 Verde Trébol 0,61 x 50m</v>
      </c>
      <c r="C981">
        <v>8</v>
      </c>
      <c r="D981" t="s">
        <v>86</v>
      </c>
      <c r="E981" t="str">
        <f>VLOOKUP(Tabla1[[#This Row],[Cód. Atributo]],[1]!Tabla5[#Data],6,FALSE)</f>
        <v>Select</v>
      </c>
      <c r="F981">
        <v>1</v>
      </c>
      <c r="G981">
        <v>1</v>
      </c>
      <c r="H981" t="s">
        <v>263</v>
      </c>
      <c r="I981" t="str">
        <f>VLOOKUP(Tabla1[[#This Row],[Code]],'[1]Articulos Precio'!$A:$E,5,FALSE)</f>
        <v>A0000270</v>
      </c>
    </row>
    <row r="982" spans="1:9" x14ac:dyDescent="0.25">
      <c r="A982" t="s">
        <v>349</v>
      </c>
      <c r="B982" t="str">
        <f>VLOOKUP(Tabla1[[#This Row],[Code]],[1]!Tabla4[#Data],2,FALSE)</f>
        <v>M2 Metamark M4 Brillo 269 Verde Trébol 0,61 x 50m</v>
      </c>
      <c r="C982">
        <v>21</v>
      </c>
      <c r="D982" t="s">
        <v>264</v>
      </c>
      <c r="E982" t="str">
        <f>VLOOKUP(Tabla1[[#This Row],[Cód. Atributo]],[1]!Tabla5[#Data],6,FALSE)</f>
        <v>Color</v>
      </c>
      <c r="F982">
        <v>2</v>
      </c>
      <c r="G982">
        <v>29</v>
      </c>
      <c r="H982" t="s">
        <v>350</v>
      </c>
      <c r="I982" t="str">
        <f>VLOOKUP(Tabla1[[#This Row],[Code]],'[1]Articulos Precio'!$A:$E,5,FALSE)</f>
        <v>A0000270</v>
      </c>
    </row>
    <row r="983" spans="1:9" x14ac:dyDescent="0.25">
      <c r="A983" t="s">
        <v>349</v>
      </c>
      <c r="B983" t="str">
        <f>VLOOKUP(Tabla1[[#This Row],[Code]],[1]!Tabla4[#Data],2,FALSE)</f>
        <v>M2 Metamark M4 Brillo 269 Verde Trébol 0,61 x 50m</v>
      </c>
      <c r="C983">
        <v>23</v>
      </c>
      <c r="D983" t="s">
        <v>90</v>
      </c>
      <c r="E983" t="str">
        <f>VLOOKUP(Tabla1[[#This Row],[Cód. Atributo]],[1]!Tabla5[#Data],6,FALSE)</f>
        <v>Select</v>
      </c>
      <c r="F983">
        <v>3</v>
      </c>
      <c r="G983">
        <v>1</v>
      </c>
      <c r="H983" t="s">
        <v>110</v>
      </c>
      <c r="I983" t="str">
        <f>VLOOKUP(Tabla1[[#This Row],[Code]],'[1]Articulos Precio'!$A:$E,5,FALSE)</f>
        <v>A0000270</v>
      </c>
    </row>
    <row r="984" spans="1:9" x14ac:dyDescent="0.25">
      <c r="A984" t="s">
        <v>349</v>
      </c>
      <c r="B984" t="str">
        <f>VLOOKUP(Tabla1[[#This Row],[Code]],[1]!Tabla4[#Data],2,FALSE)</f>
        <v>M2 Metamark M4 Brillo 269 Verde Trébol 0,61 x 50m</v>
      </c>
      <c r="C984">
        <v>25</v>
      </c>
      <c r="D984" t="s">
        <v>94</v>
      </c>
      <c r="E984" t="str">
        <f>VLOOKUP(Tabla1[[#This Row],[Cód. Atributo]],[1]!Tabla5[#Data],6,FALSE)</f>
        <v>Select</v>
      </c>
      <c r="F984">
        <v>4</v>
      </c>
      <c r="G984">
        <v>2</v>
      </c>
      <c r="H984" t="s">
        <v>111</v>
      </c>
      <c r="I984" t="str">
        <f>VLOOKUP(Tabla1[[#This Row],[Code]],'[1]Articulos Precio'!$A:$E,5,FALSE)</f>
        <v>A0000270</v>
      </c>
    </row>
    <row r="985" spans="1:9" x14ac:dyDescent="0.25">
      <c r="A985" t="s">
        <v>349</v>
      </c>
      <c r="B985" t="str">
        <f>VLOOKUP(Tabla1[[#This Row],[Code]],[1]!Tabla4[#Data],2,FALSE)</f>
        <v>M2 Metamark M4 Brillo 269 Verde Trébol 0,61 x 50m</v>
      </c>
      <c r="C985">
        <v>28</v>
      </c>
      <c r="D985" t="s">
        <v>92</v>
      </c>
      <c r="E985" t="str">
        <f>VLOOKUP(Tabla1[[#This Row],[Cód. Atributo]],[1]!Tabla5[#Data],6,FALSE)</f>
        <v>Select</v>
      </c>
      <c r="F985">
        <v>5</v>
      </c>
      <c r="G985">
        <v>1</v>
      </c>
      <c r="H985" t="s">
        <v>93</v>
      </c>
      <c r="I985" t="str">
        <f>VLOOKUP(Tabla1[[#This Row],[Code]],'[1]Articulos Precio'!$A:$E,5,FALSE)</f>
        <v>A0000270</v>
      </c>
    </row>
    <row r="986" spans="1:9" x14ac:dyDescent="0.25">
      <c r="A986" t="s">
        <v>349</v>
      </c>
      <c r="B986" t="str">
        <f>VLOOKUP(Tabla1[[#This Row],[Code]],[1]!Tabla4[#Data],2,FALSE)</f>
        <v>M2 Metamark M4 Brillo 269 Verde Trébol 0,61 x 50m</v>
      </c>
      <c r="C986">
        <v>24</v>
      </c>
      <c r="D986" t="s">
        <v>96</v>
      </c>
      <c r="E986" t="str">
        <f>VLOOKUP(Tabla1[[#This Row],[Cód. Atributo]],[1]!Tabla5[#Data],6,FALSE)</f>
        <v>Select</v>
      </c>
      <c r="F986">
        <v>6</v>
      </c>
      <c r="G986">
        <v>2</v>
      </c>
      <c r="H986" t="s">
        <v>266</v>
      </c>
      <c r="I986" t="str">
        <f>VLOOKUP(Tabla1[[#This Row],[Code]],'[1]Articulos Precio'!$A:$E,5,FALSE)</f>
        <v>A0000270</v>
      </c>
    </row>
    <row r="987" spans="1:9" x14ac:dyDescent="0.25">
      <c r="A987" t="s">
        <v>351</v>
      </c>
      <c r="B987" t="str">
        <f>VLOOKUP(Tabla1[[#This Row],[Code]],[1]!Tabla4[#Data],2,FALSE)</f>
        <v>M2 Metamark M4 Brillo 269 Verde Trébol 1,22 x 50m</v>
      </c>
      <c r="C987">
        <v>8</v>
      </c>
      <c r="D987" t="s">
        <v>86</v>
      </c>
      <c r="E987" t="str">
        <f>VLOOKUP(Tabla1[[#This Row],[Cód. Atributo]],[1]!Tabla5[#Data],6,FALSE)</f>
        <v>Select</v>
      </c>
      <c r="F987">
        <v>1</v>
      </c>
      <c r="G987">
        <v>2</v>
      </c>
      <c r="H987" t="s">
        <v>268</v>
      </c>
      <c r="I987" t="str">
        <f>VLOOKUP(Tabla1[[#This Row],[Code]],'[1]Articulos Precio'!$A:$E,5,FALSE)</f>
        <v>A0000270</v>
      </c>
    </row>
    <row r="988" spans="1:9" x14ac:dyDescent="0.25">
      <c r="A988" t="s">
        <v>351</v>
      </c>
      <c r="B988" t="str">
        <f>VLOOKUP(Tabla1[[#This Row],[Code]],[1]!Tabla4[#Data],2,FALSE)</f>
        <v>M2 Metamark M4 Brillo 269 Verde Trébol 1,22 x 50m</v>
      </c>
      <c r="C988">
        <v>21</v>
      </c>
      <c r="D988" t="s">
        <v>264</v>
      </c>
      <c r="E988" t="str">
        <f>VLOOKUP(Tabla1[[#This Row],[Cód. Atributo]],[1]!Tabla5[#Data],6,FALSE)</f>
        <v>Color</v>
      </c>
      <c r="F988">
        <v>2</v>
      </c>
      <c r="G988">
        <v>29</v>
      </c>
      <c r="H988" t="s">
        <v>350</v>
      </c>
      <c r="I988" t="str">
        <f>VLOOKUP(Tabla1[[#This Row],[Code]],'[1]Articulos Precio'!$A:$E,5,FALSE)</f>
        <v>A0000270</v>
      </c>
    </row>
    <row r="989" spans="1:9" x14ac:dyDescent="0.25">
      <c r="A989" t="s">
        <v>351</v>
      </c>
      <c r="B989" t="str">
        <f>VLOOKUP(Tabla1[[#This Row],[Code]],[1]!Tabla4[#Data],2,FALSE)</f>
        <v>M2 Metamark M4 Brillo 269 Verde Trébol 1,22 x 50m</v>
      </c>
      <c r="C989">
        <v>23</v>
      </c>
      <c r="D989" t="s">
        <v>90</v>
      </c>
      <c r="E989" t="str">
        <f>VLOOKUP(Tabla1[[#This Row],[Cód. Atributo]],[1]!Tabla5[#Data],6,FALSE)</f>
        <v>Select</v>
      </c>
      <c r="F989">
        <v>3</v>
      </c>
      <c r="G989">
        <v>1</v>
      </c>
      <c r="H989" t="s">
        <v>110</v>
      </c>
      <c r="I989" t="str">
        <f>VLOOKUP(Tabla1[[#This Row],[Code]],'[1]Articulos Precio'!$A:$E,5,FALSE)</f>
        <v>A0000270</v>
      </c>
    </row>
    <row r="990" spans="1:9" x14ac:dyDescent="0.25">
      <c r="A990" t="s">
        <v>351</v>
      </c>
      <c r="B990" t="str">
        <f>VLOOKUP(Tabla1[[#This Row],[Code]],[1]!Tabla4[#Data],2,FALSE)</f>
        <v>M2 Metamark M4 Brillo 269 Verde Trébol 1,22 x 50m</v>
      </c>
      <c r="C990">
        <v>25</v>
      </c>
      <c r="D990" t="s">
        <v>94</v>
      </c>
      <c r="E990" t="str">
        <f>VLOOKUP(Tabla1[[#This Row],[Cód. Atributo]],[1]!Tabla5[#Data],6,FALSE)</f>
        <v>Select</v>
      </c>
      <c r="F990">
        <v>4</v>
      </c>
      <c r="G990">
        <v>2</v>
      </c>
      <c r="H990" t="s">
        <v>111</v>
      </c>
      <c r="I990" t="str">
        <f>VLOOKUP(Tabla1[[#This Row],[Code]],'[1]Articulos Precio'!$A:$E,5,FALSE)</f>
        <v>A0000270</v>
      </c>
    </row>
    <row r="991" spans="1:9" x14ac:dyDescent="0.25">
      <c r="A991" t="s">
        <v>351</v>
      </c>
      <c r="B991" t="str">
        <f>VLOOKUP(Tabla1[[#This Row],[Code]],[1]!Tabla4[#Data],2,FALSE)</f>
        <v>M2 Metamark M4 Brillo 269 Verde Trébol 1,22 x 50m</v>
      </c>
      <c r="C991">
        <v>28</v>
      </c>
      <c r="D991" t="s">
        <v>184</v>
      </c>
      <c r="E991" t="str">
        <f>VLOOKUP(Tabla1[[#This Row],[Cód. Atributo]],[1]!Tabla5[#Data],6,FALSE)</f>
        <v>Select</v>
      </c>
      <c r="F991">
        <v>5</v>
      </c>
      <c r="G991">
        <v>1</v>
      </c>
      <c r="H991" t="s">
        <v>93</v>
      </c>
      <c r="I991" t="str">
        <f>VLOOKUP(Tabla1[[#This Row],[Code]],'[1]Articulos Precio'!$A:$E,5,FALSE)</f>
        <v>A0000270</v>
      </c>
    </row>
    <row r="992" spans="1:9" x14ac:dyDescent="0.25">
      <c r="A992" t="s">
        <v>351</v>
      </c>
      <c r="B992" t="str">
        <f>VLOOKUP(Tabla1[[#This Row],[Code]],[1]!Tabla4[#Data],2,FALSE)</f>
        <v>M2 Metamark M4 Brillo 269 Verde Trébol 1,22 x 50m</v>
      </c>
      <c r="C992">
        <v>24</v>
      </c>
      <c r="D992" t="s">
        <v>96</v>
      </c>
      <c r="E992" t="str">
        <f>VLOOKUP(Tabla1[[#This Row],[Cód. Atributo]],[1]!Tabla5[#Data],6,FALSE)</f>
        <v>Select</v>
      </c>
      <c r="F992">
        <v>6</v>
      </c>
      <c r="G992">
        <v>2</v>
      </c>
      <c r="H992" t="s">
        <v>266</v>
      </c>
      <c r="I992" t="str">
        <f>VLOOKUP(Tabla1[[#This Row],[Code]],'[1]Articulos Precio'!$A:$E,5,FALSE)</f>
        <v>A0000270</v>
      </c>
    </row>
    <row r="993" spans="1:9" x14ac:dyDescent="0.25">
      <c r="A993" t="s">
        <v>352</v>
      </c>
      <c r="B993" t="str">
        <f>VLOOKUP(Tabla1[[#This Row],[Code]],[1]!Tabla4[#Data],2,FALSE)</f>
        <v>M2 Metamark M4 Brillo 270 Crema 0,61 x 50m</v>
      </c>
      <c r="C993">
        <v>8</v>
      </c>
      <c r="D993" t="s">
        <v>86</v>
      </c>
      <c r="E993" t="str">
        <f>VLOOKUP(Tabla1[[#This Row],[Cód. Atributo]],[1]!Tabla5[#Data],6,FALSE)</f>
        <v>Select</v>
      </c>
      <c r="F993">
        <v>1</v>
      </c>
      <c r="G993">
        <v>1</v>
      </c>
      <c r="H993" t="s">
        <v>263</v>
      </c>
      <c r="I993" t="str">
        <f>VLOOKUP(Tabla1[[#This Row],[Code]],'[1]Articulos Precio'!$A:$E,5,FALSE)</f>
        <v>A0000270</v>
      </c>
    </row>
    <row r="994" spans="1:9" x14ac:dyDescent="0.25">
      <c r="A994" t="s">
        <v>352</v>
      </c>
      <c r="B994" t="str">
        <f>VLOOKUP(Tabla1[[#This Row],[Code]],[1]!Tabla4[#Data],2,FALSE)</f>
        <v>M2 Metamark M4 Brillo 270 Crema 0,61 x 50m</v>
      </c>
      <c r="C994">
        <v>21</v>
      </c>
      <c r="D994" t="s">
        <v>264</v>
      </c>
      <c r="E994" t="str">
        <f>VLOOKUP(Tabla1[[#This Row],[Cód. Atributo]],[1]!Tabla5[#Data],6,FALSE)</f>
        <v>Color</v>
      </c>
      <c r="F994">
        <v>2</v>
      </c>
      <c r="G994">
        <v>30</v>
      </c>
      <c r="H994" t="s">
        <v>353</v>
      </c>
      <c r="I994" t="str">
        <f>VLOOKUP(Tabla1[[#This Row],[Code]],'[1]Articulos Precio'!$A:$E,5,FALSE)</f>
        <v>A0000270</v>
      </c>
    </row>
    <row r="995" spans="1:9" x14ac:dyDescent="0.25">
      <c r="A995" t="s">
        <v>352</v>
      </c>
      <c r="B995" t="str">
        <f>VLOOKUP(Tabla1[[#This Row],[Code]],[1]!Tabla4[#Data],2,FALSE)</f>
        <v>M2 Metamark M4 Brillo 270 Crema 0,61 x 50m</v>
      </c>
      <c r="C995">
        <v>23</v>
      </c>
      <c r="D995" t="s">
        <v>90</v>
      </c>
      <c r="E995" t="str">
        <f>VLOOKUP(Tabla1[[#This Row],[Cód. Atributo]],[1]!Tabla5[#Data],6,FALSE)</f>
        <v>Select</v>
      </c>
      <c r="F995">
        <v>3</v>
      </c>
      <c r="G995">
        <v>1</v>
      </c>
      <c r="H995" t="s">
        <v>110</v>
      </c>
      <c r="I995" t="str">
        <f>VLOOKUP(Tabla1[[#This Row],[Code]],'[1]Articulos Precio'!$A:$E,5,FALSE)</f>
        <v>A0000270</v>
      </c>
    </row>
    <row r="996" spans="1:9" x14ac:dyDescent="0.25">
      <c r="A996" t="s">
        <v>352</v>
      </c>
      <c r="B996" t="str">
        <f>VLOOKUP(Tabla1[[#This Row],[Code]],[1]!Tabla4[#Data],2,FALSE)</f>
        <v>M2 Metamark M4 Brillo 270 Crema 0,61 x 50m</v>
      </c>
      <c r="C996">
        <v>25</v>
      </c>
      <c r="D996" t="s">
        <v>94</v>
      </c>
      <c r="E996" t="str">
        <f>VLOOKUP(Tabla1[[#This Row],[Cód. Atributo]],[1]!Tabla5[#Data],6,FALSE)</f>
        <v>Select</v>
      </c>
      <c r="F996">
        <v>4</v>
      </c>
      <c r="G996">
        <v>2</v>
      </c>
      <c r="H996" t="s">
        <v>111</v>
      </c>
      <c r="I996" t="str">
        <f>VLOOKUP(Tabla1[[#This Row],[Code]],'[1]Articulos Precio'!$A:$E,5,FALSE)</f>
        <v>A0000270</v>
      </c>
    </row>
    <row r="997" spans="1:9" x14ac:dyDescent="0.25">
      <c r="A997" t="s">
        <v>352</v>
      </c>
      <c r="B997" t="str">
        <f>VLOOKUP(Tabla1[[#This Row],[Code]],[1]!Tabla4[#Data],2,FALSE)</f>
        <v>M2 Metamark M4 Brillo 270 Crema 0,61 x 50m</v>
      </c>
      <c r="C997">
        <v>28</v>
      </c>
      <c r="D997" t="s">
        <v>92</v>
      </c>
      <c r="E997" t="str">
        <f>VLOOKUP(Tabla1[[#This Row],[Cód. Atributo]],[1]!Tabla5[#Data],6,FALSE)</f>
        <v>Select</v>
      </c>
      <c r="F997">
        <v>5</v>
      </c>
      <c r="G997">
        <v>1</v>
      </c>
      <c r="H997" t="s">
        <v>93</v>
      </c>
      <c r="I997" t="str">
        <f>VLOOKUP(Tabla1[[#This Row],[Code]],'[1]Articulos Precio'!$A:$E,5,FALSE)</f>
        <v>A0000270</v>
      </c>
    </row>
    <row r="998" spans="1:9" x14ac:dyDescent="0.25">
      <c r="A998" t="s">
        <v>352</v>
      </c>
      <c r="B998" t="str">
        <f>VLOOKUP(Tabla1[[#This Row],[Code]],[1]!Tabla4[#Data],2,FALSE)</f>
        <v>M2 Metamark M4 Brillo 270 Crema 0,61 x 50m</v>
      </c>
      <c r="C998">
        <v>24</v>
      </c>
      <c r="D998" t="s">
        <v>96</v>
      </c>
      <c r="E998" t="str">
        <f>VLOOKUP(Tabla1[[#This Row],[Cód. Atributo]],[1]!Tabla5[#Data],6,FALSE)</f>
        <v>Select</v>
      </c>
      <c r="F998">
        <v>6</v>
      </c>
      <c r="G998">
        <v>2</v>
      </c>
      <c r="H998" t="s">
        <v>266</v>
      </c>
      <c r="I998" t="str">
        <f>VLOOKUP(Tabla1[[#This Row],[Code]],'[1]Articulos Precio'!$A:$E,5,FALSE)</f>
        <v>A0000270</v>
      </c>
    </row>
    <row r="999" spans="1:9" x14ac:dyDescent="0.25">
      <c r="A999" t="s">
        <v>354</v>
      </c>
      <c r="B999" t="str">
        <f>VLOOKUP(Tabla1[[#This Row],[Code]],[1]!Tabla4[#Data],2,FALSE)</f>
        <v>M2 Metamark M4 Brillo 270 Crema 1,22 x 50m</v>
      </c>
      <c r="C999">
        <v>8</v>
      </c>
      <c r="D999" t="s">
        <v>86</v>
      </c>
      <c r="E999" t="str">
        <f>VLOOKUP(Tabla1[[#This Row],[Cód. Atributo]],[1]!Tabla5[#Data],6,FALSE)</f>
        <v>Select</v>
      </c>
      <c r="F999">
        <v>1</v>
      </c>
      <c r="G999">
        <v>2</v>
      </c>
      <c r="H999" t="s">
        <v>268</v>
      </c>
      <c r="I999" t="str">
        <f>VLOOKUP(Tabla1[[#This Row],[Code]],'[1]Articulos Precio'!$A:$E,5,FALSE)</f>
        <v>A0000270</v>
      </c>
    </row>
    <row r="1000" spans="1:9" x14ac:dyDescent="0.25">
      <c r="A1000" t="s">
        <v>354</v>
      </c>
      <c r="B1000" t="str">
        <f>VLOOKUP(Tabla1[[#This Row],[Code]],[1]!Tabla4[#Data],2,FALSE)</f>
        <v>M2 Metamark M4 Brillo 270 Crema 1,22 x 50m</v>
      </c>
      <c r="C1000">
        <v>21</v>
      </c>
      <c r="D1000" t="s">
        <v>264</v>
      </c>
      <c r="E1000" t="str">
        <f>VLOOKUP(Tabla1[[#This Row],[Cód. Atributo]],[1]!Tabla5[#Data],6,FALSE)</f>
        <v>Color</v>
      </c>
      <c r="F1000">
        <v>2</v>
      </c>
      <c r="G1000">
        <v>30</v>
      </c>
      <c r="H1000" t="s">
        <v>353</v>
      </c>
      <c r="I1000" t="str">
        <f>VLOOKUP(Tabla1[[#This Row],[Code]],'[1]Articulos Precio'!$A:$E,5,FALSE)</f>
        <v>A0000270</v>
      </c>
    </row>
    <row r="1001" spans="1:9" x14ac:dyDescent="0.25">
      <c r="A1001" t="s">
        <v>354</v>
      </c>
      <c r="B1001" t="str">
        <f>VLOOKUP(Tabla1[[#This Row],[Code]],[1]!Tabla4[#Data],2,FALSE)</f>
        <v>M2 Metamark M4 Brillo 270 Crema 1,22 x 50m</v>
      </c>
      <c r="C1001">
        <v>23</v>
      </c>
      <c r="D1001" t="s">
        <v>90</v>
      </c>
      <c r="E1001" t="str">
        <f>VLOOKUP(Tabla1[[#This Row],[Cód. Atributo]],[1]!Tabla5[#Data],6,FALSE)</f>
        <v>Select</v>
      </c>
      <c r="F1001">
        <v>3</v>
      </c>
      <c r="G1001">
        <v>1</v>
      </c>
      <c r="H1001" t="s">
        <v>110</v>
      </c>
      <c r="I1001" t="str">
        <f>VLOOKUP(Tabla1[[#This Row],[Code]],'[1]Articulos Precio'!$A:$E,5,FALSE)</f>
        <v>A0000270</v>
      </c>
    </row>
    <row r="1002" spans="1:9" x14ac:dyDescent="0.25">
      <c r="A1002" t="s">
        <v>354</v>
      </c>
      <c r="B1002" t="str">
        <f>VLOOKUP(Tabla1[[#This Row],[Code]],[1]!Tabla4[#Data],2,FALSE)</f>
        <v>M2 Metamark M4 Brillo 270 Crema 1,22 x 50m</v>
      </c>
      <c r="C1002">
        <v>25</v>
      </c>
      <c r="D1002" t="s">
        <v>94</v>
      </c>
      <c r="E1002" t="str">
        <f>VLOOKUP(Tabla1[[#This Row],[Cód. Atributo]],[1]!Tabla5[#Data],6,FALSE)</f>
        <v>Select</v>
      </c>
      <c r="F1002">
        <v>4</v>
      </c>
      <c r="G1002">
        <v>2</v>
      </c>
      <c r="H1002" t="s">
        <v>111</v>
      </c>
      <c r="I1002" t="str">
        <f>VLOOKUP(Tabla1[[#This Row],[Code]],'[1]Articulos Precio'!$A:$E,5,FALSE)</f>
        <v>A0000270</v>
      </c>
    </row>
    <row r="1003" spans="1:9" x14ac:dyDescent="0.25">
      <c r="A1003" t="s">
        <v>354</v>
      </c>
      <c r="B1003" t="str">
        <f>VLOOKUP(Tabla1[[#This Row],[Code]],[1]!Tabla4[#Data],2,FALSE)</f>
        <v>M2 Metamark M4 Brillo 270 Crema 1,22 x 50m</v>
      </c>
      <c r="C1003">
        <v>28</v>
      </c>
      <c r="D1003" t="s">
        <v>184</v>
      </c>
      <c r="E1003" t="str">
        <f>VLOOKUP(Tabla1[[#This Row],[Cód. Atributo]],[1]!Tabla5[#Data],6,FALSE)</f>
        <v>Select</v>
      </c>
      <c r="F1003">
        <v>5</v>
      </c>
      <c r="G1003">
        <v>1</v>
      </c>
      <c r="H1003" t="s">
        <v>93</v>
      </c>
      <c r="I1003" t="str">
        <f>VLOOKUP(Tabla1[[#This Row],[Code]],'[1]Articulos Precio'!$A:$E,5,FALSE)</f>
        <v>A0000270</v>
      </c>
    </row>
    <row r="1004" spans="1:9" x14ac:dyDescent="0.25">
      <c r="A1004" t="s">
        <v>354</v>
      </c>
      <c r="B1004" t="str">
        <f>VLOOKUP(Tabla1[[#This Row],[Code]],[1]!Tabla4[#Data],2,FALSE)</f>
        <v>M2 Metamark M4 Brillo 270 Crema 1,22 x 50m</v>
      </c>
      <c r="C1004">
        <v>24</v>
      </c>
      <c r="D1004" t="s">
        <v>96</v>
      </c>
      <c r="E1004" t="str">
        <f>VLOOKUP(Tabla1[[#This Row],[Cód. Atributo]],[1]!Tabla5[#Data],6,FALSE)</f>
        <v>Select</v>
      </c>
      <c r="F1004">
        <v>6</v>
      </c>
      <c r="G1004">
        <v>2</v>
      </c>
      <c r="H1004" t="s">
        <v>266</v>
      </c>
      <c r="I1004" t="str">
        <f>VLOOKUP(Tabla1[[#This Row],[Code]],'[1]Articulos Precio'!$A:$E,5,FALSE)</f>
        <v>A0000270</v>
      </c>
    </row>
    <row r="1005" spans="1:9" x14ac:dyDescent="0.25">
      <c r="A1005" t="s">
        <v>355</v>
      </c>
      <c r="B1005" t="str">
        <f>VLOOKUP(Tabla1[[#This Row],[Code]],[1]!Tabla4[#Data],2,FALSE)</f>
        <v>M2 Metamark M4 Brillo 271 Marrón 0,61 x 50m</v>
      </c>
      <c r="C1005">
        <v>8</v>
      </c>
      <c r="D1005" t="s">
        <v>86</v>
      </c>
      <c r="E1005" t="str">
        <f>VLOOKUP(Tabla1[[#This Row],[Cód. Atributo]],[1]!Tabla5[#Data],6,FALSE)</f>
        <v>Select</v>
      </c>
      <c r="F1005">
        <v>1</v>
      </c>
      <c r="G1005">
        <v>1</v>
      </c>
      <c r="H1005" t="s">
        <v>263</v>
      </c>
      <c r="I1005" t="str">
        <f>VLOOKUP(Tabla1[[#This Row],[Code]],'[1]Articulos Precio'!$A:$E,5,FALSE)</f>
        <v>A0000270</v>
      </c>
    </row>
    <row r="1006" spans="1:9" x14ac:dyDescent="0.25">
      <c r="A1006" t="s">
        <v>355</v>
      </c>
      <c r="B1006" t="str">
        <f>VLOOKUP(Tabla1[[#This Row],[Code]],[1]!Tabla4[#Data],2,FALSE)</f>
        <v>M2 Metamark M4 Brillo 271 Marrón 0,61 x 50m</v>
      </c>
      <c r="C1006">
        <v>21</v>
      </c>
      <c r="D1006" t="s">
        <v>264</v>
      </c>
      <c r="E1006" t="str">
        <f>VLOOKUP(Tabla1[[#This Row],[Cód. Atributo]],[1]!Tabla5[#Data],6,FALSE)</f>
        <v>Color</v>
      </c>
      <c r="F1006">
        <v>2</v>
      </c>
      <c r="G1006">
        <v>31</v>
      </c>
      <c r="H1006" t="s">
        <v>356</v>
      </c>
      <c r="I1006" t="str">
        <f>VLOOKUP(Tabla1[[#This Row],[Code]],'[1]Articulos Precio'!$A:$E,5,FALSE)</f>
        <v>A0000270</v>
      </c>
    </row>
    <row r="1007" spans="1:9" x14ac:dyDescent="0.25">
      <c r="A1007" t="s">
        <v>355</v>
      </c>
      <c r="B1007" t="str">
        <f>VLOOKUP(Tabla1[[#This Row],[Code]],[1]!Tabla4[#Data],2,FALSE)</f>
        <v>M2 Metamark M4 Brillo 271 Marrón 0,61 x 50m</v>
      </c>
      <c r="C1007">
        <v>23</v>
      </c>
      <c r="D1007" t="s">
        <v>90</v>
      </c>
      <c r="E1007" t="str">
        <f>VLOOKUP(Tabla1[[#This Row],[Cód. Atributo]],[1]!Tabla5[#Data],6,FALSE)</f>
        <v>Select</v>
      </c>
      <c r="F1007">
        <v>3</v>
      </c>
      <c r="G1007">
        <v>1</v>
      </c>
      <c r="H1007" t="s">
        <v>110</v>
      </c>
      <c r="I1007" t="str">
        <f>VLOOKUP(Tabla1[[#This Row],[Code]],'[1]Articulos Precio'!$A:$E,5,FALSE)</f>
        <v>A0000270</v>
      </c>
    </row>
    <row r="1008" spans="1:9" x14ac:dyDescent="0.25">
      <c r="A1008" t="s">
        <v>355</v>
      </c>
      <c r="B1008" t="str">
        <f>VLOOKUP(Tabla1[[#This Row],[Code]],[1]!Tabla4[#Data],2,FALSE)</f>
        <v>M2 Metamark M4 Brillo 271 Marrón 0,61 x 50m</v>
      </c>
      <c r="C1008">
        <v>25</v>
      </c>
      <c r="D1008" t="s">
        <v>94</v>
      </c>
      <c r="E1008" t="str">
        <f>VLOOKUP(Tabla1[[#This Row],[Cód. Atributo]],[1]!Tabla5[#Data],6,FALSE)</f>
        <v>Select</v>
      </c>
      <c r="F1008">
        <v>4</v>
      </c>
      <c r="G1008">
        <v>2</v>
      </c>
      <c r="H1008" t="s">
        <v>111</v>
      </c>
      <c r="I1008" t="str">
        <f>VLOOKUP(Tabla1[[#This Row],[Code]],'[1]Articulos Precio'!$A:$E,5,FALSE)</f>
        <v>A0000270</v>
      </c>
    </row>
    <row r="1009" spans="1:9" x14ac:dyDescent="0.25">
      <c r="A1009" t="s">
        <v>355</v>
      </c>
      <c r="B1009" t="str">
        <f>VLOOKUP(Tabla1[[#This Row],[Code]],[1]!Tabla4[#Data],2,FALSE)</f>
        <v>M2 Metamark M4 Brillo 271 Marrón 0,61 x 50m</v>
      </c>
      <c r="C1009">
        <v>28</v>
      </c>
      <c r="D1009" t="s">
        <v>92</v>
      </c>
      <c r="E1009" t="str">
        <f>VLOOKUP(Tabla1[[#This Row],[Cód. Atributo]],[1]!Tabla5[#Data],6,FALSE)</f>
        <v>Select</v>
      </c>
      <c r="F1009">
        <v>5</v>
      </c>
      <c r="G1009">
        <v>1</v>
      </c>
      <c r="H1009" t="s">
        <v>93</v>
      </c>
      <c r="I1009" t="str">
        <f>VLOOKUP(Tabla1[[#This Row],[Code]],'[1]Articulos Precio'!$A:$E,5,FALSE)</f>
        <v>A0000270</v>
      </c>
    </row>
    <row r="1010" spans="1:9" x14ac:dyDescent="0.25">
      <c r="A1010" t="s">
        <v>355</v>
      </c>
      <c r="B1010" t="str">
        <f>VLOOKUP(Tabla1[[#This Row],[Code]],[1]!Tabla4[#Data],2,FALSE)</f>
        <v>M2 Metamark M4 Brillo 271 Marrón 0,61 x 50m</v>
      </c>
      <c r="C1010">
        <v>24</v>
      </c>
      <c r="D1010" t="s">
        <v>96</v>
      </c>
      <c r="E1010" t="str">
        <f>VLOOKUP(Tabla1[[#This Row],[Cód. Atributo]],[1]!Tabla5[#Data],6,FALSE)</f>
        <v>Select</v>
      </c>
      <c r="F1010">
        <v>6</v>
      </c>
      <c r="G1010">
        <v>2</v>
      </c>
      <c r="H1010" t="s">
        <v>266</v>
      </c>
      <c r="I1010" t="str">
        <f>VLOOKUP(Tabla1[[#This Row],[Code]],'[1]Articulos Precio'!$A:$E,5,FALSE)</f>
        <v>A0000270</v>
      </c>
    </row>
    <row r="1011" spans="1:9" x14ac:dyDescent="0.25">
      <c r="A1011" t="s">
        <v>357</v>
      </c>
      <c r="B1011" t="str">
        <f>VLOOKUP(Tabla1[[#This Row],[Code]],[1]!Tabla4[#Data],2,FALSE)</f>
        <v>M2 Metamark M4 Brillo 271 Marrón 1,22 x 50m</v>
      </c>
      <c r="C1011">
        <v>8</v>
      </c>
      <c r="D1011" t="s">
        <v>86</v>
      </c>
      <c r="E1011" t="str">
        <f>VLOOKUP(Tabla1[[#This Row],[Cód. Atributo]],[1]!Tabla5[#Data],6,FALSE)</f>
        <v>Select</v>
      </c>
      <c r="F1011">
        <v>1</v>
      </c>
      <c r="G1011">
        <v>2</v>
      </c>
      <c r="H1011" t="s">
        <v>268</v>
      </c>
      <c r="I1011" t="str">
        <f>VLOOKUP(Tabla1[[#This Row],[Code]],'[1]Articulos Precio'!$A:$E,5,FALSE)</f>
        <v>A0000270</v>
      </c>
    </row>
    <row r="1012" spans="1:9" x14ac:dyDescent="0.25">
      <c r="A1012" t="s">
        <v>357</v>
      </c>
      <c r="B1012" t="str">
        <f>VLOOKUP(Tabla1[[#This Row],[Code]],[1]!Tabla4[#Data],2,FALSE)</f>
        <v>M2 Metamark M4 Brillo 271 Marrón 1,22 x 50m</v>
      </c>
      <c r="C1012">
        <v>21</v>
      </c>
      <c r="D1012" t="s">
        <v>264</v>
      </c>
      <c r="E1012" t="str">
        <f>VLOOKUP(Tabla1[[#This Row],[Cód. Atributo]],[1]!Tabla5[#Data],6,FALSE)</f>
        <v>Color</v>
      </c>
      <c r="F1012">
        <v>2</v>
      </c>
      <c r="G1012">
        <v>31</v>
      </c>
      <c r="H1012" t="s">
        <v>356</v>
      </c>
      <c r="I1012" t="str">
        <f>VLOOKUP(Tabla1[[#This Row],[Code]],'[1]Articulos Precio'!$A:$E,5,FALSE)</f>
        <v>A0000270</v>
      </c>
    </row>
    <row r="1013" spans="1:9" x14ac:dyDescent="0.25">
      <c r="A1013" t="s">
        <v>357</v>
      </c>
      <c r="B1013" t="str">
        <f>VLOOKUP(Tabla1[[#This Row],[Code]],[1]!Tabla4[#Data],2,FALSE)</f>
        <v>M2 Metamark M4 Brillo 271 Marrón 1,22 x 50m</v>
      </c>
      <c r="C1013">
        <v>23</v>
      </c>
      <c r="D1013" t="s">
        <v>90</v>
      </c>
      <c r="E1013" t="str">
        <f>VLOOKUP(Tabla1[[#This Row],[Cód. Atributo]],[1]!Tabla5[#Data],6,FALSE)</f>
        <v>Select</v>
      </c>
      <c r="F1013">
        <v>3</v>
      </c>
      <c r="G1013">
        <v>1</v>
      </c>
      <c r="H1013" t="s">
        <v>110</v>
      </c>
      <c r="I1013" t="str">
        <f>VLOOKUP(Tabla1[[#This Row],[Code]],'[1]Articulos Precio'!$A:$E,5,FALSE)</f>
        <v>A0000270</v>
      </c>
    </row>
    <row r="1014" spans="1:9" x14ac:dyDescent="0.25">
      <c r="A1014" t="s">
        <v>357</v>
      </c>
      <c r="B1014" t="str">
        <f>VLOOKUP(Tabla1[[#This Row],[Code]],[1]!Tabla4[#Data],2,FALSE)</f>
        <v>M2 Metamark M4 Brillo 271 Marrón 1,22 x 50m</v>
      </c>
      <c r="C1014">
        <v>25</v>
      </c>
      <c r="D1014" t="s">
        <v>94</v>
      </c>
      <c r="E1014" t="str">
        <f>VLOOKUP(Tabla1[[#This Row],[Cód. Atributo]],[1]!Tabla5[#Data],6,FALSE)</f>
        <v>Select</v>
      </c>
      <c r="F1014">
        <v>4</v>
      </c>
      <c r="G1014">
        <v>2</v>
      </c>
      <c r="H1014" t="s">
        <v>111</v>
      </c>
      <c r="I1014" t="str">
        <f>VLOOKUP(Tabla1[[#This Row],[Code]],'[1]Articulos Precio'!$A:$E,5,FALSE)</f>
        <v>A0000270</v>
      </c>
    </row>
    <row r="1015" spans="1:9" x14ac:dyDescent="0.25">
      <c r="A1015" t="s">
        <v>357</v>
      </c>
      <c r="B1015" t="str">
        <f>VLOOKUP(Tabla1[[#This Row],[Code]],[1]!Tabla4[#Data],2,FALSE)</f>
        <v>M2 Metamark M4 Brillo 271 Marrón 1,22 x 50m</v>
      </c>
      <c r="C1015">
        <v>28</v>
      </c>
      <c r="D1015" t="s">
        <v>184</v>
      </c>
      <c r="E1015" t="str">
        <f>VLOOKUP(Tabla1[[#This Row],[Cód. Atributo]],[1]!Tabla5[#Data],6,FALSE)</f>
        <v>Select</v>
      </c>
      <c r="F1015">
        <v>5</v>
      </c>
      <c r="G1015">
        <v>1</v>
      </c>
      <c r="H1015" t="s">
        <v>93</v>
      </c>
      <c r="I1015" t="str">
        <f>VLOOKUP(Tabla1[[#This Row],[Code]],'[1]Articulos Precio'!$A:$E,5,FALSE)</f>
        <v>A0000270</v>
      </c>
    </row>
    <row r="1016" spans="1:9" x14ac:dyDescent="0.25">
      <c r="A1016" t="s">
        <v>357</v>
      </c>
      <c r="B1016" t="str">
        <f>VLOOKUP(Tabla1[[#This Row],[Code]],[1]!Tabla4[#Data],2,FALSE)</f>
        <v>M2 Metamark M4 Brillo 271 Marrón 1,22 x 50m</v>
      </c>
      <c r="C1016">
        <v>24</v>
      </c>
      <c r="D1016" t="s">
        <v>96</v>
      </c>
      <c r="E1016" t="str">
        <f>VLOOKUP(Tabla1[[#This Row],[Cód. Atributo]],[1]!Tabla5[#Data],6,FALSE)</f>
        <v>Select</v>
      </c>
      <c r="F1016">
        <v>6</v>
      </c>
      <c r="G1016">
        <v>2</v>
      </c>
      <c r="H1016" t="s">
        <v>266</v>
      </c>
      <c r="I1016" t="str">
        <f>VLOOKUP(Tabla1[[#This Row],[Code]],'[1]Articulos Precio'!$A:$E,5,FALSE)</f>
        <v>A0000270</v>
      </c>
    </row>
    <row r="1017" spans="1:9" x14ac:dyDescent="0.25">
      <c r="A1017" t="s">
        <v>358</v>
      </c>
      <c r="B1017" t="str">
        <f>VLOOKUP(Tabla1[[#This Row],[Code]],[1]!Tabla4[#Data],2,FALSE)</f>
        <v>M2 Metamark M4 Brillo 272 Almendra 0,61 x 50m</v>
      </c>
      <c r="C1017">
        <v>8</v>
      </c>
      <c r="D1017" t="s">
        <v>86</v>
      </c>
      <c r="E1017" t="str">
        <f>VLOOKUP(Tabla1[[#This Row],[Cód. Atributo]],[1]!Tabla5[#Data],6,FALSE)</f>
        <v>Select</v>
      </c>
      <c r="F1017">
        <v>1</v>
      </c>
      <c r="G1017">
        <v>1</v>
      </c>
      <c r="H1017" t="s">
        <v>263</v>
      </c>
      <c r="I1017" t="str">
        <f>VLOOKUP(Tabla1[[#This Row],[Code]],'[1]Articulos Precio'!$A:$E,5,FALSE)</f>
        <v>A0000270</v>
      </c>
    </row>
    <row r="1018" spans="1:9" x14ac:dyDescent="0.25">
      <c r="A1018" t="s">
        <v>358</v>
      </c>
      <c r="B1018" t="str">
        <f>VLOOKUP(Tabla1[[#This Row],[Code]],[1]!Tabla4[#Data],2,FALSE)</f>
        <v>M2 Metamark M4 Brillo 272 Almendra 0,61 x 50m</v>
      </c>
      <c r="C1018">
        <v>21</v>
      </c>
      <c r="D1018" t="s">
        <v>264</v>
      </c>
      <c r="E1018" t="str">
        <f>VLOOKUP(Tabla1[[#This Row],[Cód. Atributo]],[1]!Tabla5[#Data],6,FALSE)</f>
        <v>Color</v>
      </c>
      <c r="F1018">
        <v>2</v>
      </c>
      <c r="G1018">
        <v>32</v>
      </c>
      <c r="H1018" t="s">
        <v>359</v>
      </c>
      <c r="I1018" t="str">
        <f>VLOOKUP(Tabla1[[#This Row],[Code]],'[1]Articulos Precio'!$A:$E,5,FALSE)</f>
        <v>A0000270</v>
      </c>
    </row>
    <row r="1019" spans="1:9" x14ac:dyDescent="0.25">
      <c r="A1019" t="s">
        <v>358</v>
      </c>
      <c r="B1019" t="str">
        <f>VLOOKUP(Tabla1[[#This Row],[Code]],[1]!Tabla4[#Data],2,FALSE)</f>
        <v>M2 Metamark M4 Brillo 272 Almendra 0,61 x 50m</v>
      </c>
      <c r="C1019">
        <v>23</v>
      </c>
      <c r="D1019" t="s">
        <v>90</v>
      </c>
      <c r="E1019" t="str">
        <f>VLOOKUP(Tabla1[[#This Row],[Cód. Atributo]],[1]!Tabla5[#Data],6,FALSE)</f>
        <v>Select</v>
      </c>
      <c r="F1019">
        <v>3</v>
      </c>
      <c r="G1019">
        <v>1</v>
      </c>
      <c r="H1019" t="s">
        <v>110</v>
      </c>
      <c r="I1019" t="str">
        <f>VLOOKUP(Tabla1[[#This Row],[Code]],'[1]Articulos Precio'!$A:$E,5,FALSE)</f>
        <v>A0000270</v>
      </c>
    </row>
    <row r="1020" spans="1:9" x14ac:dyDescent="0.25">
      <c r="A1020" t="s">
        <v>358</v>
      </c>
      <c r="B1020" t="str">
        <f>VLOOKUP(Tabla1[[#This Row],[Code]],[1]!Tabla4[#Data],2,FALSE)</f>
        <v>M2 Metamark M4 Brillo 272 Almendra 0,61 x 50m</v>
      </c>
      <c r="C1020">
        <v>25</v>
      </c>
      <c r="D1020" t="s">
        <v>94</v>
      </c>
      <c r="E1020" t="str">
        <f>VLOOKUP(Tabla1[[#This Row],[Cód. Atributo]],[1]!Tabla5[#Data],6,FALSE)</f>
        <v>Select</v>
      </c>
      <c r="F1020">
        <v>4</v>
      </c>
      <c r="G1020">
        <v>2</v>
      </c>
      <c r="H1020" t="s">
        <v>111</v>
      </c>
      <c r="I1020" t="str">
        <f>VLOOKUP(Tabla1[[#This Row],[Code]],'[1]Articulos Precio'!$A:$E,5,FALSE)</f>
        <v>A0000270</v>
      </c>
    </row>
    <row r="1021" spans="1:9" x14ac:dyDescent="0.25">
      <c r="A1021" t="s">
        <v>358</v>
      </c>
      <c r="B1021" t="str">
        <f>VLOOKUP(Tabla1[[#This Row],[Code]],[1]!Tabla4[#Data],2,FALSE)</f>
        <v>M2 Metamark M4 Brillo 272 Almendra 0,61 x 50m</v>
      </c>
      <c r="C1021">
        <v>28</v>
      </c>
      <c r="D1021" t="s">
        <v>92</v>
      </c>
      <c r="E1021" t="str">
        <f>VLOOKUP(Tabla1[[#This Row],[Cód. Atributo]],[1]!Tabla5[#Data],6,FALSE)</f>
        <v>Select</v>
      </c>
      <c r="F1021">
        <v>5</v>
      </c>
      <c r="G1021">
        <v>1</v>
      </c>
      <c r="H1021" t="s">
        <v>93</v>
      </c>
      <c r="I1021" t="str">
        <f>VLOOKUP(Tabla1[[#This Row],[Code]],'[1]Articulos Precio'!$A:$E,5,FALSE)</f>
        <v>A0000270</v>
      </c>
    </row>
    <row r="1022" spans="1:9" x14ac:dyDescent="0.25">
      <c r="A1022" t="s">
        <v>358</v>
      </c>
      <c r="B1022" t="str">
        <f>VLOOKUP(Tabla1[[#This Row],[Code]],[1]!Tabla4[#Data],2,FALSE)</f>
        <v>M2 Metamark M4 Brillo 272 Almendra 0,61 x 50m</v>
      </c>
      <c r="C1022">
        <v>24</v>
      </c>
      <c r="D1022" t="s">
        <v>96</v>
      </c>
      <c r="E1022" t="str">
        <f>VLOOKUP(Tabla1[[#This Row],[Cód. Atributo]],[1]!Tabla5[#Data],6,FALSE)</f>
        <v>Select</v>
      </c>
      <c r="F1022">
        <v>6</v>
      </c>
      <c r="G1022">
        <v>2</v>
      </c>
      <c r="H1022" t="s">
        <v>266</v>
      </c>
      <c r="I1022" t="str">
        <f>VLOOKUP(Tabla1[[#This Row],[Code]],'[1]Articulos Precio'!$A:$E,5,FALSE)</f>
        <v>A0000270</v>
      </c>
    </row>
    <row r="1023" spans="1:9" x14ac:dyDescent="0.25">
      <c r="A1023" t="s">
        <v>360</v>
      </c>
      <c r="B1023" t="str">
        <f>VLOOKUP(Tabla1[[#This Row],[Code]],[1]!Tabla4[#Data],2,FALSE)</f>
        <v>M2 Metamark M4 Brillo 272 Almendra 1,22 x 50m</v>
      </c>
      <c r="C1023">
        <v>8</v>
      </c>
      <c r="D1023" t="s">
        <v>86</v>
      </c>
      <c r="E1023" t="str">
        <f>VLOOKUP(Tabla1[[#This Row],[Cód. Atributo]],[1]!Tabla5[#Data],6,FALSE)</f>
        <v>Select</v>
      </c>
      <c r="F1023">
        <v>1</v>
      </c>
      <c r="G1023">
        <v>2</v>
      </c>
      <c r="H1023" t="s">
        <v>268</v>
      </c>
      <c r="I1023" t="str">
        <f>VLOOKUP(Tabla1[[#This Row],[Code]],'[1]Articulos Precio'!$A:$E,5,FALSE)</f>
        <v>A0000270</v>
      </c>
    </row>
    <row r="1024" spans="1:9" x14ac:dyDescent="0.25">
      <c r="A1024" t="s">
        <v>360</v>
      </c>
      <c r="B1024" t="str">
        <f>VLOOKUP(Tabla1[[#This Row],[Code]],[1]!Tabla4[#Data],2,FALSE)</f>
        <v>M2 Metamark M4 Brillo 272 Almendra 1,22 x 50m</v>
      </c>
      <c r="C1024">
        <v>21</v>
      </c>
      <c r="D1024" t="s">
        <v>264</v>
      </c>
      <c r="E1024" t="str">
        <f>VLOOKUP(Tabla1[[#This Row],[Cód. Atributo]],[1]!Tabla5[#Data],6,FALSE)</f>
        <v>Color</v>
      </c>
      <c r="F1024">
        <v>2</v>
      </c>
      <c r="G1024">
        <v>32</v>
      </c>
      <c r="H1024" t="s">
        <v>359</v>
      </c>
      <c r="I1024" t="str">
        <f>VLOOKUP(Tabla1[[#This Row],[Code]],'[1]Articulos Precio'!$A:$E,5,FALSE)</f>
        <v>A0000270</v>
      </c>
    </row>
    <row r="1025" spans="1:9" x14ac:dyDescent="0.25">
      <c r="A1025" t="s">
        <v>360</v>
      </c>
      <c r="B1025" t="str">
        <f>VLOOKUP(Tabla1[[#This Row],[Code]],[1]!Tabla4[#Data],2,FALSE)</f>
        <v>M2 Metamark M4 Brillo 272 Almendra 1,22 x 50m</v>
      </c>
      <c r="C1025">
        <v>23</v>
      </c>
      <c r="D1025" t="s">
        <v>90</v>
      </c>
      <c r="E1025" t="str">
        <f>VLOOKUP(Tabla1[[#This Row],[Cód. Atributo]],[1]!Tabla5[#Data],6,FALSE)</f>
        <v>Select</v>
      </c>
      <c r="F1025">
        <v>3</v>
      </c>
      <c r="G1025">
        <v>1</v>
      </c>
      <c r="H1025" t="s">
        <v>110</v>
      </c>
      <c r="I1025" t="str">
        <f>VLOOKUP(Tabla1[[#This Row],[Code]],'[1]Articulos Precio'!$A:$E,5,FALSE)</f>
        <v>A0000270</v>
      </c>
    </row>
    <row r="1026" spans="1:9" x14ac:dyDescent="0.25">
      <c r="A1026" t="s">
        <v>360</v>
      </c>
      <c r="B1026" t="str">
        <f>VLOOKUP(Tabla1[[#This Row],[Code]],[1]!Tabla4[#Data],2,FALSE)</f>
        <v>M2 Metamark M4 Brillo 272 Almendra 1,22 x 50m</v>
      </c>
      <c r="C1026">
        <v>25</v>
      </c>
      <c r="D1026" t="s">
        <v>94</v>
      </c>
      <c r="E1026" t="str">
        <f>VLOOKUP(Tabla1[[#This Row],[Cód. Atributo]],[1]!Tabla5[#Data],6,FALSE)</f>
        <v>Select</v>
      </c>
      <c r="F1026">
        <v>4</v>
      </c>
      <c r="G1026">
        <v>2</v>
      </c>
      <c r="H1026" t="s">
        <v>111</v>
      </c>
      <c r="I1026" t="str">
        <f>VLOOKUP(Tabla1[[#This Row],[Code]],'[1]Articulos Precio'!$A:$E,5,FALSE)</f>
        <v>A0000270</v>
      </c>
    </row>
    <row r="1027" spans="1:9" x14ac:dyDescent="0.25">
      <c r="A1027" t="s">
        <v>360</v>
      </c>
      <c r="B1027" t="str">
        <f>VLOOKUP(Tabla1[[#This Row],[Code]],[1]!Tabla4[#Data],2,FALSE)</f>
        <v>M2 Metamark M4 Brillo 272 Almendra 1,22 x 50m</v>
      </c>
      <c r="C1027">
        <v>28</v>
      </c>
      <c r="D1027" t="s">
        <v>184</v>
      </c>
      <c r="E1027" t="str">
        <f>VLOOKUP(Tabla1[[#This Row],[Cód. Atributo]],[1]!Tabla5[#Data],6,FALSE)</f>
        <v>Select</v>
      </c>
      <c r="F1027">
        <v>5</v>
      </c>
      <c r="G1027">
        <v>1</v>
      </c>
      <c r="H1027" t="s">
        <v>93</v>
      </c>
      <c r="I1027" t="str">
        <f>VLOOKUP(Tabla1[[#This Row],[Code]],'[1]Articulos Precio'!$A:$E,5,FALSE)</f>
        <v>A0000270</v>
      </c>
    </row>
    <row r="1028" spans="1:9" x14ac:dyDescent="0.25">
      <c r="A1028" t="s">
        <v>360</v>
      </c>
      <c r="B1028" t="str">
        <f>VLOOKUP(Tabla1[[#This Row],[Code]],[1]!Tabla4[#Data],2,FALSE)</f>
        <v>M2 Metamark M4 Brillo 272 Almendra 1,22 x 50m</v>
      </c>
      <c r="C1028">
        <v>24</v>
      </c>
      <c r="D1028" t="s">
        <v>96</v>
      </c>
      <c r="E1028" t="str">
        <f>VLOOKUP(Tabla1[[#This Row],[Cód. Atributo]],[1]!Tabla5[#Data],6,FALSE)</f>
        <v>Select</v>
      </c>
      <c r="F1028">
        <v>6</v>
      </c>
      <c r="G1028">
        <v>2</v>
      </c>
      <c r="H1028" t="s">
        <v>266</v>
      </c>
      <c r="I1028" t="str">
        <f>VLOOKUP(Tabla1[[#This Row],[Code]],'[1]Articulos Precio'!$A:$E,5,FALSE)</f>
        <v>A0000270</v>
      </c>
    </row>
    <row r="1029" spans="1:9" x14ac:dyDescent="0.25">
      <c r="A1029" t="s">
        <v>361</v>
      </c>
      <c r="B1029" t="str">
        <f>VLOOKUP(Tabla1[[#This Row],[Code]],[1]!Tabla4[#Data],2,FALSE)</f>
        <v>M2 Metamark M4 Brillo 273 Verde Tráfico 0,61 x 50m</v>
      </c>
      <c r="C1029">
        <v>8</v>
      </c>
      <c r="D1029" t="s">
        <v>86</v>
      </c>
      <c r="E1029" t="str">
        <f>VLOOKUP(Tabla1[[#This Row],[Cód. Atributo]],[1]!Tabla5[#Data],6,FALSE)</f>
        <v>Select</v>
      </c>
      <c r="F1029">
        <v>1</v>
      </c>
      <c r="G1029">
        <v>1</v>
      </c>
      <c r="H1029" t="s">
        <v>263</v>
      </c>
      <c r="I1029" t="str">
        <f>VLOOKUP(Tabla1[[#This Row],[Code]],'[1]Articulos Precio'!$A:$E,5,FALSE)</f>
        <v>A0000270</v>
      </c>
    </row>
    <row r="1030" spans="1:9" x14ac:dyDescent="0.25">
      <c r="A1030" t="s">
        <v>361</v>
      </c>
      <c r="B1030" t="str">
        <f>VLOOKUP(Tabla1[[#This Row],[Code]],[1]!Tabla4[#Data],2,FALSE)</f>
        <v>M2 Metamark M4 Brillo 273 Verde Tráfico 0,61 x 50m</v>
      </c>
      <c r="C1030">
        <v>21</v>
      </c>
      <c r="D1030" t="s">
        <v>264</v>
      </c>
      <c r="E1030" t="str">
        <f>VLOOKUP(Tabla1[[#This Row],[Cód. Atributo]],[1]!Tabla5[#Data],6,FALSE)</f>
        <v>Color</v>
      </c>
      <c r="F1030">
        <v>2</v>
      </c>
      <c r="G1030">
        <v>33</v>
      </c>
      <c r="H1030" t="s">
        <v>362</v>
      </c>
      <c r="I1030" t="str">
        <f>VLOOKUP(Tabla1[[#This Row],[Code]],'[1]Articulos Precio'!$A:$E,5,FALSE)</f>
        <v>A0000270</v>
      </c>
    </row>
    <row r="1031" spans="1:9" x14ac:dyDescent="0.25">
      <c r="A1031" t="s">
        <v>361</v>
      </c>
      <c r="B1031" t="str">
        <f>VLOOKUP(Tabla1[[#This Row],[Code]],[1]!Tabla4[#Data],2,FALSE)</f>
        <v>M2 Metamark M4 Brillo 273 Verde Tráfico 0,61 x 50m</v>
      </c>
      <c r="C1031">
        <v>23</v>
      </c>
      <c r="D1031" t="s">
        <v>90</v>
      </c>
      <c r="E1031" t="str">
        <f>VLOOKUP(Tabla1[[#This Row],[Cód. Atributo]],[1]!Tabla5[#Data],6,FALSE)</f>
        <v>Select</v>
      </c>
      <c r="F1031">
        <v>3</v>
      </c>
      <c r="G1031">
        <v>1</v>
      </c>
      <c r="H1031" t="s">
        <v>110</v>
      </c>
      <c r="I1031" t="str">
        <f>VLOOKUP(Tabla1[[#This Row],[Code]],'[1]Articulos Precio'!$A:$E,5,FALSE)</f>
        <v>A0000270</v>
      </c>
    </row>
    <row r="1032" spans="1:9" x14ac:dyDescent="0.25">
      <c r="A1032" t="s">
        <v>361</v>
      </c>
      <c r="B1032" t="str">
        <f>VLOOKUP(Tabla1[[#This Row],[Code]],[1]!Tabla4[#Data],2,FALSE)</f>
        <v>M2 Metamark M4 Brillo 273 Verde Tráfico 0,61 x 50m</v>
      </c>
      <c r="C1032">
        <v>25</v>
      </c>
      <c r="D1032" t="s">
        <v>94</v>
      </c>
      <c r="E1032" t="str">
        <f>VLOOKUP(Tabla1[[#This Row],[Cód. Atributo]],[1]!Tabla5[#Data],6,FALSE)</f>
        <v>Select</v>
      </c>
      <c r="F1032">
        <v>4</v>
      </c>
      <c r="G1032">
        <v>2</v>
      </c>
      <c r="H1032" t="s">
        <v>111</v>
      </c>
      <c r="I1032" t="str">
        <f>VLOOKUP(Tabla1[[#This Row],[Code]],'[1]Articulos Precio'!$A:$E,5,FALSE)</f>
        <v>A0000270</v>
      </c>
    </row>
    <row r="1033" spans="1:9" x14ac:dyDescent="0.25">
      <c r="A1033" t="s">
        <v>361</v>
      </c>
      <c r="B1033" t="str">
        <f>VLOOKUP(Tabla1[[#This Row],[Code]],[1]!Tabla4[#Data],2,FALSE)</f>
        <v>M2 Metamark M4 Brillo 273 Verde Tráfico 0,61 x 50m</v>
      </c>
      <c r="C1033">
        <v>28</v>
      </c>
      <c r="D1033" t="s">
        <v>92</v>
      </c>
      <c r="E1033" t="str">
        <f>VLOOKUP(Tabla1[[#This Row],[Cód. Atributo]],[1]!Tabla5[#Data],6,FALSE)</f>
        <v>Select</v>
      </c>
      <c r="F1033">
        <v>5</v>
      </c>
      <c r="G1033">
        <v>1</v>
      </c>
      <c r="H1033" t="s">
        <v>93</v>
      </c>
      <c r="I1033" t="str">
        <f>VLOOKUP(Tabla1[[#This Row],[Code]],'[1]Articulos Precio'!$A:$E,5,FALSE)</f>
        <v>A0000270</v>
      </c>
    </row>
    <row r="1034" spans="1:9" x14ac:dyDescent="0.25">
      <c r="A1034" t="s">
        <v>361</v>
      </c>
      <c r="B1034" t="str">
        <f>VLOOKUP(Tabla1[[#This Row],[Code]],[1]!Tabla4[#Data],2,FALSE)</f>
        <v>M2 Metamark M4 Brillo 273 Verde Tráfico 0,61 x 50m</v>
      </c>
      <c r="C1034">
        <v>24</v>
      </c>
      <c r="D1034" t="s">
        <v>96</v>
      </c>
      <c r="E1034" t="str">
        <f>VLOOKUP(Tabla1[[#This Row],[Cód. Atributo]],[1]!Tabla5[#Data],6,FALSE)</f>
        <v>Select</v>
      </c>
      <c r="F1034">
        <v>6</v>
      </c>
      <c r="G1034">
        <v>2</v>
      </c>
      <c r="H1034" t="s">
        <v>266</v>
      </c>
      <c r="I1034" t="str">
        <f>VLOOKUP(Tabla1[[#This Row],[Code]],'[1]Articulos Precio'!$A:$E,5,FALSE)</f>
        <v>A0000270</v>
      </c>
    </row>
    <row r="1035" spans="1:9" x14ac:dyDescent="0.25">
      <c r="A1035" t="s">
        <v>363</v>
      </c>
      <c r="B1035" t="str">
        <f>VLOOKUP(Tabla1[[#This Row],[Code]],[1]!Tabla4[#Data],2,FALSE)</f>
        <v>M2 Metamark M4 Brillo 273 Verde Tráfico 1,22 x 50m</v>
      </c>
      <c r="C1035">
        <v>8</v>
      </c>
      <c r="D1035" t="s">
        <v>86</v>
      </c>
      <c r="E1035" t="str">
        <f>VLOOKUP(Tabla1[[#This Row],[Cód. Atributo]],[1]!Tabla5[#Data],6,FALSE)</f>
        <v>Select</v>
      </c>
      <c r="F1035">
        <v>1</v>
      </c>
      <c r="G1035">
        <v>2</v>
      </c>
      <c r="H1035" t="s">
        <v>268</v>
      </c>
      <c r="I1035" t="str">
        <f>VLOOKUP(Tabla1[[#This Row],[Code]],'[1]Articulos Precio'!$A:$E,5,FALSE)</f>
        <v>A0000270</v>
      </c>
    </row>
    <row r="1036" spans="1:9" x14ac:dyDescent="0.25">
      <c r="A1036" t="s">
        <v>363</v>
      </c>
      <c r="B1036" t="str">
        <f>VLOOKUP(Tabla1[[#This Row],[Code]],[1]!Tabla4[#Data],2,FALSE)</f>
        <v>M2 Metamark M4 Brillo 273 Verde Tráfico 1,22 x 50m</v>
      </c>
      <c r="C1036">
        <v>21</v>
      </c>
      <c r="D1036" t="s">
        <v>264</v>
      </c>
      <c r="E1036" t="str">
        <f>VLOOKUP(Tabla1[[#This Row],[Cód. Atributo]],[1]!Tabla5[#Data],6,FALSE)</f>
        <v>Color</v>
      </c>
      <c r="F1036">
        <v>2</v>
      </c>
      <c r="G1036">
        <v>33</v>
      </c>
      <c r="H1036" t="s">
        <v>362</v>
      </c>
      <c r="I1036" t="str">
        <f>VLOOKUP(Tabla1[[#This Row],[Code]],'[1]Articulos Precio'!$A:$E,5,FALSE)</f>
        <v>A0000270</v>
      </c>
    </row>
    <row r="1037" spans="1:9" x14ac:dyDescent="0.25">
      <c r="A1037" t="s">
        <v>363</v>
      </c>
      <c r="B1037" t="str">
        <f>VLOOKUP(Tabla1[[#This Row],[Code]],[1]!Tabla4[#Data],2,FALSE)</f>
        <v>M2 Metamark M4 Brillo 273 Verde Tráfico 1,22 x 50m</v>
      </c>
      <c r="C1037">
        <v>23</v>
      </c>
      <c r="D1037" t="s">
        <v>90</v>
      </c>
      <c r="E1037" t="str">
        <f>VLOOKUP(Tabla1[[#This Row],[Cód. Atributo]],[1]!Tabla5[#Data],6,FALSE)</f>
        <v>Select</v>
      </c>
      <c r="F1037">
        <v>3</v>
      </c>
      <c r="G1037">
        <v>1</v>
      </c>
      <c r="H1037" t="s">
        <v>110</v>
      </c>
      <c r="I1037" t="str">
        <f>VLOOKUP(Tabla1[[#This Row],[Code]],'[1]Articulos Precio'!$A:$E,5,FALSE)</f>
        <v>A0000270</v>
      </c>
    </row>
    <row r="1038" spans="1:9" x14ac:dyDescent="0.25">
      <c r="A1038" t="s">
        <v>363</v>
      </c>
      <c r="B1038" t="str">
        <f>VLOOKUP(Tabla1[[#This Row],[Code]],[1]!Tabla4[#Data],2,FALSE)</f>
        <v>M2 Metamark M4 Brillo 273 Verde Tráfico 1,22 x 50m</v>
      </c>
      <c r="C1038">
        <v>25</v>
      </c>
      <c r="D1038" t="s">
        <v>94</v>
      </c>
      <c r="E1038" t="str">
        <f>VLOOKUP(Tabla1[[#This Row],[Cód. Atributo]],[1]!Tabla5[#Data],6,FALSE)</f>
        <v>Select</v>
      </c>
      <c r="F1038">
        <v>4</v>
      </c>
      <c r="G1038">
        <v>2</v>
      </c>
      <c r="H1038" t="s">
        <v>111</v>
      </c>
      <c r="I1038" t="str">
        <f>VLOOKUP(Tabla1[[#This Row],[Code]],'[1]Articulos Precio'!$A:$E,5,FALSE)</f>
        <v>A0000270</v>
      </c>
    </row>
    <row r="1039" spans="1:9" x14ac:dyDescent="0.25">
      <c r="A1039" t="s">
        <v>363</v>
      </c>
      <c r="B1039" t="str">
        <f>VLOOKUP(Tabla1[[#This Row],[Code]],[1]!Tabla4[#Data],2,FALSE)</f>
        <v>M2 Metamark M4 Brillo 273 Verde Tráfico 1,22 x 50m</v>
      </c>
      <c r="C1039">
        <v>28</v>
      </c>
      <c r="D1039" t="s">
        <v>184</v>
      </c>
      <c r="E1039" t="str">
        <f>VLOOKUP(Tabla1[[#This Row],[Cód. Atributo]],[1]!Tabla5[#Data],6,FALSE)</f>
        <v>Select</v>
      </c>
      <c r="F1039">
        <v>5</v>
      </c>
      <c r="G1039">
        <v>1</v>
      </c>
      <c r="H1039" t="s">
        <v>93</v>
      </c>
      <c r="I1039" t="str">
        <f>VLOOKUP(Tabla1[[#This Row],[Code]],'[1]Articulos Precio'!$A:$E,5,FALSE)</f>
        <v>A0000270</v>
      </c>
    </row>
    <row r="1040" spans="1:9" x14ac:dyDescent="0.25">
      <c r="A1040" t="s">
        <v>363</v>
      </c>
      <c r="B1040" t="str">
        <f>VLOOKUP(Tabla1[[#This Row],[Code]],[1]!Tabla4[#Data],2,FALSE)</f>
        <v>M2 Metamark M4 Brillo 273 Verde Tráfico 1,22 x 50m</v>
      </c>
      <c r="C1040">
        <v>24</v>
      </c>
      <c r="D1040" t="s">
        <v>96</v>
      </c>
      <c r="E1040" t="str">
        <f>VLOOKUP(Tabla1[[#This Row],[Cód. Atributo]],[1]!Tabla5[#Data],6,FALSE)</f>
        <v>Select</v>
      </c>
      <c r="F1040">
        <v>6</v>
      </c>
      <c r="G1040">
        <v>2</v>
      </c>
      <c r="H1040" t="s">
        <v>266</v>
      </c>
      <c r="I1040" t="str">
        <f>VLOOKUP(Tabla1[[#This Row],[Code]],'[1]Articulos Precio'!$A:$E,5,FALSE)</f>
        <v>A0000270</v>
      </c>
    </row>
    <row r="1041" spans="1:9" x14ac:dyDescent="0.25">
      <c r="A1041" t="s">
        <v>364</v>
      </c>
      <c r="B1041" t="str">
        <f>VLOOKUP(Tabla1[[#This Row],[Code]],[1]!Tabla4[#Data],2,FALSE)</f>
        <v>M2 Metamark M4 Brillo 275 Azul Oriental 0,61 x 50m</v>
      </c>
      <c r="C1041">
        <v>8</v>
      </c>
      <c r="D1041" t="s">
        <v>86</v>
      </c>
      <c r="E1041" t="str">
        <f>VLOOKUP(Tabla1[[#This Row],[Cód. Atributo]],[1]!Tabla5[#Data],6,FALSE)</f>
        <v>Select</v>
      </c>
      <c r="F1041">
        <v>1</v>
      </c>
      <c r="G1041">
        <v>1</v>
      </c>
      <c r="H1041" t="s">
        <v>263</v>
      </c>
      <c r="I1041" t="str">
        <f>VLOOKUP(Tabla1[[#This Row],[Code]],'[1]Articulos Precio'!$A:$E,5,FALSE)</f>
        <v>A0000270</v>
      </c>
    </row>
    <row r="1042" spans="1:9" x14ac:dyDescent="0.25">
      <c r="A1042" t="s">
        <v>364</v>
      </c>
      <c r="B1042" t="str">
        <f>VLOOKUP(Tabla1[[#This Row],[Code]],[1]!Tabla4[#Data],2,FALSE)</f>
        <v>M2 Metamark M4 Brillo 275 Azul Oriental 0,61 x 50m</v>
      </c>
      <c r="C1042">
        <v>21</v>
      </c>
      <c r="D1042" t="s">
        <v>264</v>
      </c>
      <c r="E1042" t="str">
        <f>VLOOKUP(Tabla1[[#This Row],[Cód. Atributo]],[1]!Tabla5[#Data],6,FALSE)</f>
        <v>Color</v>
      </c>
      <c r="F1042">
        <v>2</v>
      </c>
      <c r="G1042">
        <v>34</v>
      </c>
      <c r="H1042" t="s">
        <v>365</v>
      </c>
      <c r="I1042" t="str">
        <f>VLOOKUP(Tabla1[[#This Row],[Code]],'[1]Articulos Precio'!$A:$E,5,FALSE)</f>
        <v>A0000270</v>
      </c>
    </row>
    <row r="1043" spans="1:9" x14ac:dyDescent="0.25">
      <c r="A1043" t="s">
        <v>364</v>
      </c>
      <c r="B1043" t="str">
        <f>VLOOKUP(Tabla1[[#This Row],[Code]],[1]!Tabla4[#Data],2,FALSE)</f>
        <v>M2 Metamark M4 Brillo 275 Azul Oriental 0,61 x 50m</v>
      </c>
      <c r="C1043">
        <v>23</v>
      </c>
      <c r="D1043" t="s">
        <v>90</v>
      </c>
      <c r="E1043" t="str">
        <f>VLOOKUP(Tabla1[[#This Row],[Cód. Atributo]],[1]!Tabla5[#Data],6,FALSE)</f>
        <v>Select</v>
      </c>
      <c r="F1043">
        <v>3</v>
      </c>
      <c r="G1043">
        <v>1</v>
      </c>
      <c r="H1043" t="s">
        <v>110</v>
      </c>
      <c r="I1043" t="str">
        <f>VLOOKUP(Tabla1[[#This Row],[Code]],'[1]Articulos Precio'!$A:$E,5,FALSE)</f>
        <v>A0000270</v>
      </c>
    </row>
    <row r="1044" spans="1:9" x14ac:dyDescent="0.25">
      <c r="A1044" t="s">
        <v>364</v>
      </c>
      <c r="B1044" t="str">
        <f>VLOOKUP(Tabla1[[#This Row],[Code]],[1]!Tabla4[#Data],2,FALSE)</f>
        <v>M2 Metamark M4 Brillo 275 Azul Oriental 0,61 x 50m</v>
      </c>
      <c r="C1044">
        <v>25</v>
      </c>
      <c r="D1044" t="s">
        <v>94</v>
      </c>
      <c r="E1044" t="str">
        <f>VLOOKUP(Tabla1[[#This Row],[Cód. Atributo]],[1]!Tabla5[#Data],6,FALSE)</f>
        <v>Select</v>
      </c>
      <c r="F1044">
        <v>4</v>
      </c>
      <c r="G1044">
        <v>2</v>
      </c>
      <c r="H1044" t="s">
        <v>111</v>
      </c>
      <c r="I1044" t="str">
        <f>VLOOKUP(Tabla1[[#This Row],[Code]],'[1]Articulos Precio'!$A:$E,5,FALSE)</f>
        <v>A0000270</v>
      </c>
    </row>
    <row r="1045" spans="1:9" x14ac:dyDescent="0.25">
      <c r="A1045" t="s">
        <v>364</v>
      </c>
      <c r="B1045" t="str">
        <f>VLOOKUP(Tabla1[[#This Row],[Code]],[1]!Tabla4[#Data],2,FALSE)</f>
        <v>M2 Metamark M4 Brillo 275 Azul Oriental 0,61 x 50m</v>
      </c>
      <c r="C1045">
        <v>28</v>
      </c>
      <c r="D1045" t="s">
        <v>92</v>
      </c>
      <c r="E1045" t="str">
        <f>VLOOKUP(Tabla1[[#This Row],[Cód. Atributo]],[1]!Tabla5[#Data],6,FALSE)</f>
        <v>Select</v>
      </c>
      <c r="F1045">
        <v>5</v>
      </c>
      <c r="G1045">
        <v>1</v>
      </c>
      <c r="H1045" t="s">
        <v>93</v>
      </c>
      <c r="I1045" t="str">
        <f>VLOOKUP(Tabla1[[#This Row],[Code]],'[1]Articulos Precio'!$A:$E,5,FALSE)</f>
        <v>A0000270</v>
      </c>
    </row>
    <row r="1046" spans="1:9" x14ac:dyDescent="0.25">
      <c r="A1046" t="s">
        <v>364</v>
      </c>
      <c r="B1046" t="str">
        <f>VLOOKUP(Tabla1[[#This Row],[Code]],[1]!Tabla4[#Data],2,FALSE)</f>
        <v>M2 Metamark M4 Brillo 275 Azul Oriental 0,61 x 50m</v>
      </c>
      <c r="C1046">
        <v>24</v>
      </c>
      <c r="D1046" t="s">
        <v>96</v>
      </c>
      <c r="E1046" t="str">
        <f>VLOOKUP(Tabla1[[#This Row],[Cód. Atributo]],[1]!Tabla5[#Data],6,FALSE)</f>
        <v>Select</v>
      </c>
      <c r="F1046">
        <v>6</v>
      </c>
      <c r="G1046">
        <v>2</v>
      </c>
      <c r="H1046" t="s">
        <v>266</v>
      </c>
      <c r="I1046" t="str">
        <f>VLOOKUP(Tabla1[[#This Row],[Code]],'[1]Articulos Precio'!$A:$E,5,FALSE)</f>
        <v>A0000270</v>
      </c>
    </row>
    <row r="1047" spans="1:9" x14ac:dyDescent="0.25">
      <c r="A1047" t="s">
        <v>366</v>
      </c>
      <c r="B1047" t="str">
        <f>VLOOKUP(Tabla1[[#This Row],[Code]],[1]!Tabla4[#Data],2,FALSE)</f>
        <v>M2 Metamark M4 Brillo 275 Azul Oriental 1,22 x 50m</v>
      </c>
      <c r="C1047">
        <v>8</v>
      </c>
      <c r="D1047" t="s">
        <v>86</v>
      </c>
      <c r="E1047" t="str">
        <f>VLOOKUP(Tabla1[[#This Row],[Cód. Atributo]],[1]!Tabla5[#Data],6,FALSE)</f>
        <v>Select</v>
      </c>
      <c r="F1047">
        <v>1</v>
      </c>
      <c r="G1047">
        <v>2</v>
      </c>
      <c r="H1047" t="s">
        <v>268</v>
      </c>
      <c r="I1047" t="str">
        <f>VLOOKUP(Tabla1[[#This Row],[Code]],'[1]Articulos Precio'!$A:$E,5,FALSE)</f>
        <v>A0000270</v>
      </c>
    </row>
    <row r="1048" spans="1:9" x14ac:dyDescent="0.25">
      <c r="A1048" t="s">
        <v>366</v>
      </c>
      <c r="B1048" t="str">
        <f>VLOOKUP(Tabla1[[#This Row],[Code]],[1]!Tabla4[#Data],2,FALSE)</f>
        <v>M2 Metamark M4 Brillo 275 Azul Oriental 1,22 x 50m</v>
      </c>
      <c r="C1048">
        <v>21</v>
      </c>
      <c r="D1048" t="s">
        <v>264</v>
      </c>
      <c r="E1048" t="str">
        <f>VLOOKUP(Tabla1[[#This Row],[Cód. Atributo]],[1]!Tabla5[#Data],6,FALSE)</f>
        <v>Color</v>
      </c>
      <c r="F1048">
        <v>2</v>
      </c>
      <c r="G1048">
        <v>34</v>
      </c>
      <c r="H1048" t="s">
        <v>365</v>
      </c>
      <c r="I1048" t="str">
        <f>VLOOKUP(Tabla1[[#This Row],[Code]],'[1]Articulos Precio'!$A:$E,5,FALSE)</f>
        <v>A0000270</v>
      </c>
    </row>
    <row r="1049" spans="1:9" x14ac:dyDescent="0.25">
      <c r="A1049" t="s">
        <v>366</v>
      </c>
      <c r="B1049" t="str">
        <f>VLOOKUP(Tabla1[[#This Row],[Code]],[1]!Tabla4[#Data],2,FALSE)</f>
        <v>M2 Metamark M4 Brillo 275 Azul Oriental 1,22 x 50m</v>
      </c>
      <c r="C1049">
        <v>23</v>
      </c>
      <c r="D1049" t="s">
        <v>90</v>
      </c>
      <c r="E1049" t="str">
        <f>VLOOKUP(Tabla1[[#This Row],[Cód. Atributo]],[1]!Tabla5[#Data],6,FALSE)</f>
        <v>Select</v>
      </c>
      <c r="F1049">
        <v>3</v>
      </c>
      <c r="G1049">
        <v>1</v>
      </c>
      <c r="H1049" t="s">
        <v>110</v>
      </c>
      <c r="I1049" t="str">
        <f>VLOOKUP(Tabla1[[#This Row],[Code]],'[1]Articulos Precio'!$A:$E,5,FALSE)</f>
        <v>A0000270</v>
      </c>
    </row>
    <row r="1050" spans="1:9" x14ac:dyDescent="0.25">
      <c r="A1050" t="s">
        <v>366</v>
      </c>
      <c r="B1050" t="str">
        <f>VLOOKUP(Tabla1[[#This Row],[Code]],[1]!Tabla4[#Data],2,FALSE)</f>
        <v>M2 Metamark M4 Brillo 275 Azul Oriental 1,22 x 50m</v>
      </c>
      <c r="C1050">
        <v>25</v>
      </c>
      <c r="D1050" t="s">
        <v>94</v>
      </c>
      <c r="E1050" t="str">
        <f>VLOOKUP(Tabla1[[#This Row],[Cód. Atributo]],[1]!Tabla5[#Data],6,FALSE)</f>
        <v>Select</v>
      </c>
      <c r="F1050">
        <v>4</v>
      </c>
      <c r="G1050">
        <v>2</v>
      </c>
      <c r="H1050" t="s">
        <v>111</v>
      </c>
      <c r="I1050" t="str">
        <f>VLOOKUP(Tabla1[[#This Row],[Code]],'[1]Articulos Precio'!$A:$E,5,FALSE)</f>
        <v>A0000270</v>
      </c>
    </row>
    <row r="1051" spans="1:9" x14ac:dyDescent="0.25">
      <c r="A1051" t="s">
        <v>366</v>
      </c>
      <c r="B1051" t="str">
        <f>VLOOKUP(Tabla1[[#This Row],[Code]],[1]!Tabla4[#Data],2,FALSE)</f>
        <v>M2 Metamark M4 Brillo 275 Azul Oriental 1,22 x 50m</v>
      </c>
      <c r="C1051">
        <v>28</v>
      </c>
      <c r="D1051" t="s">
        <v>184</v>
      </c>
      <c r="E1051" t="str">
        <f>VLOOKUP(Tabla1[[#This Row],[Cód. Atributo]],[1]!Tabla5[#Data],6,FALSE)</f>
        <v>Select</v>
      </c>
      <c r="F1051">
        <v>5</v>
      </c>
      <c r="G1051">
        <v>1</v>
      </c>
      <c r="H1051" t="s">
        <v>93</v>
      </c>
      <c r="I1051" t="str">
        <f>VLOOKUP(Tabla1[[#This Row],[Code]],'[1]Articulos Precio'!$A:$E,5,FALSE)</f>
        <v>A0000270</v>
      </c>
    </row>
    <row r="1052" spans="1:9" x14ac:dyDescent="0.25">
      <c r="A1052" t="s">
        <v>366</v>
      </c>
      <c r="B1052" t="str">
        <f>VLOOKUP(Tabla1[[#This Row],[Code]],[1]!Tabla4[#Data],2,FALSE)</f>
        <v>M2 Metamark M4 Brillo 275 Azul Oriental 1,22 x 50m</v>
      </c>
      <c r="C1052">
        <v>24</v>
      </c>
      <c r="D1052" t="s">
        <v>96</v>
      </c>
      <c r="E1052" t="str">
        <f>VLOOKUP(Tabla1[[#This Row],[Cód. Atributo]],[1]!Tabla5[#Data],6,FALSE)</f>
        <v>Select</v>
      </c>
      <c r="F1052">
        <v>6</v>
      </c>
      <c r="G1052">
        <v>2</v>
      </c>
      <c r="H1052" t="s">
        <v>266</v>
      </c>
      <c r="I1052" t="str">
        <f>VLOOKUP(Tabla1[[#This Row],[Code]],'[1]Articulos Precio'!$A:$E,5,FALSE)</f>
        <v>A0000270</v>
      </c>
    </row>
    <row r="1053" spans="1:9" x14ac:dyDescent="0.25">
      <c r="A1053" t="s">
        <v>367</v>
      </c>
      <c r="B1053" t="str">
        <f>VLOOKUP(Tabla1[[#This Row],[Code]],[1]!Tabla4[#Data],2,FALSE)</f>
        <v>M2 Metamark M4 Brillo 277 Azul Cáscara 0,61 x 50m</v>
      </c>
      <c r="C1053">
        <v>8</v>
      </c>
      <c r="D1053" t="s">
        <v>86</v>
      </c>
      <c r="E1053" t="str">
        <f>VLOOKUP(Tabla1[[#This Row],[Cód. Atributo]],[1]!Tabla5[#Data],6,FALSE)</f>
        <v>Select</v>
      </c>
      <c r="F1053">
        <v>1</v>
      </c>
      <c r="G1053">
        <v>1</v>
      </c>
      <c r="H1053" t="s">
        <v>263</v>
      </c>
      <c r="I1053" t="str">
        <f>VLOOKUP(Tabla1[[#This Row],[Code]],'[1]Articulos Precio'!$A:$E,5,FALSE)</f>
        <v>A0000270</v>
      </c>
    </row>
    <row r="1054" spans="1:9" x14ac:dyDescent="0.25">
      <c r="A1054" t="s">
        <v>367</v>
      </c>
      <c r="B1054" t="str">
        <f>VLOOKUP(Tabla1[[#This Row],[Code]],[1]!Tabla4[#Data],2,FALSE)</f>
        <v>M2 Metamark M4 Brillo 277 Azul Cáscara 0,61 x 50m</v>
      </c>
      <c r="C1054">
        <v>21</v>
      </c>
      <c r="D1054" t="s">
        <v>264</v>
      </c>
      <c r="E1054" t="str">
        <f>VLOOKUP(Tabla1[[#This Row],[Cód. Atributo]],[1]!Tabla5[#Data],6,FALSE)</f>
        <v>Color</v>
      </c>
      <c r="F1054">
        <v>2</v>
      </c>
      <c r="G1054">
        <v>35</v>
      </c>
      <c r="H1054" t="s">
        <v>368</v>
      </c>
      <c r="I1054" t="str">
        <f>VLOOKUP(Tabla1[[#This Row],[Code]],'[1]Articulos Precio'!$A:$E,5,FALSE)</f>
        <v>A0000270</v>
      </c>
    </row>
    <row r="1055" spans="1:9" x14ac:dyDescent="0.25">
      <c r="A1055" t="s">
        <v>367</v>
      </c>
      <c r="B1055" t="str">
        <f>VLOOKUP(Tabla1[[#This Row],[Code]],[1]!Tabla4[#Data],2,FALSE)</f>
        <v>M2 Metamark M4 Brillo 277 Azul Cáscara 0,61 x 50m</v>
      </c>
      <c r="C1055">
        <v>23</v>
      </c>
      <c r="D1055" t="s">
        <v>90</v>
      </c>
      <c r="E1055" t="str">
        <f>VLOOKUP(Tabla1[[#This Row],[Cód. Atributo]],[1]!Tabla5[#Data],6,FALSE)</f>
        <v>Select</v>
      </c>
      <c r="F1055">
        <v>3</v>
      </c>
      <c r="G1055">
        <v>1</v>
      </c>
      <c r="H1055" t="s">
        <v>110</v>
      </c>
      <c r="I1055" t="str">
        <f>VLOOKUP(Tabla1[[#This Row],[Code]],'[1]Articulos Precio'!$A:$E,5,FALSE)</f>
        <v>A0000270</v>
      </c>
    </row>
    <row r="1056" spans="1:9" x14ac:dyDescent="0.25">
      <c r="A1056" t="s">
        <v>367</v>
      </c>
      <c r="B1056" t="str">
        <f>VLOOKUP(Tabla1[[#This Row],[Code]],[1]!Tabla4[#Data],2,FALSE)</f>
        <v>M2 Metamark M4 Brillo 277 Azul Cáscara 0,61 x 50m</v>
      </c>
      <c r="C1056">
        <v>25</v>
      </c>
      <c r="D1056" t="s">
        <v>94</v>
      </c>
      <c r="E1056" t="str">
        <f>VLOOKUP(Tabla1[[#This Row],[Cód. Atributo]],[1]!Tabla5[#Data],6,FALSE)</f>
        <v>Select</v>
      </c>
      <c r="F1056">
        <v>4</v>
      </c>
      <c r="G1056">
        <v>2</v>
      </c>
      <c r="H1056" t="s">
        <v>111</v>
      </c>
      <c r="I1056" t="str">
        <f>VLOOKUP(Tabla1[[#This Row],[Code]],'[1]Articulos Precio'!$A:$E,5,FALSE)</f>
        <v>A0000270</v>
      </c>
    </row>
    <row r="1057" spans="1:9" x14ac:dyDescent="0.25">
      <c r="A1057" t="s">
        <v>367</v>
      </c>
      <c r="B1057" t="str">
        <f>VLOOKUP(Tabla1[[#This Row],[Code]],[1]!Tabla4[#Data],2,FALSE)</f>
        <v>M2 Metamark M4 Brillo 277 Azul Cáscara 0,61 x 50m</v>
      </c>
      <c r="C1057">
        <v>28</v>
      </c>
      <c r="D1057" t="s">
        <v>184</v>
      </c>
      <c r="E1057" t="str">
        <f>VLOOKUP(Tabla1[[#This Row],[Cód. Atributo]],[1]!Tabla5[#Data],6,FALSE)</f>
        <v>Select</v>
      </c>
      <c r="F1057">
        <v>5</v>
      </c>
      <c r="G1057">
        <v>1</v>
      </c>
      <c r="H1057" t="s">
        <v>93</v>
      </c>
      <c r="I1057" t="str">
        <f>VLOOKUP(Tabla1[[#This Row],[Code]],'[1]Articulos Precio'!$A:$E,5,FALSE)</f>
        <v>A0000270</v>
      </c>
    </row>
    <row r="1058" spans="1:9" x14ac:dyDescent="0.25">
      <c r="A1058" t="s">
        <v>367</v>
      </c>
      <c r="B1058" t="str">
        <f>VLOOKUP(Tabla1[[#This Row],[Code]],[1]!Tabla4[#Data],2,FALSE)</f>
        <v>M2 Metamark M4 Brillo 277 Azul Cáscara 0,61 x 50m</v>
      </c>
      <c r="C1058">
        <v>24</v>
      </c>
      <c r="D1058" t="s">
        <v>96</v>
      </c>
      <c r="E1058" t="str">
        <f>VLOOKUP(Tabla1[[#This Row],[Cód. Atributo]],[1]!Tabla5[#Data],6,FALSE)</f>
        <v>Select</v>
      </c>
      <c r="F1058">
        <v>6</v>
      </c>
      <c r="G1058">
        <v>2</v>
      </c>
      <c r="H1058" t="s">
        <v>266</v>
      </c>
      <c r="I1058" t="str">
        <f>VLOOKUP(Tabla1[[#This Row],[Code]],'[1]Articulos Precio'!$A:$E,5,FALSE)</f>
        <v>A0000270</v>
      </c>
    </row>
    <row r="1059" spans="1:9" x14ac:dyDescent="0.25">
      <c r="A1059" t="s">
        <v>369</v>
      </c>
      <c r="B1059" t="str">
        <f>VLOOKUP(Tabla1[[#This Row],[Code]],[1]!Tabla4[#Data],2,FALSE)</f>
        <v>M2 Metamark M4 Brillo 277 Azul Cáscara 1,22 x 50m</v>
      </c>
      <c r="C1059">
        <v>8</v>
      </c>
      <c r="D1059" t="s">
        <v>86</v>
      </c>
      <c r="E1059" t="str">
        <f>VLOOKUP(Tabla1[[#This Row],[Cód. Atributo]],[1]!Tabla5[#Data],6,FALSE)</f>
        <v>Select</v>
      </c>
      <c r="F1059">
        <v>1</v>
      </c>
      <c r="G1059">
        <v>2</v>
      </c>
      <c r="H1059" t="s">
        <v>268</v>
      </c>
      <c r="I1059" t="str">
        <f>VLOOKUP(Tabla1[[#This Row],[Code]],'[1]Articulos Precio'!$A:$E,5,FALSE)</f>
        <v>A0000270</v>
      </c>
    </row>
    <row r="1060" spans="1:9" x14ac:dyDescent="0.25">
      <c r="A1060" t="s">
        <v>369</v>
      </c>
      <c r="B1060" t="str">
        <f>VLOOKUP(Tabla1[[#This Row],[Code]],[1]!Tabla4[#Data],2,FALSE)</f>
        <v>M2 Metamark M4 Brillo 277 Azul Cáscara 1,22 x 50m</v>
      </c>
      <c r="C1060">
        <v>21</v>
      </c>
      <c r="D1060" t="s">
        <v>264</v>
      </c>
      <c r="E1060" t="str">
        <f>VLOOKUP(Tabla1[[#This Row],[Cód. Atributo]],[1]!Tabla5[#Data],6,FALSE)</f>
        <v>Color</v>
      </c>
      <c r="F1060">
        <v>2</v>
      </c>
      <c r="G1060">
        <v>35</v>
      </c>
      <c r="H1060" t="s">
        <v>368</v>
      </c>
      <c r="I1060" t="str">
        <f>VLOOKUP(Tabla1[[#This Row],[Code]],'[1]Articulos Precio'!$A:$E,5,FALSE)</f>
        <v>A0000270</v>
      </c>
    </row>
    <row r="1061" spans="1:9" x14ac:dyDescent="0.25">
      <c r="A1061" t="s">
        <v>369</v>
      </c>
      <c r="B1061" t="str">
        <f>VLOOKUP(Tabla1[[#This Row],[Code]],[1]!Tabla4[#Data],2,FALSE)</f>
        <v>M2 Metamark M4 Brillo 277 Azul Cáscara 1,22 x 50m</v>
      </c>
      <c r="C1061">
        <v>23</v>
      </c>
      <c r="D1061" t="s">
        <v>90</v>
      </c>
      <c r="E1061" t="str">
        <f>VLOOKUP(Tabla1[[#This Row],[Cód. Atributo]],[1]!Tabla5[#Data],6,FALSE)</f>
        <v>Select</v>
      </c>
      <c r="F1061">
        <v>3</v>
      </c>
      <c r="G1061">
        <v>1</v>
      </c>
      <c r="H1061" t="s">
        <v>110</v>
      </c>
      <c r="I1061" t="str">
        <f>VLOOKUP(Tabla1[[#This Row],[Code]],'[1]Articulos Precio'!$A:$E,5,FALSE)</f>
        <v>A0000270</v>
      </c>
    </row>
    <row r="1062" spans="1:9" x14ac:dyDescent="0.25">
      <c r="A1062" t="s">
        <v>369</v>
      </c>
      <c r="B1062" t="str">
        <f>VLOOKUP(Tabla1[[#This Row],[Code]],[1]!Tabla4[#Data],2,FALSE)</f>
        <v>M2 Metamark M4 Brillo 277 Azul Cáscara 1,22 x 50m</v>
      </c>
      <c r="C1062">
        <v>25</v>
      </c>
      <c r="D1062" t="s">
        <v>94</v>
      </c>
      <c r="E1062" t="str">
        <f>VLOOKUP(Tabla1[[#This Row],[Cód. Atributo]],[1]!Tabla5[#Data],6,FALSE)</f>
        <v>Select</v>
      </c>
      <c r="F1062">
        <v>4</v>
      </c>
      <c r="G1062">
        <v>2</v>
      </c>
      <c r="H1062" t="s">
        <v>111</v>
      </c>
      <c r="I1062" t="str">
        <f>VLOOKUP(Tabla1[[#This Row],[Code]],'[1]Articulos Precio'!$A:$E,5,FALSE)</f>
        <v>A0000270</v>
      </c>
    </row>
    <row r="1063" spans="1:9" x14ac:dyDescent="0.25">
      <c r="A1063" t="s">
        <v>369</v>
      </c>
      <c r="B1063" t="str">
        <f>VLOOKUP(Tabla1[[#This Row],[Code]],[1]!Tabla4[#Data],2,FALSE)</f>
        <v>M2 Metamark M4 Brillo 277 Azul Cáscara 1,22 x 50m</v>
      </c>
      <c r="C1063">
        <v>28</v>
      </c>
      <c r="D1063" t="s">
        <v>184</v>
      </c>
      <c r="E1063" t="str">
        <f>VLOOKUP(Tabla1[[#This Row],[Cód. Atributo]],[1]!Tabla5[#Data],6,FALSE)</f>
        <v>Select</v>
      </c>
      <c r="F1063">
        <v>5</v>
      </c>
      <c r="G1063">
        <v>1</v>
      </c>
      <c r="H1063" t="s">
        <v>93</v>
      </c>
      <c r="I1063" t="str">
        <f>VLOOKUP(Tabla1[[#This Row],[Code]],'[1]Articulos Precio'!$A:$E,5,FALSE)</f>
        <v>A0000270</v>
      </c>
    </row>
    <row r="1064" spans="1:9" x14ac:dyDescent="0.25">
      <c r="A1064" t="s">
        <v>369</v>
      </c>
      <c r="B1064" t="str">
        <f>VLOOKUP(Tabla1[[#This Row],[Code]],[1]!Tabla4[#Data],2,FALSE)</f>
        <v>M2 Metamark M4 Brillo 277 Azul Cáscara 1,22 x 50m</v>
      </c>
      <c r="C1064">
        <v>24</v>
      </c>
      <c r="D1064" t="s">
        <v>96</v>
      </c>
      <c r="E1064" t="str">
        <f>VLOOKUP(Tabla1[[#This Row],[Cód. Atributo]],[1]!Tabla5[#Data],6,FALSE)</f>
        <v>Select</v>
      </c>
      <c r="F1064">
        <v>6</v>
      </c>
      <c r="G1064">
        <v>2</v>
      </c>
      <c r="H1064" t="s">
        <v>266</v>
      </c>
      <c r="I1064" t="str">
        <f>VLOOKUP(Tabla1[[#This Row],[Code]],'[1]Articulos Precio'!$A:$E,5,FALSE)</f>
        <v>A0000270</v>
      </c>
    </row>
    <row r="1065" spans="1:9" x14ac:dyDescent="0.25">
      <c r="A1065" t="s">
        <v>370</v>
      </c>
      <c r="B1065" t="str">
        <f>VLOOKUP(Tabla1[[#This Row],[Code]],[1]!Tabla4[#Data],2,FALSE)</f>
        <v>M2 Metamark M4 Brillo 278 Azul Vikingo 0,61 x 50m</v>
      </c>
      <c r="C1065">
        <v>8</v>
      </c>
      <c r="D1065" t="s">
        <v>86</v>
      </c>
      <c r="E1065" t="str">
        <f>VLOOKUP(Tabla1[[#This Row],[Cód. Atributo]],[1]!Tabla5[#Data],6,FALSE)</f>
        <v>Select</v>
      </c>
      <c r="F1065">
        <v>1</v>
      </c>
      <c r="G1065">
        <v>1</v>
      </c>
      <c r="H1065" t="s">
        <v>263</v>
      </c>
      <c r="I1065" t="str">
        <f>VLOOKUP(Tabla1[[#This Row],[Code]],'[1]Articulos Precio'!$A:$E,5,FALSE)</f>
        <v>A0000270</v>
      </c>
    </row>
    <row r="1066" spans="1:9" x14ac:dyDescent="0.25">
      <c r="A1066" t="s">
        <v>370</v>
      </c>
      <c r="B1066" t="str">
        <f>VLOOKUP(Tabla1[[#This Row],[Code]],[1]!Tabla4[#Data],2,FALSE)</f>
        <v>M2 Metamark M4 Brillo 278 Azul Vikingo 0,61 x 50m</v>
      </c>
      <c r="C1066">
        <v>21</v>
      </c>
      <c r="D1066" t="s">
        <v>264</v>
      </c>
      <c r="E1066" t="str">
        <f>VLOOKUP(Tabla1[[#This Row],[Cód. Atributo]],[1]!Tabla5[#Data],6,FALSE)</f>
        <v>Color</v>
      </c>
      <c r="F1066">
        <v>2</v>
      </c>
      <c r="G1066">
        <v>36</v>
      </c>
      <c r="H1066" t="s">
        <v>371</v>
      </c>
      <c r="I1066" t="str">
        <f>VLOOKUP(Tabla1[[#This Row],[Code]],'[1]Articulos Precio'!$A:$E,5,FALSE)</f>
        <v>A0000270</v>
      </c>
    </row>
    <row r="1067" spans="1:9" x14ac:dyDescent="0.25">
      <c r="A1067" t="s">
        <v>370</v>
      </c>
      <c r="B1067" t="str">
        <f>VLOOKUP(Tabla1[[#This Row],[Code]],[1]!Tabla4[#Data],2,FALSE)</f>
        <v>M2 Metamark M4 Brillo 278 Azul Vikingo 0,61 x 50m</v>
      </c>
      <c r="C1067">
        <v>23</v>
      </c>
      <c r="D1067" t="s">
        <v>90</v>
      </c>
      <c r="E1067" t="str">
        <f>VLOOKUP(Tabla1[[#This Row],[Cód. Atributo]],[1]!Tabla5[#Data],6,FALSE)</f>
        <v>Select</v>
      </c>
      <c r="F1067">
        <v>3</v>
      </c>
      <c r="G1067">
        <v>1</v>
      </c>
      <c r="H1067" t="s">
        <v>110</v>
      </c>
      <c r="I1067" t="str">
        <f>VLOOKUP(Tabla1[[#This Row],[Code]],'[1]Articulos Precio'!$A:$E,5,FALSE)</f>
        <v>A0000270</v>
      </c>
    </row>
    <row r="1068" spans="1:9" x14ac:dyDescent="0.25">
      <c r="A1068" t="s">
        <v>370</v>
      </c>
      <c r="B1068" t="str">
        <f>VLOOKUP(Tabla1[[#This Row],[Code]],[1]!Tabla4[#Data],2,FALSE)</f>
        <v>M2 Metamark M4 Brillo 278 Azul Vikingo 0,61 x 50m</v>
      </c>
      <c r="C1068">
        <v>25</v>
      </c>
      <c r="D1068" t="s">
        <v>94</v>
      </c>
      <c r="E1068" t="str">
        <f>VLOOKUP(Tabla1[[#This Row],[Cód. Atributo]],[1]!Tabla5[#Data],6,FALSE)</f>
        <v>Select</v>
      </c>
      <c r="F1068">
        <v>4</v>
      </c>
      <c r="G1068">
        <v>2</v>
      </c>
      <c r="H1068" t="s">
        <v>111</v>
      </c>
      <c r="I1068" t="str">
        <f>VLOOKUP(Tabla1[[#This Row],[Code]],'[1]Articulos Precio'!$A:$E,5,FALSE)</f>
        <v>A0000270</v>
      </c>
    </row>
    <row r="1069" spans="1:9" x14ac:dyDescent="0.25">
      <c r="A1069" t="s">
        <v>370</v>
      </c>
      <c r="B1069" t="str">
        <f>VLOOKUP(Tabla1[[#This Row],[Code]],[1]!Tabla4[#Data],2,FALSE)</f>
        <v>M2 Metamark M4 Brillo 278 Azul Vikingo 0,61 x 50m</v>
      </c>
      <c r="C1069">
        <v>28</v>
      </c>
      <c r="D1069" t="s">
        <v>92</v>
      </c>
      <c r="E1069" t="str">
        <f>VLOOKUP(Tabla1[[#This Row],[Cód. Atributo]],[1]!Tabla5[#Data],6,FALSE)</f>
        <v>Select</v>
      </c>
      <c r="F1069">
        <v>5</v>
      </c>
      <c r="G1069">
        <v>1</v>
      </c>
      <c r="H1069" t="s">
        <v>93</v>
      </c>
      <c r="I1069" t="str">
        <f>VLOOKUP(Tabla1[[#This Row],[Code]],'[1]Articulos Precio'!$A:$E,5,FALSE)</f>
        <v>A0000270</v>
      </c>
    </row>
    <row r="1070" spans="1:9" x14ac:dyDescent="0.25">
      <c r="A1070" t="s">
        <v>370</v>
      </c>
      <c r="B1070" t="str">
        <f>VLOOKUP(Tabla1[[#This Row],[Code]],[1]!Tabla4[#Data],2,FALSE)</f>
        <v>M2 Metamark M4 Brillo 278 Azul Vikingo 0,61 x 50m</v>
      </c>
      <c r="C1070">
        <v>24</v>
      </c>
      <c r="D1070" t="s">
        <v>96</v>
      </c>
      <c r="E1070" t="str">
        <f>VLOOKUP(Tabla1[[#This Row],[Cód. Atributo]],[1]!Tabla5[#Data],6,FALSE)</f>
        <v>Select</v>
      </c>
      <c r="F1070">
        <v>6</v>
      </c>
      <c r="G1070">
        <v>2</v>
      </c>
      <c r="H1070" t="s">
        <v>266</v>
      </c>
      <c r="I1070" t="str">
        <f>VLOOKUP(Tabla1[[#This Row],[Code]],'[1]Articulos Precio'!$A:$E,5,FALSE)</f>
        <v>A0000270</v>
      </c>
    </row>
    <row r="1071" spans="1:9" x14ac:dyDescent="0.25">
      <c r="A1071" t="s">
        <v>372</v>
      </c>
      <c r="B1071" t="str">
        <f>VLOOKUP(Tabla1[[#This Row],[Code]],[1]!Tabla4[#Data],2,FALSE)</f>
        <v>M2 Metamark M4 Brillo 278 Azul Vikingo 1,22 x 50m</v>
      </c>
      <c r="C1071">
        <v>8</v>
      </c>
      <c r="D1071" t="s">
        <v>86</v>
      </c>
      <c r="E1071" t="str">
        <f>VLOOKUP(Tabla1[[#This Row],[Cód. Atributo]],[1]!Tabla5[#Data],6,FALSE)</f>
        <v>Select</v>
      </c>
      <c r="F1071">
        <v>1</v>
      </c>
      <c r="G1071">
        <v>2</v>
      </c>
      <c r="H1071" t="s">
        <v>268</v>
      </c>
      <c r="I1071" t="str">
        <f>VLOOKUP(Tabla1[[#This Row],[Code]],'[1]Articulos Precio'!$A:$E,5,FALSE)</f>
        <v>A0000270</v>
      </c>
    </row>
    <row r="1072" spans="1:9" x14ac:dyDescent="0.25">
      <c r="A1072" t="s">
        <v>372</v>
      </c>
      <c r="B1072" t="str">
        <f>VLOOKUP(Tabla1[[#This Row],[Code]],[1]!Tabla4[#Data],2,FALSE)</f>
        <v>M2 Metamark M4 Brillo 278 Azul Vikingo 1,22 x 50m</v>
      </c>
      <c r="C1072">
        <v>21</v>
      </c>
      <c r="D1072" t="s">
        <v>264</v>
      </c>
      <c r="E1072" t="str">
        <f>VLOOKUP(Tabla1[[#This Row],[Cód. Atributo]],[1]!Tabla5[#Data],6,FALSE)</f>
        <v>Color</v>
      </c>
      <c r="F1072">
        <v>2</v>
      </c>
      <c r="G1072">
        <v>36</v>
      </c>
      <c r="H1072" t="s">
        <v>371</v>
      </c>
      <c r="I1072" t="str">
        <f>VLOOKUP(Tabla1[[#This Row],[Code]],'[1]Articulos Precio'!$A:$E,5,FALSE)</f>
        <v>A0000270</v>
      </c>
    </row>
    <row r="1073" spans="1:9" x14ac:dyDescent="0.25">
      <c r="A1073" t="s">
        <v>372</v>
      </c>
      <c r="B1073" t="str">
        <f>VLOOKUP(Tabla1[[#This Row],[Code]],[1]!Tabla4[#Data],2,FALSE)</f>
        <v>M2 Metamark M4 Brillo 278 Azul Vikingo 1,22 x 50m</v>
      </c>
      <c r="C1073">
        <v>23</v>
      </c>
      <c r="D1073" t="s">
        <v>90</v>
      </c>
      <c r="E1073" t="str">
        <f>VLOOKUP(Tabla1[[#This Row],[Cód. Atributo]],[1]!Tabla5[#Data],6,FALSE)</f>
        <v>Select</v>
      </c>
      <c r="F1073">
        <v>3</v>
      </c>
      <c r="G1073">
        <v>1</v>
      </c>
      <c r="H1073" t="s">
        <v>110</v>
      </c>
      <c r="I1073" t="str">
        <f>VLOOKUP(Tabla1[[#This Row],[Code]],'[1]Articulos Precio'!$A:$E,5,FALSE)</f>
        <v>A0000270</v>
      </c>
    </row>
    <row r="1074" spans="1:9" x14ac:dyDescent="0.25">
      <c r="A1074" t="s">
        <v>372</v>
      </c>
      <c r="B1074" t="str">
        <f>VLOOKUP(Tabla1[[#This Row],[Code]],[1]!Tabla4[#Data],2,FALSE)</f>
        <v>M2 Metamark M4 Brillo 278 Azul Vikingo 1,22 x 50m</v>
      </c>
      <c r="C1074">
        <v>25</v>
      </c>
      <c r="D1074" t="s">
        <v>94</v>
      </c>
      <c r="E1074" t="str">
        <f>VLOOKUP(Tabla1[[#This Row],[Cód. Atributo]],[1]!Tabla5[#Data],6,FALSE)</f>
        <v>Select</v>
      </c>
      <c r="F1074">
        <v>4</v>
      </c>
      <c r="G1074">
        <v>2</v>
      </c>
      <c r="H1074" t="s">
        <v>111</v>
      </c>
      <c r="I1074" t="str">
        <f>VLOOKUP(Tabla1[[#This Row],[Code]],'[1]Articulos Precio'!$A:$E,5,FALSE)</f>
        <v>A0000270</v>
      </c>
    </row>
    <row r="1075" spans="1:9" x14ac:dyDescent="0.25">
      <c r="A1075" t="s">
        <v>372</v>
      </c>
      <c r="B1075" t="str">
        <f>VLOOKUP(Tabla1[[#This Row],[Code]],[1]!Tabla4[#Data],2,FALSE)</f>
        <v>M2 Metamark M4 Brillo 278 Azul Vikingo 1,22 x 50m</v>
      </c>
      <c r="C1075">
        <v>28</v>
      </c>
      <c r="D1075" t="s">
        <v>184</v>
      </c>
      <c r="E1075" t="str">
        <f>VLOOKUP(Tabla1[[#This Row],[Cód. Atributo]],[1]!Tabla5[#Data],6,FALSE)</f>
        <v>Select</v>
      </c>
      <c r="F1075">
        <v>5</v>
      </c>
      <c r="G1075">
        <v>1</v>
      </c>
      <c r="H1075" t="s">
        <v>93</v>
      </c>
      <c r="I1075" t="str">
        <f>VLOOKUP(Tabla1[[#This Row],[Code]],'[1]Articulos Precio'!$A:$E,5,FALSE)</f>
        <v>A0000270</v>
      </c>
    </row>
    <row r="1076" spans="1:9" x14ac:dyDescent="0.25">
      <c r="A1076" t="s">
        <v>372</v>
      </c>
      <c r="B1076" t="str">
        <f>VLOOKUP(Tabla1[[#This Row],[Code]],[1]!Tabla4[#Data],2,FALSE)</f>
        <v>M2 Metamark M4 Brillo 278 Azul Vikingo 1,22 x 50m</v>
      </c>
      <c r="C1076">
        <v>24</v>
      </c>
      <c r="D1076" t="s">
        <v>96</v>
      </c>
      <c r="E1076" t="str">
        <f>VLOOKUP(Tabla1[[#This Row],[Cód. Atributo]],[1]!Tabla5[#Data],6,FALSE)</f>
        <v>Select</v>
      </c>
      <c r="F1076">
        <v>6</v>
      </c>
      <c r="G1076">
        <v>2</v>
      </c>
      <c r="H1076" t="s">
        <v>266</v>
      </c>
      <c r="I1076" t="str">
        <f>VLOOKUP(Tabla1[[#This Row],[Code]],'[1]Articulos Precio'!$A:$E,5,FALSE)</f>
        <v>A0000270</v>
      </c>
    </row>
    <row r="1077" spans="1:9" x14ac:dyDescent="0.25">
      <c r="A1077" t="s">
        <v>373</v>
      </c>
      <c r="B1077" t="str">
        <f>VLOOKUP(Tabla1[[#This Row],[Code]],[1]!Tabla4[#Data],2,FALSE)</f>
        <v>M2 Metamark M4 Brillo 282 Magenta 0,61 x 50m</v>
      </c>
      <c r="C1077">
        <v>8</v>
      </c>
      <c r="D1077" t="s">
        <v>86</v>
      </c>
      <c r="E1077" t="str">
        <f>VLOOKUP(Tabla1[[#This Row],[Cód. Atributo]],[1]!Tabla5[#Data],6,FALSE)</f>
        <v>Select</v>
      </c>
      <c r="F1077">
        <v>1</v>
      </c>
      <c r="G1077">
        <v>1</v>
      </c>
      <c r="H1077" t="s">
        <v>263</v>
      </c>
      <c r="I1077" t="str">
        <f>VLOOKUP(Tabla1[[#This Row],[Code]],'[1]Articulos Precio'!$A:$E,5,FALSE)</f>
        <v>A0000270</v>
      </c>
    </row>
    <row r="1078" spans="1:9" x14ac:dyDescent="0.25">
      <c r="A1078" t="s">
        <v>373</v>
      </c>
      <c r="B1078" t="str">
        <f>VLOOKUP(Tabla1[[#This Row],[Code]],[1]!Tabla4[#Data],2,FALSE)</f>
        <v>M2 Metamark M4 Brillo 282 Magenta 0,61 x 50m</v>
      </c>
      <c r="C1078">
        <v>21</v>
      </c>
      <c r="D1078" t="s">
        <v>264</v>
      </c>
      <c r="E1078" t="str">
        <f>VLOOKUP(Tabla1[[#This Row],[Cód. Atributo]],[1]!Tabla5[#Data],6,FALSE)</f>
        <v>Color</v>
      </c>
      <c r="F1078">
        <v>2</v>
      </c>
      <c r="G1078">
        <v>37</v>
      </c>
      <c r="H1078" t="s">
        <v>374</v>
      </c>
      <c r="I1078" t="str">
        <f>VLOOKUP(Tabla1[[#This Row],[Code]],'[1]Articulos Precio'!$A:$E,5,FALSE)</f>
        <v>A0000270</v>
      </c>
    </row>
    <row r="1079" spans="1:9" x14ac:dyDescent="0.25">
      <c r="A1079" t="s">
        <v>373</v>
      </c>
      <c r="B1079" t="str">
        <f>VLOOKUP(Tabla1[[#This Row],[Code]],[1]!Tabla4[#Data],2,FALSE)</f>
        <v>M2 Metamark M4 Brillo 282 Magenta 0,61 x 50m</v>
      </c>
      <c r="C1079">
        <v>23</v>
      </c>
      <c r="D1079" t="s">
        <v>90</v>
      </c>
      <c r="E1079" t="str">
        <f>VLOOKUP(Tabla1[[#This Row],[Cód. Atributo]],[1]!Tabla5[#Data],6,FALSE)</f>
        <v>Select</v>
      </c>
      <c r="F1079">
        <v>3</v>
      </c>
      <c r="G1079">
        <v>1</v>
      </c>
      <c r="H1079" t="s">
        <v>110</v>
      </c>
      <c r="I1079" t="str">
        <f>VLOOKUP(Tabla1[[#This Row],[Code]],'[1]Articulos Precio'!$A:$E,5,FALSE)</f>
        <v>A0000270</v>
      </c>
    </row>
    <row r="1080" spans="1:9" x14ac:dyDescent="0.25">
      <c r="A1080" t="s">
        <v>373</v>
      </c>
      <c r="B1080" t="str">
        <f>VLOOKUP(Tabla1[[#This Row],[Code]],[1]!Tabla4[#Data],2,FALSE)</f>
        <v>M2 Metamark M4 Brillo 282 Magenta 0,61 x 50m</v>
      </c>
      <c r="C1080">
        <v>25</v>
      </c>
      <c r="D1080" t="s">
        <v>94</v>
      </c>
      <c r="E1080" t="str">
        <f>VLOOKUP(Tabla1[[#This Row],[Cód. Atributo]],[1]!Tabla5[#Data],6,FALSE)</f>
        <v>Select</v>
      </c>
      <c r="F1080">
        <v>4</v>
      </c>
      <c r="G1080">
        <v>2</v>
      </c>
      <c r="H1080" t="s">
        <v>111</v>
      </c>
      <c r="I1080" t="str">
        <f>VLOOKUP(Tabla1[[#This Row],[Code]],'[1]Articulos Precio'!$A:$E,5,FALSE)</f>
        <v>A0000270</v>
      </c>
    </row>
    <row r="1081" spans="1:9" x14ac:dyDescent="0.25">
      <c r="A1081" t="s">
        <v>373</v>
      </c>
      <c r="B1081" t="str">
        <f>VLOOKUP(Tabla1[[#This Row],[Code]],[1]!Tabla4[#Data],2,FALSE)</f>
        <v>M2 Metamark M4 Brillo 282 Magenta 0,61 x 50m</v>
      </c>
      <c r="C1081">
        <v>28</v>
      </c>
      <c r="D1081" t="s">
        <v>92</v>
      </c>
      <c r="E1081" t="str">
        <f>VLOOKUP(Tabla1[[#This Row],[Cód. Atributo]],[1]!Tabla5[#Data],6,FALSE)</f>
        <v>Select</v>
      </c>
      <c r="F1081">
        <v>5</v>
      </c>
      <c r="G1081">
        <v>1</v>
      </c>
      <c r="H1081" t="s">
        <v>93</v>
      </c>
      <c r="I1081" t="str">
        <f>VLOOKUP(Tabla1[[#This Row],[Code]],'[1]Articulos Precio'!$A:$E,5,FALSE)</f>
        <v>A0000270</v>
      </c>
    </row>
    <row r="1082" spans="1:9" x14ac:dyDescent="0.25">
      <c r="A1082" t="s">
        <v>373</v>
      </c>
      <c r="B1082" t="str">
        <f>VLOOKUP(Tabla1[[#This Row],[Code]],[1]!Tabla4[#Data],2,FALSE)</f>
        <v>M2 Metamark M4 Brillo 282 Magenta 0,61 x 50m</v>
      </c>
      <c r="C1082">
        <v>24</v>
      </c>
      <c r="D1082" t="s">
        <v>96</v>
      </c>
      <c r="E1082" t="str">
        <f>VLOOKUP(Tabla1[[#This Row],[Cód. Atributo]],[1]!Tabla5[#Data],6,FALSE)</f>
        <v>Select</v>
      </c>
      <c r="F1082">
        <v>6</v>
      </c>
      <c r="G1082">
        <v>2</v>
      </c>
      <c r="H1082" t="s">
        <v>266</v>
      </c>
      <c r="I1082" t="str">
        <f>VLOOKUP(Tabla1[[#This Row],[Code]],'[1]Articulos Precio'!$A:$E,5,FALSE)</f>
        <v>A0000270</v>
      </c>
    </row>
    <row r="1083" spans="1:9" x14ac:dyDescent="0.25">
      <c r="A1083" t="s">
        <v>375</v>
      </c>
      <c r="B1083" t="str">
        <f>VLOOKUP(Tabla1[[#This Row],[Code]],[1]!Tabla4[#Data],2,FALSE)</f>
        <v>M2 Metamark M4 Brillo 282 Magenta 1,22 x 50m</v>
      </c>
      <c r="C1083">
        <v>8</v>
      </c>
      <c r="D1083" t="s">
        <v>86</v>
      </c>
      <c r="E1083" t="str">
        <f>VLOOKUP(Tabla1[[#This Row],[Cód. Atributo]],[1]!Tabla5[#Data],6,FALSE)</f>
        <v>Select</v>
      </c>
      <c r="F1083">
        <v>1</v>
      </c>
      <c r="G1083">
        <v>2</v>
      </c>
      <c r="H1083" t="s">
        <v>268</v>
      </c>
      <c r="I1083" t="str">
        <f>VLOOKUP(Tabla1[[#This Row],[Code]],'[1]Articulos Precio'!$A:$E,5,FALSE)</f>
        <v>A0000270</v>
      </c>
    </row>
    <row r="1084" spans="1:9" x14ac:dyDescent="0.25">
      <c r="A1084" t="s">
        <v>375</v>
      </c>
      <c r="B1084" t="str">
        <f>VLOOKUP(Tabla1[[#This Row],[Code]],[1]!Tabla4[#Data],2,FALSE)</f>
        <v>M2 Metamark M4 Brillo 282 Magenta 1,22 x 50m</v>
      </c>
      <c r="C1084">
        <v>21</v>
      </c>
      <c r="D1084" t="s">
        <v>264</v>
      </c>
      <c r="E1084" t="str">
        <f>VLOOKUP(Tabla1[[#This Row],[Cód. Atributo]],[1]!Tabla5[#Data],6,FALSE)</f>
        <v>Color</v>
      </c>
      <c r="F1084">
        <v>2</v>
      </c>
      <c r="G1084">
        <v>37</v>
      </c>
      <c r="H1084" t="s">
        <v>374</v>
      </c>
      <c r="I1084" t="str">
        <f>VLOOKUP(Tabla1[[#This Row],[Code]],'[1]Articulos Precio'!$A:$E,5,FALSE)</f>
        <v>A0000270</v>
      </c>
    </row>
    <row r="1085" spans="1:9" x14ac:dyDescent="0.25">
      <c r="A1085" t="s">
        <v>375</v>
      </c>
      <c r="B1085" t="str">
        <f>VLOOKUP(Tabla1[[#This Row],[Code]],[1]!Tabla4[#Data],2,FALSE)</f>
        <v>M2 Metamark M4 Brillo 282 Magenta 1,22 x 50m</v>
      </c>
      <c r="C1085">
        <v>23</v>
      </c>
      <c r="D1085" t="s">
        <v>90</v>
      </c>
      <c r="E1085" t="str">
        <f>VLOOKUP(Tabla1[[#This Row],[Cód. Atributo]],[1]!Tabla5[#Data],6,FALSE)</f>
        <v>Select</v>
      </c>
      <c r="F1085">
        <v>3</v>
      </c>
      <c r="G1085">
        <v>1</v>
      </c>
      <c r="H1085" t="s">
        <v>110</v>
      </c>
      <c r="I1085" t="str">
        <f>VLOOKUP(Tabla1[[#This Row],[Code]],'[1]Articulos Precio'!$A:$E,5,FALSE)</f>
        <v>A0000270</v>
      </c>
    </row>
    <row r="1086" spans="1:9" x14ac:dyDescent="0.25">
      <c r="A1086" t="s">
        <v>375</v>
      </c>
      <c r="B1086" t="str">
        <f>VLOOKUP(Tabla1[[#This Row],[Code]],[1]!Tabla4[#Data],2,FALSE)</f>
        <v>M2 Metamark M4 Brillo 282 Magenta 1,22 x 50m</v>
      </c>
      <c r="C1086">
        <v>25</v>
      </c>
      <c r="D1086" t="s">
        <v>94</v>
      </c>
      <c r="E1086" t="str">
        <f>VLOOKUP(Tabla1[[#This Row],[Cód. Atributo]],[1]!Tabla5[#Data],6,FALSE)</f>
        <v>Select</v>
      </c>
      <c r="F1086">
        <v>4</v>
      </c>
      <c r="G1086">
        <v>2</v>
      </c>
      <c r="H1086" t="s">
        <v>111</v>
      </c>
      <c r="I1086" t="str">
        <f>VLOOKUP(Tabla1[[#This Row],[Code]],'[1]Articulos Precio'!$A:$E,5,FALSE)</f>
        <v>A0000270</v>
      </c>
    </row>
    <row r="1087" spans="1:9" x14ac:dyDescent="0.25">
      <c r="A1087" t="s">
        <v>375</v>
      </c>
      <c r="B1087" t="str">
        <f>VLOOKUP(Tabla1[[#This Row],[Code]],[1]!Tabla4[#Data],2,FALSE)</f>
        <v>M2 Metamark M4 Brillo 282 Magenta 1,22 x 50m</v>
      </c>
      <c r="C1087">
        <v>28</v>
      </c>
      <c r="D1087" t="s">
        <v>184</v>
      </c>
      <c r="E1087" t="str">
        <f>VLOOKUP(Tabla1[[#This Row],[Cód. Atributo]],[1]!Tabla5[#Data],6,FALSE)</f>
        <v>Select</v>
      </c>
      <c r="F1087">
        <v>5</v>
      </c>
      <c r="G1087">
        <v>1</v>
      </c>
      <c r="H1087" t="s">
        <v>93</v>
      </c>
      <c r="I1087" t="str">
        <f>VLOOKUP(Tabla1[[#This Row],[Code]],'[1]Articulos Precio'!$A:$E,5,FALSE)</f>
        <v>A0000270</v>
      </c>
    </row>
    <row r="1088" spans="1:9" x14ac:dyDescent="0.25">
      <c r="A1088" t="s">
        <v>375</v>
      </c>
      <c r="B1088" t="str">
        <f>VLOOKUP(Tabla1[[#This Row],[Code]],[1]!Tabla4[#Data],2,FALSE)</f>
        <v>M2 Metamark M4 Brillo 282 Magenta 1,22 x 50m</v>
      </c>
      <c r="C1088">
        <v>24</v>
      </c>
      <c r="D1088" t="s">
        <v>96</v>
      </c>
      <c r="E1088" t="str">
        <f>VLOOKUP(Tabla1[[#This Row],[Cód. Atributo]],[1]!Tabla5[#Data],6,FALSE)</f>
        <v>Select</v>
      </c>
      <c r="F1088">
        <v>6</v>
      </c>
      <c r="G1088">
        <v>2</v>
      </c>
      <c r="H1088" t="s">
        <v>266</v>
      </c>
      <c r="I1088" t="str">
        <f>VLOOKUP(Tabla1[[#This Row],[Code]],'[1]Articulos Precio'!$A:$E,5,FALSE)</f>
        <v>A0000270</v>
      </c>
    </row>
    <row r="1089" spans="1:9" x14ac:dyDescent="0.25">
      <c r="A1089" t="s">
        <v>376</v>
      </c>
      <c r="B1089" t="str">
        <f>VLOOKUP(Tabla1[[#This Row],[Code]],[1]!Tabla4[#Data],2,FALSE)</f>
        <v>M2 Metamark M4 Brillo 283 Púrpura 0,61 x 50m</v>
      </c>
      <c r="C1089">
        <v>8</v>
      </c>
      <c r="D1089" t="s">
        <v>86</v>
      </c>
      <c r="E1089" t="str">
        <f>VLOOKUP(Tabla1[[#This Row],[Cód. Atributo]],[1]!Tabla5[#Data],6,FALSE)</f>
        <v>Select</v>
      </c>
      <c r="F1089">
        <v>1</v>
      </c>
      <c r="G1089">
        <v>1</v>
      </c>
      <c r="H1089" t="s">
        <v>263</v>
      </c>
      <c r="I1089" t="str">
        <f>VLOOKUP(Tabla1[[#This Row],[Code]],'[1]Articulos Precio'!$A:$E,5,FALSE)</f>
        <v>A0000270</v>
      </c>
    </row>
    <row r="1090" spans="1:9" x14ac:dyDescent="0.25">
      <c r="A1090" t="s">
        <v>376</v>
      </c>
      <c r="B1090" t="str">
        <f>VLOOKUP(Tabla1[[#This Row],[Code]],[1]!Tabla4[#Data],2,FALSE)</f>
        <v>M2 Metamark M4 Brillo 283 Púrpura 0,61 x 50m</v>
      </c>
      <c r="C1090">
        <v>21</v>
      </c>
      <c r="D1090" t="s">
        <v>264</v>
      </c>
      <c r="E1090" t="str">
        <f>VLOOKUP(Tabla1[[#This Row],[Cód. Atributo]],[1]!Tabla5[#Data],6,FALSE)</f>
        <v>Color</v>
      </c>
      <c r="F1090">
        <v>2</v>
      </c>
      <c r="G1090">
        <v>38</v>
      </c>
      <c r="H1090" t="s">
        <v>377</v>
      </c>
      <c r="I1090" t="str">
        <f>VLOOKUP(Tabla1[[#This Row],[Code]],'[1]Articulos Precio'!$A:$E,5,FALSE)</f>
        <v>A0000270</v>
      </c>
    </row>
    <row r="1091" spans="1:9" x14ac:dyDescent="0.25">
      <c r="A1091" t="s">
        <v>376</v>
      </c>
      <c r="B1091" t="str">
        <f>VLOOKUP(Tabla1[[#This Row],[Code]],[1]!Tabla4[#Data],2,FALSE)</f>
        <v>M2 Metamark M4 Brillo 283 Púrpura 0,61 x 50m</v>
      </c>
      <c r="C1091">
        <v>23</v>
      </c>
      <c r="D1091" t="s">
        <v>90</v>
      </c>
      <c r="E1091" t="str">
        <f>VLOOKUP(Tabla1[[#This Row],[Cód. Atributo]],[1]!Tabla5[#Data],6,FALSE)</f>
        <v>Select</v>
      </c>
      <c r="F1091">
        <v>3</v>
      </c>
      <c r="G1091">
        <v>1</v>
      </c>
      <c r="H1091" t="s">
        <v>110</v>
      </c>
      <c r="I1091" t="str">
        <f>VLOOKUP(Tabla1[[#This Row],[Code]],'[1]Articulos Precio'!$A:$E,5,FALSE)</f>
        <v>A0000270</v>
      </c>
    </row>
    <row r="1092" spans="1:9" x14ac:dyDescent="0.25">
      <c r="A1092" t="s">
        <v>376</v>
      </c>
      <c r="B1092" t="str">
        <f>VLOOKUP(Tabla1[[#This Row],[Code]],[1]!Tabla4[#Data],2,FALSE)</f>
        <v>M2 Metamark M4 Brillo 283 Púrpura 0,61 x 50m</v>
      </c>
      <c r="C1092">
        <v>25</v>
      </c>
      <c r="D1092" t="s">
        <v>94</v>
      </c>
      <c r="E1092" t="str">
        <f>VLOOKUP(Tabla1[[#This Row],[Cód. Atributo]],[1]!Tabla5[#Data],6,FALSE)</f>
        <v>Select</v>
      </c>
      <c r="F1092">
        <v>4</v>
      </c>
      <c r="G1092">
        <v>2</v>
      </c>
      <c r="H1092" t="s">
        <v>111</v>
      </c>
      <c r="I1092" t="str">
        <f>VLOOKUP(Tabla1[[#This Row],[Code]],'[1]Articulos Precio'!$A:$E,5,FALSE)</f>
        <v>A0000270</v>
      </c>
    </row>
    <row r="1093" spans="1:9" x14ac:dyDescent="0.25">
      <c r="A1093" t="s">
        <v>376</v>
      </c>
      <c r="B1093" t="str">
        <f>VLOOKUP(Tabla1[[#This Row],[Code]],[1]!Tabla4[#Data],2,FALSE)</f>
        <v>M2 Metamark M4 Brillo 283 Púrpura 0,61 x 50m</v>
      </c>
      <c r="C1093">
        <v>28</v>
      </c>
      <c r="D1093" t="s">
        <v>92</v>
      </c>
      <c r="E1093" t="str">
        <f>VLOOKUP(Tabla1[[#This Row],[Cód. Atributo]],[1]!Tabla5[#Data],6,FALSE)</f>
        <v>Select</v>
      </c>
      <c r="F1093">
        <v>5</v>
      </c>
      <c r="G1093">
        <v>1</v>
      </c>
      <c r="H1093" t="s">
        <v>93</v>
      </c>
      <c r="I1093" t="str">
        <f>VLOOKUP(Tabla1[[#This Row],[Code]],'[1]Articulos Precio'!$A:$E,5,FALSE)</f>
        <v>A0000270</v>
      </c>
    </row>
    <row r="1094" spans="1:9" x14ac:dyDescent="0.25">
      <c r="A1094" t="s">
        <v>376</v>
      </c>
      <c r="B1094" t="str">
        <f>VLOOKUP(Tabla1[[#This Row],[Code]],[1]!Tabla4[#Data],2,FALSE)</f>
        <v>M2 Metamark M4 Brillo 283 Púrpura 0,61 x 50m</v>
      </c>
      <c r="C1094">
        <v>24</v>
      </c>
      <c r="D1094" t="s">
        <v>96</v>
      </c>
      <c r="E1094" t="str">
        <f>VLOOKUP(Tabla1[[#This Row],[Cód. Atributo]],[1]!Tabla5[#Data],6,FALSE)</f>
        <v>Select</v>
      </c>
      <c r="F1094">
        <v>6</v>
      </c>
      <c r="G1094">
        <v>2</v>
      </c>
      <c r="H1094" t="s">
        <v>266</v>
      </c>
      <c r="I1094" t="str">
        <f>VLOOKUP(Tabla1[[#This Row],[Code]],'[1]Articulos Precio'!$A:$E,5,FALSE)</f>
        <v>A0000270</v>
      </c>
    </row>
    <row r="1095" spans="1:9" x14ac:dyDescent="0.25">
      <c r="A1095" t="s">
        <v>378</v>
      </c>
      <c r="B1095" t="str">
        <f>VLOOKUP(Tabla1[[#This Row],[Code]],[1]!Tabla4[#Data],2,FALSE)</f>
        <v>M2 Metamark M4 Brillo 283 Púrpura 1,22 x 50m</v>
      </c>
      <c r="C1095">
        <v>8</v>
      </c>
      <c r="D1095" t="s">
        <v>86</v>
      </c>
      <c r="E1095" t="str">
        <f>VLOOKUP(Tabla1[[#This Row],[Cód. Atributo]],[1]!Tabla5[#Data],6,FALSE)</f>
        <v>Select</v>
      </c>
      <c r="F1095">
        <v>1</v>
      </c>
      <c r="G1095">
        <v>2</v>
      </c>
      <c r="H1095" t="s">
        <v>268</v>
      </c>
      <c r="I1095" t="str">
        <f>VLOOKUP(Tabla1[[#This Row],[Code]],'[1]Articulos Precio'!$A:$E,5,FALSE)</f>
        <v>A0000270</v>
      </c>
    </row>
    <row r="1096" spans="1:9" x14ac:dyDescent="0.25">
      <c r="A1096" t="s">
        <v>378</v>
      </c>
      <c r="B1096" t="str">
        <f>VLOOKUP(Tabla1[[#This Row],[Code]],[1]!Tabla4[#Data],2,FALSE)</f>
        <v>M2 Metamark M4 Brillo 283 Púrpura 1,22 x 50m</v>
      </c>
      <c r="C1096">
        <v>21</v>
      </c>
      <c r="D1096" t="s">
        <v>264</v>
      </c>
      <c r="E1096" t="str">
        <f>VLOOKUP(Tabla1[[#This Row],[Cód. Atributo]],[1]!Tabla5[#Data],6,FALSE)</f>
        <v>Color</v>
      </c>
      <c r="F1096">
        <v>2</v>
      </c>
      <c r="G1096">
        <v>38</v>
      </c>
      <c r="H1096" t="s">
        <v>377</v>
      </c>
      <c r="I1096" t="str">
        <f>VLOOKUP(Tabla1[[#This Row],[Code]],'[1]Articulos Precio'!$A:$E,5,FALSE)</f>
        <v>A0000270</v>
      </c>
    </row>
    <row r="1097" spans="1:9" x14ac:dyDescent="0.25">
      <c r="A1097" t="s">
        <v>378</v>
      </c>
      <c r="B1097" t="str">
        <f>VLOOKUP(Tabla1[[#This Row],[Code]],[1]!Tabla4[#Data],2,FALSE)</f>
        <v>M2 Metamark M4 Brillo 283 Púrpura 1,22 x 50m</v>
      </c>
      <c r="C1097">
        <v>23</v>
      </c>
      <c r="D1097" t="s">
        <v>90</v>
      </c>
      <c r="E1097" t="str">
        <f>VLOOKUP(Tabla1[[#This Row],[Cód. Atributo]],[1]!Tabla5[#Data],6,FALSE)</f>
        <v>Select</v>
      </c>
      <c r="F1097">
        <v>3</v>
      </c>
      <c r="G1097">
        <v>1</v>
      </c>
      <c r="H1097" t="s">
        <v>110</v>
      </c>
      <c r="I1097" t="str">
        <f>VLOOKUP(Tabla1[[#This Row],[Code]],'[1]Articulos Precio'!$A:$E,5,FALSE)</f>
        <v>A0000270</v>
      </c>
    </row>
    <row r="1098" spans="1:9" x14ac:dyDescent="0.25">
      <c r="A1098" t="s">
        <v>378</v>
      </c>
      <c r="B1098" t="str">
        <f>VLOOKUP(Tabla1[[#This Row],[Code]],[1]!Tabla4[#Data],2,FALSE)</f>
        <v>M2 Metamark M4 Brillo 283 Púrpura 1,22 x 50m</v>
      </c>
      <c r="C1098">
        <v>25</v>
      </c>
      <c r="D1098" t="s">
        <v>94</v>
      </c>
      <c r="E1098" t="str">
        <f>VLOOKUP(Tabla1[[#This Row],[Cód. Atributo]],[1]!Tabla5[#Data],6,FALSE)</f>
        <v>Select</v>
      </c>
      <c r="F1098">
        <v>4</v>
      </c>
      <c r="G1098">
        <v>2</v>
      </c>
      <c r="H1098" t="s">
        <v>111</v>
      </c>
      <c r="I1098" t="str">
        <f>VLOOKUP(Tabla1[[#This Row],[Code]],'[1]Articulos Precio'!$A:$E,5,FALSE)</f>
        <v>A0000270</v>
      </c>
    </row>
    <row r="1099" spans="1:9" x14ac:dyDescent="0.25">
      <c r="A1099" t="s">
        <v>378</v>
      </c>
      <c r="B1099" t="str">
        <f>VLOOKUP(Tabla1[[#This Row],[Code]],[1]!Tabla4[#Data],2,FALSE)</f>
        <v>M2 Metamark M4 Brillo 283 Púrpura 1,22 x 50m</v>
      </c>
      <c r="C1099">
        <v>28</v>
      </c>
      <c r="D1099" t="s">
        <v>184</v>
      </c>
      <c r="E1099" t="str">
        <f>VLOOKUP(Tabla1[[#This Row],[Cód. Atributo]],[1]!Tabla5[#Data],6,FALSE)</f>
        <v>Select</v>
      </c>
      <c r="F1099">
        <v>5</v>
      </c>
      <c r="G1099">
        <v>1</v>
      </c>
      <c r="H1099" t="s">
        <v>93</v>
      </c>
      <c r="I1099" t="str">
        <f>VLOOKUP(Tabla1[[#This Row],[Code]],'[1]Articulos Precio'!$A:$E,5,FALSE)</f>
        <v>A0000270</v>
      </c>
    </row>
    <row r="1100" spans="1:9" x14ac:dyDescent="0.25">
      <c r="A1100" t="s">
        <v>378</v>
      </c>
      <c r="B1100" t="str">
        <f>VLOOKUP(Tabla1[[#This Row],[Code]],[1]!Tabla4[#Data],2,FALSE)</f>
        <v>M2 Metamark M4 Brillo 283 Púrpura 1,22 x 50m</v>
      </c>
      <c r="C1100">
        <v>24</v>
      </c>
      <c r="D1100" t="s">
        <v>96</v>
      </c>
      <c r="E1100" t="str">
        <f>VLOOKUP(Tabla1[[#This Row],[Cód. Atributo]],[1]!Tabla5[#Data],6,FALSE)</f>
        <v>Select</v>
      </c>
      <c r="F1100">
        <v>6</v>
      </c>
      <c r="G1100">
        <v>2</v>
      </c>
      <c r="H1100" t="s">
        <v>266</v>
      </c>
      <c r="I1100" t="str">
        <f>VLOOKUP(Tabla1[[#This Row],[Code]],'[1]Articulos Precio'!$A:$E,5,FALSE)</f>
        <v>A0000270</v>
      </c>
    </row>
    <row r="1101" spans="1:9" x14ac:dyDescent="0.25">
      <c r="A1101" t="s">
        <v>379</v>
      </c>
      <c r="B1101" t="str">
        <f>VLOOKUP(Tabla1[[#This Row],[Code]],[1]!Tabla4[#Data],2,FALSE)</f>
        <v>M2 Metamark M4 Brillo 290 Plata 0,61 x 50m</v>
      </c>
      <c r="C1101">
        <v>8</v>
      </c>
      <c r="D1101" t="s">
        <v>86</v>
      </c>
      <c r="E1101" t="str">
        <f>VLOOKUP(Tabla1[[#This Row],[Cód. Atributo]],[1]!Tabla5[#Data],6,FALSE)</f>
        <v>Select</v>
      </c>
      <c r="F1101">
        <v>1</v>
      </c>
      <c r="G1101">
        <v>1</v>
      </c>
      <c r="H1101" t="s">
        <v>263</v>
      </c>
      <c r="I1101" t="str">
        <f>VLOOKUP(Tabla1[[#This Row],[Code]],'[1]Articulos Precio'!$A:$E,5,FALSE)</f>
        <v>A0000270</v>
      </c>
    </row>
    <row r="1102" spans="1:9" x14ac:dyDescent="0.25">
      <c r="A1102" t="s">
        <v>379</v>
      </c>
      <c r="B1102" t="str">
        <f>VLOOKUP(Tabla1[[#This Row],[Code]],[1]!Tabla4[#Data],2,FALSE)</f>
        <v>M2 Metamark M4 Brillo 290 Plata 0,61 x 50m</v>
      </c>
      <c r="C1102">
        <v>21</v>
      </c>
      <c r="D1102" t="s">
        <v>264</v>
      </c>
      <c r="E1102" t="str">
        <f>VLOOKUP(Tabla1[[#This Row],[Cód. Atributo]],[1]!Tabla5[#Data],6,FALSE)</f>
        <v>Color</v>
      </c>
      <c r="F1102">
        <v>2</v>
      </c>
      <c r="G1102">
        <v>39</v>
      </c>
      <c r="H1102" t="s">
        <v>380</v>
      </c>
      <c r="I1102" t="str">
        <f>VLOOKUP(Tabla1[[#This Row],[Code]],'[1]Articulos Precio'!$A:$E,5,FALSE)</f>
        <v>A0000270</v>
      </c>
    </row>
    <row r="1103" spans="1:9" x14ac:dyDescent="0.25">
      <c r="A1103" t="s">
        <v>379</v>
      </c>
      <c r="B1103" t="str">
        <f>VLOOKUP(Tabla1[[#This Row],[Code]],[1]!Tabla4[#Data],2,FALSE)</f>
        <v>M2 Metamark M4 Brillo 290 Plata 0,61 x 50m</v>
      </c>
      <c r="C1103">
        <v>23</v>
      </c>
      <c r="D1103" t="s">
        <v>90</v>
      </c>
      <c r="E1103" t="str">
        <f>VLOOKUP(Tabla1[[#This Row],[Cód. Atributo]],[1]!Tabla5[#Data],6,FALSE)</f>
        <v>Select</v>
      </c>
      <c r="F1103">
        <v>3</v>
      </c>
      <c r="G1103">
        <v>1</v>
      </c>
      <c r="H1103" t="s">
        <v>110</v>
      </c>
      <c r="I1103" t="str">
        <f>VLOOKUP(Tabla1[[#This Row],[Code]],'[1]Articulos Precio'!$A:$E,5,FALSE)</f>
        <v>A0000270</v>
      </c>
    </row>
    <row r="1104" spans="1:9" x14ac:dyDescent="0.25">
      <c r="A1104" t="s">
        <v>379</v>
      </c>
      <c r="B1104" t="str">
        <f>VLOOKUP(Tabla1[[#This Row],[Code]],[1]!Tabla4[#Data],2,FALSE)</f>
        <v>M2 Metamark M4 Brillo 290 Plata 0,61 x 50m</v>
      </c>
      <c r="C1104">
        <v>25</v>
      </c>
      <c r="D1104" t="s">
        <v>94</v>
      </c>
      <c r="E1104" t="str">
        <f>VLOOKUP(Tabla1[[#This Row],[Cód. Atributo]],[1]!Tabla5[#Data],6,FALSE)</f>
        <v>Select</v>
      </c>
      <c r="F1104">
        <v>4</v>
      </c>
      <c r="G1104">
        <v>2</v>
      </c>
      <c r="H1104" t="s">
        <v>111</v>
      </c>
      <c r="I1104" t="str">
        <f>VLOOKUP(Tabla1[[#This Row],[Code]],'[1]Articulos Precio'!$A:$E,5,FALSE)</f>
        <v>A0000270</v>
      </c>
    </row>
    <row r="1105" spans="1:9" x14ac:dyDescent="0.25">
      <c r="A1105" t="s">
        <v>379</v>
      </c>
      <c r="B1105" t="str">
        <f>VLOOKUP(Tabla1[[#This Row],[Code]],[1]!Tabla4[#Data],2,FALSE)</f>
        <v>M2 Metamark M4 Brillo 290 Plata 0,61 x 50m</v>
      </c>
      <c r="C1105">
        <v>28</v>
      </c>
      <c r="D1105" t="s">
        <v>92</v>
      </c>
      <c r="E1105" t="str">
        <f>VLOOKUP(Tabla1[[#This Row],[Cód. Atributo]],[1]!Tabla5[#Data],6,FALSE)</f>
        <v>Select</v>
      </c>
      <c r="F1105">
        <v>5</v>
      </c>
      <c r="G1105">
        <v>1</v>
      </c>
      <c r="H1105" t="s">
        <v>93</v>
      </c>
      <c r="I1105" t="str">
        <f>VLOOKUP(Tabla1[[#This Row],[Code]],'[1]Articulos Precio'!$A:$E,5,FALSE)</f>
        <v>A0000270</v>
      </c>
    </row>
    <row r="1106" spans="1:9" x14ac:dyDescent="0.25">
      <c r="A1106" t="s">
        <v>379</v>
      </c>
      <c r="B1106" t="str">
        <f>VLOOKUP(Tabla1[[#This Row],[Code]],[1]!Tabla4[#Data],2,FALSE)</f>
        <v>M2 Metamark M4 Brillo 290 Plata 0,61 x 50m</v>
      </c>
      <c r="C1106">
        <v>24</v>
      </c>
      <c r="D1106" t="s">
        <v>96</v>
      </c>
      <c r="E1106" t="str">
        <f>VLOOKUP(Tabla1[[#This Row],[Cód. Atributo]],[1]!Tabla5[#Data],6,FALSE)</f>
        <v>Select</v>
      </c>
      <c r="F1106">
        <v>6</v>
      </c>
      <c r="G1106">
        <v>2</v>
      </c>
      <c r="H1106" t="s">
        <v>266</v>
      </c>
      <c r="I1106" t="str">
        <f>VLOOKUP(Tabla1[[#This Row],[Code]],'[1]Articulos Precio'!$A:$E,5,FALSE)</f>
        <v>A0000270</v>
      </c>
    </row>
    <row r="1107" spans="1:9" x14ac:dyDescent="0.25">
      <c r="A1107" t="s">
        <v>381</v>
      </c>
      <c r="B1107" t="str">
        <f>VLOOKUP(Tabla1[[#This Row],[Code]],[1]!Tabla4[#Data],2,FALSE)</f>
        <v>M2 Metamark M4 Brillo 290 Plata 1,22 x 50m</v>
      </c>
      <c r="C1107">
        <v>8</v>
      </c>
      <c r="D1107" t="s">
        <v>86</v>
      </c>
      <c r="E1107" t="str">
        <f>VLOOKUP(Tabla1[[#This Row],[Cód. Atributo]],[1]!Tabla5[#Data],6,FALSE)</f>
        <v>Select</v>
      </c>
      <c r="F1107">
        <v>1</v>
      </c>
      <c r="G1107">
        <v>2</v>
      </c>
      <c r="H1107" t="s">
        <v>268</v>
      </c>
      <c r="I1107" t="str">
        <f>VLOOKUP(Tabla1[[#This Row],[Code]],'[1]Articulos Precio'!$A:$E,5,FALSE)</f>
        <v>A0000270</v>
      </c>
    </row>
    <row r="1108" spans="1:9" x14ac:dyDescent="0.25">
      <c r="A1108" t="s">
        <v>381</v>
      </c>
      <c r="B1108" t="str">
        <f>VLOOKUP(Tabla1[[#This Row],[Code]],[1]!Tabla4[#Data],2,FALSE)</f>
        <v>M2 Metamark M4 Brillo 290 Plata 1,22 x 50m</v>
      </c>
      <c r="C1108">
        <v>21</v>
      </c>
      <c r="D1108" t="s">
        <v>264</v>
      </c>
      <c r="E1108" t="str">
        <f>VLOOKUP(Tabla1[[#This Row],[Cód. Atributo]],[1]!Tabla5[#Data],6,FALSE)</f>
        <v>Color</v>
      </c>
      <c r="F1108">
        <v>2</v>
      </c>
      <c r="G1108">
        <v>39</v>
      </c>
      <c r="H1108" t="s">
        <v>380</v>
      </c>
      <c r="I1108" t="str">
        <f>VLOOKUP(Tabla1[[#This Row],[Code]],'[1]Articulos Precio'!$A:$E,5,FALSE)</f>
        <v>A0000270</v>
      </c>
    </row>
    <row r="1109" spans="1:9" x14ac:dyDescent="0.25">
      <c r="A1109" t="s">
        <v>381</v>
      </c>
      <c r="B1109" t="str">
        <f>VLOOKUP(Tabla1[[#This Row],[Code]],[1]!Tabla4[#Data],2,FALSE)</f>
        <v>M2 Metamark M4 Brillo 290 Plata 1,22 x 50m</v>
      </c>
      <c r="C1109">
        <v>23</v>
      </c>
      <c r="D1109" t="s">
        <v>90</v>
      </c>
      <c r="E1109" t="str">
        <f>VLOOKUP(Tabla1[[#This Row],[Cód. Atributo]],[1]!Tabla5[#Data],6,FALSE)</f>
        <v>Select</v>
      </c>
      <c r="F1109">
        <v>3</v>
      </c>
      <c r="G1109">
        <v>1</v>
      </c>
      <c r="H1109" t="s">
        <v>110</v>
      </c>
      <c r="I1109" t="str">
        <f>VLOOKUP(Tabla1[[#This Row],[Code]],'[1]Articulos Precio'!$A:$E,5,FALSE)</f>
        <v>A0000270</v>
      </c>
    </row>
    <row r="1110" spans="1:9" x14ac:dyDescent="0.25">
      <c r="A1110" t="s">
        <v>381</v>
      </c>
      <c r="B1110" t="str">
        <f>VLOOKUP(Tabla1[[#This Row],[Code]],[1]!Tabla4[#Data],2,FALSE)</f>
        <v>M2 Metamark M4 Brillo 290 Plata 1,22 x 50m</v>
      </c>
      <c r="C1110">
        <v>25</v>
      </c>
      <c r="D1110" t="s">
        <v>94</v>
      </c>
      <c r="E1110" t="str">
        <f>VLOOKUP(Tabla1[[#This Row],[Cód. Atributo]],[1]!Tabla5[#Data],6,FALSE)</f>
        <v>Select</v>
      </c>
      <c r="F1110">
        <v>4</v>
      </c>
      <c r="G1110">
        <v>2</v>
      </c>
      <c r="H1110" t="s">
        <v>111</v>
      </c>
      <c r="I1110" t="str">
        <f>VLOOKUP(Tabla1[[#This Row],[Code]],'[1]Articulos Precio'!$A:$E,5,FALSE)</f>
        <v>A0000270</v>
      </c>
    </row>
    <row r="1111" spans="1:9" x14ac:dyDescent="0.25">
      <c r="A1111" t="s">
        <v>381</v>
      </c>
      <c r="B1111" t="str">
        <f>VLOOKUP(Tabla1[[#This Row],[Code]],[1]!Tabla4[#Data],2,FALSE)</f>
        <v>M2 Metamark M4 Brillo 290 Plata 1,22 x 50m</v>
      </c>
      <c r="C1111">
        <v>28</v>
      </c>
      <c r="D1111" t="s">
        <v>184</v>
      </c>
      <c r="E1111" t="str">
        <f>VLOOKUP(Tabla1[[#This Row],[Cód. Atributo]],[1]!Tabla5[#Data],6,FALSE)</f>
        <v>Select</v>
      </c>
      <c r="F1111">
        <v>5</v>
      </c>
      <c r="G1111">
        <v>1</v>
      </c>
      <c r="H1111" t="s">
        <v>93</v>
      </c>
      <c r="I1111" t="str">
        <f>VLOOKUP(Tabla1[[#This Row],[Code]],'[1]Articulos Precio'!$A:$E,5,FALSE)</f>
        <v>A0000270</v>
      </c>
    </row>
    <row r="1112" spans="1:9" x14ac:dyDescent="0.25">
      <c r="A1112" t="s">
        <v>381</v>
      </c>
      <c r="B1112" t="str">
        <f>VLOOKUP(Tabla1[[#This Row],[Code]],[1]!Tabla4[#Data],2,FALSE)</f>
        <v>M2 Metamark M4 Brillo 290 Plata 1,22 x 50m</v>
      </c>
      <c r="C1112">
        <v>24</v>
      </c>
      <c r="D1112" t="s">
        <v>96</v>
      </c>
      <c r="E1112" t="str">
        <f>VLOOKUP(Tabla1[[#This Row],[Cód. Atributo]],[1]!Tabla5[#Data],6,FALSE)</f>
        <v>Select</v>
      </c>
      <c r="F1112">
        <v>6</v>
      </c>
      <c r="G1112">
        <v>2</v>
      </c>
      <c r="H1112" t="s">
        <v>266</v>
      </c>
      <c r="I1112" t="str">
        <f>VLOOKUP(Tabla1[[#This Row],[Code]],'[1]Articulos Precio'!$A:$E,5,FALSE)</f>
        <v>A0000270</v>
      </c>
    </row>
    <row r="1113" spans="1:9" x14ac:dyDescent="0.25">
      <c r="A1113" t="s">
        <v>382</v>
      </c>
      <c r="B1113" t="str">
        <f>VLOOKUP(Tabla1[[#This Row],[Code]],[1]!Tabla4[#Data],2,FALSE)</f>
        <v>M2 Metamark M4 Brillo 291 Oro 0,61 x 50m</v>
      </c>
      <c r="C1113">
        <v>8</v>
      </c>
      <c r="D1113" t="s">
        <v>86</v>
      </c>
      <c r="E1113" t="str">
        <f>VLOOKUP(Tabla1[[#This Row],[Cód. Atributo]],[1]!Tabla5[#Data],6,FALSE)</f>
        <v>Select</v>
      </c>
      <c r="F1113">
        <v>1</v>
      </c>
      <c r="G1113">
        <v>1</v>
      </c>
      <c r="H1113" t="s">
        <v>263</v>
      </c>
      <c r="I1113" t="str">
        <f>VLOOKUP(Tabla1[[#This Row],[Code]],'[1]Articulos Precio'!$A:$E,5,FALSE)</f>
        <v>A0000270</v>
      </c>
    </row>
    <row r="1114" spans="1:9" x14ac:dyDescent="0.25">
      <c r="A1114" t="s">
        <v>382</v>
      </c>
      <c r="B1114" t="str">
        <f>VLOOKUP(Tabla1[[#This Row],[Code]],[1]!Tabla4[#Data],2,FALSE)</f>
        <v>M2 Metamark M4 Brillo 291 Oro 0,61 x 50m</v>
      </c>
      <c r="C1114">
        <v>21</v>
      </c>
      <c r="D1114" t="s">
        <v>264</v>
      </c>
      <c r="E1114" t="str">
        <f>VLOOKUP(Tabla1[[#This Row],[Cód. Atributo]],[1]!Tabla5[#Data],6,FALSE)</f>
        <v>Color</v>
      </c>
      <c r="F1114">
        <v>2</v>
      </c>
      <c r="G1114">
        <v>40</v>
      </c>
      <c r="H1114" t="s">
        <v>383</v>
      </c>
      <c r="I1114" t="str">
        <f>VLOOKUP(Tabla1[[#This Row],[Code]],'[1]Articulos Precio'!$A:$E,5,FALSE)</f>
        <v>A0000270</v>
      </c>
    </row>
    <row r="1115" spans="1:9" x14ac:dyDescent="0.25">
      <c r="A1115" t="s">
        <v>382</v>
      </c>
      <c r="B1115" t="str">
        <f>VLOOKUP(Tabla1[[#This Row],[Code]],[1]!Tabla4[#Data],2,FALSE)</f>
        <v>M2 Metamark M4 Brillo 291 Oro 0,61 x 50m</v>
      </c>
      <c r="C1115">
        <v>23</v>
      </c>
      <c r="D1115" t="s">
        <v>90</v>
      </c>
      <c r="E1115" t="str">
        <f>VLOOKUP(Tabla1[[#This Row],[Cód. Atributo]],[1]!Tabla5[#Data],6,FALSE)</f>
        <v>Select</v>
      </c>
      <c r="F1115">
        <v>3</v>
      </c>
      <c r="G1115">
        <v>1</v>
      </c>
      <c r="H1115" t="s">
        <v>110</v>
      </c>
      <c r="I1115" t="str">
        <f>VLOOKUP(Tabla1[[#This Row],[Code]],'[1]Articulos Precio'!$A:$E,5,FALSE)</f>
        <v>A0000270</v>
      </c>
    </row>
    <row r="1116" spans="1:9" x14ac:dyDescent="0.25">
      <c r="A1116" t="s">
        <v>382</v>
      </c>
      <c r="B1116" t="str">
        <f>VLOOKUP(Tabla1[[#This Row],[Code]],[1]!Tabla4[#Data],2,FALSE)</f>
        <v>M2 Metamark M4 Brillo 291 Oro 0,61 x 50m</v>
      </c>
      <c r="C1116">
        <v>25</v>
      </c>
      <c r="D1116" t="s">
        <v>94</v>
      </c>
      <c r="E1116" t="str">
        <f>VLOOKUP(Tabla1[[#This Row],[Cód. Atributo]],[1]!Tabla5[#Data],6,FALSE)</f>
        <v>Select</v>
      </c>
      <c r="F1116">
        <v>4</v>
      </c>
      <c r="G1116">
        <v>2</v>
      </c>
      <c r="H1116" t="s">
        <v>111</v>
      </c>
      <c r="I1116" t="str">
        <f>VLOOKUP(Tabla1[[#This Row],[Code]],'[1]Articulos Precio'!$A:$E,5,FALSE)</f>
        <v>A0000270</v>
      </c>
    </row>
    <row r="1117" spans="1:9" x14ac:dyDescent="0.25">
      <c r="A1117" t="s">
        <v>382</v>
      </c>
      <c r="B1117" t="str">
        <f>VLOOKUP(Tabla1[[#This Row],[Code]],[1]!Tabla4[#Data],2,FALSE)</f>
        <v>M2 Metamark M4 Brillo 291 Oro 0,61 x 50m</v>
      </c>
      <c r="C1117">
        <v>28</v>
      </c>
      <c r="D1117" t="s">
        <v>92</v>
      </c>
      <c r="E1117" t="str">
        <f>VLOOKUP(Tabla1[[#This Row],[Cód. Atributo]],[1]!Tabla5[#Data],6,FALSE)</f>
        <v>Select</v>
      </c>
      <c r="F1117">
        <v>5</v>
      </c>
      <c r="G1117">
        <v>1</v>
      </c>
      <c r="H1117" t="s">
        <v>93</v>
      </c>
      <c r="I1117" t="str">
        <f>VLOOKUP(Tabla1[[#This Row],[Code]],'[1]Articulos Precio'!$A:$E,5,FALSE)</f>
        <v>A0000270</v>
      </c>
    </row>
    <row r="1118" spans="1:9" x14ac:dyDescent="0.25">
      <c r="A1118" t="s">
        <v>382</v>
      </c>
      <c r="B1118" t="str">
        <f>VLOOKUP(Tabla1[[#This Row],[Code]],[1]!Tabla4[#Data],2,FALSE)</f>
        <v>M2 Metamark M4 Brillo 291 Oro 0,61 x 50m</v>
      </c>
      <c r="C1118">
        <v>24</v>
      </c>
      <c r="D1118" t="s">
        <v>96</v>
      </c>
      <c r="E1118" t="str">
        <f>VLOOKUP(Tabla1[[#This Row],[Cód. Atributo]],[1]!Tabla5[#Data],6,FALSE)</f>
        <v>Select</v>
      </c>
      <c r="F1118">
        <v>6</v>
      </c>
      <c r="G1118">
        <v>2</v>
      </c>
      <c r="H1118" t="s">
        <v>266</v>
      </c>
      <c r="I1118" t="str">
        <f>VLOOKUP(Tabla1[[#This Row],[Code]],'[1]Articulos Precio'!$A:$E,5,FALSE)</f>
        <v>A0000270</v>
      </c>
    </row>
    <row r="1119" spans="1:9" x14ac:dyDescent="0.25">
      <c r="A1119" t="s">
        <v>384</v>
      </c>
      <c r="B1119" t="str">
        <f>VLOOKUP(Tabla1[[#This Row],[Code]],[1]!Tabla4[#Data],2,FALSE)</f>
        <v>M2 Metamark M4 Brillo 291 Oro 1,22 x 50m</v>
      </c>
      <c r="C1119">
        <v>8</v>
      </c>
      <c r="D1119" t="s">
        <v>86</v>
      </c>
      <c r="E1119" t="str">
        <f>VLOOKUP(Tabla1[[#This Row],[Cód. Atributo]],[1]!Tabla5[#Data],6,FALSE)</f>
        <v>Select</v>
      </c>
      <c r="F1119">
        <v>1</v>
      </c>
      <c r="G1119">
        <v>2</v>
      </c>
      <c r="H1119" t="s">
        <v>268</v>
      </c>
      <c r="I1119" t="str">
        <f>VLOOKUP(Tabla1[[#This Row],[Code]],'[1]Articulos Precio'!$A:$E,5,FALSE)</f>
        <v>A0000270</v>
      </c>
    </row>
    <row r="1120" spans="1:9" x14ac:dyDescent="0.25">
      <c r="A1120" t="s">
        <v>384</v>
      </c>
      <c r="B1120" t="str">
        <f>VLOOKUP(Tabla1[[#This Row],[Code]],[1]!Tabla4[#Data],2,FALSE)</f>
        <v>M2 Metamark M4 Brillo 291 Oro 1,22 x 50m</v>
      </c>
      <c r="C1120">
        <v>21</v>
      </c>
      <c r="D1120" t="s">
        <v>264</v>
      </c>
      <c r="E1120" t="str">
        <f>VLOOKUP(Tabla1[[#This Row],[Cód. Atributo]],[1]!Tabla5[#Data],6,FALSE)</f>
        <v>Color</v>
      </c>
      <c r="F1120">
        <v>2</v>
      </c>
      <c r="G1120">
        <v>40</v>
      </c>
      <c r="H1120" t="s">
        <v>383</v>
      </c>
      <c r="I1120" t="str">
        <f>VLOOKUP(Tabla1[[#This Row],[Code]],'[1]Articulos Precio'!$A:$E,5,FALSE)</f>
        <v>A0000270</v>
      </c>
    </row>
    <row r="1121" spans="1:9" x14ac:dyDescent="0.25">
      <c r="A1121" t="s">
        <v>384</v>
      </c>
      <c r="B1121" t="str">
        <f>VLOOKUP(Tabla1[[#This Row],[Code]],[1]!Tabla4[#Data],2,FALSE)</f>
        <v>M2 Metamark M4 Brillo 291 Oro 1,22 x 50m</v>
      </c>
      <c r="C1121">
        <v>23</v>
      </c>
      <c r="D1121" t="s">
        <v>90</v>
      </c>
      <c r="E1121" t="str">
        <f>VLOOKUP(Tabla1[[#This Row],[Cód. Atributo]],[1]!Tabla5[#Data],6,FALSE)</f>
        <v>Select</v>
      </c>
      <c r="F1121">
        <v>3</v>
      </c>
      <c r="G1121">
        <v>1</v>
      </c>
      <c r="H1121" t="s">
        <v>110</v>
      </c>
      <c r="I1121" t="str">
        <f>VLOOKUP(Tabla1[[#This Row],[Code]],'[1]Articulos Precio'!$A:$E,5,FALSE)</f>
        <v>A0000270</v>
      </c>
    </row>
    <row r="1122" spans="1:9" x14ac:dyDescent="0.25">
      <c r="A1122" t="s">
        <v>384</v>
      </c>
      <c r="B1122" t="str">
        <f>VLOOKUP(Tabla1[[#This Row],[Code]],[1]!Tabla4[#Data],2,FALSE)</f>
        <v>M2 Metamark M4 Brillo 291 Oro 1,22 x 50m</v>
      </c>
      <c r="C1122">
        <v>25</v>
      </c>
      <c r="D1122" t="s">
        <v>94</v>
      </c>
      <c r="E1122" t="str">
        <f>VLOOKUP(Tabla1[[#This Row],[Cód. Atributo]],[1]!Tabla5[#Data],6,FALSE)</f>
        <v>Select</v>
      </c>
      <c r="F1122">
        <v>4</v>
      </c>
      <c r="G1122">
        <v>2</v>
      </c>
      <c r="H1122" t="s">
        <v>111</v>
      </c>
      <c r="I1122" t="str">
        <f>VLOOKUP(Tabla1[[#This Row],[Code]],'[1]Articulos Precio'!$A:$E,5,FALSE)</f>
        <v>A0000270</v>
      </c>
    </row>
    <row r="1123" spans="1:9" x14ac:dyDescent="0.25">
      <c r="A1123" t="s">
        <v>384</v>
      </c>
      <c r="B1123" t="str">
        <f>VLOOKUP(Tabla1[[#This Row],[Code]],[1]!Tabla4[#Data],2,FALSE)</f>
        <v>M2 Metamark M4 Brillo 291 Oro 1,22 x 50m</v>
      </c>
      <c r="C1123">
        <v>28</v>
      </c>
      <c r="D1123" t="s">
        <v>184</v>
      </c>
      <c r="E1123" t="str">
        <f>VLOOKUP(Tabla1[[#This Row],[Cód. Atributo]],[1]!Tabla5[#Data],6,FALSE)</f>
        <v>Select</v>
      </c>
      <c r="F1123">
        <v>5</v>
      </c>
      <c r="G1123">
        <v>1</v>
      </c>
      <c r="H1123" t="s">
        <v>93</v>
      </c>
      <c r="I1123" t="str">
        <f>VLOOKUP(Tabla1[[#This Row],[Code]],'[1]Articulos Precio'!$A:$E,5,FALSE)</f>
        <v>A0000270</v>
      </c>
    </row>
    <row r="1124" spans="1:9" x14ac:dyDescent="0.25">
      <c r="A1124" t="s">
        <v>384</v>
      </c>
      <c r="B1124" t="str">
        <f>VLOOKUP(Tabla1[[#This Row],[Code]],[1]!Tabla4[#Data],2,FALSE)</f>
        <v>M2 Metamark M4 Brillo 291 Oro 1,22 x 50m</v>
      </c>
      <c r="C1124">
        <v>24</v>
      </c>
      <c r="D1124" t="s">
        <v>96</v>
      </c>
      <c r="E1124" t="str">
        <f>VLOOKUP(Tabla1[[#This Row],[Cód. Atributo]],[1]!Tabla5[#Data],6,FALSE)</f>
        <v>Select</v>
      </c>
      <c r="F1124">
        <v>6</v>
      </c>
      <c r="G1124">
        <v>2</v>
      </c>
      <c r="H1124" t="s">
        <v>266</v>
      </c>
      <c r="I1124" t="str">
        <f>VLOOKUP(Tabla1[[#This Row],[Code]],'[1]Articulos Precio'!$A:$E,5,FALSE)</f>
        <v>A0000270</v>
      </c>
    </row>
    <row r="1125" spans="1:9" x14ac:dyDescent="0.25">
      <c r="A1125" t="s">
        <v>385</v>
      </c>
      <c r="B1125" t="str">
        <f>VLOOKUP(Tabla1[[#This Row],[Code]],[1]!Tabla4[#Data],2,FALSE)</f>
        <v>M2 Metamark M4 Brillo 292 Gris Carbón  0,61 x 50m</v>
      </c>
      <c r="C1125">
        <v>8</v>
      </c>
      <c r="D1125" t="s">
        <v>86</v>
      </c>
      <c r="E1125" t="str">
        <f>VLOOKUP(Tabla1[[#This Row],[Cód. Atributo]],[1]!Tabla5[#Data],6,FALSE)</f>
        <v>Select</v>
      </c>
      <c r="F1125">
        <v>1</v>
      </c>
      <c r="G1125">
        <v>1</v>
      </c>
      <c r="H1125" t="s">
        <v>263</v>
      </c>
      <c r="I1125" t="str">
        <f>VLOOKUP(Tabla1[[#This Row],[Code]],'[1]Articulos Precio'!$A:$E,5,FALSE)</f>
        <v>A0000270</v>
      </c>
    </row>
    <row r="1126" spans="1:9" x14ac:dyDescent="0.25">
      <c r="A1126" t="s">
        <v>385</v>
      </c>
      <c r="B1126" t="str">
        <f>VLOOKUP(Tabla1[[#This Row],[Code]],[1]!Tabla4[#Data],2,FALSE)</f>
        <v>M2 Metamark M4 Brillo 292 Gris Carbón  0,61 x 50m</v>
      </c>
      <c r="C1126">
        <v>21</v>
      </c>
      <c r="D1126" t="s">
        <v>264</v>
      </c>
      <c r="E1126" t="str">
        <f>VLOOKUP(Tabla1[[#This Row],[Cód. Atributo]],[1]!Tabla5[#Data],6,FALSE)</f>
        <v>Color</v>
      </c>
      <c r="F1126">
        <v>2</v>
      </c>
      <c r="G1126">
        <v>41</v>
      </c>
      <c r="H1126" t="s">
        <v>386</v>
      </c>
      <c r="I1126" t="str">
        <f>VLOOKUP(Tabla1[[#This Row],[Code]],'[1]Articulos Precio'!$A:$E,5,FALSE)</f>
        <v>A0000270</v>
      </c>
    </row>
    <row r="1127" spans="1:9" x14ac:dyDescent="0.25">
      <c r="A1127" t="s">
        <v>385</v>
      </c>
      <c r="B1127" t="str">
        <f>VLOOKUP(Tabla1[[#This Row],[Code]],[1]!Tabla4[#Data],2,FALSE)</f>
        <v>M2 Metamark M4 Brillo 292 Gris Carbón  0,61 x 50m</v>
      </c>
      <c r="C1127">
        <v>23</v>
      </c>
      <c r="D1127" t="s">
        <v>90</v>
      </c>
      <c r="E1127" t="str">
        <f>VLOOKUP(Tabla1[[#This Row],[Cód. Atributo]],[1]!Tabla5[#Data],6,FALSE)</f>
        <v>Select</v>
      </c>
      <c r="F1127">
        <v>3</v>
      </c>
      <c r="G1127">
        <v>1</v>
      </c>
      <c r="H1127" t="s">
        <v>110</v>
      </c>
      <c r="I1127" t="str">
        <f>VLOOKUP(Tabla1[[#This Row],[Code]],'[1]Articulos Precio'!$A:$E,5,FALSE)</f>
        <v>A0000270</v>
      </c>
    </row>
    <row r="1128" spans="1:9" x14ac:dyDescent="0.25">
      <c r="A1128" t="s">
        <v>385</v>
      </c>
      <c r="B1128" t="str">
        <f>VLOOKUP(Tabla1[[#This Row],[Code]],[1]!Tabla4[#Data],2,FALSE)</f>
        <v>M2 Metamark M4 Brillo 292 Gris Carbón  0,61 x 50m</v>
      </c>
      <c r="C1128">
        <v>25</v>
      </c>
      <c r="D1128" t="s">
        <v>94</v>
      </c>
      <c r="E1128" t="str">
        <f>VLOOKUP(Tabla1[[#This Row],[Cód. Atributo]],[1]!Tabla5[#Data],6,FALSE)</f>
        <v>Select</v>
      </c>
      <c r="F1128">
        <v>4</v>
      </c>
      <c r="G1128">
        <v>2</v>
      </c>
      <c r="H1128" t="s">
        <v>111</v>
      </c>
      <c r="I1128" t="str">
        <f>VLOOKUP(Tabla1[[#This Row],[Code]],'[1]Articulos Precio'!$A:$E,5,FALSE)</f>
        <v>A0000270</v>
      </c>
    </row>
    <row r="1129" spans="1:9" x14ac:dyDescent="0.25">
      <c r="A1129" t="s">
        <v>385</v>
      </c>
      <c r="B1129" t="str">
        <f>VLOOKUP(Tabla1[[#This Row],[Code]],[1]!Tabla4[#Data],2,FALSE)</f>
        <v>M2 Metamark M4 Brillo 292 Gris Carbón  0,61 x 50m</v>
      </c>
      <c r="C1129">
        <v>28</v>
      </c>
      <c r="D1129" t="s">
        <v>92</v>
      </c>
      <c r="E1129" t="str">
        <f>VLOOKUP(Tabla1[[#This Row],[Cód. Atributo]],[1]!Tabla5[#Data],6,FALSE)</f>
        <v>Select</v>
      </c>
      <c r="F1129">
        <v>5</v>
      </c>
      <c r="G1129">
        <v>1</v>
      </c>
      <c r="H1129" t="s">
        <v>93</v>
      </c>
      <c r="I1129" t="str">
        <f>VLOOKUP(Tabla1[[#This Row],[Code]],'[1]Articulos Precio'!$A:$E,5,FALSE)</f>
        <v>A0000270</v>
      </c>
    </row>
    <row r="1130" spans="1:9" x14ac:dyDescent="0.25">
      <c r="A1130" t="s">
        <v>385</v>
      </c>
      <c r="B1130" t="str">
        <f>VLOOKUP(Tabla1[[#This Row],[Code]],[1]!Tabla4[#Data],2,FALSE)</f>
        <v>M2 Metamark M4 Brillo 292 Gris Carbón  0,61 x 50m</v>
      </c>
      <c r="C1130">
        <v>24</v>
      </c>
      <c r="D1130" t="s">
        <v>96</v>
      </c>
      <c r="E1130" t="str">
        <f>VLOOKUP(Tabla1[[#This Row],[Cód. Atributo]],[1]!Tabla5[#Data],6,FALSE)</f>
        <v>Select</v>
      </c>
      <c r="F1130">
        <v>6</v>
      </c>
      <c r="G1130">
        <v>2</v>
      </c>
      <c r="H1130" t="s">
        <v>266</v>
      </c>
      <c r="I1130" t="str">
        <f>VLOOKUP(Tabla1[[#This Row],[Code]],'[1]Articulos Precio'!$A:$E,5,FALSE)</f>
        <v>A0000270</v>
      </c>
    </row>
    <row r="1131" spans="1:9" x14ac:dyDescent="0.25">
      <c r="A1131" t="s">
        <v>387</v>
      </c>
      <c r="B1131" t="str">
        <f>VLOOKUP(Tabla1[[#This Row],[Code]],[1]!Tabla4[#Data],2,FALSE)</f>
        <v>M2 Metamark M4 Brillo 292 Gris Carbón  1,22 x 50m</v>
      </c>
      <c r="C1131">
        <v>8</v>
      </c>
      <c r="D1131" t="s">
        <v>86</v>
      </c>
      <c r="E1131" t="str">
        <f>VLOOKUP(Tabla1[[#This Row],[Cód. Atributo]],[1]!Tabla5[#Data],6,FALSE)</f>
        <v>Select</v>
      </c>
      <c r="F1131">
        <v>1</v>
      </c>
      <c r="G1131">
        <v>2</v>
      </c>
      <c r="H1131" t="s">
        <v>268</v>
      </c>
      <c r="I1131" t="str">
        <f>VLOOKUP(Tabla1[[#This Row],[Code]],'[1]Articulos Precio'!$A:$E,5,FALSE)</f>
        <v>A0000270</v>
      </c>
    </row>
    <row r="1132" spans="1:9" x14ac:dyDescent="0.25">
      <c r="A1132" t="s">
        <v>387</v>
      </c>
      <c r="B1132" t="str">
        <f>VLOOKUP(Tabla1[[#This Row],[Code]],[1]!Tabla4[#Data],2,FALSE)</f>
        <v>M2 Metamark M4 Brillo 292 Gris Carbón  1,22 x 50m</v>
      </c>
      <c r="C1132">
        <v>21</v>
      </c>
      <c r="D1132" t="s">
        <v>264</v>
      </c>
      <c r="E1132" t="str">
        <f>VLOOKUP(Tabla1[[#This Row],[Cód. Atributo]],[1]!Tabla5[#Data],6,FALSE)</f>
        <v>Color</v>
      </c>
      <c r="F1132">
        <v>2</v>
      </c>
      <c r="G1132">
        <v>41</v>
      </c>
      <c r="H1132" t="s">
        <v>386</v>
      </c>
      <c r="I1132" t="str">
        <f>VLOOKUP(Tabla1[[#This Row],[Code]],'[1]Articulos Precio'!$A:$E,5,FALSE)</f>
        <v>A0000270</v>
      </c>
    </row>
    <row r="1133" spans="1:9" x14ac:dyDescent="0.25">
      <c r="A1133" t="s">
        <v>387</v>
      </c>
      <c r="B1133" t="str">
        <f>VLOOKUP(Tabla1[[#This Row],[Code]],[1]!Tabla4[#Data],2,FALSE)</f>
        <v>M2 Metamark M4 Brillo 292 Gris Carbón  1,22 x 50m</v>
      </c>
      <c r="C1133">
        <v>23</v>
      </c>
      <c r="D1133" t="s">
        <v>90</v>
      </c>
      <c r="E1133" t="str">
        <f>VLOOKUP(Tabla1[[#This Row],[Cód. Atributo]],[1]!Tabla5[#Data],6,FALSE)</f>
        <v>Select</v>
      </c>
      <c r="F1133">
        <v>3</v>
      </c>
      <c r="G1133">
        <v>1</v>
      </c>
      <c r="H1133" t="s">
        <v>110</v>
      </c>
      <c r="I1133" t="str">
        <f>VLOOKUP(Tabla1[[#This Row],[Code]],'[1]Articulos Precio'!$A:$E,5,FALSE)</f>
        <v>A0000270</v>
      </c>
    </row>
    <row r="1134" spans="1:9" x14ac:dyDescent="0.25">
      <c r="A1134" t="s">
        <v>387</v>
      </c>
      <c r="B1134" t="str">
        <f>VLOOKUP(Tabla1[[#This Row],[Code]],[1]!Tabla4[#Data],2,FALSE)</f>
        <v>M2 Metamark M4 Brillo 292 Gris Carbón  1,22 x 50m</v>
      </c>
      <c r="C1134">
        <v>25</v>
      </c>
      <c r="D1134" t="s">
        <v>94</v>
      </c>
      <c r="E1134" t="str">
        <f>VLOOKUP(Tabla1[[#This Row],[Cód. Atributo]],[1]!Tabla5[#Data],6,FALSE)</f>
        <v>Select</v>
      </c>
      <c r="F1134">
        <v>4</v>
      </c>
      <c r="G1134">
        <v>2</v>
      </c>
      <c r="H1134" t="s">
        <v>111</v>
      </c>
      <c r="I1134" t="str">
        <f>VLOOKUP(Tabla1[[#This Row],[Code]],'[1]Articulos Precio'!$A:$E,5,FALSE)</f>
        <v>A0000270</v>
      </c>
    </row>
    <row r="1135" spans="1:9" x14ac:dyDescent="0.25">
      <c r="A1135" t="s">
        <v>387</v>
      </c>
      <c r="B1135" t="str">
        <f>VLOOKUP(Tabla1[[#This Row],[Code]],[1]!Tabla4[#Data],2,FALSE)</f>
        <v>M2 Metamark M4 Brillo 292 Gris Carbón  1,22 x 50m</v>
      </c>
      <c r="C1135">
        <v>28</v>
      </c>
      <c r="D1135" t="s">
        <v>184</v>
      </c>
      <c r="E1135" t="str">
        <f>VLOOKUP(Tabla1[[#This Row],[Cód. Atributo]],[1]!Tabla5[#Data],6,FALSE)</f>
        <v>Select</v>
      </c>
      <c r="F1135">
        <v>5</v>
      </c>
      <c r="G1135">
        <v>1</v>
      </c>
      <c r="H1135" t="s">
        <v>93</v>
      </c>
      <c r="I1135" t="str">
        <f>VLOOKUP(Tabla1[[#This Row],[Code]],'[1]Articulos Precio'!$A:$E,5,FALSE)</f>
        <v>A0000270</v>
      </c>
    </row>
    <row r="1136" spans="1:9" x14ac:dyDescent="0.25">
      <c r="A1136" t="s">
        <v>387</v>
      </c>
      <c r="B1136" t="str">
        <f>VLOOKUP(Tabla1[[#This Row],[Code]],[1]!Tabla4[#Data],2,FALSE)</f>
        <v>M2 Metamark M4 Brillo 292 Gris Carbón  1,22 x 50m</v>
      </c>
      <c r="C1136">
        <v>24</v>
      </c>
      <c r="D1136" t="s">
        <v>96</v>
      </c>
      <c r="E1136" t="str">
        <f>VLOOKUP(Tabla1[[#This Row],[Cód. Atributo]],[1]!Tabla5[#Data],6,FALSE)</f>
        <v>Select</v>
      </c>
      <c r="F1136">
        <v>6</v>
      </c>
      <c r="G1136">
        <v>2</v>
      </c>
      <c r="H1136" t="s">
        <v>266</v>
      </c>
      <c r="I1136" t="str">
        <f>VLOOKUP(Tabla1[[#This Row],[Code]],'[1]Articulos Precio'!$A:$E,5,FALSE)</f>
        <v>A0000270</v>
      </c>
    </row>
    <row r="1137" spans="1:9" x14ac:dyDescent="0.25">
      <c r="A1137" t="s">
        <v>388</v>
      </c>
      <c r="B1137" t="str">
        <f>VLOOKUP(Tabla1[[#This Row],[Code]],[1]!Tabla4[#Data],2,FALSE)</f>
        <v>M2 Metamark M4 Frosted Window Monomérico 0,61 x 50m</v>
      </c>
      <c r="C1137">
        <v>23</v>
      </c>
      <c r="D1137" t="s">
        <v>90</v>
      </c>
      <c r="E1137" t="str">
        <f>VLOOKUP(Tabla1[[#This Row],[Cód. Atributo]],[1]!Tabla5[#Data],6,FALSE)</f>
        <v>Select</v>
      </c>
      <c r="F1137">
        <v>1</v>
      </c>
      <c r="G1137">
        <v>1</v>
      </c>
      <c r="H1137" t="s">
        <v>110</v>
      </c>
      <c r="I1137" t="str">
        <f>VLOOKUP(Tabla1[[#This Row],[Code]],'[1]Articulos Precio'!$A:$E,5,FALSE)</f>
        <v>A0000099</v>
      </c>
    </row>
    <row r="1138" spans="1:9" x14ac:dyDescent="0.25">
      <c r="A1138" t="s">
        <v>388</v>
      </c>
      <c r="B1138" t="str">
        <f>VLOOKUP(Tabla1[[#This Row],[Code]],[1]!Tabla4[#Data],2,FALSE)</f>
        <v>M2 Metamark M4 Frosted Window Monomérico 0,61 x 50m</v>
      </c>
      <c r="C1138">
        <v>24</v>
      </c>
      <c r="D1138" t="s">
        <v>96</v>
      </c>
      <c r="E1138" t="str">
        <f>VLOOKUP(Tabla1[[#This Row],[Cód. Atributo]],[1]!Tabla5[#Data],6,FALSE)</f>
        <v>Select</v>
      </c>
      <c r="F1138">
        <v>2</v>
      </c>
      <c r="G1138">
        <v>1</v>
      </c>
      <c r="H1138" t="s">
        <v>389</v>
      </c>
      <c r="I1138" t="str">
        <f>VLOOKUP(Tabla1[[#This Row],[Code]],'[1]Articulos Precio'!$A:$E,5,FALSE)</f>
        <v>A0000099</v>
      </c>
    </row>
    <row r="1139" spans="1:9" x14ac:dyDescent="0.25">
      <c r="A1139" t="s">
        <v>388</v>
      </c>
      <c r="B1139" t="str">
        <f>VLOOKUP(Tabla1[[#This Row],[Code]],[1]!Tabla4[#Data],2,FALSE)</f>
        <v>M2 Metamark M4 Frosted Window Monomérico 0,61 x 50m</v>
      </c>
      <c r="C1139">
        <v>25</v>
      </c>
      <c r="D1139" t="s">
        <v>94</v>
      </c>
      <c r="E1139" t="str">
        <f>VLOOKUP(Tabla1[[#This Row],[Cód. Atributo]],[1]!Tabla5[#Data],6,FALSE)</f>
        <v>Select</v>
      </c>
      <c r="F1139">
        <v>3</v>
      </c>
      <c r="G1139">
        <v>2</v>
      </c>
      <c r="H1139" t="s">
        <v>111</v>
      </c>
      <c r="I1139" t="str">
        <f>VLOOKUP(Tabla1[[#This Row],[Code]],'[1]Articulos Precio'!$A:$E,5,FALSE)</f>
        <v>A0000099</v>
      </c>
    </row>
    <row r="1140" spans="1:9" x14ac:dyDescent="0.25">
      <c r="A1140" t="s">
        <v>388</v>
      </c>
      <c r="B1140" t="str">
        <f>VLOOKUP(Tabla1[[#This Row],[Code]],[1]!Tabla4[#Data],2,FALSE)</f>
        <v>M2 Metamark M4 Frosted Window Monomérico 0,61 x 50m</v>
      </c>
      <c r="C1140">
        <v>8</v>
      </c>
      <c r="D1140" t="s">
        <v>86</v>
      </c>
      <c r="E1140" t="str">
        <f>VLOOKUP(Tabla1[[#This Row],[Cód. Atributo]],[1]!Tabla5[#Data],6,FALSE)</f>
        <v>Select</v>
      </c>
      <c r="F1140">
        <v>4</v>
      </c>
      <c r="G1140">
        <v>1</v>
      </c>
      <c r="H1140" t="s">
        <v>263</v>
      </c>
      <c r="I1140" t="str">
        <f>VLOOKUP(Tabla1[[#This Row],[Code]],'[1]Articulos Precio'!$A:$E,5,FALSE)</f>
        <v>A0000099</v>
      </c>
    </row>
    <row r="1141" spans="1:9" x14ac:dyDescent="0.25">
      <c r="A1141" t="s">
        <v>390</v>
      </c>
      <c r="B1141" t="str">
        <f>VLOOKUP(Tabla1[[#This Row],[Code]],[1]!Tabla4[#Data],2,FALSE)</f>
        <v>M2 Metamark M4 Frosted Window Monomérico 1,22 x 50m</v>
      </c>
      <c r="C1141">
        <v>23</v>
      </c>
      <c r="D1141" t="s">
        <v>90</v>
      </c>
      <c r="E1141" t="str">
        <f>VLOOKUP(Tabla1[[#This Row],[Cód. Atributo]],[1]!Tabla5[#Data],6,FALSE)</f>
        <v>Select</v>
      </c>
      <c r="F1141">
        <v>1</v>
      </c>
      <c r="G1141">
        <v>1</v>
      </c>
      <c r="H1141" t="s">
        <v>110</v>
      </c>
      <c r="I1141" t="str">
        <f>VLOOKUP(Tabla1[[#This Row],[Code]],'[1]Articulos Precio'!$A:$E,5,FALSE)</f>
        <v>A0000099</v>
      </c>
    </row>
    <row r="1142" spans="1:9" x14ac:dyDescent="0.25">
      <c r="A1142" t="s">
        <v>390</v>
      </c>
      <c r="B1142" t="str">
        <f>VLOOKUP(Tabla1[[#This Row],[Code]],[1]!Tabla4[#Data],2,FALSE)</f>
        <v>M2 Metamark M4 Frosted Window Monomérico 1,22 x 50m</v>
      </c>
      <c r="C1142">
        <v>24</v>
      </c>
      <c r="D1142" t="s">
        <v>96</v>
      </c>
      <c r="E1142" t="str">
        <f>VLOOKUP(Tabla1[[#This Row],[Cód. Atributo]],[1]!Tabla5[#Data],6,FALSE)</f>
        <v>Select</v>
      </c>
      <c r="F1142">
        <v>2</v>
      </c>
      <c r="G1142">
        <v>1</v>
      </c>
      <c r="H1142" t="s">
        <v>389</v>
      </c>
      <c r="I1142" t="str">
        <f>VLOOKUP(Tabla1[[#This Row],[Code]],'[1]Articulos Precio'!$A:$E,5,FALSE)</f>
        <v>A0000099</v>
      </c>
    </row>
    <row r="1143" spans="1:9" x14ac:dyDescent="0.25">
      <c r="A1143" t="s">
        <v>390</v>
      </c>
      <c r="B1143" t="str">
        <f>VLOOKUP(Tabla1[[#This Row],[Code]],[1]!Tabla4[#Data],2,FALSE)</f>
        <v>M2 Metamark M4 Frosted Window Monomérico 1,22 x 50m</v>
      </c>
      <c r="C1143">
        <v>25</v>
      </c>
      <c r="D1143" t="s">
        <v>94</v>
      </c>
      <c r="E1143" t="str">
        <f>VLOOKUP(Tabla1[[#This Row],[Cód. Atributo]],[1]!Tabla5[#Data],6,FALSE)</f>
        <v>Select</v>
      </c>
      <c r="F1143">
        <v>3</v>
      </c>
      <c r="G1143">
        <v>2</v>
      </c>
      <c r="H1143" t="s">
        <v>111</v>
      </c>
      <c r="I1143" t="str">
        <f>VLOOKUP(Tabla1[[#This Row],[Code]],'[1]Articulos Precio'!$A:$E,5,FALSE)</f>
        <v>A0000099</v>
      </c>
    </row>
    <row r="1144" spans="1:9" x14ac:dyDescent="0.25">
      <c r="A1144" t="s">
        <v>390</v>
      </c>
      <c r="B1144" t="str">
        <f>VLOOKUP(Tabla1[[#This Row],[Code]],[1]!Tabla4[#Data],2,FALSE)</f>
        <v>M2 Metamark M4 Frosted Window Monomérico 1,22 x 50m</v>
      </c>
      <c r="C1144">
        <v>8</v>
      </c>
      <c r="D1144" t="s">
        <v>86</v>
      </c>
      <c r="E1144" t="str">
        <f>VLOOKUP(Tabla1[[#This Row],[Cód. Atributo]],[1]!Tabla5[#Data],6,FALSE)</f>
        <v>Select</v>
      </c>
      <c r="F1144">
        <v>4</v>
      </c>
      <c r="G1144">
        <v>2</v>
      </c>
      <c r="H1144" t="s">
        <v>268</v>
      </c>
      <c r="I1144" t="str">
        <f>VLOOKUP(Tabla1[[#This Row],[Code]],'[1]Articulos Precio'!$A:$E,5,FALSE)</f>
        <v>A0000099</v>
      </c>
    </row>
    <row r="1145" spans="1:9" x14ac:dyDescent="0.25">
      <c r="A1145" t="s">
        <v>391</v>
      </c>
      <c r="B1145" t="str">
        <f>VLOOKUP(Tabla1[[#This Row],[Code]],[1]!Tabla4[#Data],2,FALSE)</f>
        <v>M2 Metamark M4 Frosted Window Monomérico 1,60 x 50m</v>
      </c>
      <c r="C1145">
        <v>23</v>
      </c>
      <c r="D1145" t="s">
        <v>90</v>
      </c>
      <c r="E1145" t="str">
        <f>VLOOKUP(Tabla1[[#This Row],[Cód. Atributo]],[1]!Tabla5[#Data],6,FALSE)</f>
        <v>Select</v>
      </c>
      <c r="F1145">
        <v>1</v>
      </c>
      <c r="G1145">
        <v>1</v>
      </c>
      <c r="H1145" t="s">
        <v>110</v>
      </c>
      <c r="I1145" t="str">
        <f>VLOOKUP(Tabla1[[#This Row],[Code]],'[1]Articulos Precio'!$A:$E,5,FALSE)</f>
        <v>A0000099</v>
      </c>
    </row>
    <row r="1146" spans="1:9" x14ac:dyDescent="0.25">
      <c r="A1146" t="s">
        <v>391</v>
      </c>
      <c r="B1146" t="str">
        <f>VLOOKUP(Tabla1[[#This Row],[Code]],[1]!Tabla4[#Data],2,FALSE)</f>
        <v>M2 Metamark M4 Frosted Window Monomérico 1,60 x 50m</v>
      </c>
      <c r="C1146">
        <v>24</v>
      </c>
      <c r="D1146" t="s">
        <v>96</v>
      </c>
      <c r="E1146" t="str">
        <f>VLOOKUP(Tabla1[[#This Row],[Cód. Atributo]],[1]!Tabla5[#Data],6,FALSE)</f>
        <v>Select</v>
      </c>
      <c r="F1146">
        <v>2</v>
      </c>
      <c r="G1146">
        <v>1</v>
      </c>
      <c r="H1146" t="s">
        <v>389</v>
      </c>
      <c r="I1146" t="str">
        <f>VLOOKUP(Tabla1[[#This Row],[Code]],'[1]Articulos Precio'!$A:$E,5,FALSE)</f>
        <v>A0000099</v>
      </c>
    </row>
    <row r="1147" spans="1:9" x14ac:dyDescent="0.25">
      <c r="A1147" t="s">
        <v>391</v>
      </c>
      <c r="B1147" t="str">
        <f>VLOOKUP(Tabla1[[#This Row],[Code]],[1]!Tabla4[#Data],2,FALSE)</f>
        <v>M2 Metamark M4 Frosted Window Monomérico 1,60 x 50m</v>
      </c>
      <c r="C1147">
        <v>25</v>
      </c>
      <c r="D1147" t="s">
        <v>94</v>
      </c>
      <c r="E1147" t="str">
        <f>VLOOKUP(Tabla1[[#This Row],[Cód. Atributo]],[1]!Tabla5[#Data],6,FALSE)</f>
        <v>Select</v>
      </c>
      <c r="F1147">
        <v>3</v>
      </c>
      <c r="G1147">
        <v>2</v>
      </c>
      <c r="H1147" t="s">
        <v>111</v>
      </c>
      <c r="I1147" t="str">
        <f>VLOOKUP(Tabla1[[#This Row],[Code]],'[1]Articulos Precio'!$A:$E,5,FALSE)</f>
        <v>A0000099</v>
      </c>
    </row>
    <row r="1148" spans="1:9" x14ac:dyDescent="0.25">
      <c r="A1148" t="s">
        <v>391</v>
      </c>
      <c r="B1148" t="str">
        <f>VLOOKUP(Tabla1[[#This Row],[Code]],[1]!Tabla4[#Data],2,FALSE)</f>
        <v>M2 Metamark M4 Frosted Window Monomérico 1,60 x 50m</v>
      </c>
      <c r="C1148">
        <v>8</v>
      </c>
      <c r="D1148" t="s">
        <v>86</v>
      </c>
      <c r="E1148" t="str">
        <f>VLOOKUP(Tabla1[[#This Row],[Cód. Atributo]],[1]!Tabla5[#Data],6,FALSE)</f>
        <v>Select</v>
      </c>
      <c r="F1148">
        <v>4</v>
      </c>
      <c r="G1148">
        <v>3</v>
      </c>
      <c r="H1148" t="s">
        <v>109</v>
      </c>
      <c r="I1148" t="str">
        <f>VLOOKUP(Tabla1[[#This Row],[Code]],'[1]Articulos Precio'!$A:$E,5,FALSE)</f>
        <v>A0000099</v>
      </c>
    </row>
    <row r="1149" spans="1:9" x14ac:dyDescent="0.25">
      <c r="A1149" t="s">
        <v>392</v>
      </c>
      <c r="B1149" t="str">
        <f>VLOOKUP(Tabla1[[#This Row],[Code]],[1]!Tabla4[#Data],2,FALSE)</f>
        <v>M2 Metamark M4 Mate 301M Blanco 0,61 x 50m</v>
      </c>
      <c r="C1149">
        <v>8</v>
      </c>
      <c r="D1149" t="s">
        <v>86</v>
      </c>
      <c r="E1149" t="str">
        <f>VLOOKUP(Tabla1[[#This Row],[Cód. Atributo]],[1]!Tabla5[#Data],6,FALSE)</f>
        <v>Select</v>
      </c>
      <c r="F1149">
        <v>1</v>
      </c>
      <c r="G1149">
        <v>1</v>
      </c>
      <c r="H1149" t="s">
        <v>263</v>
      </c>
      <c r="I1149" t="str">
        <f>VLOOKUP(Tabla1[[#This Row],[Code]],'[1]Articulos Precio'!$A:$E,5,FALSE)</f>
        <v>A0000352</v>
      </c>
    </row>
    <row r="1150" spans="1:9" x14ac:dyDescent="0.25">
      <c r="A1150" t="s">
        <v>392</v>
      </c>
      <c r="B1150" t="str">
        <f>VLOOKUP(Tabla1[[#This Row],[Code]],[1]!Tabla4[#Data],2,FALSE)</f>
        <v>M2 Metamark M4 Mate 301M Blanco 0,61 x 50m</v>
      </c>
      <c r="C1150">
        <v>22</v>
      </c>
      <c r="D1150" t="s">
        <v>393</v>
      </c>
      <c r="E1150" t="str">
        <f>VLOOKUP(Tabla1[[#This Row],[Cód. Atributo]],[1]!Tabla5[#Data],6,FALSE)</f>
        <v>Color</v>
      </c>
      <c r="F1150">
        <v>2</v>
      </c>
      <c r="G1150">
        <v>1</v>
      </c>
      <c r="H1150" t="s">
        <v>394</v>
      </c>
      <c r="I1150" t="str">
        <f>VLOOKUP(Tabla1[[#This Row],[Code]],'[1]Articulos Precio'!$A:$E,5,FALSE)</f>
        <v>A0000352</v>
      </c>
    </row>
    <row r="1151" spans="1:9" x14ac:dyDescent="0.25">
      <c r="A1151" t="s">
        <v>392</v>
      </c>
      <c r="B1151" t="str">
        <f>VLOOKUP(Tabla1[[#This Row],[Code]],[1]!Tabla4[#Data],2,FALSE)</f>
        <v>M2 Metamark M4 Mate 301M Blanco 0,61 x 50m</v>
      </c>
      <c r="C1151">
        <v>23</v>
      </c>
      <c r="D1151" t="s">
        <v>90</v>
      </c>
      <c r="E1151" t="str">
        <f>VLOOKUP(Tabla1[[#This Row],[Cód. Atributo]],[1]!Tabla5[#Data],6,FALSE)</f>
        <v>Select</v>
      </c>
      <c r="F1151">
        <v>3</v>
      </c>
      <c r="G1151">
        <v>1</v>
      </c>
      <c r="H1151" t="s">
        <v>110</v>
      </c>
      <c r="I1151" t="str">
        <f>VLOOKUP(Tabla1[[#This Row],[Code]],'[1]Articulos Precio'!$A:$E,5,FALSE)</f>
        <v>A0000352</v>
      </c>
    </row>
    <row r="1152" spans="1:9" x14ac:dyDescent="0.25">
      <c r="A1152" t="s">
        <v>392</v>
      </c>
      <c r="B1152" t="str">
        <f>VLOOKUP(Tabla1[[#This Row],[Code]],[1]!Tabla4[#Data],2,FALSE)</f>
        <v>M2 Metamark M4 Mate 301M Blanco 0,61 x 50m</v>
      </c>
      <c r="C1152">
        <v>25</v>
      </c>
      <c r="D1152" t="s">
        <v>94</v>
      </c>
      <c r="E1152" t="str">
        <f>VLOOKUP(Tabla1[[#This Row],[Cód. Atributo]],[1]!Tabla5[#Data],6,FALSE)</f>
        <v>Select</v>
      </c>
      <c r="F1152">
        <v>4</v>
      </c>
      <c r="G1152">
        <v>2</v>
      </c>
      <c r="H1152" t="s">
        <v>111</v>
      </c>
      <c r="I1152" t="str">
        <f>VLOOKUP(Tabla1[[#This Row],[Code]],'[1]Articulos Precio'!$A:$E,5,FALSE)</f>
        <v>A0000352</v>
      </c>
    </row>
    <row r="1153" spans="1:9" x14ac:dyDescent="0.25">
      <c r="A1153" t="s">
        <v>392</v>
      </c>
      <c r="B1153" t="str">
        <f>VLOOKUP(Tabla1[[#This Row],[Code]],[1]!Tabla4[#Data],2,FALSE)</f>
        <v>M2 Metamark M4 Mate 301M Blanco 0,61 x 50m</v>
      </c>
      <c r="C1153">
        <v>28</v>
      </c>
      <c r="D1153" t="s">
        <v>92</v>
      </c>
      <c r="E1153" t="str">
        <f>VLOOKUP(Tabla1[[#This Row],[Cód. Atributo]],[1]!Tabla5[#Data],6,FALSE)</f>
        <v>Select</v>
      </c>
      <c r="F1153">
        <v>5</v>
      </c>
      <c r="G1153">
        <v>2</v>
      </c>
      <c r="H1153" t="s">
        <v>102</v>
      </c>
      <c r="I1153" t="str">
        <f>VLOOKUP(Tabla1[[#This Row],[Code]],'[1]Articulos Precio'!$A:$E,5,FALSE)</f>
        <v>A0000352</v>
      </c>
    </row>
    <row r="1154" spans="1:9" x14ac:dyDescent="0.25">
      <c r="A1154" t="s">
        <v>392</v>
      </c>
      <c r="B1154" t="str">
        <f>VLOOKUP(Tabla1[[#This Row],[Code]],[1]!Tabla4[#Data],2,FALSE)</f>
        <v>M2 Metamark M4 Mate 301M Blanco 0,61 x 50m</v>
      </c>
      <c r="C1154">
        <v>24</v>
      </c>
      <c r="D1154" t="s">
        <v>96</v>
      </c>
      <c r="E1154" t="str">
        <f>VLOOKUP(Tabla1[[#This Row],[Cód. Atributo]],[1]!Tabla5[#Data],6,FALSE)</f>
        <v>Select</v>
      </c>
      <c r="F1154">
        <v>6</v>
      </c>
      <c r="G1154">
        <v>2</v>
      </c>
      <c r="H1154" t="s">
        <v>266</v>
      </c>
      <c r="I1154" t="str">
        <f>VLOOKUP(Tabla1[[#This Row],[Code]],'[1]Articulos Precio'!$A:$E,5,FALSE)</f>
        <v>A0000352</v>
      </c>
    </row>
    <row r="1155" spans="1:9" x14ac:dyDescent="0.25">
      <c r="A1155" t="s">
        <v>395</v>
      </c>
      <c r="B1155" t="str">
        <f>VLOOKUP(Tabla1[[#This Row],[Code]],[1]!Tabla4[#Data],2,FALSE)</f>
        <v>M2 Metamark M4 Mate 301M Blanco 1,22 x 50m</v>
      </c>
      <c r="C1155">
        <v>8</v>
      </c>
      <c r="D1155" t="s">
        <v>86</v>
      </c>
      <c r="E1155" t="str">
        <f>VLOOKUP(Tabla1[[#This Row],[Cód. Atributo]],[1]!Tabla5[#Data],6,FALSE)</f>
        <v>Select</v>
      </c>
      <c r="F1155">
        <v>1</v>
      </c>
      <c r="G1155">
        <v>2</v>
      </c>
      <c r="H1155" t="s">
        <v>268</v>
      </c>
      <c r="I1155" t="str">
        <f>VLOOKUP(Tabla1[[#This Row],[Code]],'[1]Articulos Precio'!$A:$E,5,FALSE)</f>
        <v>A0000352</v>
      </c>
    </row>
    <row r="1156" spans="1:9" x14ac:dyDescent="0.25">
      <c r="A1156" t="s">
        <v>395</v>
      </c>
      <c r="B1156" t="str">
        <f>VLOOKUP(Tabla1[[#This Row],[Code]],[1]!Tabla4[#Data],2,FALSE)</f>
        <v>M2 Metamark M4 Mate 301M Blanco 1,22 x 50m</v>
      </c>
      <c r="C1156">
        <v>22</v>
      </c>
      <c r="D1156" t="s">
        <v>393</v>
      </c>
      <c r="E1156" t="str">
        <f>VLOOKUP(Tabla1[[#This Row],[Cód. Atributo]],[1]!Tabla5[#Data],6,FALSE)</f>
        <v>Color</v>
      </c>
      <c r="F1156">
        <v>2</v>
      </c>
      <c r="G1156">
        <v>1</v>
      </c>
      <c r="H1156" t="s">
        <v>394</v>
      </c>
      <c r="I1156" t="str">
        <f>VLOOKUP(Tabla1[[#This Row],[Code]],'[1]Articulos Precio'!$A:$E,5,FALSE)</f>
        <v>A0000352</v>
      </c>
    </row>
    <row r="1157" spans="1:9" x14ac:dyDescent="0.25">
      <c r="A1157" t="s">
        <v>395</v>
      </c>
      <c r="B1157" t="str">
        <f>VLOOKUP(Tabla1[[#This Row],[Code]],[1]!Tabla4[#Data],2,FALSE)</f>
        <v>M2 Metamark M4 Mate 301M Blanco 1,22 x 50m</v>
      </c>
      <c r="C1157">
        <v>23</v>
      </c>
      <c r="D1157" t="s">
        <v>90</v>
      </c>
      <c r="E1157" t="str">
        <f>VLOOKUP(Tabla1[[#This Row],[Cód. Atributo]],[1]!Tabla5[#Data],6,FALSE)</f>
        <v>Select</v>
      </c>
      <c r="F1157">
        <v>3</v>
      </c>
      <c r="G1157">
        <v>1</v>
      </c>
      <c r="H1157" t="s">
        <v>110</v>
      </c>
      <c r="I1157" t="str">
        <f>VLOOKUP(Tabla1[[#This Row],[Code]],'[1]Articulos Precio'!$A:$E,5,FALSE)</f>
        <v>A0000352</v>
      </c>
    </row>
    <row r="1158" spans="1:9" x14ac:dyDescent="0.25">
      <c r="A1158" t="s">
        <v>395</v>
      </c>
      <c r="B1158" t="str">
        <f>VLOOKUP(Tabla1[[#This Row],[Code]],[1]!Tabla4[#Data],2,FALSE)</f>
        <v>M2 Metamark M4 Mate 301M Blanco 1,22 x 50m</v>
      </c>
      <c r="C1158">
        <v>25</v>
      </c>
      <c r="D1158" t="s">
        <v>94</v>
      </c>
      <c r="E1158" t="str">
        <f>VLOOKUP(Tabla1[[#This Row],[Cód. Atributo]],[1]!Tabla5[#Data],6,FALSE)</f>
        <v>Select</v>
      </c>
      <c r="F1158">
        <v>4</v>
      </c>
      <c r="G1158">
        <v>2</v>
      </c>
      <c r="H1158" t="s">
        <v>111</v>
      </c>
      <c r="I1158" t="str">
        <f>VLOOKUP(Tabla1[[#This Row],[Code]],'[1]Articulos Precio'!$A:$E,5,FALSE)</f>
        <v>A0000352</v>
      </c>
    </row>
    <row r="1159" spans="1:9" x14ac:dyDescent="0.25">
      <c r="A1159" t="s">
        <v>395</v>
      </c>
      <c r="B1159" t="str">
        <f>VLOOKUP(Tabla1[[#This Row],[Code]],[1]!Tabla4[#Data],2,FALSE)</f>
        <v>M2 Metamark M4 Mate 301M Blanco 1,22 x 50m</v>
      </c>
      <c r="C1159">
        <v>28</v>
      </c>
      <c r="D1159" t="s">
        <v>92</v>
      </c>
      <c r="E1159" t="str">
        <f>VLOOKUP(Tabla1[[#This Row],[Cód. Atributo]],[1]!Tabla5[#Data],6,FALSE)</f>
        <v>Select</v>
      </c>
      <c r="F1159">
        <v>5</v>
      </c>
      <c r="G1159">
        <v>2</v>
      </c>
      <c r="H1159" t="s">
        <v>102</v>
      </c>
      <c r="I1159" t="str">
        <f>VLOOKUP(Tabla1[[#This Row],[Code]],'[1]Articulos Precio'!$A:$E,5,FALSE)</f>
        <v>A0000352</v>
      </c>
    </row>
    <row r="1160" spans="1:9" x14ac:dyDescent="0.25">
      <c r="A1160" t="s">
        <v>395</v>
      </c>
      <c r="B1160" t="str">
        <f>VLOOKUP(Tabla1[[#This Row],[Code]],[1]!Tabla4[#Data],2,FALSE)</f>
        <v>M2 Metamark M4 Mate 301M Blanco 1,22 x 50m</v>
      </c>
      <c r="C1160">
        <v>24</v>
      </c>
      <c r="D1160" t="s">
        <v>96</v>
      </c>
      <c r="E1160" t="str">
        <f>VLOOKUP(Tabla1[[#This Row],[Cód. Atributo]],[1]!Tabla5[#Data],6,FALSE)</f>
        <v>Select</v>
      </c>
      <c r="F1160">
        <v>6</v>
      </c>
      <c r="G1160">
        <v>2</v>
      </c>
      <c r="H1160" t="s">
        <v>266</v>
      </c>
      <c r="I1160" t="str">
        <f>VLOOKUP(Tabla1[[#This Row],[Code]],'[1]Articulos Precio'!$A:$E,5,FALSE)</f>
        <v>A0000352</v>
      </c>
    </row>
    <row r="1161" spans="1:9" x14ac:dyDescent="0.25">
      <c r="A1161" t="s">
        <v>396</v>
      </c>
      <c r="B1161" t="str">
        <f>VLOOKUP(Tabla1[[#This Row],[Code]],[1]!Tabla4[#Data],2,FALSE)</f>
        <v>M2 Metamark M4 Mate 311M Negro 0,61 x 50m</v>
      </c>
      <c r="C1161">
        <v>8</v>
      </c>
      <c r="D1161" t="s">
        <v>86</v>
      </c>
      <c r="E1161" t="str">
        <f>VLOOKUP(Tabla1[[#This Row],[Cód. Atributo]],[1]!Tabla5[#Data],6,FALSE)</f>
        <v>Select</v>
      </c>
      <c r="F1161">
        <v>1</v>
      </c>
      <c r="G1161">
        <v>1</v>
      </c>
      <c r="H1161" t="s">
        <v>263</v>
      </c>
      <c r="I1161" t="str">
        <f>VLOOKUP(Tabla1[[#This Row],[Code]],'[1]Articulos Precio'!$A:$E,5,FALSE)</f>
        <v>A0000352</v>
      </c>
    </row>
    <row r="1162" spans="1:9" x14ac:dyDescent="0.25">
      <c r="A1162" t="s">
        <v>396</v>
      </c>
      <c r="B1162" t="str">
        <f>VLOOKUP(Tabla1[[#This Row],[Code]],[1]!Tabla4[#Data],2,FALSE)</f>
        <v>M2 Metamark M4 Mate 311M Negro 0,61 x 50m</v>
      </c>
      <c r="C1162">
        <v>22</v>
      </c>
      <c r="D1162" t="s">
        <v>393</v>
      </c>
      <c r="E1162" t="str">
        <f>VLOOKUP(Tabla1[[#This Row],[Cód. Atributo]],[1]!Tabla5[#Data],6,FALSE)</f>
        <v>Color</v>
      </c>
      <c r="F1162">
        <v>2</v>
      </c>
      <c r="G1162">
        <v>2</v>
      </c>
      <c r="H1162" t="s">
        <v>397</v>
      </c>
      <c r="I1162" t="str">
        <f>VLOOKUP(Tabla1[[#This Row],[Code]],'[1]Articulos Precio'!$A:$E,5,FALSE)</f>
        <v>A0000352</v>
      </c>
    </row>
    <row r="1163" spans="1:9" x14ac:dyDescent="0.25">
      <c r="A1163" t="s">
        <v>396</v>
      </c>
      <c r="B1163" t="str">
        <f>VLOOKUP(Tabla1[[#This Row],[Code]],[1]!Tabla4[#Data],2,FALSE)</f>
        <v>M2 Metamark M4 Mate 311M Negro 0,61 x 50m</v>
      </c>
      <c r="C1163">
        <v>23</v>
      </c>
      <c r="D1163" t="s">
        <v>90</v>
      </c>
      <c r="E1163" t="str">
        <f>VLOOKUP(Tabla1[[#This Row],[Cód. Atributo]],[1]!Tabla5[#Data],6,FALSE)</f>
        <v>Select</v>
      </c>
      <c r="F1163">
        <v>3</v>
      </c>
      <c r="G1163">
        <v>1</v>
      </c>
      <c r="H1163" t="s">
        <v>110</v>
      </c>
      <c r="I1163" t="str">
        <f>VLOOKUP(Tabla1[[#This Row],[Code]],'[1]Articulos Precio'!$A:$E,5,FALSE)</f>
        <v>A0000352</v>
      </c>
    </row>
    <row r="1164" spans="1:9" x14ac:dyDescent="0.25">
      <c r="A1164" t="s">
        <v>396</v>
      </c>
      <c r="B1164" t="str">
        <f>VLOOKUP(Tabla1[[#This Row],[Code]],[1]!Tabla4[#Data],2,FALSE)</f>
        <v>M2 Metamark M4 Mate 311M Negro 0,61 x 50m</v>
      </c>
      <c r="C1164">
        <v>25</v>
      </c>
      <c r="D1164" t="s">
        <v>94</v>
      </c>
      <c r="E1164" t="str">
        <f>VLOOKUP(Tabla1[[#This Row],[Cód. Atributo]],[1]!Tabla5[#Data],6,FALSE)</f>
        <v>Select</v>
      </c>
      <c r="F1164">
        <v>4</v>
      </c>
      <c r="G1164">
        <v>2</v>
      </c>
      <c r="H1164" t="s">
        <v>111</v>
      </c>
      <c r="I1164" t="str">
        <f>VLOOKUP(Tabla1[[#This Row],[Code]],'[1]Articulos Precio'!$A:$E,5,FALSE)</f>
        <v>A0000352</v>
      </c>
    </row>
    <row r="1165" spans="1:9" x14ac:dyDescent="0.25">
      <c r="A1165" t="s">
        <v>396</v>
      </c>
      <c r="B1165" t="str">
        <f>VLOOKUP(Tabla1[[#This Row],[Code]],[1]!Tabla4[#Data],2,FALSE)</f>
        <v>M2 Metamark M4 Mate 311M Negro 0,61 x 50m</v>
      </c>
      <c r="C1165">
        <v>28</v>
      </c>
      <c r="D1165" t="s">
        <v>92</v>
      </c>
      <c r="E1165" t="str">
        <f>VLOOKUP(Tabla1[[#This Row],[Cód. Atributo]],[1]!Tabla5[#Data],6,FALSE)</f>
        <v>Select</v>
      </c>
      <c r="F1165">
        <v>5</v>
      </c>
      <c r="G1165">
        <v>2</v>
      </c>
      <c r="H1165" t="s">
        <v>102</v>
      </c>
      <c r="I1165" t="str">
        <f>VLOOKUP(Tabla1[[#This Row],[Code]],'[1]Articulos Precio'!$A:$E,5,FALSE)</f>
        <v>A0000352</v>
      </c>
    </row>
    <row r="1166" spans="1:9" x14ac:dyDescent="0.25">
      <c r="A1166" t="s">
        <v>396</v>
      </c>
      <c r="B1166" t="str">
        <f>VLOOKUP(Tabla1[[#This Row],[Code]],[1]!Tabla4[#Data],2,FALSE)</f>
        <v>M2 Metamark M4 Mate 311M Negro 0,61 x 50m</v>
      </c>
      <c r="C1166">
        <v>24</v>
      </c>
      <c r="D1166" t="s">
        <v>96</v>
      </c>
      <c r="E1166" t="str">
        <f>VLOOKUP(Tabla1[[#This Row],[Cód. Atributo]],[1]!Tabla5[#Data],6,FALSE)</f>
        <v>Select</v>
      </c>
      <c r="F1166">
        <v>6</v>
      </c>
      <c r="G1166">
        <v>2</v>
      </c>
      <c r="H1166" t="s">
        <v>266</v>
      </c>
      <c r="I1166" t="str">
        <f>VLOOKUP(Tabla1[[#This Row],[Code]],'[1]Articulos Precio'!$A:$E,5,FALSE)</f>
        <v>A0000352</v>
      </c>
    </row>
    <row r="1167" spans="1:9" x14ac:dyDescent="0.25">
      <c r="A1167" t="s">
        <v>398</v>
      </c>
      <c r="B1167" t="str">
        <f>VLOOKUP(Tabla1[[#This Row],[Code]],[1]!Tabla4[#Data],2,FALSE)</f>
        <v>M2 Metamark M4 Mate 311M Negro 1,22 x 50m</v>
      </c>
      <c r="C1167">
        <v>8</v>
      </c>
      <c r="D1167" t="s">
        <v>86</v>
      </c>
      <c r="E1167" t="str">
        <f>VLOOKUP(Tabla1[[#This Row],[Cód. Atributo]],[1]!Tabla5[#Data],6,FALSE)</f>
        <v>Select</v>
      </c>
      <c r="F1167">
        <v>1</v>
      </c>
      <c r="G1167">
        <v>2</v>
      </c>
      <c r="H1167" t="s">
        <v>268</v>
      </c>
      <c r="I1167" t="str">
        <f>VLOOKUP(Tabla1[[#This Row],[Code]],'[1]Articulos Precio'!$A:$E,5,FALSE)</f>
        <v>A0000352</v>
      </c>
    </row>
    <row r="1168" spans="1:9" x14ac:dyDescent="0.25">
      <c r="A1168" t="s">
        <v>398</v>
      </c>
      <c r="B1168" t="str">
        <f>VLOOKUP(Tabla1[[#This Row],[Code]],[1]!Tabla4[#Data],2,FALSE)</f>
        <v>M2 Metamark M4 Mate 311M Negro 1,22 x 50m</v>
      </c>
      <c r="C1168">
        <v>22</v>
      </c>
      <c r="D1168" t="s">
        <v>393</v>
      </c>
      <c r="E1168" t="str">
        <f>VLOOKUP(Tabla1[[#This Row],[Cód. Atributo]],[1]!Tabla5[#Data],6,FALSE)</f>
        <v>Color</v>
      </c>
      <c r="F1168">
        <v>2</v>
      </c>
      <c r="G1168">
        <v>2</v>
      </c>
      <c r="H1168" t="s">
        <v>397</v>
      </c>
      <c r="I1168" t="str">
        <f>VLOOKUP(Tabla1[[#This Row],[Code]],'[1]Articulos Precio'!$A:$E,5,FALSE)</f>
        <v>A0000352</v>
      </c>
    </row>
    <row r="1169" spans="1:9" x14ac:dyDescent="0.25">
      <c r="A1169" t="s">
        <v>398</v>
      </c>
      <c r="B1169" t="str">
        <f>VLOOKUP(Tabla1[[#This Row],[Code]],[1]!Tabla4[#Data],2,FALSE)</f>
        <v>M2 Metamark M4 Mate 311M Negro 1,22 x 50m</v>
      </c>
      <c r="C1169">
        <v>23</v>
      </c>
      <c r="D1169" t="s">
        <v>90</v>
      </c>
      <c r="E1169" t="str">
        <f>VLOOKUP(Tabla1[[#This Row],[Cód. Atributo]],[1]!Tabla5[#Data],6,FALSE)</f>
        <v>Select</v>
      </c>
      <c r="F1169">
        <v>3</v>
      </c>
      <c r="G1169">
        <v>1</v>
      </c>
      <c r="H1169" t="s">
        <v>110</v>
      </c>
      <c r="I1169" t="str">
        <f>VLOOKUP(Tabla1[[#This Row],[Code]],'[1]Articulos Precio'!$A:$E,5,FALSE)</f>
        <v>A0000352</v>
      </c>
    </row>
    <row r="1170" spans="1:9" x14ac:dyDescent="0.25">
      <c r="A1170" t="s">
        <v>398</v>
      </c>
      <c r="B1170" t="str">
        <f>VLOOKUP(Tabla1[[#This Row],[Code]],[1]!Tabla4[#Data],2,FALSE)</f>
        <v>M2 Metamark M4 Mate 311M Negro 1,22 x 50m</v>
      </c>
      <c r="C1170">
        <v>25</v>
      </c>
      <c r="D1170" t="s">
        <v>94</v>
      </c>
      <c r="E1170" t="str">
        <f>VLOOKUP(Tabla1[[#This Row],[Cód. Atributo]],[1]!Tabla5[#Data],6,FALSE)</f>
        <v>Select</v>
      </c>
      <c r="F1170">
        <v>4</v>
      </c>
      <c r="G1170">
        <v>2</v>
      </c>
      <c r="H1170" t="s">
        <v>111</v>
      </c>
      <c r="I1170" t="str">
        <f>VLOOKUP(Tabla1[[#This Row],[Code]],'[1]Articulos Precio'!$A:$E,5,FALSE)</f>
        <v>A0000352</v>
      </c>
    </row>
    <row r="1171" spans="1:9" x14ac:dyDescent="0.25">
      <c r="A1171" t="s">
        <v>398</v>
      </c>
      <c r="B1171" t="str">
        <f>VLOOKUP(Tabla1[[#This Row],[Code]],[1]!Tabla4[#Data],2,FALSE)</f>
        <v>M2 Metamark M4 Mate 311M Negro 1,22 x 50m</v>
      </c>
      <c r="C1171">
        <v>28</v>
      </c>
      <c r="D1171" t="s">
        <v>92</v>
      </c>
      <c r="E1171" t="str">
        <f>VLOOKUP(Tabla1[[#This Row],[Cód. Atributo]],[1]!Tabla5[#Data],6,FALSE)</f>
        <v>Select</v>
      </c>
      <c r="F1171">
        <v>5</v>
      </c>
      <c r="G1171">
        <v>2</v>
      </c>
      <c r="H1171" t="s">
        <v>102</v>
      </c>
      <c r="I1171" t="str">
        <f>VLOOKUP(Tabla1[[#This Row],[Code]],'[1]Articulos Precio'!$A:$E,5,FALSE)</f>
        <v>A0000352</v>
      </c>
    </row>
    <row r="1172" spans="1:9" x14ac:dyDescent="0.25">
      <c r="A1172" t="s">
        <v>398</v>
      </c>
      <c r="B1172" t="str">
        <f>VLOOKUP(Tabla1[[#This Row],[Code]],[1]!Tabla4[#Data],2,FALSE)</f>
        <v>M2 Metamark M4 Mate 311M Negro 1,22 x 50m</v>
      </c>
      <c r="C1172">
        <v>24</v>
      </c>
      <c r="D1172" t="s">
        <v>96</v>
      </c>
      <c r="E1172" t="str">
        <f>VLOOKUP(Tabla1[[#This Row],[Cód. Atributo]],[1]!Tabla5[#Data],6,FALSE)</f>
        <v>Select</v>
      </c>
      <c r="F1172">
        <v>6</v>
      </c>
      <c r="G1172">
        <v>2</v>
      </c>
      <c r="H1172" t="s">
        <v>266</v>
      </c>
      <c r="I1172" t="str">
        <f>VLOOKUP(Tabla1[[#This Row],[Code]],'[1]Articulos Precio'!$A:$E,5,FALSE)</f>
        <v>A0000352</v>
      </c>
    </row>
    <row r="1173" spans="1:9" x14ac:dyDescent="0.25">
      <c r="A1173" t="s">
        <v>399</v>
      </c>
      <c r="B1173" t="str">
        <f>VLOOKUP(Tabla1[[#This Row],[Code]],[1]!Tabla4[#Data],2,FALSE)</f>
        <v>M2 Metamark M4 Mate 320M Gris Ligero 0,61 x 50m</v>
      </c>
      <c r="C1173">
        <v>8</v>
      </c>
      <c r="D1173" t="s">
        <v>86</v>
      </c>
      <c r="E1173" t="str">
        <f>VLOOKUP(Tabla1[[#This Row],[Cód. Atributo]],[1]!Tabla5[#Data],6,FALSE)</f>
        <v>Select</v>
      </c>
      <c r="F1173">
        <v>1</v>
      </c>
      <c r="G1173">
        <v>1</v>
      </c>
      <c r="H1173" t="s">
        <v>263</v>
      </c>
      <c r="I1173" t="str">
        <f>VLOOKUP(Tabla1[[#This Row],[Code]],'[1]Articulos Precio'!$A:$E,5,FALSE)</f>
        <v>A0000352</v>
      </c>
    </row>
    <row r="1174" spans="1:9" x14ac:dyDescent="0.25">
      <c r="A1174" t="s">
        <v>399</v>
      </c>
      <c r="B1174" t="str">
        <f>VLOOKUP(Tabla1[[#This Row],[Code]],[1]!Tabla4[#Data],2,FALSE)</f>
        <v>M2 Metamark M4 Mate 320M Gris Ligero 0,61 x 50m</v>
      </c>
      <c r="C1174">
        <v>22</v>
      </c>
      <c r="D1174" t="s">
        <v>393</v>
      </c>
      <c r="E1174" t="str">
        <f>VLOOKUP(Tabla1[[#This Row],[Cód. Atributo]],[1]!Tabla5[#Data],6,FALSE)</f>
        <v>Color</v>
      </c>
      <c r="F1174">
        <v>2</v>
      </c>
      <c r="G1174">
        <v>3</v>
      </c>
      <c r="H1174" t="s">
        <v>400</v>
      </c>
      <c r="I1174" t="str">
        <f>VLOOKUP(Tabla1[[#This Row],[Code]],'[1]Articulos Precio'!$A:$E,5,FALSE)</f>
        <v>A0000352</v>
      </c>
    </row>
    <row r="1175" spans="1:9" x14ac:dyDescent="0.25">
      <c r="A1175" t="s">
        <v>399</v>
      </c>
      <c r="B1175" t="str">
        <f>VLOOKUP(Tabla1[[#This Row],[Code]],[1]!Tabla4[#Data],2,FALSE)</f>
        <v>M2 Metamark M4 Mate 320M Gris Ligero 0,61 x 50m</v>
      </c>
      <c r="C1175">
        <v>23</v>
      </c>
      <c r="D1175" t="s">
        <v>90</v>
      </c>
      <c r="E1175" t="str">
        <f>VLOOKUP(Tabla1[[#This Row],[Cód. Atributo]],[1]!Tabla5[#Data],6,FALSE)</f>
        <v>Select</v>
      </c>
      <c r="F1175">
        <v>3</v>
      </c>
      <c r="G1175">
        <v>1</v>
      </c>
      <c r="H1175" t="s">
        <v>110</v>
      </c>
      <c r="I1175" t="str">
        <f>VLOOKUP(Tabla1[[#This Row],[Code]],'[1]Articulos Precio'!$A:$E,5,FALSE)</f>
        <v>A0000352</v>
      </c>
    </row>
    <row r="1176" spans="1:9" x14ac:dyDescent="0.25">
      <c r="A1176" t="s">
        <v>399</v>
      </c>
      <c r="B1176" t="str">
        <f>VLOOKUP(Tabla1[[#This Row],[Code]],[1]!Tabla4[#Data],2,FALSE)</f>
        <v>M2 Metamark M4 Mate 320M Gris Ligero 0,61 x 50m</v>
      </c>
      <c r="C1176">
        <v>25</v>
      </c>
      <c r="D1176" t="s">
        <v>94</v>
      </c>
      <c r="E1176" t="str">
        <f>VLOOKUP(Tabla1[[#This Row],[Cód. Atributo]],[1]!Tabla5[#Data],6,FALSE)</f>
        <v>Select</v>
      </c>
      <c r="F1176">
        <v>4</v>
      </c>
      <c r="G1176">
        <v>2</v>
      </c>
      <c r="H1176" t="s">
        <v>111</v>
      </c>
      <c r="I1176" t="str">
        <f>VLOOKUP(Tabla1[[#This Row],[Code]],'[1]Articulos Precio'!$A:$E,5,FALSE)</f>
        <v>A0000352</v>
      </c>
    </row>
    <row r="1177" spans="1:9" x14ac:dyDescent="0.25">
      <c r="A1177" t="s">
        <v>399</v>
      </c>
      <c r="B1177" t="str">
        <f>VLOOKUP(Tabla1[[#This Row],[Code]],[1]!Tabla4[#Data],2,FALSE)</f>
        <v>M2 Metamark M4 Mate 320M Gris Ligero 0,61 x 50m</v>
      </c>
      <c r="C1177">
        <v>28</v>
      </c>
      <c r="D1177" t="s">
        <v>92</v>
      </c>
      <c r="E1177" t="str">
        <f>VLOOKUP(Tabla1[[#This Row],[Cód. Atributo]],[1]!Tabla5[#Data],6,FALSE)</f>
        <v>Select</v>
      </c>
      <c r="F1177">
        <v>5</v>
      </c>
      <c r="G1177">
        <v>2</v>
      </c>
      <c r="H1177" t="s">
        <v>102</v>
      </c>
      <c r="I1177" t="str">
        <f>VLOOKUP(Tabla1[[#This Row],[Code]],'[1]Articulos Precio'!$A:$E,5,FALSE)</f>
        <v>A0000352</v>
      </c>
    </row>
    <row r="1178" spans="1:9" x14ac:dyDescent="0.25">
      <c r="A1178" t="s">
        <v>399</v>
      </c>
      <c r="B1178" t="str">
        <f>VLOOKUP(Tabla1[[#This Row],[Code]],[1]!Tabla4[#Data],2,FALSE)</f>
        <v>M2 Metamark M4 Mate 320M Gris Ligero 0,61 x 50m</v>
      </c>
      <c r="C1178">
        <v>24</v>
      </c>
      <c r="D1178" t="s">
        <v>96</v>
      </c>
      <c r="E1178" t="str">
        <f>VLOOKUP(Tabla1[[#This Row],[Cód. Atributo]],[1]!Tabla5[#Data],6,FALSE)</f>
        <v>Select</v>
      </c>
      <c r="F1178">
        <v>6</v>
      </c>
      <c r="G1178">
        <v>2</v>
      </c>
      <c r="H1178" t="s">
        <v>266</v>
      </c>
      <c r="I1178" t="str">
        <f>VLOOKUP(Tabla1[[#This Row],[Code]],'[1]Articulos Precio'!$A:$E,5,FALSE)</f>
        <v>A0000352</v>
      </c>
    </row>
    <row r="1179" spans="1:9" x14ac:dyDescent="0.25">
      <c r="A1179" t="s">
        <v>401</v>
      </c>
      <c r="B1179" t="str">
        <f>VLOOKUP(Tabla1[[#This Row],[Code]],[1]!Tabla4[#Data],2,FALSE)</f>
        <v>M2 Metamark M4 Mate 320M Gris Ligero 1,22 x 50m</v>
      </c>
      <c r="C1179">
        <v>8</v>
      </c>
      <c r="D1179" t="s">
        <v>86</v>
      </c>
      <c r="E1179" t="str">
        <f>VLOOKUP(Tabla1[[#This Row],[Cód. Atributo]],[1]!Tabla5[#Data],6,FALSE)</f>
        <v>Select</v>
      </c>
      <c r="F1179">
        <v>1</v>
      </c>
      <c r="G1179">
        <v>2</v>
      </c>
      <c r="H1179" t="s">
        <v>268</v>
      </c>
      <c r="I1179" t="str">
        <f>VLOOKUP(Tabla1[[#This Row],[Code]],'[1]Articulos Precio'!$A:$E,5,FALSE)</f>
        <v>A0000352</v>
      </c>
    </row>
    <row r="1180" spans="1:9" x14ac:dyDescent="0.25">
      <c r="A1180" t="s">
        <v>401</v>
      </c>
      <c r="B1180" t="str">
        <f>VLOOKUP(Tabla1[[#This Row],[Code]],[1]!Tabla4[#Data],2,FALSE)</f>
        <v>M2 Metamark M4 Mate 320M Gris Ligero 1,22 x 50m</v>
      </c>
      <c r="C1180">
        <v>22</v>
      </c>
      <c r="D1180" t="s">
        <v>393</v>
      </c>
      <c r="E1180" t="str">
        <f>VLOOKUP(Tabla1[[#This Row],[Cód. Atributo]],[1]!Tabla5[#Data],6,FALSE)</f>
        <v>Color</v>
      </c>
      <c r="F1180">
        <v>2</v>
      </c>
      <c r="G1180">
        <v>3</v>
      </c>
      <c r="H1180" t="s">
        <v>400</v>
      </c>
      <c r="I1180" t="str">
        <f>VLOOKUP(Tabla1[[#This Row],[Code]],'[1]Articulos Precio'!$A:$E,5,FALSE)</f>
        <v>A0000352</v>
      </c>
    </row>
    <row r="1181" spans="1:9" x14ac:dyDescent="0.25">
      <c r="A1181" t="s">
        <v>401</v>
      </c>
      <c r="B1181" t="str">
        <f>VLOOKUP(Tabla1[[#This Row],[Code]],[1]!Tabla4[#Data],2,FALSE)</f>
        <v>M2 Metamark M4 Mate 320M Gris Ligero 1,22 x 50m</v>
      </c>
      <c r="C1181">
        <v>23</v>
      </c>
      <c r="D1181" t="s">
        <v>90</v>
      </c>
      <c r="E1181" t="str">
        <f>VLOOKUP(Tabla1[[#This Row],[Cód. Atributo]],[1]!Tabla5[#Data],6,FALSE)</f>
        <v>Select</v>
      </c>
      <c r="F1181">
        <v>3</v>
      </c>
      <c r="G1181">
        <v>1</v>
      </c>
      <c r="H1181" t="s">
        <v>110</v>
      </c>
      <c r="I1181" t="str">
        <f>VLOOKUP(Tabla1[[#This Row],[Code]],'[1]Articulos Precio'!$A:$E,5,FALSE)</f>
        <v>A0000352</v>
      </c>
    </row>
    <row r="1182" spans="1:9" x14ac:dyDescent="0.25">
      <c r="A1182" t="s">
        <v>401</v>
      </c>
      <c r="B1182" t="str">
        <f>VLOOKUP(Tabla1[[#This Row],[Code]],[1]!Tabla4[#Data],2,FALSE)</f>
        <v>M2 Metamark M4 Mate 320M Gris Ligero 1,22 x 50m</v>
      </c>
      <c r="C1182">
        <v>25</v>
      </c>
      <c r="D1182" t="s">
        <v>94</v>
      </c>
      <c r="E1182" t="str">
        <f>VLOOKUP(Tabla1[[#This Row],[Cód. Atributo]],[1]!Tabla5[#Data],6,FALSE)</f>
        <v>Select</v>
      </c>
      <c r="F1182">
        <v>4</v>
      </c>
      <c r="G1182">
        <v>2</v>
      </c>
      <c r="H1182" t="s">
        <v>111</v>
      </c>
      <c r="I1182" t="str">
        <f>VLOOKUP(Tabla1[[#This Row],[Code]],'[1]Articulos Precio'!$A:$E,5,FALSE)</f>
        <v>A0000352</v>
      </c>
    </row>
    <row r="1183" spans="1:9" x14ac:dyDescent="0.25">
      <c r="A1183" t="s">
        <v>401</v>
      </c>
      <c r="B1183" t="str">
        <f>VLOOKUP(Tabla1[[#This Row],[Code]],[1]!Tabla4[#Data],2,FALSE)</f>
        <v>M2 Metamark M4 Mate 320M Gris Ligero 1,22 x 50m</v>
      </c>
      <c r="C1183">
        <v>28</v>
      </c>
      <c r="D1183" t="s">
        <v>92</v>
      </c>
      <c r="E1183" t="str">
        <f>VLOOKUP(Tabla1[[#This Row],[Cód. Atributo]],[1]!Tabla5[#Data],6,FALSE)</f>
        <v>Select</v>
      </c>
      <c r="F1183">
        <v>5</v>
      </c>
      <c r="G1183">
        <v>2</v>
      </c>
      <c r="H1183" t="s">
        <v>102</v>
      </c>
      <c r="I1183" t="str">
        <f>VLOOKUP(Tabla1[[#This Row],[Code]],'[1]Articulos Precio'!$A:$E,5,FALSE)</f>
        <v>A0000352</v>
      </c>
    </row>
    <row r="1184" spans="1:9" x14ac:dyDescent="0.25">
      <c r="A1184" t="s">
        <v>401</v>
      </c>
      <c r="B1184" t="str">
        <f>VLOOKUP(Tabla1[[#This Row],[Code]],[1]!Tabla4[#Data],2,FALSE)</f>
        <v>M2 Metamark M4 Mate 320M Gris Ligero 1,22 x 50m</v>
      </c>
      <c r="C1184">
        <v>24</v>
      </c>
      <c r="D1184" t="s">
        <v>96</v>
      </c>
      <c r="E1184" t="str">
        <f>VLOOKUP(Tabla1[[#This Row],[Cód. Atributo]],[1]!Tabla5[#Data],6,FALSE)</f>
        <v>Select</v>
      </c>
      <c r="F1184">
        <v>6</v>
      </c>
      <c r="G1184">
        <v>2</v>
      </c>
      <c r="H1184" t="s">
        <v>266</v>
      </c>
      <c r="I1184" t="str">
        <f>VLOOKUP(Tabla1[[#This Row],[Code]],'[1]Articulos Precio'!$A:$E,5,FALSE)</f>
        <v>A0000352</v>
      </c>
    </row>
    <row r="1185" spans="1:9" x14ac:dyDescent="0.25">
      <c r="A1185" t="s">
        <v>402</v>
      </c>
      <c r="B1185" t="str">
        <f>VLOOKUP(Tabla1[[#This Row],[Code]],[1]!Tabla4[#Data],2,FALSE)</f>
        <v>M2 Metamark M4 Mate 324M Gris Oscuro 0,61 x 50m</v>
      </c>
      <c r="C1185">
        <v>8</v>
      </c>
      <c r="D1185" t="s">
        <v>86</v>
      </c>
      <c r="E1185" t="str">
        <f>VLOOKUP(Tabla1[[#This Row],[Cód. Atributo]],[1]!Tabla5[#Data],6,FALSE)</f>
        <v>Select</v>
      </c>
      <c r="F1185">
        <v>1</v>
      </c>
      <c r="G1185">
        <v>1</v>
      </c>
      <c r="H1185" t="s">
        <v>263</v>
      </c>
      <c r="I1185" t="str">
        <f>VLOOKUP(Tabla1[[#This Row],[Code]],'[1]Articulos Precio'!$A:$E,5,FALSE)</f>
        <v>A0000352</v>
      </c>
    </row>
    <row r="1186" spans="1:9" x14ac:dyDescent="0.25">
      <c r="A1186" t="s">
        <v>402</v>
      </c>
      <c r="B1186" t="str">
        <f>VLOOKUP(Tabla1[[#This Row],[Code]],[1]!Tabla4[#Data],2,FALSE)</f>
        <v>M2 Metamark M4 Mate 324M Gris Oscuro 0,61 x 50m</v>
      </c>
      <c r="C1186">
        <v>22</v>
      </c>
      <c r="D1186" t="s">
        <v>393</v>
      </c>
      <c r="E1186" t="str">
        <f>VLOOKUP(Tabla1[[#This Row],[Cód. Atributo]],[1]!Tabla5[#Data],6,FALSE)</f>
        <v>Color</v>
      </c>
      <c r="F1186">
        <v>2</v>
      </c>
      <c r="G1186">
        <v>4</v>
      </c>
      <c r="H1186" t="s">
        <v>403</v>
      </c>
      <c r="I1186" t="str">
        <f>VLOOKUP(Tabla1[[#This Row],[Code]],'[1]Articulos Precio'!$A:$E,5,FALSE)</f>
        <v>A0000352</v>
      </c>
    </row>
    <row r="1187" spans="1:9" x14ac:dyDescent="0.25">
      <c r="A1187" t="s">
        <v>402</v>
      </c>
      <c r="B1187" t="str">
        <f>VLOOKUP(Tabla1[[#This Row],[Code]],[1]!Tabla4[#Data],2,FALSE)</f>
        <v>M2 Metamark M4 Mate 324M Gris Oscuro 0,61 x 50m</v>
      </c>
      <c r="C1187">
        <v>23</v>
      </c>
      <c r="D1187" t="s">
        <v>90</v>
      </c>
      <c r="E1187" t="str">
        <f>VLOOKUP(Tabla1[[#This Row],[Cód. Atributo]],[1]!Tabla5[#Data],6,FALSE)</f>
        <v>Select</v>
      </c>
      <c r="F1187">
        <v>3</v>
      </c>
      <c r="G1187">
        <v>1</v>
      </c>
      <c r="H1187" t="s">
        <v>110</v>
      </c>
      <c r="I1187" t="str">
        <f>VLOOKUP(Tabla1[[#This Row],[Code]],'[1]Articulos Precio'!$A:$E,5,FALSE)</f>
        <v>A0000352</v>
      </c>
    </row>
    <row r="1188" spans="1:9" x14ac:dyDescent="0.25">
      <c r="A1188" t="s">
        <v>402</v>
      </c>
      <c r="B1188" t="str">
        <f>VLOOKUP(Tabla1[[#This Row],[Code]],[1]!Tabla4[#Data],2,FALSE)</f>
        <v>M2 Metamark M4 Mate 324M Gris Oscuro 0,61 x 50m</v>
      </c>
      <c r="C1188">
        <v>25</v>
      </c>
      <c r="D1188" t="s">
        <v>94</v>
      </c>
      <c r="E1188" t="str">
        <f>VLOOKUP(Tabla1[[#This Row],[Cód. Atributo]],[1]!Tabla5[#Data],6,FALSE)</f>
        <v>Select</v>
      </c>
      <c r="F1188">
        <v>4</v>
      </c>
      <c r="G1188">
        <v>2</v>
      </c>
      <c r="H1188" t="s">
        <v>111</v>
      </c>
      <c r="I1188" t="str">
        <f>VLOOKUP(Tabla1[[#This Row],[Code]],'[1]Articulos Precio'!$A:$E,5,FALSE)</f>
        <v>A0000352</v>
      </c>
    </row>
    <row r="1189" spans="1:9" x14ac:dyDescent="0.25">
      <c r="A1189" t="s">
        <v>402</v>
      </c>
      <c r="B1189" t="str">
        <f>VLOOKUP(Tabla1[[#This Row],[Code]],[1]!Tabla4[#Data],2,FALSE)</f>
        <v>M2 Metamark M4 Mate 324M Gris Oscuro 0,61 x 50m</v>
      </c>
      <c r="C1189">
        <v>28</v>
      </c>
      <c r="D1189" t="s">
        <v>92</v>
      </c>
      <c r="E1189" t="str">
        <f>VLOOKUP(Tabla1[[#This Row],[Cód. Atributo]],[1]!Tabla5[#Data],6,FALSE)</f>
        <v>Select</v>
      </c>
      <c r="F1189">
        <v>5</v>
      </c>
      <c r="G1189">
        <v>2</v>
      </c>
      <c r="H1189" t="s">
        <v>102</v>
      </c>
      <c r="I1189" t="str">
        <f>VLOOKUP(Tabla1[[#This Row],[Code]],'[1]Articulos Precio'!$A:$E,5,FALSE)</f>
        <v>A0000352</v>
      </c>
    </row>
    <row r="1190" spans="1:9" x14ac:dyDescent="0.25">
      <c r="A1190" t="s">
        <v>402</v>
      </c>
      <c r="B1190" t="str">
        <f>VLOOKUP(Tabla1[[#This Row],[Code]],[1]!Tabla4[#Data],2,FALSE)</f>
        <v>M2 Metamark M4 Mate 324M Gris Oscuro 0,61 x 50m</v>
      </c>
      <c r="C1190">
        <v>24</v>
      </c>
      <c r="D1190" t="s">
        <v>96</v>
      </c>
      <c r="E1190" t="str">
        <f>VLOOKUP(Tabla1[[#This Row],[Cód. Atributo]],[1]!Tabla5[#Data],6,FALSE)</f>
        <v>Select</v>
      </c>
      <c r="F1190">
        <v>6</v>
      </c>
      <c r="G1190">
        <v>2</v>
      </c>
      <c r="H1190" t="s">
        <v>266</v>
      </c>
      <c r="I1190" t="str">
        <f>VLOOKUP(Tabla1[[#This Row],[Code]],'[1]Articulos Precio'!$A:$E,5,FALSE)</f>
        <v>A0000352</v>
      </c>
    </row>
    <row r="1191" spans="1:9" x14ac:dyDescent="0.25">
      <c r="A1191" t="s">
        <v>404</v>
      </c>
      <c r="B1191" t="str">
        <f>VLOOKUP(Tabla1[[#This Row],[Code]],[1]!Tabla4[#Data],2,FALSE)</f>
        <v>M2 Metamark M4 Mate 324M Gris Oscuro 1,22 x 50m</v>
      </c>
      <c r="C1191">
        <v>8</v>
      </c>
      <c r="D1191" t="s">
        <v>86</v>
      </c>
      <c r="E1191" t="str">
        <f>VLOOKUP(Tabla1[[#This Row],[Cód. Atributo]],[1]!Tabla5[#Data],6,FALSE)</f>
        <v>Select</v>
      </c>
      <c r="F1191">
        <v>1</v>
      </c>
      <c r="G1191">
        <v>2</v>
      </c>
      <c r="H1191" t="s">
        <v>268</v>
      </c>
      <c r="I1191" t="str">
        <f>VLOOKUP(Tabla1[[#This Row],[Code]],'[1]Articulos Precio'!$A:$E,5,FALSE)</f>
        <v>A0000352</v>
      </c>
    </row>
    <row r="1192" spans="1:9" x14ac:dyDescent="0.25">
      <c r="A1192" t="s">
        <v>404</v>
      </c>
      <c r="B1192" t="str">
        <f>VLOOKUP(Tabla1[[#This Row],[Code]],[1]!Tabla4[#Data],2,FALSE)</f>
        <v>M2 Metamark M4 Mate 324M Gris Oscuro 1,22 x 50m</v>
      </c>
      <c r="C1192">
        <v>22</v>
      </c>
      <c r="D1192" t="s">
        <v>393</v>
      </c>
      <c r="E1192" t="str">
        <f>VLOOKUP(Tabla1[[#This Row],[Cód. Atributo]],[1]!Tabla5[#Data],6,FALSE)</f>
        <v>Color</v>
      </c>
      <c r="F1192">
        <v>2</v>
      </c>
      <c r="G1192">
        <v>4</v>
      </c>
      <c r="H1192" t="s">
        <v>403</v>
      </c>
      <c r="I1192" t="str">
        <f>VLOOKUP(Tabla1[[#This Row],[Code]],'[1]Articulos Precio'!$A:$E,5,FALSE)</f>
        <v>A0000352</v>
      </c>
    </row>
    <row r="1193" spans="1:9" x14ac:dyDescent="0.25">
      <c r="A1193" t="s">
        <v>404</v>
      </c>
      <c r="B1193" t="str">
        <f>VLOOKUP(Tabla1[[#This Row],[Code]],[1]!Tabla4[#Data],2,FALSE)</f>
        <v>M2 Metamark M4 Mate 324M Gris Oscuro 1,22 x 50m</v>
      </c>
      <c r="C1193">
        <v>23</v>
      </c>
      <c r="D1193" t="s">
        <v>90</v>
      </c>
      <c r="E1193" t="str">
        <f>VLOOKUP(Tabla1[[#This Row],[Cód. Atributo]],[1]!Tabla5[#Data],6,FALSE)</f>
        <v>Select</v>
      </c>
      <c r="F1193">
        <v>3</v>
      </c>
      <c r="G1193">
        <v>1</v>
      </c>
      <c r="H1193" t="s">
        <v>110</v>
      </c>
      <c r="I1193" t="str">
        <f>VLOOKUP(Tabla1[[#This Row],[Code]],'[1]Articulos Precio'!$A:$E,5,FALSE)</f>
        <v>A0000352</v>
      </c>
    </row>
    <row r="1194" spans="1:9" x14ac:dyDescent="0.25">
      <c r="A1194" t="s">
        <v>404</v>
      </c>
      <c r="B1194" t="str">
        <f>VLOOKUP(Tabla1[[#This Row],[Code]],[1]!Tabla4[#Data],2,FALSE)</f>
        <v>M2 Metamark M4 Mate 324M Gris Oscuro 1,22 x 50m</v>
      </c>
      <c r="C1194">
        <v>25</v>
      </c>
      <c r="D1194" t="s">
        <v>94</v>
      </c>
      <c r="E1194" t="str">
        <f>VLOOKUP(Tabla1[[#This Row],[Cód. Atributo]],[1]!Tabla5[#Data],6,FALSE)</f>
        <v>Select</v>
      </c>
      <c r="F1194">
        <v>4</v>
      </c>
      <c r="G1194">
        <v>2</v>
      </c>
      <c r="H1194" t="s">
        <v>111</v>
      </c>
      <c r="I1194" t="str">
        <f>VLOOKUP(Tabla1[[#This Row],[Code]],'[1]Articulos Precio'!$A:$E,5,FALSE)</f>
        <v>A0000352</v>
      </c>
    </row>
    <row r="1195" spans="1:9" x14ac:dyDescent="0.25">
      <c r="A1195" t="s">
        <v>404</v>
      </c>
      <c r="B1195" t="str">
        <f>VLOOKUP(Tabla1[[#This Row],[Code]],[1]!Tabla4[#Data],2,FALSE)</f>
        <v>M2 Metamark M4 Mate 324M Gris Oscuro 1,22 x 50m</v>
      </c>
      <c r="C1195">
        <v>28</v>
      </c>
      <c r="D1195" t="s">
        <v>92</v>
      </c>
      <c r="E1195" t="str">
        <f>VLOOKUP(Tabla1[[#This Row],[Cód. Atributo]],[1]!Tabla5[#Data],6,FALSE)</f>
        <v>Select</v>
      </c>
      <c r="F1195">
        <v>5</v>
      </c>
      <c r="G1195">
        <v>2</v>
      </c>
      <c r="H1195" t="s">
        <v>102</v>
      </c>
      <c r="I1195" t="str">
        <f>VLOOKUP(Tabla1[[#This Row],[Code]],'[1]Articulos Precio'!$A:$E,5,FALSE)</f>
        <v>A0000352</v>
      </c>
    </row>
    <row r="1196" spans="1:9" x14ac:dyDescent="0.25">
      <c r="A1196" t="s">
        <v>404</v>
      </c>
      <c r="B1196" t="str">
        <f>VLOOKUP(Tabla1[[#This Row],[Code]],[1]!Tabla4[#Data],2,FALSE)</f>
        <v>M2 Metamark M4 Mate 324M Gris Oscuro 1,22 x 50m</v>
      </c>
      <c r="C1196">
        <v>24</v>
      </c>
      <c r="D1196" t="s">
        <v>96</v>
      </c>
      <c r="E1196" t="str">
        <f>VLOOKUP(Tabla1[[#This Row],[Cód. Atributo]],[1]!Tabla5[#Data],6,FALSE)</f>
        <v>Select</v>
      </c>
      <c r="F1196">
        <v>6</v>
      </c>
      <c r="G1196">
        <v>2</v>
      </c>
      <c r="H1196" t="s">
        <v>266</v>
      </c>
      <c r="I1196" t="str">
        <f>VLOOKUP(Tabla1[[#This Row],[Code]],'[1]Articulos Precio'!$A:$E,5,FALSE)</f>
        <v>A0000352</v>
      </c>
    </row>
    <row r="1197" spans="1:9" x14ac:dyDescent="0.25">
      <c r="A1197" t="s">
        <v>405</v>
      </c>
      <c r="B1197" t="str">
        <f>VLOOKUP(Tabla1[[#This Row],[Code]],[1]!Tabla4[#Data],2,FALSE)</f>
        <v>M2 Metamark M4 Mate 330M Amarillo Limón 0,61 x 50m</v>
      </c>
      <c r="C1197">
        <v>8</v>
      </c>
      <c r="D1197" t="s">
        <v>86</v>
      </c>
      <c r="E1197" t="str">
        <f>VLOOKUP(Tabla1[[#This Row],[Cód. Atributo]],[1]!Tabla5[#Data],6,FALSE)</f>
        <v>Select</v>
      </c>
      <c r="F1197">
        <v>1</v>
      </c>
      <c r="G1197">
        <v>1</v>
      </c>
      <c r="H1197" t="s">
        <v>263</v>
      </c>
      <c r="I1197" t="str">
        <f>VLOOKUP(Tabla1[[#This Row],[Code]],'[1]Articulos Precio'!$A:$E,5,FALSE)</f>
        <v>A0000352</v>
      </c>
    </row>
    <row r="1198" spans="1:9" x14ac:dyDescent="0.25">
      <c r="A1198" t="s">
        <v>405</v>
      </c>
      <c r="B1198" t="str">
        <f>VLOOKUP(Tabla1[[#This Row],[Code]],[1]!Tabla4[#Data],2,FALSE)</f>
        <v>M2 Metamark M4 Mate 330M Amarillo Limón 0,61 x 50m</v>
      </c>
      <c r="C1198">
        <v>22</v>
      </c>
      <c r="D1198" t="s">
        <v>393</v>
      </c>
      <c r="E1198" t="str">
        <f>VLOOKUP(Tabla1[[#This Row],[Cód. Atributo]],[1]!Tabla5[#Data],6,FALSE)</f>
        <v>Color</v>
      </c>
      <c r="F1198">
        <v>2</v>
      </c>
      <c r="G1198">
        <v>5</v>
      </c>
      <c r="H1198" t="s">
        <v>406</v>
      </c>
      <c r="I1198" t="str">
        <f>VLOOKUP(Tabla1[[#This Row],[Code]],'[1]Articulos Precio'!$A:$E,5,FALSE)</f>
        <v>A0000352</v>
      </c>
    </row>
    <row r="1199" spans="1:9" x14ac:dyDescent="0.25">
      <c r="A1199" t="s">
        <v>405</v>
      </c>
      <c r="B1199" t="str">
        <f>VLOOKUP(Tabla1[[#This Row],[Code]],[1]!Tabla4[#Data],2,FALSE)</f>
        <v>M2 Metamark M4 Mate 330M Amarillo Limón 0,61 x 50m</v>
      </c>
      <c r="C1199">
        <v>23</v>
      </c>
      <c r="D1199" t="s">
        <v>90</v>
      </c>
      <c r="E1199" t="str">
        <f>VLOOKUP(Tabla1[[#This Row],[Cód. Atributo]],[1]!Tabla5[#Data],6,FALSE)</f>
        <v>Select</v>
      </c>
      <c r="F1199">
        <v>3</v>
      </c>
      <c r="G1199">
        <v>1</v>
      </c>
      <c r="H1199" t="s">
        <v>110</v>
      </c>
      <c r="I1199" t="str">
        <f>VLOOKUP(Tabla1[[#This Row],[Code]],'[1]Articulos Precio'!$A:$E,5,FALSE)</f>
        <v>A0000352</v>
      </c>
    </row>
    <row r="1200" spans="1:9" x14ac:dyDescent="0.25">
      <c r="A1200" t="s">
        <v>405</v>
      </c>
      <c r="B1200" t="str">
        <f>VLOOKUP(Tabla1[[#This Row],[Code]],[1]!Tabla4[#Data],2,FALSE)</f>
        <v>M2 Metamark M4 Mate 330M Amarillo Limón 0,61 x 50m</v>
      </c>
      <c r="C1200">
        <v>25</v>
      </c>
      <c r="D1200" t="s">
        <v>94</v>
      </c>
      <c r="E1200" t="str">
        <f>VLOOKUP(Tabla1[[#This Row],[Cód. Atributo]],[1]!Tabla5[#Data],6,FALSE)</f>
        <v>Select</v>
      </c>
      <c r="F1200">
        <v>4</v>
      </c>
      <c r="G1200">
        <v>2</v>
      </c>
      <c r="H1200" t="s">
        <v>111</v>
      </c>
      <c r="I1200" t="str">
        <f>VLOOKUP(Tabla1[[#This Row],[Code]],'[1]Articulos Precio'!$A:$E,5,FALSE)</f>
        <v>A0000352</v>
      </c>
    </row>
    <row r="1201" spans="1:9" x14ac:dyDescent="0.25">
      <c r="A1201" t="s">
        <v>405</v>
      </c>
      <c r="B1201" t="str">
        <f>VLOOKUP(Tabla1[[#This Row],[Code]],[1]!Tabla4[#Data],2,FALSE)</f>
        <v>M2 Metamark M4 Mate 330M Amarillo Limón 0,61 x 50m</v>
      </c>
      <c r="C1201">
        <v>28</v>
      </c>
      <c r="D1201" t="s">
        <v>92</v>
      </c>
      <c r="E1201" t="str">
        <f>VLOOKUP(Tabla1[[#This Row],[Cód. Atributo]],[1]!Tabla5[#Data],6,FALSE)</f>
        <v>Select</v>
      </c>
      <c r="F1201">
        <v>5</v>
      </c>
      <c r="G1201">
        <v>2</v>
      </c>
      <c r="H1201" t="s">
        <v>102</v>
      </c>
      <c r="I1201" t="str">
        <f>VLOOKUP(Tabla1[[#This Row],[Code]],'[1]Articulos Precio'!$A:$E,5,FALSE)</f>
        <v>A0000352</v>
      </c>
    </row>
    <row r="1202" spans="1:9" x14ac:dyDescent="0.25">
      <c r="A1202" t="s">
        <v>405</v>
      </c>
      <c r="B1202" t="str">
        <f>VLOOKUP(Tabla1[[#This Row],[Code]],[1]!Tabla4[#Data],2,FALSE)</f>
        <v>M2 Metamark M4 Mate 330M Amarillo Limón 0,61 x 50m</v>
      </c>
      <c r="C1202">
        <v>24</v>
      </c>
      <c r="D1202" t="s">
        <v>96</v>
      </c>
      <c r="E1202" t="str">
        <f>VLOOKUP(Tabla1[[#This Row],[Cód. Atributo]],[1]!Tabla5[#Data],6,FALSE)</f>
        <v>Select</v>
      </c>
      <c r="F1202">
        <v>6</v>
      </c>
      <c r="G1202">
        <v>2</v>
      </c>
      <c r="H1202" t="s">
        <v>266</v>
      </c>
      <c r="I1202" t="str">
        <f>VLOOKUP(Tabla1[[#This Row],[Code]],'[1]Articulos Precio'!$A:$E,5,FALSE)</f>
        <v>A0000352</v>
      </c>
    </row>
    <row r="1203" spans="1:9" x14ac:dyDescent="0.25">
      <c r="A1203" t="s">
        <v>407</v>
      </c>
      <c r="B1203" t="str">
        <f>VLOOKUP(Tabla1[[#This Row],[Code]],[1]!Tabla4[#Data],2,FALSE)</f>
        <v>M2 Metamark M4 Mate 330M Amarillo Limón 1,22 x 50m</v>
      </c>
      <c r="C1203">
        <v>8</v>
      </c>
      <c r="D1203" t="s">
        <v>86</v>
      </c>
      <c r="E1203" t="str">
        <f>VLOOKUP(Tabla1[[#This Row],[Cód. Atributo]],[1]!Tabla5[#Data],6,FALSE)</f>
        <v>Select</v>
      </c>
      <c r="F1203">
        <v>1</v>
      </c>
      <c r="G1203">
        <v>2</v>
      </c>
      <c r="H1203" t="s">
        <v>268</v>
      </c>
      <c r="I1203" t="str">
        <f>VLOOKUP(Tabla1[[#This Row],[Code]],'[1]Articulos Precio'!$A:$E,5,FALSE)</f>
        <v>A0000352</v>
      </c>
    </row>
    <row r="1204" spans="1:9" x14ac:dyDescent="0.25">
      <c r="A1204" t="s">
        <v>407</v>
      </c>
      <c r="B1204" t="str">
        <f>VLOOKUP(Tabla1[[#This Row],[Code]],[1]!Tabla4[#Data],2,FALSE)</f>
        <v>M2 Metamark M4 Mate 330M Amarillo Limón 1,22 x 50m</v>
      </c>
      <c r="C1204">
        <v>22</v>
      </c>
      <c r="D1204" t="s">
        <v>393</v>
      </c>
      <c r="E1204" t="str">
        <f>VLOOKUP(Tabla1[[#This Row],[Cód. Atributo]],[1]!Tabla5[#Data],6,FALSE)</f>
        <v>Color</v>
      </c>
      <c r="F1204">
        <v>2</v>
      </c>
      <c r="G1204">
        <v>5</v>
      </c>
      <c r="H1204" t="s">
        <v>406</v>
      </c>
      <c r="I1204" t="str">
        <f>VLOOKUP(Tabla1[[#This Row],[Code]],'[1]Articulos Precio'!$A:$E,5,FALSE)</f>
        <v>A0000352</v>
      </c>
    </row>
    <row r="1205" spans="1:9" x14ac:dyDescent="0.25">
      <c r="A1205" t="s">
        <v>407</v>
      </c>
      <c r="B1205" t="str">
        <f>VLOOKUP(Tabla1[[#This Row],[Code]],[1]!Tabla4[#Data],2,FALSE)</f>
        <v>M2 Metamark M4 Mate 330M Amarillo Limón 1,22 x 50m</v>
      </c>
      <c r="C1205">
        <v>23</v>
      </c>
      <c r="D1205" t="s">
        <v>90</v>
      </c>
      <c r="E1205" t="str">
        <f>VLOOKUP(Tabla1[[#This Row],[Cód. Atributo]],[1]!Tabla5[#Data],6,FALSE)</f>
        <v>Select</v>
      </c>
      <c r="F1205">
        <v>3</v>
      </c>
      <c r="G1205">
        <v>1</v>
      </c>
      <c r="H1205" t="s">
        <v>110</v>
      </c>
      <c r="I1205" t="str">
        <f>VLOOKUP(Tabla1[[#This Row],[Code]],'[1]Articulos Precio'!$A:$E,5,FALSE)</f>
        <v>A0000352</v>
      </c>
    </row>
    <row r="1206" spans="1:9" x14ac:dyDescent="0.25">
      <c r="A1206" t="s">
        <v>407</v>
      </c>
      <c r="B1206" t="str">
        <f>VLOOKUP(Tabla1[[#This Row],[Code]],[1]!Tabla4[#Data],2,FALSE)</f>
        <v>M2 Metamark M4 Mate 330M Amarillo Limón 1,22 x 50m</v>
      </c>
      <c r="C1206">
        <v>25</v>
      </c>
      <c r="D1206" t="s">
        <v>94</v>
      </c>
      <c r="E1206" t="str">
        <f>VLOOKUP(Tabla1[[#This Row],[Cód. Atributo]],[1]!Tabla5[#Data],6,FALSE)</f>
        <v>Select</v>
      </c>
      <c r="F1206">
        <v>4</v>
      </c>
      <c r="G1206">
        <v>2</v>
      </c>
      <c r="H1206" t="s">
        <v>111</v>
      </c>
      <c r="I1206" t="str">
        <f>VLOOKUP(Tabla1[[#This Row],[Code]],'[1]Articulos Precio'!$A:$E,5,FALSE)</f>
        <v>A0000352</v>
      </c>
    </row>
    <row r="1207" spans="1:9" x14ac:dyDescent="0.25">
      <c r="A1207" t="s">
        <v>407</v>
      </c>
      <c r="B1207" t="str">
        <f>VLOOKUP(Tabla1[[#This Row],[Code]],[1]!Tabla4[#Data],2,FALSE)</f>
        <v>M2 Metamark M4 Mate 330M Amarillo Limón 1,22 x 50m</v>
      </c>
      <c r="C1207">
        <v>28</v>
      </c>
      <c r="D1207" t="s">
        <v>92</v>
      </c>
      <c r="E1207" t="str">
        <f>VLOOKUP(Tabla1[[#This Row],[Cód. Atributo]],[1]!Tabla5[#Data],6,FALSE)</f>
        <v>Select</v>
      </c>
      <c r="F1207">
        <v>5</v>
      </c>
      <c r="G1207">
        <v>2</v>
      </c>
      <c r="H1207" t="s">
        <v>102</v>
      </c>
      <c r="I1207" t="str">
        <f>VLOOKUP(Tabla1[[#This Row],[Code]],'[1]Articulos Precio'!$A:$E,5,FALSE)</f>
        <v>A0000352</v>
      </c>
    </row>
    <row r="1208" spans="1:9" x14ac:dyDescent="0.25">
      <c r="A1208" t="s">
        <v>407</v>
      </c>
      <c r="B1208" t="str">
        <f>VLOOKUP(Tabla1[[#This Row],[Code]],[1]!Tabla4[#Data],2,FALSE)</f>
        <v>M2 Metamark M4 Mate 330M Amarillo Limón 1,22 x 50m</v>
      </c>
      <c r="C1208">
        <v>24</v>
      </c>
      <c r="D1208" t="s">
        <v>96</v>
      </c>
      <c r="E1208" t="str">
        <f>VLOOKUP(Tabla1[[#This Row],[Cód. Atributo]],[1]!Tabla5[#Data],6,FALSE)</f>
        <v>Select</v>
      </c>
      <c r="F1208">
        <v>6</v>
      </c>
      <c r="G1208">
        <v>2</v>
      </c>
      <c r="H1208" t="s">
        <v>266</v>
      </c>
      <c r="I1208" t="str">
        <f>VLOOKUP(Tabla1[[#This Row],[Code]],'[1]Articulos Precio'!$A:$E,5,FALSE)</f>
        <v>A0000352</v>
      </c>
    </row>
    <row r="1209" spans="1:9" x14ac:dyDescent="0.25">
      <c r="A1209" t="s">
        <v>408</v>
      </c>
      <c r="B1209" t="str">
        <f>VLOOKUP(Tabla1[[#This Row],[Code]],[1]!Tabla4[#Data],2,FALSE)</f>
        <v>M2 Metamark M4 Mate 332M Amarillo Medio 0,61 x 50m</v>
      </c>
      <c r="C1209">
        <v>8</v>
      </c>
      <c r="D1209" t="s">
        <v>86</v>
      </c>
      <c r="E1209" t="str">
        <f>VLOOKUP(Tabla1[[#This Row],[Cód. Atributo]],[1]!Tabla5[#Data],6,FALSE)</f>
        <v>Select</v>
      </c>
      <c r="F1209">
        <v>1</v>
      </c>
      <c r="G1209">
        <v>1</v>
      </c>
      <c r="H1209" t="s">
        <v>263</v>
      </c>
      <c r="I1209" t="str">
        <f>VLOOKUP(Tabla1[[#This Row],[Code]],'[1]Articulos Precio'!$A:$E,5,FALSE)</f>
        <v>A0000352</v>
      </c>
    </row>
    <row r="1210" spans="1:9" x14ac:dyDescent="0.25">
      <c r="A1210" t="s">
        <v>408</v>
      </c>
      <c r="B1210" t="str">
        <f>VLOOKUP(Tabla1[[#This Row],[Code]],[1]!Tabla4[#Data],2,FALSE)</f>
        <v>M2 Metamark M4 Mate 332M Amarillo Medio 0,61 x 50m</v>
      </c>
      <c r="C1210">
        <v>22</v>
      </c>
      <c r="D1210" t="s">
        <v>393</v>
      </c>
      <c r="E1210" t="str">
        <f>VLOOKUP(Tabla1[[#This Row],[Cód. Atributo]],[1]!Tabla5[#Data],6,FALSE)</f>
        <v>Color</v>
      </c>
      <c r="F1210">
        <v>2</v>
      </c>
      <c r="G1210">
        <v>6</v>
      </c>
      <c r="H1210" t="s">
        <v>409</v>
      </c>
      <c r="I1210" t="str">
        <f>VLOOKUP(Tabla1[[#This Row],[Code]],'[1]Articulos Precio'!$A:$E,5,FALSE)</f>
        <v>A0000352</v>
      </c>
    </row>
    <row r="1211" spans="1:9" x14ac:dyDescent="0.25">
      <c r="A1211" t="s">
        <v>408</v>
      </c>
      <c r="B1211" t="str">
        <f>VLOOKUP(Tabla1[[#This Row],[Code]],[1]!Tabla4[#Data],2,FALSE)</f>
        <v>M2 Metamark M4 Mate 332M Amarillo Medio 0,61 x 50m</v>
      </c>
      <c r="C1211">
        <v>23</v>
      </c>
      <c r="D1211" t="s">
        <v>90</v>
      </c>
      <c r="E1211" t="str">
        <f>VLOOKUP(Tabla1[[#This Row],[Cód. Atributo]],[1]!Tabla5[#Data],6,FALSE)</f>
        <v>Select</v>
      </c>
      <c r="F1211">
        <v>3</v>
      </c>
      <c r="G1211">
        <v>1</v>
      </c>
      <c r="H1211" t="s">
        <v>110</v>
      </c>
      <c r="I1211" t="str">
        <f>VLOOKUP(Tabla1[[#This Row],[Code]],'[1]Articulos Precio'!$A:$E,5,FALSE)</f>
        <v>A0000352</v>
      </c>
    </row>
    <row r="1212" spans="1:9" x14ac:dyDescent="0.25">
      <c r="A1212" t="s">
        <v>408</v>
      </c>
      <c r="B1212" t="str">
        <f>VLOOKUP(Tabla1[[#This Row],[Code]],[1]!Tabla4[#Data],2,FALSE)</f>
        <v>M2 Metamark M4 Mate 332M Amarillo Medio 0,61 x 50m</v>
      </c>
      <c r="C1212">
        <v>25</v>
      </c>
      <c r="D1212" t="s">
        <v>94</v>
      </c>
      <c r="E1212" t="str">
        <f>VLOOKUP(Tabla1[[#This Row],[Cód. Atributo]],[1]!Tabla5[#Data],6,FALSE)</f>
        <v>Select</v>
      </c>
      <c r="F1212">
        <v>4</v>
      </c>
      <c r="G1212">
        <v>2</v>
      </c>
      <c r="H1212" t="s">
        <v>111</v>
      </c>
      <c r="I1212" t="str">
        <f>VLOOKUP(Tabla1[[#This Row],[Code]],'[1]Articulos Precio'!$A:$E,5,FALSE)</f>
        <v>A0000352</v>
      </c>
    </row>
    <row r="1213" spans="1:9" x14ac:dyDescent="0.25">
      <c r="A1213" t="s">
        <v>408</v>
      </c>
      <c r="B1213" t="str">
        <f>VLOOKUP(Tabla1[[#This Row],[Code]],[1]!Tabla4[#Data],2,FALSE)</f>
        <v>M2 Metamark M4 Mate 332M Amarillo Medio 0,61 x 50m</v>
      </c>
      <c r="C1213">
        <v>28</v>
      </c>
      <c r="D1213" t="s">
        <v>92</v>
      </c>
      <c r="E1213" t="str">
        <f>VLOOKUP(Tabla1[[#This Row],[Cód. Atributo]],[1]!Tabla5[#Data],6,FALSE)</f>
        <v>Select</v>
      </c>
      <c r="F1213">
        <v>5</v>
      </c>
      <c r="G1213">
        <v>2</v>
      </c>
      <c r="H1213" t="s">
        <v>102</v>
      </c>
      <c r="I1213" t="str">
        <f>VLOOKUP(Tabla1[[#This Row],[Code]],'[1]Articulos Precio'!$A:$E,5,FALSE)</f>
        <v>A0000352</v>
      </c>
    </row>
    <row r="1214" spans="1:9" x14ac:dyDescent="0.25">
      <c r="A1214" t="s">
        <v>408</v>
      </c>
      <c r="B1214" t="str">
        <f>VLOOKUP(Tabla1[[#This Row],[Code]],[1]!Tabla4[#Data],2,FALSE)</f>
        <v>M2 Metamark M4 Mate 332M Amarillo Medio 0,61 x 50m</v>
      </c>
      <c r="C1214">
        <v>24</v>
      </c>
      <c r="D1214" t="s">
        <v>96</v>
      </c>
      <c r="E1214" t="str">
        <f>VLOOKUP(Tabla1[[#This Row],[Cód. Atributo]],[1]!Tabla5[#Data],6,FALSE)</f>
        <v>Select</v>
      </c>
      <c r="F1214">
        <v>6</v>
      </c>
      <c r="G1214">
        <v>2</v>
      </c>
      <c r="H1214" t="s">
        <v>266</v>
      </c>
      <c r="I1214" t="str">
        <f>VLOOKUP(Tabla1[[#This Row],[Code]],'[1]Articulos Precio'!$A:$E,5,FALSE)</f>
        <v>A0000352</v>
      </c>
    </row>
    <row r="1215" spans="1:9" x14ac:dyDescent="0.25">
      <c r="A1215" t="s">
        <v>410</v>
      </c>
      <c r="B1215" t="str">
        <f>VLOOKUP(Tabla1[[#This Row],[Code]],[1]!Tabla4[#Data],2,FALSE)</f>
        <v>M2 Metamark M4 Mate 332M Amarillo Medio 1,22 x 50m</v>
      </c>
      <c r="C1215">
        <v>8</v>
      </c>
      <c r="D1215" t="s">
        <v>86</v>
      </c>
      <c r="E1215" t="str">
        <f>VLOOKUP(Tabla1[[#This Row],[Cód. Atributo]],[1]!Tabla5[#Data],6,FALSE)</f>
        <v>Select</v>
      </c>
      <c r="F1215">
        <v>1</v>
      </c>
      <c r="G1215">
        <v>2</v>
      </c>
      <c r="H1215" t="s">
        <v>268</v>
      </c>
      <c r="I1215" t="str">
        <f>VLOOKUP(Tabla1[[#This Row],[Code]],'[1]Articulos Precio'!$A:$E,5,FALSE)</f>
        <v>A0000352</v>
      </c>
    </row>
    <row r="1216" spans="1:9" x14ac:dyDescent="0.25">
      <c r="A1216" t="s">
        <v>410</v>
      </c>
      <c r="B1216" t="str">
        <f>VLOOKUP(Tabla1[[#This Row],[Code]],[1]!Tabla4[#Data],2,FALSE)</f>
        <v>M2 Metamark M4 Mate 332M Amarillo Medio 1,22 x 50m</v>
      </c>
      <c r="C1216">
        <v>22</v>
      </c>
      <c r="D1216" t="s">
        <v>393</v>
      </c>
      <c r="E1216" t="str">
        <f>VLOOKUP(Tabla1[[#This Row],[Cód. Atributo]],[1]!Tabla5[#Data],6,FALSE)</f>
        <v>Color</v>
      </c>
      <c r="F1216">
        <v>2</v>
      </c>
      <c r="G1216">
        <v>6</v>
      </c>
      <c r="H1216" t="s">
        <v>409</v>
      </c>
      <c r="I1216" t="str">
        <f>VLOOKUP(Tabla1[[#This Row],[Code]],'[1]Articulos Precio'!$A:$E,5,FALSE)</f>
        <v>A0000352</v>
      </c>
    </row>
    <row r="1217" spans="1:9" x14ac:dyDescent="0.25">
      <c r="A1217" t="s">
        <v>410</v>
      </c>
      <c r="B1217" t="str">
        <f>VLOOKUP(Tabla1[[#This Row],[Code]],[1]!Tabla4[#Data],2,FALSE)</f>
        <v>M2 Metamark M4 Mate 332M Amarillo Medio 1,22 x 50m</v>
      </c>
      <c r="C1217">
        <v>23</v>
      </c>
      <c r="D1217" t="s">
        <v>90</v>
      </c>
      <c r="E1217" t="str">
        <f>VLOOKUP(Tabla1[[#This Row],[Cód. Atributo]],[1]!Tabla5[#Data],6,FALSE)</f>
        <v>Select</v>
      </c>
      <c r="F1217">
        <v>3</v>
      </c>
      <c r="G1217">
        <v>1</v>
      </c>
      <c r="H1217" t="s">
        <v>110</v>
      </c>
      <c r="I1217" t="str">
        <f>VLOOKUP(Tabla1[[#This Row],[Code]],'[1]Articulos Precio'!$A:$E,5,FALSE)</f>
        <v>A0000352</v>
      </c>
    </row>
    <row r="1218" spans="1:9" x14ac:dyDescent="0.25">
      <c r="A1218" t="s">
        <v>410</v>
      </c>
      <c r="B1218" t="str">
        <f>VLOOKUP(Tabla1[[#This Row],[Code]],[1]!Tabla4[#Data],2,FALSE)</f>
        <v>M2 Metamark M4 Mate 332M Amarillo Medio 1,22 x 50m</v>
      </c>
      <c r="C1218">
        <v>25</v>
      </c>
      <c r="D1218" t="s">
        <v>94</v>
      </c>
      <c r="E1218" t="str">
        <f>VLOOKUP(Tabla1[[#This Row],[Cód. Atributo]],[1]!Tabla5[#Data],6,FALSE)</f>
        <v>Select</v>
      </c>
      <c r="F1218">
        <v>4</v>
      </c>
      <c r="G1218">
        <v>2</v>
      </c>
      <c r="H1218" t="s">
        <v>111</v>
      </c>
      <c r="I1218" t="str">
        <f>VLOOKUP(Tabla1[[#This Row],[Code]],'[1]Articulos Precio'!$A:$E,5,FALSE)</f>
        <v>A0000352</v>
      </c>
    </row>
    <row r="1219" spans="1:9" x14ac:dyDescent="0.25">
      <c r="A1219" t="s">
        <v>410</v>
      </c>
      <c r="B1219" t="str">
        <f>VLOOKUP(Tabla1[[#This Row],[Code]],[1]!Tabla4[#Data],2,FALSE)</f>
        <v>M2 Metamark M4 Mate 332M Amarillo Medio 1,22 x 50m</v>
      </c>
      <c r="C1219">
        <v>28</v>
      </c>
      <c r="D1219" t="s">
        <v>92</v>
      </c>
      <c r="E1219" t="str">
        <f>VLOOKUP(Tabla1[[#This Row],[Cód. Atributo]],[1]!Tabla5[#Data],6,FALSE)</f>
        <v>Select</v>
      </c>
      <c r="F1219">
        <v>5</v>
      </c>
      <c r="G1219">
        <v>2</v>
      </c>
      <c r="H1219" t="s">
        <v>102</v>
      </c>
      <c r="I1219" t="str">
        <f>VLOOKUP(Tabla1[[#This Row],[Code]],'[1]Articulos Precio'!$A:$E,5,FALSE)</f>
        <v>A0000352</v>
      </c>
    </row>
    <row r="1220" spans="1:9" x14ac:dyDescent="0.25">
      <c r="A1220" t="s">
        <v>410</v>
      </c>
      <c r="B1220" t="str">
        <f>VLOOKUP(Tabla1[[#This Row],[Code]],[1]!Tabla4[#Data],2,FALSE)</f>
        <v>M2 Metamark M4 Mate 332M Amarillo Medio 1,22 x 50m</v>
      </c>
      <c r="C1220">
        <v>24</v>
      </c>
      <c r="D1220" t="s">
        <v>96</v>
      </c>
      <c r="E1220" t="str">
        <f>VLOOKUP(Tabla1[[#This Row],[Cód. Atributo]],[1]!Tabla5[#Data],6,FALSE)</f>
        <v>Select</v>
      </c>
      <c r="F1220">
        <v>6</v>
      </c>
      <c r="G1220">
        <v>2</v>
      </c>
      <c r="H1220" t="s">
        <v>266</v>
      </c>
      <c r="I1220" t="str">
        <f>VLOOKUP(Tabla1[[#This Row],[Code]],'[1]Articulos Precio'!$A:$E,5,FALSE)</f>
        <v>A0000352</v>
      </c>
    </row>
    <row r="1221" spans="1:9" x14ac:dyDescent="0.25">
      <c r="A1221" t="s">
        <v>411</v>
      </c>
      <c r="B1221" t="str">
        <f>VLOOKUP(Tabla1[[#This Row],[Code]],[1]!Tabla4[#Data],2,FALSE)</f>
        <v>M2 Metamark M4 Mate 333M Naranja 0,61 x 50m</v>
      </c>
      <c r="C1221">
        <v>8</v>
      </c>
      <c r="D1221" t="s">
        <v>86</v>
      </c>
      <c r="E1221" t="str">
        <f>VLOOKUP(Tabla1[[#This Row],[Cód. Atributo]],[1]!Tabla5[#Data],6,FALSE)</f>
        <v>Select</v>
      </c>
      <c r="F1221">
        <v>1</v>
      </c>
      <c r="G1221">
        <v>1</v>
      </c>
      <c r="H1221" t="s">
        <v>263</v>
      </c>
      <c r="I1221" t="str">
        <f>VLOOKUP(Tabla1[[#This Row],[Code]],'[1]Articulos Precio'!$A:$E,5,FALSE)</f>
        <v>A0000352</v>
      </c>
    </row>
    <row r="1222" spans="1:9" x14ac:dyDescent="0.25">
      <c r="A1222" t="s">
        <v>411</v>
      </c>
      <c r="B1222" t="str">
        <f>VLOOKUP(Tabla1[[#This Row],[Code]],[1]!Tabla4[#Data],2,FALSE)</f>
        <v>M2 Metamark M4 Mate 333M Naranja 0,61 x 50m</v>
      </c>
      <c r="C1222">
        <v>22</v>
      </c>
      <c r="D1222" t="s">
        <v>393</v>
      </c>
      <c r="E1222" t="str">
        <f>VLOOKUP(Tabla1[[#This Row],[Cód. Atributo]],[1]!Tabla5[#Data],6,FALSE)</f>
        <v>Color</v>
      </c>
      <c r="F1222">
        <v>2</v>
      </c>
      <c r="G1222">
        <v>7</v>
      </c>
      <c r="H1222" t="s">
        <v>412</v>
      </c>
      <c r="I1222" t="str">
        <f>VLOOKUP(Tabla1[[#This Row],[Code]],'[1]Articulos Precio'!$A:$E,5,FALSE)</f>
        <v>A0000352</v>
      </c>
    </row>
    <row r="1223" spans="1:9" x14ac:dyDescent="0.25">
      <c r="A1223" t="s">
        <v>411</v>
      </c>
      <c r="B1223" t="str">
        <f>VLOOKUP(Tabla1[[#This Row],[Code]],[1]!Tabla4[#Data],2,FALSE)</f>
        <v>M2 Metamark M4 Mate 333M Naranja 0,61 x 50m</v>
      </c>
      <c r="C1223">
        <v>23</v>
      </c>
      <c r="D1223" t="s">
        <v>90</v>
      </c>
      <c r="E1223" t="str">
        <f>VLOOKUP(Tabla1[[#This Row],[Cód. Atributo]],[1]!Tabla5[#Data],6,FALSE)</f>
        <v>Select</v>
      </c>
      <c r="F1223">
        <v>3</v>
      </c>
      <c r="G1223">
        <v>1</v>
      </c>
      <c r="H1223" t="s">
        <v>110</v>
      </c>
      <c r="I1223" t="str">
        <f>VLOOKUP(Tabla1[[#This Row],[Code]],'[1]Articulos Precio'!$A:$E,5,FALSE)</f>
        <v>A0000352</v>
      </c>
    </row>
    <row r="1224" spans="1:9" x14ac:dyDescent="0.25">
      <c r="A1224" t="s">
        <v>411</v>
      </c>
      <c r="B1224" t="str">
        <f>VLOOKUP(Tabla1[[#This Row],[Code]],[1]!Tabla4[#Data],2,FALSE)</f>
        <v>M2 Metamark M4 Mate 333M Naranja 0,61 x 50m</v>
      </c>
      <c r="C1224">
        <v>25</v>
      </c>
      <c r="D1224" t="s">
        <v>94</v>
      </c>
      <c r="E1224" t="str">
        <f>VLOOKUP(Tabla1[[#This Row],[Cód. Atributo]],[1]!Tabla5[#Data],6,FALSE)</f>
        <v>Select</v>
      </c>
      <c r="F1224">
        <v>4</v>
      </c>
      <c r="G1224">
        <v>2</v>
      </c>
      <c r="H1224" t="s">
        <v>111</v>
      </c>
      <c r="I1224" t="str">
        <f>VLOOKUP(Tabla1[[#This Row],[Code]],'[1]Articulos Precio'!$A:$E,5,FALSE)</f>
        <v>A0000352</v>
      </c>
    </row>
    <row r="1225" spans="1:9" x14ac:dyDescent="0.25">
      <c r="A1225" t="s">
        <v>411</v>
      </c>
      <c r="B1225" t="str">
        <f>VLOOKUP(Tabla1[[#This Row],[Code]],[1]!Tabla4[#Data],2,FALSE)</f>
        <v>M2 Metamark M4 Mate 333M Naranja 0,61 x 50m</v>
      </c>
      <c r="C1225">
        <v>28</v>
      </c>
      <c r="D1225" t="s">
        <v>92</v>
      </c>
      <c r="E1225" t="str">
        <f>VLOOKUP(Tabla1[[#This Row],[Cód. Atributo]],[1]!Tabla5[#Data],6,FALSE)</f>
        <v>Select</v>
      </c>
      <c r="F1225">
        <v>5</v>
      </c>
      <c r="G1225">
        <v>2</v>
      </c>
      <c r="H1225" t="s">
        <v>102</v>
      </c>
      <c r="I1225" t="str">
        <f>VLOOKUP(Tabla1[[#This Row],[Code]],'[1]Articulos Precio'!$A:$E,5,FALSE)</f>
        <v>A0000352</v>
      </c>
    </row>
    <row r="1226" spans="1:9" x14ac:dyDescent="0.25">
      <c r="A1226" t="s">
        <v>411</v>
      </c>
      <c r="B1226" t="str">
        <f>VLOOKUP(Tabla1[[#This Row],[Code]],[1]!Tabla4[#Data],2,FALSE)</f>
        <v>M2 Metamark M4 Mate 333M Naranja 0,61 x 50m</v>
      </c>
      <c r="C1226">
        <v>24</v>
      </c>
      <c r="D1226" t="s">
        <v>96</v>
      </c>
      <c r="E1226" t="str">
        <f>VLOOKUP(Tabla1[[#This Row],[Cód. Atributo]],[1]!Tabla5[#Data],6,FALSE)</f>
        <v>Select</v>
      </c>
      <c r="F1226">
        <v>6</v>
      </c>
      <c r="G1226">
        <v>2</v>
      </c>
      <c r="H1226" t="s">
        <v>266</v>
      </c>
      <c r="I1226" t="str">
        <f>VLOOKUP(Tabla1[[#This Row],[Code]],'[1]Articulos Precio'!$A:$E,5,FALSE)</f>
        <v>A0000352</v>
      </c>
    </row>
    <row r="1227" spans="1:9" x14ac:dyDescent="0.25">
      <c r="A1227" t="s">
        <v>413</v>
      </c>
      <c r="B1227" t="str">
        <f>VLOOKUP(Tabla1[[#This Row],[Code]],[1]!Tabla4[#Data],2,FALSE)</f>
        <v>M2 Metamark M4 Mate 333M Naranja 1,22 x 50m</v>
      </c>
      <c r="C1227">
        <v>8</v>
      </c>
      <c r="D1227" t="s">
        <v>86</v>
      </c>
      <c r="E1227" t="str">
        <f>VLOOKUP(Tabla1[[#This Row],[Cód. Atributo]],[1]!Tabla5[#Data],6,FALSE)</f>
        <v>Select</v>
      </c>
      <c r="F1227">
        <v>1</v>
      </c>
      <c r="G1227">
        <v>2</v>
      </c>
      <c r="H1227" t="s">
        <v>268</v>
      </c>
      <c r="I1227" t="str">
        <f>VLOOKUP(Tabla1[[#This Row],[Code]],'[1]Articulos Precio'!$A:$E,5,FALSE)</f>
        <v>A0000352</v>
      </c>
    </row>
    <row r="1228" spans="1:9" x14ac:dyDescent="0.25">
      <c r="A1228" t="s">
        <v>413</v>
      </c>
      <c r="B1228" t="str">
        <f>VLOOKUP(Tabla1[[#This Row],[Code]],[1]!Tabla4[#Data],2,FALSE)</f>
        <v>M2 Metamark M4 Mate 333M Naranja 1,22 x 50m</v>
      </c>
      <c r="C1228">
        <v>22</v>
      </c>
      <c r="D1228" t="s">
        <v>393</v>
      </c>
      <c r="E1228" t="str">
        <f>VLOOKUP(Tabla1[[#This Row],[Cód. Atributo]],[1]!Tabla5[#Data],6,FALSE)</f>
        <v>Color</v>
      </c>
      <c r="F1228">
        <v>2</v>
      </c>
      <c r="G1228">
        <v>7</v>
      </c>
      <c r="H1228" t="s">
        <v>412</v>
      </c>
      <c r="I1228" t="str">
        <f>VLOOKUP(Tabla1[[#This Row],[Code]],'[1]Articulos Precio'!$A:$E,5,FALSE)</f>
        <v>A0000352</v>
      </c>
    </row>
    <row r="1229" spans="1:9" x14ac:dyDescent="0.25">
      <c r="A1229" t="s">
        <v>413</v>
      </c>
      <c r="B1229" t="str">
        <f>VLOOKUP(Tabla1[[#This Row],[Code]],[1]!Tabla4[#Data],2,FALSE)</f>
        <v>M2 Metamark M4 Mate 333M Naranja 1,22 x 50m</v>
      </c>
      <c r="C1229">
        <v>23</v>
      </c>
      <c r="D1229" t="s">
        <v>90</v>
      </c>
      <c r="E1229" t="str">
        <f>VLOOKUP(Tabla1[[#This Row],[Cód. Atributo]],[1]!Tabla5[#Data],6,FALSE)</f>
        <v>Select</v>
      </c>
      <c r="F1229">
        <v>3</v>
      </c>
      <c r="G1229">
        <v>1</v>
      </c>
      <c r="H1229" t="s">
        <v>110</v>
      </c>
      <c r="I1229" t="str">
        <f>VLOOKUP(Tabla1[[#This Row],[Code]],'[1]Articulos Precio'!$A:$E,5,FALSE)</f>
        <v>A0000352</v>
      </c>
    </row>
    <row r="1230" spans="1:9" x14ac:dyDescent="0.25">
      <c r="A1230" t="s">
        <v>413</v>
      </c>
      <c r="B1230" t="str">
        <f>VLOOKUP(Tabla1[[#This Row],[Code]],[1]!Tabla4[#Data],2,FALSE)</f>
        <v>M2 Metamark M4 Mate 333M Naranja 1,22 x 50m</v>
      </c>
      <c r="C1230">
        <v>25</v>
      </c>
      <c r="D1230" t="s">
        <v>94</v>
      </c>
      <c r="E1230" t="str">
        <f>VLOOKUP(Tabla1[[#This Row],[Cód. Atributo]],[1]!Tabla5[#Data],6,FALSE)</f>
        <v>Select</v>
      </c>
      <c r="F1230">
        <v>4</v>
      </c>
      <c r="G1230">
        <v>2</v>
      </c>
      <c r="H1230" t="s">
        <v>111</v>
      </c>
      <c r="I1230" t="str">
        <f>VLOOKUP(Tabla1[[#This Row],[Code]],'[1]Articulos Precio'!$A:$E,5,FALSE)</f>
        <v>A0000352</v>
      </c>
    </row>
    <row r="1231" spans="1:9" x14ac:dyDescent="0.25">
      <c r="A1231" t="s">
        <v>413</v>
      </c>
      <c r="B1231" t="str">
        <f>VLOOKUP(Tabla1[[#This Row],[Code]],[1]!Tabla4[#Data],2,FALSE)</f>
        <v>M2 Metamark M4 Mate 333M Naranja 1,22 x 50m</v>
      </c>
      <c r="C1231">
        <v>28</v>
      </c>
      <c r="D1231" t="s">
        <v>92</v>
      </c>
      <c r="E1231" t="str">
        <f>VLOOKUP(Tabla1[[#This Row],[Cód. Atributo]],[1]!Tabla5[#Data],6,FALSE)</f>
        <v>Select</v>
      </c>
      <c r="F1231">
        <v>5</v>
      </c>
      <c r="G1231">
        <v>2</v>
      </c>
      <c r="H1231" t="s">
        <v>102</v>
      </c>
      <c r="I1231" t="str">
        <f>VLOOKUP(Tabla1[[#This Row],[Code]],'[1]Articulos Precio'!$A:$E,5,FALSE)</f>
        <v>A0000352</v>
      </c>
    </row>
    <row r="1232" spans="1:9" x14ac:dyDescent="0.25">
      <c r="A1232" t="s">
        <v>413</v>
      </c>
      <c r="B1232" t="str">
        <f>VLOOKUP(Tabla1[[#This Row],[Code]],[1]!Tabla4[#Data],2,FALSE)</f>
        <v>M2 Metamark M4 Mate 333M Naranja 1,22 x 50m</v>
      </c>
      <c r="C1232">
        <v>24</v>
      </c>
      <c r="D1232" t="s">
        <v>96</v>
      </c>
      <c r="E1232" t="str">
        <f>VLOOKUP(Tabla1[[#This Row],[Cód. Atributo]],[1]!Tabla5[#Data],6,FALSE)</f>
        <v>Select</v>
      </c>
      <c r="F1232">
        <v>6</v>
      </c>
      <c r="G1232">
        <v>2</v>
      </c>
      <c r="H1232" t="s">
        <v>266</v>
      </c>
      <c r="I1232" t="str">
        <f>VLOOKUP(Tabla1[[#This Row],[Code]],'[1]Articulos Precio'!$A:$E,5,FALSE)</f>
        <v>A0000352</v>
      </c>
    </row>
    <row r="1233" spans="1:9" x14ac:dyDescent="0.25">
      <c r="A1233" t="s">
        <v>414</v>
      </c>
      <c r="B1233" t="str">
        <f>VLOOKUP(Tabla1[[#This Row],[Code]],[1]!Tabla4[#Data],2,FALSE)</f>
        <v>M2 Metamark M4 Mate 334M Amarillo Girasol 0,61 x 50m</v>
      </c>
      <c r="C1233">
        <v>8</v>
      </c>
      <c r="D1233" t="s">
        <v>86</v>
      </c>
      <c r="E1233" t="str">
        <f>VLOOKUP(Tabla1[[#This Row],[Cód. Atributo]],[1]!Tabla5[#Data],6,FALSE)</f>
        <v>Select</v>
      </c>
      <c r="F1233">
        <v>1</v>
      </c>
      <c r="G1233">
        <v>1</v>
      </c>
      <c r="H1233" t="s">
        <v>263</v>
      </c>
      <c r="I1233" t="str">
        <f>VLOOKUP(Tabla1[[#This Row],[Code]],'[1]Articulos Precio'!$A:$E,5,FALSE)</f>
        <v>A0000352</v>
      </c>
    </row>
    <row r="1234" spans="1:9" x14ac:dyDescent="0.25">
      <c r="A1234" t="s">
        <v>414</v>
      </c>
      <c r="B1234" t="str">
        <f>VLOOKUP(Tabla1[[#This Row],[Code]],[1]!Tabla4[#Data],2,FALSE)</f>
        <v>M2 Metamark M4 Mate 334M Amarillo Girasol 0,61 x 50m</v>
      </c>
      <c r="C1234">
        <v>22</v>
      </c>
      <c r="D1234" t="s">
        <v>393</v>
      </c>
      <c r="E1234" t="str">
        <f>VLOOKUP(Tabla1[[#This Row],[Cód. Atributo]],[1]!Tabla5[#Data],6,FALSE)</f>
        <v>Color</v>
      </c>
      <c r="F1234">
        <v>2</v>
      </c>
      <c r="G1234">
        <v>8</v>
      </c>
      <c r="H1234" t="s">
        <v>415</v>
      </c>
      <c r="I1234" t="str">
        <f>VLOOKUP(Tabla1[[#This Row],[Code]],'[1]Articulos Precio'!$A:$E,5,FALSE)</f>
        <v>A0000352</v>
      </c>
    </row>
    <row r="1235" spans="1:9" x14ac:dyDescent="0.25">
      <c r="A1235" t="s">
        <v>414</v>
      </c>
      <c r="B1235" t="str">
        <f>VLOOKUP(Tabla1[[#This Row],[Code]],[1]!Tabla4[#Data],2,FALSE)</f>
        <v>M2 Metamark M4 Mate 334M Amarillo Girasol 0,61 x 50m</v>
      </c>
      <c r="C1235">
        <v>23</v>
      </c>
      <c r="D1235" t="s">
        <v>90</v>
      </c>
      <c r="E1235" t="str">
        <f>VLOOKUP(Tabla1[[#This Row],[Cód. Atributo]],[1]!Tabla5[#Data],6,FALSE)</f>
        <v>Select</v>
      </c>
      <c r="F1235">
        <v>3</v>
      </c>
      <c r="G1235">
        <v>1</v>
      </c>
      <c r="H1235" t="s">
        <v>110</v>
      </c>
      <c r="I1235" t="str">
        <f>VLOOKUP(Tabla1[[#This Row],[Code]],'[1]Articulos Precio'!$A:$E,5,FALSE)</f>
        <v>A0000352</v>
      </c>
    </row>
    <row r="1236" spans="1:9" x14ac:dyDescent="0.25">
      <c r="A1236" t="s">
        <v>414</v>
      </c>
      <c r="B1236" t="str">
        <f>VLOOKUP(Tabla1[[#This Row],[Code]],[1]!Tabla4[#Data],2,FALSE)</f>
        <v>M2 Metamark M4 Mate 334M Amarillo Girasol 0,61 x 50m</v>
      </c>
      <c r="C1236">
        <v>25</v>
      </c>
      <c r="D1236" t="s">
        <v>94</v>
      </c>
      <c r="E1236" t="str">
        <f>VLOOKUP(Tabla1[[#This Row],[Cód. Atributo]],[1]!Tabla5[#Data],6,FALSE)</f>
        <v>Select</v>
      </c>
      <c r="F1236">
        <v>4</v>
      </c>
      <c r="G1236">
        <v>2</v>
      </c>
      <c r="H1236" t="s">
        <v>111</v>
      </c>
      <c r="I1236" t="str">
        <f>VLOOKUP(Tabla1[[#This Row],[Code]],'[1]Articulos Precio'!$A:$E,5,FALSE)</f>
        <v>A0000352</v>
      </c>
    </row>
    <row r="1237" spans="1:9" x14ac:dyDescent="0.25">
      <c r="A1237" t="s">
        <v>414</v>
      </c>
      <c r="B1237" t="str">
        <f>VLOOKUP(Tabla1[[#This Row],[Code]],[1]!Tabla4[#Data],2,FALSE)</f>
        <v>M2 Metamark M4 Mate 334M Amarillo Girasol 0,61 x 50m</v>
      </c>
      <c r="C1237">
        <v>28</v>
      </c>
      <c r="D1237" t="s">
        <v>92</v>
      </c>
      <c r="E1237" t="str">
        <f>VLOOKUP(Tabla1[[#This Row],[Cód. Atributo]],[1]!Tabla5[#Data],6,FALSE)</f>
        <v>Select</v>
      </c>
      <c r="F1237">
        <v>5</v>
      </c>
      <c r="G1237">
        <v>2</v>
      </c>
      <c r="H1237" t="s">
        <v>102</v>
      </c>
      <c r="I1237" t="str">
        <f>VLOOKUP(Tabla1[[#This Row],[Code]],'[1]Articulos Precio'!$A:$E,5,FALSE)</f>
        <v>A0000352</v>
      </c>
    </row>
    <row r="1238" spans="1:9" x14ac:dyDescent="0.25">
      <c r="A1238" t="s">
        <v>414</v>
      </c>
      <c r="B1238" t="str">
        <f>VLOOKUP(Tabla1[[#This Row],[Code]],[1]!Tabla4[#Data],2,FALSE)</f>
        <v>M2 Metamark M4 Mate 334M Amarillo Girasol 0,61 x 50m</v>
      </c>
      <c r="C1238">
        <v>24</v>
      </c>
      <c r="D1238" t="s">
        <v>96</v>
      </c>
      <c r="E1238" t="str">
        <f>VLOOKUP(Tabla1[[#This Row],[Cód. Atributo]],[1]!Tabla5[#Data],6,FALSE)</f>
        <v>Select</v>
      </c>
      <c r="F1238">
        <v>6</v>
      </c>
      <c r="G1238">
        <v>2</v>
      </c>
      <c r="H1238" t="s">
        <v>266</v>
      </c>
      <c r="I1238" t="str">
        <f>VLOOKUP(Tabla1[[#This Row],[Code]],'[1]Articulos Precio'!$A:$E,5,FALSE)</f>
        <v>A0000352</v>
      </c>
    </row>
    <row r="1239" spans="1:9" x14ac:dyDescent="0.25">
      <c r="A1239" t="s">
        <v>416</v>
      </c>
      <c r="B1239" t="str">
        <f>VLOOKUP(Tabla1[[#This Row],[Code]],[1]!Tabla4[#Data],2,FALSE)</f>
        <v>M2 Metamark M4 Mate 334M Amarillo Girasol 1,22 x 50m</v>
      </c>
      <c r="C1239">
        <v>8</v>
      </c>
      <c r="D1239" t="s">
        <v>86</v>
      </c>
      <c r="E1239" t="str">
        <f>VLOOKUP(Tabla1[[#This Row],[Cód. Atributo]],[1]!Tabla5[#Data],6,FALSE)</f>
        <v>Select</v>
      </c>
      <c r="F1239">
        <v>1</v>
      </c>
      <c r="G1239">
        <v>2</v>
      </c>
      <c r="H1239" t="s">
        <v>268</v>
      </c>
      <c r="I1239" t="str">
        <f>VLOOKUP(Tabla1[[#This Row],[Code]],'[1]Articulos Precio'!$A:$E,5,FALSE)</f>
        <v>A0000352</v>
      </c>
    </row>
    <row r="1240" spans="1:9" x14ac:dyDescent="0.25">
      <c r="A1240" t="s">
        <v>416</v>
      </c>
      <c r="B1240" t="str">
        <f>VLOOKUP(Tabla1[[#This Row],[Code]],[1]!Tabla4[#Data],2,FALSE)</f>
        <v>M2 Metamark M4 Mate 334M Amarillo Girasol 1,22 x 50m</v>
      </c>
      <c r="C1240">
        <v>22</v>
      </c>
      <c r="D1240" t="s">
        <v>393</v>
      </c>
      <c r="E1240" t="str">
        <f>VLOOKUP(Tabla1[[#This Row],[Cód. Atributo]],[1]!Tabla5[#Data],6,FALSE)</f>
        <v>Color</v>
      </c>
      <c r="F1240">
        <v>2</v>
      </c>
      <c r="G1240">
        <v>8</v>
      </c>
      <c r="H1240" t="s">
        <v>415</v>
      </c>
      <c r="I1240" t="str">
        <f>VLOOKUP(Tabla1[[#This Row],[Code]],'[1]Articulos Precio'!$A:$E,5,FALSE)</f>
        <v>A0000352</v>
      </c>
    </row>
    <row r="1241" spans="1:9" x14ac:dyDescent="0.25">
      <c r="A1241" t="s">
        <v>416</v>
      </c>
      <c r="B1241" t="str">
        <f>VLOOKUP(Tabla1[[#This Row],[Code]],[1]!Tabla4[#Data],2,FALSE)</f>
        <v>M2 Metamark M4 Mate 334M Amarillo Girasol 1,22 x 50m</v>
      </c>
      <c r="C1241">
        <v>23</v>
      </c>
      <c r="D1241" t="s">
        <v>90</v>
      </c>
      <c r="E1241" t="str">
        <f>VLOOKUP(Tabla1[[#This Row],[Cód. Atributo]],[1]!Tabla5[#Data],6,FALSE)</f>
        <v>Select</v>
      </c>
      <c r="F1241">
        <v>3</v>
      </c>
      <c r="G1241">
        <v>1</v>
      </c>
      <c r="H1241" t="s">
        <v>110</v>
      </c>
      <c r="I1241" t="str">
        <f>VLOOKUP(Tabla1[[#This Row],[Code]],'[1]Articulos Precio'!$A:$E,5,FALSE)</f>
        <v>A0000352</v>
      </c>
    </row>
    <row r="1242" spans="1:9" x14ac:dyDescent="0.25">
      <c r="A1242" t="s">
        <v>416</v>
      </c>
      <c r="B1242" t="str">
        <f>VLOOKUP(Tabla1[[#This Row],[Code]],[1]!Tabla4[#Data],2,FALSE)</f>
        <v>M2 Metamark M4 Mate 334M Amarillo Girasol 1,22 x 50m</v>
      </c>
      <c r="C1242">
        <v>25</v>
      </c>
      <c r="D1242" t="s">
        <v>94</v>
      </c>
      <c r="E1242" t="str">
        <f>VLOOKUP(Tabla1[[#This Row],[Cód. Atributo]],[1]!Tabla5[#Data],6,FALSE)</f>
        <v>Select</v>
      </c>
      <c r="F1242">
        <v>4</v>
      </c>
      <c r="G1242">
        <v>2</v>
      </c>
      <c r="H1242" t="s">
        <v>111</v>
      </c>
      <c r="I1242" t="str">
        <f>VLOOKUP(Tabla1[[#This Row],[Code]],'[1]Articulos Precio'!$A:$E,5,FALSE)</f>
        <v>A0000352</v>
      </c>
    </row>
    <row r="1243" spans="1:9" x14ac:dyDescent="0.25">
      <c r="A1243" t="s">
        <v>416</v>
      </c>
      <c r="B1243" t="str">
        <f>VLOOKUP(Tabla1[[#This Row],[Code]],[1]!Tabla4[#Data],2,FALSE)</f>
        <v>M2 Metamark M4 Mate 334M Amarillo Girasol 1,22 x 50m</v>
      </c>
      <c r="C1243">
        <v>28</v>
      </c>
      <c r="D1243" t="s">
        <v>92</v>
      </c>
      <c r="E1243" t="str">
        <f>VLOOKUP(Tabla1[[#This Row],[Cód. Atributo]],[1]!Tabla5[#Data],6,FALSE)</f>
        <v>Select</v>
      </c>
      <c r="F1243">
        <v>5</v>
      </c>
      <c r="G1243">
        <v>2</v>
      </c>
      <c r="H1243" t="s">
        <v>102</v>
      </c>
      <c r="I1243" t="str">
        <f>VLOOKUP(Tabla1[[#This Row],[Code]],'[1]Articulos Precio'!$A:$E,5,FALSE)</f>
        <v>A0000352</v>
      </c>
    </row>
    <row r="1244" spans="1:9" x14ac:dyDescent="0.25">
      <c r="A1244" t="s">
        <v>416</v>
      </c>
      <c r="B1244" t="str">
        <f>VLOOKUP(Tabla1[[#This Row],[Code]],[1]!Tabla4[#Data],2,FALSE)</f>
        <v>M2 Metamark M4 Mate 334M Amarillo Girasol 1,22 x 50m</v>
      </c>
      <c r="C1244">
        <v>24</v>
      </c>
      <c r="D1244" t="s">
        <v>96</v>
      </c>
      <c r="E1244" t="str">
        <f>VLOOKUP(Tabla1[[#This Row],[Cód. Atributo]],[1]!Tabla5[#Data],6,FALSE)</f>
        <v>Select</v>
      </c>
      <c r="F1244">
        <v>6</v>
      </c>
      <c r="G1244">
        <v>2</v>
      </c>
      <c r="H1244" t="s">
        <v>266</v>
      </c>
      <c r="I1244" t="str">
        <f>VLOOKUP(Tabla1[[#This Row],[Code]],'[1]Articulos Precio'!$A:$E,5,FALSE)</f>
        <v>A0000352</v>
      </c>
    </row>
    <row r="1245" spans="1:9" x14ac:dyDescent="0.25">
      <c r="A1245" t="s">
        <v>417</v>
      </c>
      <c r="B1245" t="str">
        <f>VLOOKUP(Tabla1[[#This Row],[Code]],[1]!Tabla4[#Data],2,FALSE)</f>
        <v>M2 Metamark M4 Mate 340M Amapola 0,61 x 50m</v>
      </c>
      <c r="C1245">
        <v>8</v>
      </c>
      <c r="D1245" t="s">
        <v>86</v>
      </c>
      <c r="E1245" t="str">
        <f>VLOOKUP(Tabla1[[#This Row],[Cód. Atributo]],[1]!Tabla5[#Data],6,FALSE)</f>
        <v>Select</v>
      </c>
      <c r="F1245">
        <v>1</v>
      </c>
      <c r="G1245">
        <v>1</v>
      </c>
      <c r="H1245" t="s">
        <v>263</v>
      </c>
      <c r="I1245" t="str">
        <f>VLOOKUP(Tabla1[[#This Row],[Code]],'[1]Articulos Precio'!$A:$E,5,FALSE)</f>
        <v>A0000352</v>
      </c>
    </row>
    <row r="1246" spans="1:9" x14ac:dyDescent="0.25">
      <c r="A1246" t="s">
        <v>417</v>
      </c>
      <c r="B1246" t="str">
        <f>VLOOKUP(Tabla1[[#This Row],[Code]],[1]!Tabla4[#Data],2,FALSE)</f>
        <v>M2 Metamark M4 Mate 340M Amapola 0,61 x 50m</v>
      </c>
      <c r="C1246">
        <v>22</v>
      </c>
      <c r="D1246" t="s">
        <v>393</v>
      </c>
      <c r="E1246" t="str">
        <f>VLOOKUP(Tabla1[[#This Row],[Cód. Atributo]],[1]!Tabla5[#Data],6,FALSE)</f>
        <v>Color</v>
      </c>
      <c r="F1246">
        <v>2</v>
      </c>
      <c r="G1246">
        <v>9</v>
      </c>
      <c r="H1246" t="s">
        <v>418</v>
      </c>
      <c r="I1246" t="str">
        <f>VLOOKUP(Tabla1[[#This Row],[Code]],'[1]Articulos Precio'!$A:$E,5,FALSE)</f>
        <v>A0000352</v>
      </c>
    </row>
    <row r="1247" spans="1:9" x14ac:dyDescent="0.25">
      <c r="A1247" t="s">
        <v>417</v>
      </c>
      <c r="B1247" t="str">
        <f>VLOOKUP(Tabla1[[#This Row],[Code]],[1]!Tabla4[#Data],2,FALSE)</f>
        <v>M2 Metamark M4 Mate 340M Amapola 0,61 x 50m</v>
      </c>
      <c r="C1247">
        <v>23</v>
      </c>
      <c r="D1247" t="s">
        <v>90</v>
      </c>
      <c r="E1247" t="str">
        <f>VLOOKUP(Tabla1[[#This Row],[Cód. Atributo]],[1]!Tabla5[#Data],6,FALSE)</f>
        <v>Select</v>
      </c>
      <c r="F1247">
        <v>3</v>
      </c>
      <c r="G1247">
        <v>1</v>
      </c>
      <c r="H1247" t="s">
        <v>110</v>
      </c>
      <c r="I1247" t="str">
        <f>VLOOKUP(Tabla1[[#This Row],[Code]],'[1]Articulos Precio'!$A:$E,5,FALSE)</f>
        <v>A0000352</v>
      </c>
    </row>
    <row r="1248" spans="1:9" x14ac:dyDescent="0.25">
      <c r="A1248" t="s">
        <v>417</v>
      </c>
      <c r="B1248" t="str">
        <f>VLOOKUP(Tabla1[[#This Row],[Code]],[1]!Tabla4[#Data],2,FALSE)</f>
        <v>M2 Metamark M4 Mate 340M Amapola 0,61 x 50m</v>
      </c>
      <c r="C1248">
        <v>25</v>
      </c>
      <c r="D1248" t="s">
        <v>94</v>
      </c>
      <c r="E1248" t="str">
        <f>VLOOKUP(Tabla1[[#This Row],[Cód. Atributo]],[1]!Tabla5[#Data],6,FALSE)</f>
        <v>Select</v>
      </c>
      <c r="F1248">
        <v>4</v>
      </c>
      <c r="G1248">
        <v>2</v>
      </c>
      <c r="H1248" t="s">
        <v>111</v>
      </c>
      <c r="I1248" t="str">
        <f>VLOOKUP(Tabla1[[#This Row],[Code]],'[1]Articulos Precio'!$A:$E,5,FALSE)</f>
        <v>A0000352</v>
      </c>
    </row>
    <row r="1249" spans="1:9" x14ac:dyDescent="0.25">
      <c r="A1249" t="s">
        <v>417</v>
      </c>
      <c r="B1249" t="str">
        <f>VLOOKUP(Tabla1[[#This Row],[Code]],[1]!Tabla4[#Data],2,FALSE)</f>
        <v>M2 Metamark M4 Mate 340M Amapola 0,61 x 50m</v>
      </c>
      <c r="C1249">
        <v>28</v>
      </c>
      <c r="D1249" t="s">
        <v>92</v>
      </c>
      <c r="E1249" t="str">
        <f>VLOOKUP(Tabla1[[#This Row],[Cód. Atributo]],[1]!Tabla5[#Data],6,FALSE)</f>
        <v>Select</v>
      </c>
      <c r="F1249">
        <v>5</v>
      </c>
      <c r="G1249">
        <v>2</v>
      </c>
      <c r="H1249" t="s">
        <v>102</v>
      </c>
      <c r="I1249" t="str">
        <f>VLOOKUP(Tabla1[[#This Row],[Code]],'[1]Articulos Precio'!$A:$E,5,FALSE)</f>
        <v>A0000352</v>
      </c>
    </row>
    <row r="1250" spans="1:9" x14ac:dyDescent="0.25">
      <c r="A1250" t="s">
        <v>417</v>
      </c>
      <c r="B1250" t="str">
        <f>VLOOKUP(Tabla1[[#This Row],[Code]],[1]!Tabla4[#Data],2,FALSE)</f>
        <v>M2 Metamark M4 Mate 340M Amapola 0,61 x 50m</v>
      </c>
      <c r="C1250">
        <v>24</v>
      </c>
      <c r="D1250" t="s">
        <v>96</v>
      </c>
      <c r="E1250" t="str">
        <f>VLOOKUP(Tabla1[[#This Row],[Cód. Atributo]],[1]!Tabla5[#Data],6,FALSE)</f>
        <v>Select</v>
      </c>
      <c r="F1250">
        <v>6</v>
      </c>
      <c r="G1250">
        <v>2</v>
      </c>
      <c r="H1250" t="s">
        <v>266</v>
      </c>
      <c r="I1250" t="str">
        <f>VLOOKUP(Tabla1[[#This Row],[Code]],'[1]Articulos Precio'!$A:$E,5,FALSE)</f>
        <v>A0000352</v>
      </c>
    </row>
    <row r="1251" spans="1:9" x14ac:dyDescent="0.25">
      <c r="A1251" t="s">
        <v>419</v>
      </c>
      <c r="B1251" t="str">
        <f>VLOOKUP(Tabla1[[#This Row],[Code]],[1]!Tabla4[#Data],2,FALSE)</f>
        <v>M2 Metamark M4 Mate 340M Amapola 1,22 x 50m</v>
      </c>
      <c r="C1251">
        <v>8</v>
      </c>
      <c r="D1251" t="s">
        <v>86</v>
      </c>
      <c r="E1251" t="str">
        <f>VLOOKUP(Tabla1[[#This Row],[Cód. Atributo]],[1]!Tabla5[#Data],6,FALSE)</f>
        <v>Select</v>
      </c>
      <c r="F1251">
        <v>1</v>
      </c>
      <c r="G1251">
        <v>2</v>
      </c>
      <c r="H1251" t="s">
        <v>268</v>
      </c>
      <c r="I1251" t="str">
        <f>VLOOKUP(Tabla1[[#This Row],[Code]],'[1]Articulos Precio'!$A:$E,5,FALSE)</f>
        <v>A0000352</v>
      </c>
    </row>
    <row r="1252" spans="1:9" x14ac:dyDescent="0.25">
      <c r="A1252" t="s">
        <v>419</v>
      </c>
      <c r="B1252" t="str">
        <f>VLOOKUP(Tabla1[[#This Row],[Code]],[1]!Tabla4[#Data],2,FALSE)</f>
        <v>M2 Metamark M4 Mate 340M Amapola 1,22 x 50m</v>
      </c>
      <c r="C1252">
        <v>22</v>
      </c>
      <c r="D1252" t="s">
        <v>393</v>
      </c>
      <c r="E1252" t="str">
        <f>VLOOKUP(Tabla1[[#This Row],[Cód. Atributo]],[1]!Tabla5[#Data],6,FALSE)</f>
        <v>Color</v>
      </c>
      <c r="F1252">
        <v>2</v>
      </c>
      <c r="G1252">
        <v>9</v>
      </c>
      <c r="H1252" t="s">
        <v>418</v>
      </c>
      <c r="I1252" t="str">
        <f>VLOOKUP(Tabla1[[#This Row],[Code]],'[1]Articulos Precio'!$A:$E,5,FALSE)</f>
        <v>A0000352</v>
      </c>
    </row>
    <row r="1253" spans="1:9" x14ac:dyDescent="0.25">
      <c r="A1253" t="s">
        <v>419</v>
      </c>
      <c r="B1253" t="str">
        <f>VLOOKUP(Tabla1[[#This Row],[Code]],[1]!Tabla4[#Data],2,FALSE)</f>
        <v>M2 Metamark M4 Mate 340M Amapola 1,22 x 50m</v>
      </c>
      <c r="C1253">
        <v>23</v>
      </c>
      <c r="D1253" t="s">
        <v>90</v>
      </c>
      <c r="E1253" t="str">
        <f>VLOOKUP(Tabla1[[#This Row],[Cód. Atributo]],[1]!Tabla5[#Data],6,FALSE)</f>
        <v>Select</v>
      </c>
      <c r="F1253">
        <v>3</v>
      </c>
      <c r="G1253">
        <v>1</v>
      </c>
      <c r="H1253" t="s">
        <v>110</v>
      </c>
      <c r="I1253" t="str">
        <f>VLOOKUP(Tabla1[[#This Row],[Code]],'[1]Articulos Precio'!$A:$E,5,FALSE)</f>
        <v>A0000352</v>
      </c>
    </row>
    <row r="1254" spans="1:9" x14ac:dyDescent="0.25">
      <c r="A1254" t="s">
        <v>419</v>
      </c>
      <c r="B1254" t="str">
        <f>VLOOKUP(Tabla1[[#This Row],[Code]],[1]!Tabla4[#Data],2,FALSE)</f>
        <v>M2 Metamark M4 Mate 340M Amapola 1,22 x 50m</v>
      </c>
      <c r="C1254">
        <v>25</v>
      </c>
      <c r="D1254" t="s">
        <v>94</v>
      </c>
      <c r="E1254" t="str">
        <f>VLOOKUP(Tabla1[[#This Row],[Cód. Atributo]],[1]!Tabla5[#Data],6,FALSE)</f>
        <v>Select</v>
      </c>
      <c r="F1254">
        <v>4</v>
      </c>
      <c r="G1254">
        <v>2</v>
      </c>
      <c r="H1254" t="s">
        <v>111</v>
      </c>
      <c r="I1254" t="str">
        <f>VLOOKUP(Tabla1[[#This Row],[Code]],'[1]Articulos Precio'!$A:$E,5,FALSE)</f>
        <v>A0000352</v>
      </c>
    </row>
    <row r="1255" spans="1:9" x14ac:dyDescent="0.25">
      <c r="A1255" t="s">
        <v>419</v>
      </c>
      <c r="B1255" t="str">
        <f>VLOOKUP(Tabla1[[#This Row],[Code]],[1]!Tabla4[#Data],2,FALSE)</f>
        <v>M2 Metamark M4 Mate 340M Amapola 1,22 x 50m</v>
      </c>
      <c r="C1255">
        <v>28</v>
      </c>
      <c r="D1255" t="s">
        <v>92</v>
      </c>
      <c r="E1255" t="str">
        <f>VLOOKUP(Tabla1[[#This Row],[Cód. Atributo]],[1]!Tabla5[#Data],6,FALSE)</f>
        <v>Select</v>
      </c>
      <c r="F1255">
        <v>5</v>
      </c>
      <c r="G1255">
        <v>2</v>
      </c>
      <c r="H1255" t="s">
        <v>102</v>
      </c>
      <c r="I1255" t="str">
        <f>VLOOKUP(Tabla1[[#This Row],[Code]],'[1]Articulos Precio'!$A:$E,5,FALSE)</f>
        <v>A0000352</v>
      </c>
    </row>
    <row r="1256" spans="1:9" x14ac:dyDescent="0.25">
      <c r="A1256" t="s">
        <v>419</v>
      </c>
      <c r="B1256" t="str">
        <f>VLOOKUP(Tabla1[[#This Row],[Code]],[1]!Tabla4[#Data],2,FALSE)</f>
        <v>M2 Metamark M4 Mate 340M Amapola 1,22 x 50m</v>
      </c>
      <c r="C1256">
        <v>24</v>
      </c>
      <c r="D1256" t="s">
        <v>96</v>
      </c>
      <c r="E1256" t="str">
        <f>VLOOKUP(Tabla1[[#This Row],[Cód. Atributo]],[1]!Tabla5[#Data],6,FALSE)</f>
        <v>Select</v>
      </c>
      <c r="F1256">
        <v>6</v>
      </c>
      <c r="G1256">
        <v>2</v>
      </c>
      <c r="H1256" t="s">
        <v>266</v>
      </c>
      <c r="I1256" t="str">
        <f>VLOOKUP(Tabla1[[#This Row],[Code]],'[1]Articulos Precio'!$A:$E,5,FALSE)</f>
        <v>A0000352</v>
      </c>
    </row>
    <row r="1257" spans="1:9" x14ac:dyDescent="0.25">
      <c r="A1257" t="s">
        <v>420</v>
      </c>
      <c r="B1257" t="str">
        <f>VLOOKUP(Tabla1[[#This Row],[Code]],[1]!Tabla4[#Data],2,FALSE)</f>
        <v>M2 Metamark M4 Mate 341M Rojo Tomate 0,61 x 50m</v>
      </c>
      <c r="C1257">
        <v>8</v>
      </c>
      <c r="D1257" t="s">
        <v>86</v>
      </c>
      <c r="E1257" t="str">
        <f>VLOOKUP(Tabla1[[#This Row],[Cód. Atributo]],[1]!Tabla5[#Data],6,FALSE)</f>
        <v>Select</v>
      </c>
      <c r="F1257">
        <v>1</v>
      </c>
      <c r="G1257">
        <v>1</v>
      </c>
      <c r="H1257" t="s">
        <v>263</v>
      </c>
      <c r="I1257" t="str">
        <f>VLOOKUP(Tabla1[[#This Row],[Code]],'[1]Articulos Precio'!$A:$E,5,FALSE)</f>
        <v>A0000352</v>
      </c>
    </row>
    <row r="1258" spans="1:9" x14ac:dyDescent="0.25">
      <c r="A1258" t="s">
        <v>420</v>
      </c>
      <c r="B1258" t="str">
        <f>VLOOKUP(Tabla1[[#This Row],[Code]],[1]!Tabla4[#Data],2,FALSE)</f>
        <v>M2 Metamark M4 Mate 341M Rojo Tomate 0,61 x 50m</v>
      </c>
      <c r="C1258">
        <v>22</v>
      </c>
      <c r="D1258" t="s">
        <v>393</v>
      </c>
      <c r="E1258" t="str">
        <f>VLOOKUP(Tabla1[[#This Row],[Cód. Atributo]],[1]!Tabla5[#Data],6,FALSE)</f>
        <v>Color</v>
      </c>
      <c r="F1258">
        <v>2</v>
      </c>
      <c r="G1258">
        <v>10</v>
      </c>
      <c r="H1258" t="s">
        <v>421</v>
      </c>
      <c r="I1258" t="str">
        <f>VLOOKUP(Tabla1[[#This Row],[Code]],'[1]Articulos Precio'!$A:$E,5,FALSE)</f>
        <v>A0000352</v>
      </c>
    </row>
    <row r="1259" spans="1:9" x14ac:dyDescent="0.25">
      <c r="A1259" t="s">
        <v>420</v>
      </c>
      <c r="B1259" t="str">
        <f>VLOOKUP(Tabla1[[#This Row],[Code]],[1]!Tabla4[#Data],2,FALSE)</f>
        <v>M2 Metamark M4 Mate 341M Rojo Tomate 0,61 x 50m</v>
      </c>
      <c r="C1259">
        <v>23</v>
      </c>
      <c r="D1259" t="s">
        <v>90</v>
      </c>
      <c r="E1259" t="str">
        <f>VLOOKUP(Tabla1[[#This Row],[Cód. Atributo]],[1]!Tabla5[#Data],6,FALSE)</f>
        <v>Select</v>
      </c>
      <c r="F1259">
        <v>3</v>
      </c>
      <c r="G1259">
        <v>1</v>
      </c>
      <c r="H1259" t="s">
        <v>110</v>
      </c>
      <c r="I1259" t="str">
        <f>VLOOKUP(Tabla1[[#This Row],[Code]],'[1]Articulos Precio'!$A:$E,5,FALSE)</f>
        <v>A0000352</v>
      </c>
    </row>
    <row r="1260" spans="1:9" x14ac:dyDescent="0.25">
      <c r="A1260" t="s">
        <v>420</v>
      </c>
      <c r="B1260" t="str">
        <f>VLOOKUP(Tabla1[[#This Row],[Code]],[1]!Tabla4[#Data],2,FALSE)</f>
        <v>M2 Metamark M4 Mate 341M Rojo Tomate 0,61 x 50m</v>
      </c>
      <c r="C1260">
        <v>25</v>
      </c>
      <c r="D1260" t="s">
        <v>94</v>
      </c>
      <c r="E1260" t="str">
        <f>VLOOKUP(Tabla1[[#This Row],[Cód. Atributo]],[1]!Tabla5[#Data],6,FALSE)</f>
        <v>Select</v>
      </c>
      <c r="F1260">
        <v>4</v>
      </c>
      <c r="G1260">
        <v>2</v>
      </c>
      <c r="H1260" t="s">
        <v>111</v>
      </c>
      <c r="I1260" t="str">
        <f>VLOOKUP(Tabla1[[#This Row],[Code]],'[1]Articulos Precio'!$A:$E,5,FALSE)</f>
        <v>A0000352</v>
      </c>
    </row>
    <row r="1261" spans="1:9" x14ac:dyDescent="0.25">
      <c r="A1261" t="s">
        <v>420</v>
      </c>
      <c r="B1261" t="str">
        <f>VLOOKUP(Tabla1[[#This Row],[Code]],[1]!Tabla4[#Data],2,FALSE)</f>
        <v>M2 Metamark M4 Mate 341M Rojo Tomate 0,61 x 50m</v>
      </c>
      <c r="C1261">
        <v>28</v>
      </c>
      <c r="D1261" t="s">
        <v>92</v>
      </c>
      <c r="E1261" t="str">
        <f>VLOOKUP(Tabla1[[#This Row],[Cód. Atributo]],[1]!Tabla5[#Data],6,FALSE)</f>
        <v>Select</v>
      </c>
      <c r="F1261">
        <v>5</v>
      </c>
      <c r="G1261">
        <v>2</v>
      </c>
      <c r="H1261" t="s">
        <v>102</v>
      </c>
      <c r="I1261" t="str">
        <f>VLOOKUP(Tabla1[[#This Row],[Code]],'[1]Articulos Precio'!$A:$E,5,FALSE)</f>
        <v>A0000352</v>
      </c>
    </row>
    <row r="1262" spans="1:9" x14ac:dyDescent="0.25">
      <c r="A1262" t="s">
        <v>420</v>
      </c>
      <c r="B1262" t="str">
        <f>VLOOKUP(Tabla1[[#This Row],[Code]],[1]!Tabla4[#Data],2,FALSE)</f>
        <v>M2 Metamark M4 Mate 341M Rojo Tomate 0,61 x 50m</v>
      </c>
      <c r="C1262">
        <v>24</v>
      </c>
      <c r="D1262" t="s">
        <v>96</v>
      </c>
      <c r="E1262" t="str">
        <f>VLOOKUP(Tabla1[[#This Row],[Cód. Atributo]],[1]!Tabla5[#Data],6,FALSE)</f>
        <v>Select</v>
      </c>
      <c r="F1262">
        <v>6</v>
      </c>
      <c r="G1262">
        <v>2</v>
      </c>
      <c r="H1262" t="s">
        <v>266</v>
      </c>
      <c r="I1262" t="str">
        <f>VLOOKUP(Tabla1[[#This Row],[Code]],'[1]Articulos Precio'!$A:$E,5,FALSE)</f>
        <v>A0000352</v>
      </c>
    </row>
    <row r="1263" spans="1:9" x14ac:dyDescent="0.25">
      <c r="A1263" t="s">
        <v>422</v>
      </c>
      <c r="B1263" t="str">
        <f>VLOOKUP(Tabla1[[#This Row],[Code]],[1]!Tabla4[#Data],2,FALSE)</f>
        <v>M2 Metamark M4 Mate 341M Rojo Tomate 1,22 x 50m</v>
      </c>
      <c r="C1263">
        <v>8</v>
      </c>
      <c r="D1263" t="s">
        <v>86</v>
      </c>
      <c r="E1263" t="str">
        <f>VLOOKUP(Tabla1[[#This Row],[Cód. Atributo]],[1]!Tabla5[#Data],6,FALSE)</f>
        <v>Select</v>
      </c>
      <c r="F1263">
        <v>1</v>
      </c>
      <c r="G1263">
        <v>2</v>
      </c>
      <c r="H1263" t="s">
        <v>268</v>
      </c>
      <c r="I1263" t="str">
        <f>VLOOKUP(Tabla1[[#This Row],[Code]],'[1]Articulos Precio'!$A:$E,5,FALSE)</f>
        <v>A0000352</v>
      </c>
    </row>
    <row r="1264" spans="1:9" x14ac:dyDescent="0.25">
      <c r="A1264" t="s">
        <v>422</v>
      </c>
      <c r="B1264" t="str">
        <f>VLOOKUP(Tabla1[[#This Row],[Code]],[1]!Tabla4[#Data],2,FALSE)</f>
        <v>M2 Metamark M4 Mate 341M Rojo Tomate 1,22 x 50m</v>
      </c>
      <c r="C1264">
        <v>22</v>
      </c>
      <c r="D1264" t="s">
        <v>393</v>
      </c>
      <c r="E1264" t="str">
        <f>VLOOKUP(Tabla1[[#This Row],[Cód. Atributo]],[1]!Tabla5[#Data],6,FALSE)</f>
        <v>Color</v>
      </c>
      <c r="F1264">
        <v>2</v>
      </c>
      <c r="G1264">
        <v>10</v>
      </c>
      <c r="H1264" t="s">
        <v>421</v>
      </c>
      <c r="I1264" t="str">
        <f>VLOOKUP(Tabla1[[#This Row],[Code]],'[1]Articulos Precio'!$A:$E,5,FALSE)</f>
        <v>A0000352</v>
      </c>
    </row>
    <row r="1265" spans="1:9" x14ac:dyDescent="0.25">
      <c r="A1265" t="s">
        <v>422</v>
      </c>
      <c r="B1265" t="str">
        <f>VLOOKUP(Tabla1[[#This Row],[Code]],[1]!Tabla4[#Data],2,FALSE)</f>
        <v>M2 Metamark M4 Mate 341M Rojo Tomate 1,22 x 50m</v>
      </c>
      <c r="C1265">
        <v>23</v>
      </c>
      <c r="D1265" t="s">
        <v>90</v>
      </c>
      <c r="E1265" t="str">
        <f>VLOOKUP(Tabla1[[#This Row],[Cód. Atributo]],[1]!Tabla5[#Data],6,FALSE)</f>
        <v>Select</v>
      </c>
      <c r="F1265">
        <v>3</v>
      </c>
      <c r="G1265">
        <v>1</v>
      </c>
      <c r="H1265" t="s">
        <v>110</v>
      </c>
      <c r="I1265" t="str">
        <f>VLOOKUP(Tabla1[[#This Row],[Code]],'[1]Articulos Precio'!$A:$E,5,FALSE)</f>
        <v>A0000352</v>
      </c>
    </row>
    <row r="1266" spans="1:9" x14ac:dyDescent="0.25">
      <c r="A1266" t="s">
        <v>422</v>
      </c>
      <c r="B1266" t="str">
        <f>VLOOKUP(Tabla1[[#This Row],[Code]],[1]!Tabla4[#Data],2,FALSE)</f>
        <v>M2 Metamark M4 Mate 341M Rojo Tomate 1,22 x 50m</v>
      </c>
      <c r="C1266">
        <v>25</v>
      </c>
      <c r="D1266" t="s">
        <v>94</v>
      </c>
      <c r="E1266" t="str">
        <f>VLOOKUP(Tabla1[[#This Row],[Cód. Atributo]],[1]!Tabla5[#Data],6,FALSE)</f>
        <v>Select</v>
      </c>
      <c r="F1266">
        <v>4</v>
      </c>
      <c r="G1266">
        <v>2</v>
      </c>
      <c r="H1266" t="s">
        <v>111</v>
      </c>
      <c r="I1266" t="str">
        <f>VLOOKUP(Tabla1[[#This Row],[Code]],'[1]Articulos Precio'!$A:$E,5,FALSE)</f>
        <v>A0000352</v>
      </c>
    </row>
    <row r="1267" spans="1:9" x14ac:dyDescent="0.25">
      <c r="A1267" t="s">
        <v>422</v>
      </c>
      <c r="B1267" t="str">
        <f>VLOOKUP(Tabla1[[#This Row],[Code]],[1]!Tabla4[#Data],2,FALSE)</f>
        <v>M2 Metamark M4 Mate 341M Rojo Tomate 1,22 x 50m</v>
      </c>
      <c r="C1267">
        <v>28</v>
      </c>
      <c r="D1267" t="s">
        <v>92</v>
      </c>
      <c r="E1267" t="str">
        <f>VLOOKUP(Tabla1[[#This Row],[Cód. Atributo]],[1]!Tabla5[#Data],6,FALSE)</f>
        <v>Select</v>
      </c>
      <c r="F1267">
        <v>5</v>
      </c>
      <c r="G1267">
        <v>2</v>
      </c>
      <c r="H1267" t="s">
        <v>102</v>
      </c>
      <c r="I1267" t="str">
        <f>VLOOKUP(Tabla1[[#This Row],[Code]],'[1]Articulos Precio'!$A:$E,5,FALSE)</f>
        <v>A0000352</v>
      </c>
    </row>
    <row r="1268" spans="1:9" x14ac:dyDescent="0.25">
      <c r="A1268" t="s">
        <v>422</v>
      </c>
      <c r="B1268" t="str">
        <f>VLOOKUP(Tabla1[[#This Row],[Code]],[1]!Tabla4[#Data],2,FALSE)</f>
        <v>M2 Metamark M4 Mate 341M Rojo Tomate 1,22 x 50m</v>
      </c>
      <c r="C1268">
        <v>24</v>
      </c>
      <c r="D1268" t="s">
        <v>96</v>
      </c>
      <c r="E1268" t="str">
        <f>VLOOKUP(Tabla1[[#This Row],[Cód. Atributo]],[1]!Tabla5[#Data],6,FALSE)</f>
        <v>Select</v>
      </c>
      <c r="F1268">
        <v>6</v>
      </c>
      <c r="G1268">
        <v>2</v>
      </c>
      <c r="H1268" t="s">
        <v>266</v>
      </c>
      <c r="I1268" t="str">
        <f>VLOOKUP(Tabla1[[#This Row],[Code]],'[1]Articulos Precio'!$A:$E,5,FALSE)</f>
        <v>A0000352</v>
      </c>
    </row>
    <row r="1269" spans="1:9" x14ac:dyDescent="0.25">
      <c r="A1269" t="s">
        <v>423</v>
      </c>
      <c r="B1269" t="str">
        <f>VLOOKUP(Tabla1[[#This Row],[Code]],[1]!Tabla4[#Data],2,FALSE)</f>
        <v>M2 Metamark M4 Mate 343M Rojo Cereza 0,61 x 50m</v>
      </c>
      <c r="C1269">
        <v>8</v>
      </c>
      <c r="D1269" t="s">
        <v>86</v>
      </c>
      <c r="E1269" t="str">
        <f>VLOOKUP(Tabla1[[#This Row],[Cód. Atributo]],[1]!Tabla5[#Data],6,FALSE)</f>
        <v>Select</v>
      </c>
      <c r="F1269">
        <v>1</v>
      </c>
      <c r="G1269">
        <v>1</v>
      </c>
      <c r="H1269" t="s">
        <v>263</v>
      </c>
      <c r="I1269" t="str">
        <f>VLOOKUP(Tabla1[[#This Row],[Code]],'[1]Articulos Precio'!$A:$E,5,FALSE)</f>
        <v>A0000352</v>
      </c>
    </row>
    <row r="1270" spans="1:9" x14ac:dyDescent="0.25">
      <c r="A1270" t="s">
        <v>423</v>
      </c>
      <c r="B1270" t="str">
        <f>VLOOKUP(Tabla1[[#This Row],[Code]],[1]!Tabla4[#Data],2,FALSE)</f>
        <v>M2 Metamark M4 Mate 343M Rojo Cereza 0,61 x 50m</v>
      </c>
      <c r="C1270">
        <v>22</v>
      </c>
      <c r="D1270" t="s">
        <v>393</v>
      </c>
      <c r="E1270" t="str">
        <f>VLOOKUP(Tabla1[[#This Row],[Cód. Atributo]],[1]!Tabla5[#Data],6,FALSE)</f>
        <v>Color</v>
      </c>
      <c r="F1270">
        <v>2</v>
      </c>
      <c r="G1270">
        <v>11</v>
      </c>
      <c r="H1270" t="s">
        <v>424</v>
      </c>
      <c r="I1270" t="str">
        <f>VLOOKUP(Tabla1[[#This Row],[Code]],'[1]Articulos Precio'!$A:$E,5,FALSE)</f>
        <v>A0000352</v>
      </c>
    </row>
    <row r="1271" spans="1:9" x14ac:dyDescent="0.25">
      <c r="A1271" t="s">
        <v>423</v>
      </c>
      <c r="B1271" t="str">
        <f>VLOOKUP(Tabla1[[#This Row],[Code]],[1]!Tabla4[#Data],2,FALSE)</f>
        <v>M2 Metamark M4 Mate 343M Rojo Cereza 0,61 x 50m</v>
      </c>
      <c r="C1271">
        <v>23</v>
      </c>
      <c r="D1271" t="s">
        <v>90</v>
      </c>
      <c r="E1271" t="str">
        <f>VLOOKUP(Tabla1[[#This Row],[Cód. Atributo]],[1]!Tabla5[#Data],6,FALSE)</f>
        <v>Select</v>
      </c>
      <c r="F1271">
        <v>3</v>
      </c>
      <c r="G1271">
        <v>1</v>
      </c>
      <c r="H1271" t="s">
        <v>110</v>
      </c>
      <c r="I1271" t="str">
        <f>VLOOKUP(Tabla1[[#This Row],[Code]],'[1]Articulos Precio'!$A:$E,5,FALSE)</f>
        <v>A0000352</v>
      </c>
    </row>
    <row r="1272" spans="1:9" x14ac:dyDescent="0.25">
      <c r="A1272" t="s">
        <v>423</v>
      </c>
      <c r="B1272" t="str">
        <f>VLOOKUP(Tabla1[[#This Row],[Code]],[1]!Tabla4[#Data],2,FALSE)</f>
        <v>M2 Metamark M4 Mate 343M Rojo Cereza 0,61 x 50m</v>
      </c>
      <c r="C1272">
        <v>25</v>
      </c>
      <c r="D1272" t="s">
        <v>94</v>
      </c>
      <c r="E1272" t="str">
        <f>VLOOKUP(Tabla1[[#This Row],[Cód. Atributo]],[1]!Tabla5[#Data],6,FALSE)</f>
        <v>Select</v>
      </c>
      <c r="F1272">
        <v>4</v>
      </c>
      <c r="G1272">
        <v>2</v>
      </c>
      <c r="H1272" t="s">
        <v>111</v>
      </c>
      <c r="I1272" t="str">
        <f>VLOOKUP(Tabla1[[#This Row],[Code]],'[1]Articulos Precio'!$A:$E,5,FALSE)</f>
        <v>A0000352</v>
      </c>
    </row>
    <row r="1273" spans="1:9" x14ac:dyDescent="0.25">
      <c r="A1273" t="s">
        <v>423</v>
      </c>
      <c r="B1273" t="str">
        <f>VLOOKUP(Tabla1[[#This Row],[Code]],[1]!Tabla4[#Data],2,FALSE)</f>
        <v>M2 Metamark M4 Mate 343M Rojo Cereza 0,61 x 50m</v>
      </c>
      <c r="C1273">
        <v>28</v>
      </c>
      <c r="D1273" t="s">
        <v>92</v>
      </c>
      <c r="E1273" t="str">
        <f>VLOOKUP(Tabla1[[#This Row],[Cód. Atributo]],[1]!Tabla5[#Data],6,FALSE)</f>
        <v>Select</v>
      </c>
      <c r="F1273">
        <v>5</v>
      </c>
      <c r="G1273">
        <v>2</v>
      </c>
      <c r="H1273" t="s">
        <v>102</v>
      </c>
      <c r="I1273" t="str">
        <f>VLOOKUP(Tabla1[[#This Row],[Code]],'[1]Articulos Precio'!$A:$E,5,FALSE)</f>
        <v>A0000352</v>
      </c>
    </row>
    <row r="1274" spans="1:9" x14ac:dyDescent="0.25">
      <c r="A1274" t="s">
        <v>423</v>
      </c>
      <c r="B1274" t="str">
        <f>VLOOKUP(Tabla1[[#This Row],[Code]],[1]!Tabla4[#Data],2,FALSE)</f>
        <v>M2 Metamark M4 Mate 343M Rojo Cereza 0,61 x 50m</v>
      </c>
      <c r="C1274">
        <v>24</v>
      </c>
      <c r="D1274" t="s">
        <v>96</v>
      </c>
      <c r="E1274" t="str">
        <f>VLOOKUP(Tabla1[[#This Row],[Cód. Atributo]],[1]!Tabla5[#Data],6,FALSE)</f>
        <v>Select</v>
      </c>
      <c r="F1274">
        <v>6</v>
      </c>
      <c r="G1274">
        <v>2</v>
      </c>
      <c r="H1274" t="s">
        <v>266</v>
      </c>
      <c r="I1274" t="str">
        <f>VLOOKUP(Tabla1[[#This Row],[Code]],'[1]Articulos Precio'!$A:$E,5,FALSE)</f>
        <v>A0000352</v>
      </c>
    </row>
    <row r="1275" spans="1:9" x14ac:dyDescent="0.25">
      <c r="A1275" t="s">
        <v>425</v>
      </c>
      <c r="B1275" t="str">
        <f>VLOOKUP(Tabla1[[#This Row],[Code]],[1]!Tabla4[#Data],2,FALSE)</f>
        <v>M2 Metamark M4 Mate 343M Rojo Cereza 1,22 x 50m</v>
      </c>
      <c r="C1275">
        <v>8</v>
      </c>
      <c r="D1275" t="s">
        <v>86</v>
      </c>
      <c r="E1275" t="str">
        <f>VLOOKUP(Tabla1[[#This Row],[Cód. Atributo]],[1]!Tabla5[#Data],6,FALSE)</f>
        <v>Select</v>
      </c>
      <c r="F1275">
        <v>1</v>
      </c>
      <c r="G1275">
        <v>2</v>
      </c>
      <c r="H1275" t="s">
        <v>268</v>
      </c>
      <c r="I1275" t="str">
        <f>VLOOKUP(Tabla1[[#This Row],[Code]],'[1]Articulos Precio'!$A:$E,5,FALSE)</f>
        <v>A0000352</v>
      </c>
    </row>
    <row r="1276" spans="1:9" x14ac:dyDescent="0.25">
      <c r="A1276" t="s">
        <v>425</v>
      </c>
      <c r="B1276" t="str">
        <f>VLOOKUP(Tabla1[[#This Row],[Code]],[1]!Tabla4[#Data],2,FALSE)</f>
        <v>M2 Metamark M4 Mate 343M Rojo Cereza 1,22 x 50m</v>
      </c>
      <c r="C1276">
        <v>22</v>
      </c>
      <c r="D1276" t="s">
        <v>393</v>
      </c>
      <c r="E1276" t="str">
        <f>VLOOKUP(Tabla1[[#This Row],[Cód. Atributo]],[1]!Tabla5[#Data],6,FALSE)</f>
        <v>Color</v>
      </c>
      <c r="F1276">
        <v>2</v>
      </c>
      <c r="G1276">
        <v>11</v>
      </c>
      <c r="H1276" t="s">
        <v>424</v>
      </c>
      <c r="I1276" t="str">
        <f>VLOOKUP(Tabla1[[#This Row],[Code]],'[1]Articulos Precio'!$A:$E,5,FALSE)</f>
        <v>A0000352</v>
      </c>
    </row>
    <row r="1277" spans="1:9" x14ac:dyDescent="0.25">
      <c r="A1277" t="s">
        <v>425</v>
      </c>
      <c r="B1277" t="str">
        <f>VLOOKUP(Tabla1[[#This Row],[Code]],[1]!Tabla4[#Data],2,FALSE)</f>
        <v>M2 Metamark M4 Mate 343M Rojo Cereza 1,22 x 50m</v>
      </c>
      <c r="C1277">
        <v>23</v>
      </c>
      <c r="D1277" t="s">
        <v>90</v>
      </c>
      <c r="E1277" t="str">
        <f>VLOOKUP(Tabla1[[#This Row],[Cód. Atributo]],[1]!Tabla5[#Data],6,FALSE)</f>
        <v>Select</v>
      </c>
      <c r="F1277">
        <v>3</v>
      </c>
      <c r="G1277">
        <v>1</v>
      </c>
      <c r="H1277" t="s">
        <v>110</v>
      </c>
      <c r="I1277" t="str">
        <f>VLOOKUP(Tabla1[[#This Row],[Code]],'[1]Articulos Precio'!$A:$E,5,FALSE)</f>
        <v>A0000352</v>
      </c>
    </row>
    <row r="1278" spans="1:9" x14ac:dyDescent="0.25">
      <c r="A1278" t="s">
        <v>425</v>
      </c>
      <c r="B1278" t="str">
        <f>VLOOKUP(Tabla1[[#This Row],[Code]],[1]!Tabla4[#Data],2,FALSE)</f>
        <v>M2 Metamark M4 Mate 343M Rojo Cereza 1,22 x 50m</v>
      </c>
      <c r="C1278">
        <v>25</v>
      </c>
      <c r="D1278" t="s">
        <v>94</v>
      </c>
      <c r="E1278" t="str">
        <f>VLOOKUP(Tabla1[[#This Row],[Cód. Atributo]],[1]!Tabla5[#Data],6,FALSE)</f>
        <v>Select</v>
      </c>
      <c r="F1278">
        <v>4</v>
      </c>
      <c r="G1278">
        <v>2</v>
      </c>
      <c r="H1278" t="s">
        <v>111</v>
      </c>
      <c r="I1278" t="str">
        <f>VLOOKUP(Tabla1[[#This Row],[Code]],'[1]Articulos Precio'!$A:$E,5,FALSE)</f>
        <v>A0000352</v>
      </c>
    </row>
    <row r="1279" spans="1:9" x14ac:dyDescent="0.25">
      <c r="A1279" t="s">
        <v>425</v>
      </c>
      <c r="B1279" t="str">
        <f>VLOOKUP(Tabla1[[#This Row],[Code]],[1]!Tabla4[#Data],2,FALSE)</f>
        <v>M2 Metamark M4 Mate 343M Rojo Cereza 1,22 x 50m</v>
      </c>
      <c r="C1279">
        <v>28</v>
      </c>
      <c r="D1279" t="s">
        <v>92</v>
      </c>
      <c r="E1279" t="str">
        <f>VLOOKUP(Tabla1[[#This Row],[Cód. Atributo]],[1]!Tabla5[#Data],6,FALSE)</f>
        <v>Select</v>
      </c>
      <c r="F1279">
        <v>5</v>
      </c>
      <c r="G1279">
        <v>2</v>
      </c>
      <c r="H1279" t="s">
        <v>102</v>
      </c>
      <c r="I1279" t="str">
        <f>VLOOKUP(Tabla1[[#This Row],[Code]],'[1]Articulos Precio'!$A:$E,5,FALSE)</f>
        <v>A0000352</v>
      </c>
    </row>
    <row r="1280" spans="1:9" x14ac:dyDescent="0.25">
      <c r="A1280" t="s">
        <v>425</v>
      </c>
      <c r="B1280" t="str">
        <f>VLOOKUP(Tabla1[[#This Row],[Code]],[1]!Tabla4[#Data],2,FALSE)</f>
        <v>M2 Metamark M4 Mate 343M Rojo Cereza 1,22 x 50m</v>
      </c>
      <c r="C1280">
        <v>24</v>
      </c>
      <c r="D1280" t="s">
        <v>96</v>
      </c>
      <c r="E1280" t="str">
        <f>VLOOKUP(Tabla1[[#This Row],[Cód. Atributo]],[1]!Tabla5[#Data],6,FALSE)</f>
        <v>Select</v>
      </c>
      <c r="F1280">
        <v>6</v>
      </c>
      <c r="G1280">
        <v>2</v>
      </c>
      <c r="H1280" t="s">
        <v>266</v>
      </c>
      <c r="I1280" t="str">
        <f>VLOOKUP(Tabla1[[#This Row],[Code]],'[1]Articulos Precio'!$A:$E,5,FALSE)</f>
        <v>A0000352</v>
      </c>
    </row>
    <row r="1281" spans="1:9" x14ac:dyDescent="0.25">
      <c r="A1281" t="s">
        <v>426</v>
      </c>
      <c r="B1281" t="str">
        <f>VLOOKUP(Tabla1[[#This Row],[Code]],[1]!Tabla4[#Data],2,FALSE)</f>
        <v>M2 Metamark M4 Mate 345M Rojo Borgoña 0,61 x 50m</v>
      </c>
      <c r="C1281">
        <v>8</v>
      </c>
      <c r="D1281" t="s">
        <v>86</v>
      </c>
      <c r="E1281" t="str">
        <f>VLOOKUP(Tabla1[[#This Row],[Cód. Atributo]],[1]!Tabla5[#Data],6,FALSE)</f>
        <v>Select</v>
      </c>
      <c r="F1281">
        <v>1</v>
      </c>
      <c r="G1281">
        <v>1</v>
      </c>
      <c r="H1281" t="s">
        <v>263</v>
      </c>
      <c r="I1281" t="str">
        <f>VLOOKUP(Tabla1[[#This Row],[Code]],'[1]Articulos Precio'!$A:$E,5,FALSE)</f>
        <v>A0000352</v>
      </c>
    </row>
    <row r="1282" spans="1:9" x14ac:dyDescent="0.25">
      <c r="A1282" t="s">
        <v>426</v>
      </c>
      <c r="B1282" t="str">
        <f>VLOOKUP(Tabla1[[#This Row],[Code]],[1]!Tabla4[#Data],2,FALSE)</f>
        <v>M2 Metamark M4 Mate 345M Rojo Borgoña 0,61 x 50m</v>
      </c>
      <c r="C1282">
        <v>22</v>
      </c>
      <c r="D1282" t="s">
        <v>393</v>
      </c>
      <c r="E1282" t="str">
        <f>VLOOKUP(Tabla1[[#This Row],[Cód. Atributo]],[1]!Tabla5[#Data],6,FALSE)</f>
        <v>Color</v>
      </c>
      <c r="F1282">
        <v>2</v>
      </c>
      <c r="G1282">
        <v>12</v>
      </c>
      <c r="H1282" t="s">
        <v>427</v>
      </c>
      <c r="I1282" t="str">
        <f>VLOOKUP(Tabla1[[#This Row],[Code]],'[1]Articulos Precio'!$A:$E,5,FALSE)</f>
        <v>A0000352</v>
      </c>
    </row>
    <row r="1283" spans="1:9" x14ac:dyDescent="0.25">
      <c r="A1283" t="s">
        <v>426</v>
      </c>
      <c r="B1283" t="str">
        <f>VLOOKUP(Tabla1[[#This Row],[Code]],[1]!Tabla4[#Data],2,FALSE)</f>
        <v>M2 Metamark M4 Mate 345M Rojo Borgoña 0,61 x 50m</v>
      </c>
      <c r="C1283">
        <v>23</v>
      </c>
      <c r="D1283" t="s">
        <v>90</v>
      </c>
      <c r="E1283" t="str">
        <f>VLOOKUP(Tabla1[[#This Row],[Cód. Atributo]],[1]!Tabla5[#Data],6,FALSE)</f>
        <v>Select</v>
      </c>
      <c r="F1283">
        <v>3</v>
      </c>
      <c r="G1283">
        <v>1</v>
      </c>
      <c r="H1283" t="s">
        <v>110</v>
      </c>
      <c r="I1283" t="str">
        <f>VLOOKUP(Tabla1[[#This Row],[Code]],'[1]Articulos Precio'!$A:$E,5,FALSE)</f>
        <v>A0000352</v>
      </c>
    </row>
    <row r="1284" spans="1:9" x14ac:dyDescent="0.25">
      <c r="A1284" t="s">
        <v>426</v>
      </c>
      <c r="B1284" t="str">
        <f>VLOOKUP(Tabla1[[#This Row],[Code]],[1]!Tabla4[#Data],2,FALSE)</f>
        <v>M2 Metamark M4 Mate 345M Rojo Borgoña 0,61 x 50m</v>
      </c>
      <c r="C1284">
        <v>25</v>
      </c>
      <c r="D1284" t="s">
        <v>94</v>
      </c>
      <c r="E1284" t="str">
        <f>VLOOKUP(Tabla1[[#This Row],[Cód. Atributo]],[1]!Tabla5[#Data],6,FALSE)</f>
        <v>Select</v>
      </c>
      <c r="F1284">
        <v>4</v>
      </c>
      <c r="G1284">
        <v>2</v>
      </c>
      <c r="H1284" t="s">
        <v>111</v>
      </c>
      <c r="I1284" t="str">
        <f>VLOOKUP(Tabla1[[#This Row],[Code]],'[1]Articulos Precio'!$A:$E,5,FALSE)</f>
        <v>A0000352</v>
      </c>
    </row>
    <row r="1285" spans="1:9" x14ac:dyDescent="0.25">
      <c r="A1285" t="s">
        <v>426</v>
      </c>
      <c r="B1285" t="str">
        <f>VLOOKUP(Tabla1[[#This Row],[Code]],[1]!Tabla4[#Data],2,FALSE)</f>
        <v>M2 Metamark M4 Mate 345M Rojo Borgoña 0,61 x 50m</v>
      </c>
      <c r="C1285">
        <v>28</v>
      </c>
      <c r="D1285" t="s">
        <v>92</v>
      </c>
      <c r="E1285" t="str">
        <f>VLOOKUP(Tabla1[[#This Row],[Cód. Atributo]],[1]!Tabla5[#Data],6,FALSE)</f>
        <v>Select</v>
      </c>
      <c r="F1285">
        <v>5</v>
      </c>
      <c r="G1285">
        <v>2</v>
      </c>
      <c r="H1285" t="s">
        <v>102</v>
      </c>
      <c r="I1285" t="str">
        <f>VLOOKUP(Tabla1[[#This Row],[Code]],'[1]Articulos Precio'!$A:$E,5,FALSE)</f>
        <v>A0000352</v>
      </c>
    </row>
    <row r="1286" spans="1:9" x14ac:dyDescent="0.25">
      <c r="A1286" t="s">
        <v>426</v>
      </c>
      <c r="B1286" t="str">
        <f>VLOOKUP(Tabla1[[#This Row],[Code]],[1]!Tabla4[#Data],2,FALSE)</f>
        <v>M2 Metamark M4 Mate 345M Rojo Borgoña 0,61 x 50m</v>
      </c>
      <c r="C1286">
        <v>24</v>
      </c>
      <c r="D1286" t="s">
        <v>96</v>
      </c>
      <c r="E1286" t="str">
        <f>VLOOKUP(Tabla1[[#This Row],[Cód. Atributo]],[1]!Tabla5[#Data],6,FALSE)</f>
        <v>Select</v>
      </c>
      <c r="F1286">
        <v>6</v>
      </c>
      <c r="G1286">
        <v>2</v>
      </c>
      <c r="H1286" t="s">
        <v>266</v>
      </c>
      <c r="I1286" t="str">
        <f>VLOOKUP(Tabla1[[#This Row],[Code]],'[1]Articulos Precio'!$A:$E,5,FALSE)</f>
        <v>A0000352</v>
      </c>
    </row>
    <row r="1287" spans="1:9" x14ac:dyDescent="0.25">
      <c r="A1287" t="s">
        <v>428</v>
      </c>
      <c r="B1287" t="str">
        <f>VLOOKUP(Tabla1[[#This Row],[Code]],[1]!Tabla4[#Data],2,FALSE)</f>
        <v>M2 Metamark M4 Mate 345M Rojo Borgoña 1,22 x 50m</v>
      </c>
      <c r="C1287">
        <v>8</v>
      </c>
      <c r="D1287" t="s">
        <v>86</v>
      </c>
      <c r="E1287" t="str">
        <f>VLOOKUP(Tabla1[[#This Row],[Cód. Atributo]],[1]!Tabla5[#Data],6,FALSE)</f>
        <v>Select</v>
      </c>
      <c r="F1287">
        <v>1</v>
      </c>
      <c r="G1287">
        <v>2</v>
      </c>
      <c r="H1287" t="s">
        <v>268</v>
      </c>
      <c r="I1287" t="str">
        <f>VLOOKUP(Tabla1[[#This Row],[Code]],'[1]Articulos Precio'!$A:$E,5,FALSE)</f>
        <v>A0000352</v>
      </c>
    </row>
    <row r="1288" spans="1:9" x14ac:dyDescent="0.25">
      <c r="A1288" t="s">
        <v>428</v>
      </c>
      <c r="B1288" t="str">
        <f>VLOOKUP(Tabla1[[#This Row],[Code]],[1]!Tabla4[#Data],2,FALSE)</f>
        <v>M2 Metamark M4 Mate 345M Rojo Borgoña 1,22 x 50m</v>
      </c>
      <c r="C1288">
        <v>22</v>
      </c>
      <c r="D1288" t="s">
        <v>393</v>
      </c>
      <c r="E1288" t="str">
        <f>VLOOKUP(Tabla1[[#This Row],[Cód. Atributo]],[1]!Tabla5[#Data],6,FALSE)</f>
        <v>Color</v>
      </c>
      <c r="F1288">
        <v>2</v>
      </c>
      <c r="G1288">
        <v>12</v>
      </c>
      <c r="H1288" t="s">
        <v>427</v>
      </c>
      <c r="I1288" t="str">
        <f>VLOOKUP(Tabla1[[#This Row],[Code]],'[1]Articulos Precio'!$A:$E,5,FALSE)</f>
        <v>A0000352</v>
      </c>
    </row>
    <row r="1289" spans="1:9" x14ac:dyDescent="0.25">
      <c r="A1289" t="s">
        <v>428</v>
      </c>
      <c r="B1289" t="str">
        <f>VLOOKUP(Tabla1[[#This Row],[Code]],[1]!Tabla4[#Data],2,FALSE)</f>
        <v>M2 Metamark M4 Mate 345M Rojo Borgoña 1,22 x 50m</v>
      </c>
      <c r="C1289">
        <v>23</v>
      </c>
      <c r="D1289" t="s">
        <v>90</v>
      </c>
      <c r="E1289" t="str">
        <f>VLOOKUP(Tabla1[[#This Row],[Cód. Atributo]],[1]!Tabla5[#Data],6,FALSE)</f>
        <v>Select</v>
      </c>
      <c r="F1289">
        <v>3</v>
      </c>
      <c r="G1289">
        <v>1</v>
      </c>
      <c r="H1289" t="s">
        <v>110</v>
      </c>
      <c r="I1289" t="str">
        <f>VLOOKUP(Tabla1[[#This Row],[Code]],'[1]Articulos Precio'!$A:$E,5,FALSE)</f>
        <v>A0000352</v>
      </c>
    </row>
    <row r="1290" spans="1:9" x14ac:dyDescent="0.25">
      <c r="A1290" t="s">
        <v>428</v>
      </c>
      <c r="B1290" t="str">
        <f>VLOOKUP(Tabla1[[#This Row],[Code]],[1]!Tabla4[#Data],2,FALSE)</f>
        <v>M2 Metamark M4 Mate 345M Rojo Borgoña 1,22 x 50m</v>
      </c>
      <c r="C1290">
        <v>25</v>
      </c>
      <c r="D1290" t="s">
        <v>94</v>
      </c>
      <c r="E1290" t="str">
        <f>VLOOKUP(Tabla1[[#This Row],[Cód. Atributo]],[1]!Tabla5[#Data],6,FALSE)</f>
        <v>Select</v>
      </c>
      <c r="F1290">
        <v>4</v>
      </c>
      <c r="G1290">
        <v>2</v>
      </c>
      <c r="H1290" t="s">
        <v>111</v>
      </c>
      <c r="I1290" t="str">
        <f>VLOOKUP(Tabla1[[#This Row],[Code]],'[1]Articulos Precio'!$A:$E,5,FALSE)</f>
        <v>A0000352</v>
      </c>
    </row>
    <row r="1291" spans="1:9" x14ac:dyDescent="0.25">
      <c r="A1291" t="s">
        <v>428</v>
      </c>
      <c r="B1291" t="str">
        <f>VLOOKUP(Tabla1[[#This Row],[Code]],[1]!Tabla4[#Data],2,FALSE)</f>
        <v>M2 Metamark M4 Mate 345M Rojo Borgoña 1,22 x 50m</v>
      </c>
      <c r="C1291">
        <v>28</v>
      </c>
      <c r="D1291" t="s">
        <v>92</v>
      </c>
      <c r="E1291" t="str">
        <f>VLOOKUP(Tabla1[[#This Row],[Cód. Atributo]],[1]!Tabla5[#Data],6,FALSE)</f>
        <v>Select</v>
      </c>
      <c r="F1291">
        <v>5</v>
      </c>
      <c r="G1291">
        <v>2</v>
      </c>
      <c r="H1291" t="s">
        <v>102</v>
      </c>
      <c r="I1291" t="str">
        <f>VLOOKUP(Tabla1[[#This Row],[Code]],'[1]Articulos Precio'!$A:$E,5,FALSE)</f>
        <v>A0000352</v>
      </c>
    </row>
    <row r="1292" spans="1:9" x14ac:dyDescent="0.25">
      <c r="A1292" t="s">
        <v>428</v>
      </c>
      <c r="B1292" t="str">
        <f>VLOOKUP(Tabla1[[#This Row],[Code]],[1]!Tabla4[#Data],2,FALSE)</f>
        <v>M2 Metamark M4 Mate 345M Rojo Borgoña 1,22 x 50m</v>
      </c>
      <c r="C1292">
        <v>24</v>
      </c>
      <c r="D1292" t="s">
        <v>96</v>
      </c>
      <c r="E1292" t="str">
        <f>VLOOKUP(Tabla1[[#This Row],[Cód. Atributo]],[1]!Tabla5[#Data],6,FALSE)</f>
        <v>Select</v>
      </c>
      <c r="F1292">
        <v>6</v>
      </c>
      <c r="G1292">
        <v>2</v>
      </c>
      <c r="H1292" t="s">
        <v>266</v>
      </c>
      <c r="I1292" t="str">
        <f>VLOOKUP(Tabla1[[#This Row],[Code]],'[1]Articulos Precio'!$A:$E,5,FALSE)</f>
        <v>A0000352</v>
      </c>
    </row>
    <row r="1293" spans="1:9" x14ac:dyDescent="0.25">
      <c r="A1293" t="s">
        <v>429</v>
      </c>
      <c r="B1293" t="str">
        <f>VLOOKUP(Tabla1[[#This Row],[Code]],[1]!Tabla4[#Data],2,FALSE)</f>
        <v>M2 Metamark M4 Mate 352M Azul Oceano 0,61 x 50m</v>
      </c>
      <c r="C1293">
        <v>8</v>
      </c>
      <c r="D1293" t="s">
        <v>86</v>
      </c>
      <c r="E1293" t="str">
        <f>VLOOKUP(Tabla1[[#This Row],[Cód. Atributo]],[1]!Tabla5[#Data],6,FALSE)</f>
        <v>Select</v>
      </c>
      <c r="F1293">
        <v>1</v>
      </c>
      <c r="G1293">
        <v>1</v>
      </c>
      <c r="H1293" t="s">
        <v>263</v>
      </c>
      <c r="I1293" t="str">
        <f>VLOOKUP(Tabla1[[#This Row],[Code]],'[1]Articulos Precio'!$A:$E,5,FALSE)</f>
        <v>A0000352</v>
      </c>
    </row>
    <row r="1294" spans="1:9" x14ac:dyDescent="0.25">
      <c r="A1294" t="s">
        <v>429</v>
      </c>
      <c r="B1294" t="str">
        <f>VLOOKUP(Tabla1[[#This Row],[Code]],[1]!Tabla4[#Data],2,FALSE)</f>
        <v>M2 Metamark M4 Mate 352M Azul Oceano 0,61 x 50m</v>
      </c>
      <c r="C1294">
        <v>22</v>
      </c>
      <c r="D1294" t="s">
        <v>393</v>
      </c>
      <c r="E1294" t="str">
        <f>VLOOKUP(Tabla1[[#This Row],[Cód. Atributo]],[1]!Tabla5[#Data],6,FALSE)</f>
        <v>Color</v>
      </c>
      <c r="F1294">
        <v>2</v>
      </c>
      <c r="G1294">
        <v>13</v>
      </c>
      <c r="H1294" t="s">
        <v>430</v>
      </c>
      <c r="I1294" t="str">
        <f>VLOOKUP(Tabla1[[#This Row],[Code]],'[1]Articulos Precio'!$A:$E,5,FALSE)</f>
        <v>A0000352</v>
      </c>
    </row>
    <row r="1295" spans="1:9" x14ac:dyDescent="0.25">
      <c r="A1295" t="s">
        <v>429</v>
      </c>
      <c r="B1295" t="str">
        <f>VLOOKUP(Tabla1[[#This Row],[Code]],[1]!Tabla4[#Data],2,FALSE)</f>
        <v>M2 Metamark M4 Mate 352M Azul Oceano 0,61 x 50m</v>
      </c>
      <c r="C1295">
        <v>23</v>
      </c>
      <c r="D1295" t="s">
        <v>90</v>
      </c>
      <c r="E1295" t="str">
        <f>VLOOKUP(Tabla1[[#This Row],[Cód. Atributo]],[1]!Tabla5[#Data],6,FALSE)</f>
        <v>Select</v>
      </c>
      <c r="F1295">
        <v>3</v>
      </c>
      <c r="G1295">
        <v>1</v>
      </c>
      <c r="H1295" t="s">
        <v>110</v>
      </c>
      <c r="I1295" t="str">
        <f>VLOOKUP(Tabla1[[#This Row],[Code]],'[1]Articulos Precio'!$A:$E,5,FALSE)</f>
        <v>A0000352</v>
      </c>
    </row>
    <row r="1296" spans="1:9" x14ac:dyDescent="0.25">
      <c r="A1296" t="s">
        <v>429</v>
      </c>
      <c r="B1296" t="str">
        <f>VLOOKUP(Tabla1[[#This Row],[Code]],[1]!Tabla4[#Data],2,FALSE)</f>
        <v>M2 Metamark M4 Mate 352M Azul Oceano 0,61 x 50m</v>
      </c>
      <c r="C1296">
        <v>25</v>
      </c>
      <c r="D1296" t="s">
        <v>94</v>
      </c>
      <c r="E1296" t="str">
        <f>VLOOKUP(Tabla1[[#This Row],[Cód. Atributo]],[1]!Tabla5[#Data],6,FALSE)</f>
        <v>Select</v>
      </c>
      <c r="F1296">
        <v>4</v>
      </c>
      <c r="G1296">
        <v>2</v>
      </c>
      <c r="H1296" t="s">
        <v>111</v>
      </c>
      <c r="I1296" t="str">
        <f>VLOOKUP(Tabla1[[#This Row],[Code]],'[1]Articulos Precio'!$A:$E,5,FALSE)</f>
        <v>A0000352</v>
      </c>
    </row>
    <row r="1297" spans="1:9" x14ac:dyDescent="0.25">
      <c r="A1297" t="s">
        <v>429</v>
      </c>
      <c r="B1297" t="str">
        <f>VLOOKUP(Tabla1[[#This Row],[Code]],[1]!Tabla4[#Data],2,FALSE)</f>
        <v>M2 Metamark M4 Mate 352M Azul Oceano 0,61 x 50m</v>
      </c>
      <c r="C1297">
        <v>28</v>
      </c>
      <c r="D1297" t="s">
        <v>92</v>
      </c>
      <c r="E1297" t="str">
        <f>VLOOKUP(Tabla1[[#This Row],[Cód. Atributo]],[1]!Tabla5[#Data],6,FALSE)</f>
        <v>Select</v>
      </c>
      <c r="F1297">
        <v>5</v>
      </c>
      <c r="G1297">
        <v>2</v>
      </c>
      <c r="H1297" t="s">
        <v>102</v>
      </c>
      <c r="I1297" t="str">
        <f>VLOOKUP(Tabla1[[#This Row],[Code]],'[1]Articulos Precio'!$A:$E,5,FALSE)</f>
        <v>A0000352</v>
      </c>
    </row>
    <row r="1298" spans="1:9" x14ac:dyDescent="0.25">
      <c r="A1298" t="s">
        <v>429</v>
      </c>
      <c r="B1298" t="str">
        <f>VLOOKUP(Tabla1[[#This Row],[Code]],[1]!Tabla4[#Data],2,FALSE)</f>
        <v>M2 Metamark M4 Mate 352M Azul Oceano 0,61 x 50m</v>
      </c>
      <c r="C1298">
        <v>24</v>
      </c>
      <c r="D1298" t="s">
        <v>96</v>
      </c>
      <c r="E1298" t="str">
        <f>VLOOKUP(Tabla1[[#This Row],[Cód. Atributo]],[1]!Tabla5[#Data],6,FALSE)</f>
        <v>Select</v>
      </c>
      <c r="F1298">
        <v>6</v>
      </c>
      <c r="G1298">
        <v>2</v>
      </c>
      <c r="H1298" t="s">
        <v>266</v>
      </c>
      <c r="I1298" t="str">
        <f>VLOOKUP(Tabla1[[#This Row],[Code]],'[1]Articulos Precio'!$A:$E,5,FALSE)</f>
        <v>A0000352</v>
      </c>
    </row>
    <row r="1299" spans="1:9" x14ac:dyDescent="0.25">
      <c r="A1299" t="s">
        <v>431</v>
      </c>
      <c r="B1299" t="str">
        <f>VLOOKUP(Tabla1[[#This Row],[Code]],[1]!Tabla4[#Data],2,FALSE)</f>
        <v>M2 Metamark M4 Mate 352M Azul Oceano 1,22 x 50m</v>
      </c>
      <c r="C1299">
        <v>8</v>
      </c>
      <c r="D1299" t="s">
        <v>86</v>
      </c>
      <c r="E1299" t="str">
        <f>VLOOKUP(Tabla1[[#This Row],[Cód. Atributo]],[1]!Tabla5[#Data],6,FALSE)</f>
        <v>Select</v>
      </c>
      <c r="F1299">
        <v>1</v>
      </c>
      <c r="G1299">
        <v>2</v>
      </c>
      <c r="H1299" t="s">
        <v>268</v>
      </c>
      <c r="I1299" t="str">
        <f>VLOOKUP(Tabla1[[#This Row],[Code]],'[1]Articulos Precio'!$A:$E,5,FALSE)</f>
        <v>A0000352</v>
      </c>
    </row>
    <row r="1300" spans="1:9" x14ac:dyDescent="0.25">
      <c r="A1300" t="s">
        <v>431</v>
      </c>
      <c r="B1300" t="str">
        <f>VLOOKUP(Tabla1[[#This Row],[Code]],[1]!Tabla4[#Data],2,FALSE)</f>
        <v>M2 Metamark M4 Mate 352M Azul Oceano 1,22 x 50m</v>
      </c>
      <c r="C1300">
        <v>22</v>
      </c>
      <c r="D1300" t="s">
        <v>393</v>
      </c>
      <c r="E1300" t="str">
        <f>VLOOKUP(Tabla1[[#This Row],[Cód. Atributo]],[1]!Tabla5[#Data],6,FALSE)</f>
        <v>Color</v>
      </c>
      <c r="F1300">
        <v>2</v>
      </c>
      <c r="G1300">
        <v>13</v>
      </c>
      <c r="H1300" t="s">
        <v>430</v>
      </c>
      <c r="I1300" t="str">
        <f>VLOOKUP(Tabla1[[#This Row],[Code]],'[1]Articulos Precio'!$A:$E,5,FALSE)</f>
        <v>A0000352</v>
      </c>
    </row>
    <row r="1301" spans="1:9" x14ac:dyDescent="0.25">
      <c r="A1301" t="s">
        <v>431</v>
      </c>
      <c r="B1301" t="str">
        <f>VLOOKUP(Tabla1[[#This Row],[Code]],[1]!Tabla4[#Data],2,FALSE)</f>
        <v>M2 Metamark M4 Mate 352M Azul Oceano 1,22 x 50m</v>
      </c>
      <c r="C1301">
        <v>23</v>
      </c>
      <c r="D1301" t="s">
        <v>90</v>
      </c>
      <c r="E1301" t="str">
        <f>VLOOKUP(Tabla1[[#This Row],[Cód. Atributo]],[1]!Tabla5[#Data],6,FALSE)</f>
        <v>Select</v>
      </c>
      <c r="F1301">
        <v>3</v>
      </c>
      <c r="G1301">
        <v>1</v>
      </c>
      <c r="H1301" t="s">
        <v>110</v>
      </c>
      <c r="I1301" t="str">
        <f>VLOOKUP(Tabla1[[#This Row],[Code]],'[1]Articulos Precio'!$A:$E,5,FALSE)</f>
        <v>A0000352</v>
      </c>
    </row>
    <row r="1302" spans="1:9" x14ac:dyDescent="0.25">
      <c r="A1302" t="s">
        <v>431</v>
      </c>
      <c r="B1302" t="str">
        <f>VLOOKUP(Tabla1[[#This Row],[Code]],[1]!Tabla4[#Data],2,FALSE)</f>
        <v>M2 Metamark M4 Mate 352M Azul Oceano 1,22 x 50m</v>
      </c>
      <c r="C1302">
        <v>25</v>
      </c>
      <c r="D1302" t="s">
        <v>94</v>
      </c>
      <c r="E1302" t="str">
        <f>VLOOKUP(Tabla1[[#This Row],[Cód. Atributo]],[1]!Tabla5[#Data],6,FALSE)</f>
        <v>Select</v>
      </c>
      <c r="F1302">
        <v>4</v>
      </c>
      <c r="G1302">
        <v>2</v>
      </c>
      <c r="H1302" t="s">
        <v>111</v>
      </c>
      <c r="I1302" t="str">
        <f>VLOOKUP(Tabla1[[#This Row],[Code]],'[1]Articulos Precio'!$A:$E,5,FALSE)</f>
        <v>A0000352</v>
      </c>
    </row>
    <row r="1303" spans="1:9" x14ac:dyDescent="0.25">
      <c r="A1303" t="s">
        <v>431</v>
      </c>
      <c r="B1303" t="str">
        <f>VLOOKUP(Tabla1[[#This Row],[Code]],[1]!Tabla4[#Data],2,FALSE)</f>
        <v>M2 Metamark M4 Mate 352M Azul Oceano 1,22 x 50m</v>
      </c>
      <c r="C1303">
        <v>28</v>
      </c>
      <c r="D1303" t="s">
        <v>92</v>
      </c>
      <c r="E1303" t="str">
        <f>VLOOKUP(Tabla1[[#This Row],[Cód. Atributo]],[1]!Tabla5[#Data],6,FALSE)</f>
        <v>Select</v>
      </c>
      <c r="F1303">
        <v>5</v>
      </c>
      <c r="G1303">
        <v>2</v>
      </c>
      <c r="H1303" t="s">
        <v>102</v>
      </c>
      <c r="I1303" t="str">
        <f>VLOOKUP(Tabla1[[#This Row],[Code]],'[1]Articulos Precio'!$A:$E,5,FALSE)</f>
        <v>A0000352</v>
      </c>
    </row>
    <row r="1304" spans="1:9" x14ac:dyDescent="0.25">
      <c r="A1304" t="s">
        <v>431</v>
      </c>
      <c r="B1304" t="str">
        <f>VLOOKUP(Tabla1[[#This Row],[Code]],[1]!Tabla4[#Data],2,FALSE)</f>
        <v>M2 Metamark M4 Mate 352M Azul Oceano 1,22 x 50m</v>
      </c>
      <c r="C1304">
        <v>24</v>
      </c>
      <c r="D1304" t="s">
        <v>96</v>
      </c>
      <c r="E1304" t="str">
        <f>VLOOKUP(Tabla1[[#This Row],[Cód. Atributo]],[1]!Tabla5[#Data],6,FALSE)</f>
        <v>Select</v>
      </c>
      <c r="F1304">
        <v>6</v>
      </c>
      <c r="G1304">
        <v>2</v>
      </c>
      <c r="H1304" t="s">
        <v>266</v>
      </c>
      <c r="I1304" t="str">
        <f>VLOOKUP(Tabla1[[#This Row],[Code]],'[1]Articulos Precio'!$A:$E,5,FALSE)</f>
        <v>A0000352</v>
      </c>
    </row>
    <row r="1305" spans="1:9" x14ac:dyDescent="0.25">
      <c r="A1305" t="s">
        <v>432</v>
      </c>
      <c r="B1305" t="str">
        <f>VLOOKUP(Tabla1[[#This Row],[Code]],[1]!Tabla4[#Data],2,FALSE)</f>
        <v>M2 Metamark M4 Mate 353M Azul Marino 0,61 x 50m</v>
      </c>
      <c r="C1305">
        <v>8</v>
      </c>
      <c r="D1305" t="s">
        <v>86</v>
      </c>
      <c r="E1305" t="str">
        <f>VLOOKUP(Tabla1[[#This Row],[Cód. Atributo]],[1]!Tabla5[#Data],6,FALSE)</f>
        <v>Select</v>
      </c>
      <c r="F1305">
        <v>1</v>
      </c>
      <c r="G1305">
        <v>1</v>
      </c>
      <c r="H1305" t="s">
        <v>263</v>
      </c>
      <c r="I1305" t="str">
        <f>VLOOKUP(Tabla1[[#This Row],[Code]],'[1]Articulos Precio'!$A:$E,5,FALSE)</f>
        <v>A0000352</v>
      </c>
    </row>
    <row r="1306" spans="1:9" x14ac:dyDescent="0.25">
      <c r="A1306" t="s">
        <v>432</v>
      </c>
      <c r="B1306" t="str">
        <f>VLOOKUP(Tabla1[[#This Row],[Code]],[1]!Tabla4[#Data],2,FALSE)</f>
        <v>M2 Metamark M4 Mate 353M Azul Marino 0,61 x 50m</v>
      </c>
      <c r="C1306">
        <v>22</v>
      </c>
      <c r="D1306" t="s">
        <v>393</v>
      </c>
      <c r="E1306" t="str">
        <f>VLOOKUP(Tabla1[[#This Row],[Cód. Atributo]],[1]!Tabla5[#Data],6,FALSE)</f>
        <v>Color</v>
      </c>
      <c r="F1306">
        <v>2</v>
      </c>
      <c r="G1306">
        <v>14</v>
      </c>
      <c r="H1306" t="s">
        <v>433</v>
      </c>
      <c r="I1306" t="str">
        <f>VLOOKUP(Tabla1[[#This Row],[Code]],'[1]Articulos Precio'!$A:$E,5,FALSE)</f>
        <v>A0000352</v>
      </c>
    </row>
    <row r="1307" spans="1:9" x14ac:dyDescent="0.25">
      <c r="A1307" t="s">
        <v>432</v>
      </c>
      <c r="B1307" t="str">
        <f>VLOOKUP(Tabla1[[#This Row],[Code]],[1]!Tabla4[#Data],2,FALSE)</f>
        <v>M2 Metamark M4 Mate 353M Azul Marino 0,61 x 50m</v>
      </c>
      <c r="C1307">
        <v>23</v>
      </c>
      <c r="D1307" t="s">
        <v>90</v>
      </c>
      <c r="E1307" t="str">
        <f>VLOOKUP(Tabla1[[#This Row],[Cód. Atributo]],[1]!Tabla5[#Data],6,FALSE)</f>
        <v>Select</v>
      </c>
      <c r="F1307">
        <v>3</v>
      </c>
      <c r="G1307">
        <v>1</v>
      </c>
      <c r="H1307" t="s">
        <v>110</v>
      </c>
      <c r="I1307" t="str">
        <f>VLOOKUP(Tabla1[[#This Row],[Code]],'[1]Articulos Precio'!$A:$E,5,FALSE)</f>
        <v>A0000352</v>
      </c>
    </row>
    <row r="1308" spans="1:9" x14ac:dyDescent="0.25">
      <c r="A1308" t="s">
        <v>432</v>
      </c>
      <c r="B1308" t="str">
        <f>VLOOKUP(Tabla1[[#This Row],[Code]],[1]!Tabla4[#Data],2,FALSE)</f>
        <v>M2 Metamark M4 Mate 353M Azul Marino 0,61 x 50m</v>
      </c>
      <c r="C1308">
        <v>25</v>
      </c>
      <c r="D1308" t="s">
        <v>94</v>
      </c>
      <c r="E1308" t="str">
        <f>VLOOKUP(Tabla1[[#This Row],[Cód. Atributo]],[1]!Tabla5[#Data],6,FALSE)</f>
        <v>Select</v>
      </c>
      <c r="F1308">
        <v>4</v>
      </c>
      <c r="G1308">
        <v>2</v>
      </c>
      <c r="H1308" t="s">
        <v>111</v>
      </c>
      <c r="I1308" t="str">
        <f>VLOOKUP(Tabla1[[#This Row],[Code]],'[1]Articulos Precio'!$A:$E,5,FALSE)</f>
        <v>A0000352</v>
      </c>
    </row>
    <row r="1309" spans="1:9" x14ac:dyDescent="0.25">
      <c r="A1309" t="s">
        <v>432</v>
      </c>
      <c r="B1309" t="str">
        <f>VLOOKUP(Tabla1[[#This Row],[Code]],[1]!Tabla4[#Data],2,FALSE)</f>
        <v>M2 Metamark M4 Mate 353M Azul Marino 0,61 x 50m</v>
      </c>
      <c r="C1309">
        <v>28</v>
      </c>
      <c r="D1309" t="s">
        <v>92</v>
      </c>
      <c r="E1309" t="str">
        <f>VLOOKUP(Tabla1[[#This Row],[Cód. Atributo]],[1]!Tabla5[#Data],6,FALSE)</f>
        <v>Select</v>
      </c>
      <c r="F1309">
        <v>5</v>
      </c>
      <c r="G1309">
        <v>2</v>
      </c>
      <c r="H1309" t="s">
        <v>102</v>
      </c>
      <c r="I1309" t="str">
        <f>VLOOKUP(Tabla1[[#This Row],[Code]],'[1]Articulos Precio'!$A:$E,5,FALSE)</f>
        <v>A0000352</v>
      </c>
    </row>
    <row r="1310" spans="1:9" x14ac:dyDescent="0.25">
      <c r="A1310" t="s">
        <v>432</v>
      </c>
      <c r="B1310" t="str">
        <f>VLOOKUP(Tabla1[[#This Row],[Code]],[1]!Tabla4[#Data],2,FALSE)</f>
        <v>M2 Metamark M4 Mate 353M Azul Marino 0,61 x 50m</v>
      </c>
      <c r="C1310">
        <v>24</v>
      </c>
      <c r="D1310" t="s">
        <v>96</v>
      </c>
      <c r="E1310" t="str">
        <f>VLOOKUP(Tabla1[[#This Row],[Cód. Atributo]],[1]!Tabla5[#Data],6,FALSE)</f>
        <v>Select</v>
      </c>
      <c r="F1310">
        <v>6</v>
      </c>
      <c r="G1310">
        <v>2</v>
      </c>
      <c r="H1310" t="s">
        <v>266</v>
      </c>
      <c r="I1310" t="str">
        <f>VLOOKUP(Tabla1[[#This Row],[Code]],'[1]Articulos Precio'!$A:$E,5,FALSE)</f>
        <v>A0000352</v>
      </c>
    </row>
    <row r="1311" spans="1:9" x14ac:dyDescent="0.25">
      <c r="A1311" t="s">
        <v>434</v>
      </c>
      <c r="B1311" t="str">
        <f>VLOOKUP(Tabla1[[#This Row],[Code]],[1]!Tabla4[#Data],2,FALSE)</f>
        <v>M2 Metamark M4 Mate 353M Azul Marino 1,22 x 50m</v>
      </c>
      <c r="C1311">
        <v>8</v>
      </c>
      <c r="D1311" t="s">
        <v>86</v>
      </c>
      <c r="E1311" t="str">
        <f>VLOOKUP(Tabla1[[#This Row],[Cód. Atributo]],[1]!Tabla5[#Data],6,FALSE)</f>
        <v>Select</v>
      </c>
      <c r="F1311">
        <v>1</v>
      </c>
      <c r="G1311">
        <v>2</v>
      </c>
      <c r="H1311" t="s">
        <v>268</v>
      </c>
      <c r="I1311" t="str">
        <f>VLOOKUP(Tabla1[[#This Row],[Code]],'[1]Articulos Precio'!$A:$E,5,FALSE)</f>
        <v>A0000352</v>
      </c>
    </row>
    <row r="1312" spans="1:9" x14ac:dyDescent="0.25">
      <c r="A1312" t="s">
        <v>434</v>
      </c>
      <c r="B1312" t="str">
        <f>VLOOKUP(Tabla1[[#This Row],[Code]],[1]!Tabla4[#Data],2,FALSE)</f>
        <v>M2 Metamark M4 Mate 353M Azul Marino 1,22 x 50m</v>
      </c>
      <c r="C1312">
        <v>22</v>
      </c>
      <c r="D1312" t="s">
        <v>393</v>
      </c>
      <c r="E1312" t="str">
        <f>VLOOKUP(Tabla1[[#This Row],[Cód. Atributo]],[1]!Tabla5[#Data],6,FALSE)</f>
        <v>Color</v>
      </c>
      <c r="F1312">
        <v>2</v>
      </c>
      <c r="G1312">
        <v>14</v>
      </c>
      <c r="H1312" t="s">
        <v>433</v>
      </c>
      <c r="I1312" t="str">
        <f>VLOOKUP(Tabla1[[#This Row],[Code]],'[1]Articulos Precio'!$A:$E,5,FALSE)</f>
        <v>A0000352</v>
      </c>
    </row>
    <row r="1313" spans="1:9" x14ac:dyDescent="0.25">
      <c r="A1313" t="s">
        <v>434</v>
      </c>
      <c r="B1313" t="str">
        <f>VLOOKUP(Tabla1[[#This Row],[Code]],[1]!Tabla4[#Data],2,FALSE)</f>
        <v>M2 Metamark M4 Mate 353M Azul Marino 1,22 x 50m</v>
      </c>
      <c r="C1313">
        <v>23</v>
      </c>
      <c r="D1313" t="s">
        <v>90</v>
      </c>
      <c r="E1313" t="str">
        <f>VLOOKUP(Tabla1[[#This Row],[Cód. Atributo]],[1]!Tabla5[#Data],6,FALSE)</f>
        <v>Select</v>
      </c>
      <c r="F1313">
        <v>3</v>
      </c>
      <c r="G1313">
        <v>1</v>
      </c>
      <c r="H1313" t="s">
        <v>110</v>
      </c>
      <c r="I1313" t="str">
        <f>VLOOKUP(Tabla1[[#This Row],[Code]],'[1]Articulos Precio'!$A:$E,5,FALSE)</f>
        <v>A0000352</v>
      </c>
    </row>
    <row r="1314" spans="1:9" x14ac:dyDescent="0.25">
      <c r="A1314" t="s">
        <v>434</v>
      </c>
      <c r="B1314" t="str">
        <f>VLOOKUP(Tabla1[[#This Row],[Code]],[1]!Tabla4[#Data],2,FALSE)</f>
        <v>M2 Metamark M4 Mate 353M Azul Marino 1,22 x 50m</v>
      </c>
      <c r="C1314">
        <v>25</v>
      </c>
      <c r="D1314" t="s">
        <v>94</v>
      </c>
      <c r="E1314" t="str">
        <f>VLOOKUP(Tabla1[[#This Row],[Cód. Atributo]],[1]!Tabla5[#Data],6,FALSE)</f>
        <v>Select</v>
      </c>
      <c r="F1314">
        <v>4</v>
      </c>
      <c r="G1314">
        <v>2</v>
      </c>
      <c r="H1314" t="s">
        <v>111</v>
      </c>
      <c r="I1314" t="str">
        <f>VLOOKUP(Tabla1[[#This Row],[Code]],'[1]Articulos Precio'!$A:$E,5,FALSE)</f>
        <v>A0000352</v>
      </c>
    </row>
    <row r="1315" spans="1:9" x14ac:dyDescent="0.25">
      <c r="A1315" t="s">
        <v>434</v>
      </c>
      <c r="B1315" t="str">
        <f>VLOOKUP(Tabla1[[#This Row],[Code]],[1]!Tabla4[#Data],2,FALSE)</f>
        <v>M2 Metamark M4 Mate 353M Azul Marino 1,22 x 50m</v>
      </c>
      <c r="C1315">
        <v>28</v>
      </c>
      <c r="D1315" t="s">
        <v>92</v>
      </c>
      <c r="E1315" t="str">
        <f>VLOOKUP(Tabla1[[#This Row],[Cód. Atributo]],[1]!Tabla5[#Data],6,FALSE)</f>
        <v>Select</v>
      </c>
      <c r="F1315">
        <v>5</v>
      </c>
      <c r="G1315">
        <v>2</v>
      </c>
      <c r="H1315" t="s">
        <v>102</v>
      </c>
      <c r="I1315" t="str">
        <f>VLOOKUP(Tabla1[[#This Row],[Code]],'[1]Articulos Precio'!$A:$E,5,FALSE)</f>
        <v>A0000352</v>
      </c>
    </row>
    <row r="1316" spans="1:9" x14ac:dyDescent="0.25">
      <c r="A1316" t="s">
        <v>434</v>
      </c>
      <c r="B1316" t="str">
        <f>VLOOKUP(Tabla1[[#This Row],[Code]],[1]!Tabla4[#Data],2,FALSE)</f>
        <v>M2 Metamark M4 Mate 353M Azul Marino 1,22 x 50m</v>
      </c>
      <c r="C1316">
        <v>24</v>
      </c>
      <c r="D1316" t="s">
        <v>96</v>
      </c>
      <c r="E1316" t="str">
        <f>VLOOKUP(Tabla1[[#This Row],[Cód. Atributo]],[1]!Tabla5[#Data],6,FALSE)</f>
        <v>Select</v>
      </c>
      <c r="F1316">
        <v>6</v>
      </c>
      <c r="G1316">
        <v>2</v>
      </c>
      <c r="H1316" t="s">
        <v>266</v>
      </c>
      <c r="I1316" t="str">
        <f>VLOOKUP(Tabla1[[#This Row],[Code]],'[1]Articulos Precio'!$A:$E,5,FALSE)</f>
        <v>A0000352</v>
      </c>
    </row>
    <row r="1317" spans="1:9" x14ac:dyDescent="0.25">
      <c r="A1317" t="s">
        <v>435</v>
      </c>
      <c r="B1317" t="str">
        <f>VLOOKUP(Tabla1[[#This Row],[Code]],[1]!Tabla4[#Data],2,FALSE)</f>
        <v>M2 Metamark M4 Mate 354M Azul Medio 0,61 x 50m</v>
      </c>
      <c r="C1317">
        <v>8</v>
      </c>
      <c r="D1317" t="s">
        <v>86</v>
      </c>
      <c r="E1317" t="str">
        <f>VLOOKUP(Tabla1[[#This Row],[Cód. Atributo]],[1]!Tabla5[#Data],6,FALSE)</f>
        <v>Select</v>
      </c>
      <c r="F1317">
        <v>1</v>
      </c>
      <c r="G1317">
        <v>1</v>
      </c>
      <c r="H1317" t="s">
        <v>263</v>
      </c>
      <c r="I1317" t="str">
        <f>VLOOKUP(Tabla1[[#This Row],[Code]],'[1]Articulos Precio'!$A:$E,5,FALSE)</f>
        <v>A0000352</v>
      </c>
    </row>
    <row r="1318" spans="1:9" x14ac:dyDescent="0.25">
      <c r="A1318" t="s">
        <v>435</v>
      </c>
      <c r="B1318" t="str">
        <f>VLOOKUP(Tabla1[[#This Row],[Code]],[1]!Tabla4[#Data],2,FALSE)</f>
        <v>M2 Metamark M4 Mate 354M Azul Medio 0,61 x 50m</v>
      </c>
      <c r="C1318">
        <v>22</v>
      </c>
      <c r="D1318" t="s">
        <v>393</v>
      </c>
      <c r="E1318" t="str">
        <f>VLOOKUP(Tabla1[[#This Row],[Cód. Atributo]],[1]!Tabla5[#Data],6,FALSE)</f>
        <v>Color</v>
      </c>
      <c r="F1318">
        <v>2</v>
      </c>
      <c r="G1318">
        <v>15</v>
      </c>
      <c r="H1318" t="s">
        <v>436</v>
      </c>
      <c r="I1318" t="str">
        <f>VLOOKUP(Tabla1[[#This Row],[Code]],'[1]Articulos Precio'!$A:$E,5,FALSE)</f>
        <v>A0000352</v>
      </c>
    </row>
    <row r="1319" spans="1:9" x14ac:dyDescent="0.25">
      <c r="A1319" t="s">
        <v>435</v>
      </c>
      <c r="B1319" t="str">
        <f>VLOOKUP(Tabla1[[#This Row],[Code]],[1]!Tabla4[#Data],2,FALSE)</f>
        <v>M2 Metamark M4 Mate 354M Azul Medio 0,61 x 50m</v>
      </c>
      <c r="C1319">
        <v>23</v>
      </c>
      <c r="D1319" t="s">
        <v>90</v>
      </c>
      <c r="E1319" t="str">
        <f>VLOOKUP(Tabla1[[#This Row],[Cód. Atributo]],[1]!Tabla5[#Data],6,FALSE)</f>
        <v>Select</v>
      </c>
      <c r="F1319">
        <v>3</v>
      </c>
      <c r="G1319">
        <v>1</v>
      </c>
      <c r="H1319" t="s">
        <v>110</v>
      </c>
      <c r="I1319" t="str">
        <f>VLOOKUP(Tabla1[[#This Row],[Code]],'[1]Articulos Precio'!$A:$E,5,FALSE)</f>
        <v>A0000352</v>
      </c>
    </row>
    <row r="1320" spans="1:9" x14ac:dyDescent="0.25">
      <c r="A1320" t="s">
        <v>435</v>
      </c>
      <c r="B1320" t="str">
        <f>VLOOKUP(Tabla1[[#This Row],[Code]],[1]!Tabla4[#Data],2,FALSE)</f>
        <v>M2 Metamark M4 Mate 354M Azul Medio 0,61 x 50m</v>
      </c>
      <c r="C1320">
        <v>25</v>
      </c>
      <c r="D1320" t="s">
        <v>94</v>
      </c>
      <c r="E1320" t="str">
        <f>VLOOKUP(Tabla1[[#This Row],[Cód. Atributo]],[1]!Tabla5[#Data],6,FALSE)</f>
        <v>Select</v>
      </c>
      <c r="F1320">
        <v>4</v>
      </c>
      <c r="G1320">
        <v>2</v>
      </c>
      <c r="H1320" t="s">
        <v>111</v>
      </c>
      <c r="I1320" t="str">
        <f>VLOOKUP(Tabla1[[#This Row],[Code]],'[1]Articulos Precio'!$A:$E,5,FALSE)</f>
        <v>A0000352</v>
      </c>
    </row>
    <row r="1321" spans="1:9" x14ac:dyDescent="0.25">
      <c r="A1321" t="s">
        <v>435</v>
      </c>
      <c r="B1321" t="str">
        <f>VLOOKUP(Tabla1[[#This Row],[Code]],[1]!Tabla4[#Data],2,FALSE)</f>
        <v>M2 Metamark M4 Mate 354M Azul Medio 0,61 x 50m</v>
      </c>
      <c r="C1321">
        <v>28</v>
      </c>
      <c r="D1321" t="s">
        <v>92</v>
      </c>
      <c r="E1321" t="str">
        <f>VLOOKUP(Tabla1[[#This Row],[Cód. Atributo]],[1]!Tabla5[#Data],6,FALSE)</f>
        <v>Select</v>
      </c>
      <c r="F1321">
        <v>5</v>
      </c>
      <c r="G1321">
        <v>2</v>
      </c>
      <c r="H1321" t="s">
        <v>102</v>
      </c>
      <c r="I1321" t="str">
        <f>VLOOKUP(Tabla1[[#This Row],[Code]],'[1]Articulos Precio'!$A:$E,5,FALSE)</f>
        <v>A0000352</v>
      </c>
    </row>
    <row r="1322" spans="1:9" x14ac:dyDescent="0.25">
      <c r="A1322" t="s">
        <v>435</v>
      </c>
      <c r="B1322" t="str">
        <f>VLOOKUP(Tabla1[[#This Row],[Code]],[1]!Tabla4[#Data],2,FALSE)</f>
        <v>M2 Metamark M4 Mate 354M Azul Medio 0,61 x 50m</v>
      </c>
      <c r="C1322">
        <v>24</v>
      </c>
      <c r="D1322" t="s">
        <v>96</v>
      </c>
      <c r="E1322" t="str">
        <f>VLOOKUP(Tabla1[[#This Row],[Cód. Atributo]],[1]!Tabla5[#Data],6,FALSE)</f>
        <v>Select</v>
      </c>
      <c r="F1322">
        <v>6</v>
      </c>
      <c r="G1322">
        <v>2</v>
      </c>
      <c r="H1322" t="s">
        <v>266</v>
      </c>
      <c r="I1322" t="str">
        <f>VLOOKUP(Tabla1[[#This Row],[Code]],'[1]Articulos Precio'!$A:$E,5,FALSE)</f>
        <v>A0000352</v>
      </c>
    </row>
    <row r="1323" spans="1:9" x14ac:dyDescent="0.25">
      <c r="A1323" t="s">
        <v>437</v>
      </c>
      <c r="B1323" t="str">
        <f>VLOOKUP(Tabla1[[#This Row],[Code]],[1]!Tabla4[#Data],2,FALSE)</f>
        <v>M2 Metamark M4 Mate 354M Azul Medio 1,22 x 50m</v>
      </c>
      <c r="C1323">
        <v>8</v>
      </c>
      <c r="D1323" t="s">
        <v>86</v>
      </c>
      <c r="E1323" t="str">
        <f>VLOOKUP(Tabla1[[#This Row],[Cód. Atributo]],[1]!Tabla5[#Data],6,FALSE)</f>
        <v>Select</v>
      </c>
      <c r="F1323">
        <v>1</v>
      </c>
      <c r="G1323">
        <v>2</v>
      </c>
      <c r="H1323" t="s">
        <v>268</v>
      </c>
      <c r="I1323" t="str">
        <f>VLOOKUP(Tabla1[[#This Row],[Code]],'[1]Articulos Precio'!$A:$E,5,FALSE)</f>
        <v>A0000352</v>
      </c>
    </row>
    <row r="1324" spans="1:9" x14ac:dyDescent="0.25">
      <c r="A1324" t="s">
        <v>437</v>
      </c>
      <c r="B1324" t="str">
        <f>VLOOKUP(Tabla1[[#This Row],[Code]],[1]!Tabla4[#Data],2,FALSE)</f>
        <v>M2 Metamark M4 Mate 354M Azul Medio 1,22 x 50m</v>
      </c>
      <c r="C1324">
        <v>22</v>
      </c>
      <c r="D1324" t="s">
        <v>393</v>
      </c>
      <c r="E1324" t="str">
        <f>VLOOKUP(Tabla1[[#This Row],[Cód. Atributo]],[1]!Tabla5[#Data],6,FALSE)</f>
        <v>Color</v>
      </c>
      <c r="F1324">
        <v>2</v>
      </c>
      <c r="G1324">
        <v>15</v>
      </c>
      <c r="H1324" t="s">
        <v>436</v>
      </c>
      <c r="I1324" t="str">
        <f>VLOOKUP(Tabla1[[#This Row],[Code]],'[1]Articulos Precio'!$A:$E,5,FALSE)</f>
        <v>A0000352</v>
      </c>
    </row>
    <row r="1325" spans="1:9" x14ac:dyDescent="0.25">
      <c r="A1325" t="s">
        <v>437</v>
      </c>
      <c r="B1325" t="str">
        <f>VLOOKUP(Tabla1[[#This Row],[Code]],[1]!Tabla4[#Data],2,FALSE)</f>
        <v>M2 Metamark M4 Mate 354M Azul Medio 1,22 x 50m</v>
      </c>
      <c r="C1325">
        <v>23</v>
      </c>
      <c r="D1325" t="s">
        <v>90</v>
      </c>
      <c r="E1325" t="str">
        <f>VLOOKUP(Tabla1[[#This Row],[Cód. Atributo]],[1]!Tabla5[#Data],6,FALSE)</f>
        <v>Select</v>
      </c>
      <c r="F1325">
        <v>3</v>
      </c>
      <c r="G1325">
        <v>1</v>
      </c>
      <c r="H1325" t="s">
        <v>110</v>
      </c>
      <c r="I1325" t="str">
        <f>VLOOKUP(Tabla1[[#This Row],[Code]],'[1]Articulos Precio'!$A:$E,5,FALSE)</f>
        <v>A0000352</v>
      </c>
    </row>
    <row r="1326" spans="1:9" x14ac:dyDescent="0.25">
      <c r="A1326" t="s">
        <v>437</v>
      </c>
      <c r="B1326" t="str">
        <f>VLOOKUP(Tabla1[[#This Row],[Code]],[1]!Tabla4[#Data],2,FALSE)</f>
        <v>M2 Metamark M4 Mate 354M Azul Medio 1,22 x 50m</v>
      </c>
      <c r="C1326">
        <v>25</v>
      </c>
      <c r="D1326" t="s">
        <v>94</v>
      </c>
      <c r="E1326" t="str">
        <f>VLOOKUP(Tabla1[[#This Row],[Cód. Atributo]],[1]!Tabla5[#Data],6,FALSE)</f>
        <v>Select</v>
      </c>
      <c r="F1326">
        <v>4</v>
      </c>
      <c r="G1326">
        <v>2</v>
      </c>
      <c r="H1326" t="s">
        <v>111</v>
      </c>
      <c r="I1326" t="str">
        <f>VLOOKUP(Tabla1[[#This Row],[Code]],'[1]Articulos Precio'!$A:$E,5,FALSE)</f>
        <v>A0000352</v>
      </c>
    </row>
    <row r="1327" spans="1:9" x14ac:dyDescent="0.25">
      <c r="A1327" t="s">
        <v>437</v>
      </c>
      <c r="B1327" t="str">
        <f>VLOOKUP(Tabla1[[#This Row],[Code]],[1]!Tabla4[#Data],2,FALSE)</f>
        <v>M2 Metamark M4 Mate 354M Azul Medio 1,22 x 50m</v>
      </c>
      <c r="C1327">
        <v>28</v>
      </c>
      <c r="D1327" t="s">
        <v>92</v>
      </c>
      <c r="E1327" t="str">
        <f>VLOOKUP(Tabla1[[#This Row],[Cód. Atributo]],[1]!Tabla5[#Data],6,FALSE)</f>
        <v>Select</v>
      </c>
      <c r="F1327">
        <v>5</v>
      </c>
      <c r="G1327">
        <v>2</v>
      </c>
      <c r="H1327" t="s">
        <v>102</v>
      </c>
      <c r="I1327" t="str">
        <f>VLOOKUP(Tabla1[[#This Row],[Code]],'[1]Articulos Precio'!$A:$E,5,FALSE)</f>
        <v>A0000352</v>
      </c>
    </row>
    <row r="1328" spans="1:9" x14ac:dyDescent="0.25">
      <c r="A1328" t="s">
        <v>437</v>
      </c>
      <c r="B1328" t="str">
        <f>VLOOKUP(Tabla1[[#This Row],[Code]],[1]!Tabla4[#Data],2,FALSE)</f>
        <v>M2 Metamark M4 Mate 354M Azul Medio 1,22 x 50m</v>
      </c>
      <c r="C1328">
        <v>24</v>
      </c>
      <c r="D1328" t="s">
        <v>96</v>
      </c>
      <c r="E1328" t="str">
        <f>VLOOKUP(Tabla1[[#This Row],[Cód. Atributo]],[1]!Tabla5[#Data],6,FALSE)</f>
        <v>Select</v>
      </c>
      <c r="F1328">
        <v>6</v>
      </c>
      <c r="G1328">
        <v>2</v>
      </c>
      <c r="H1328" t="s">
        <v>266</v>
      </c>
      <c r="I1328" t="str">
        <f>VLOOKUP(Tabla1[[#This Row],[Code]],'[1]Articulos Precio'!$A:$E,5,FALSE)</f>
        <v>A0000352</v>
      </c>
    </row>
    <row r="1329" spans="1:9" x14ac:dyDescent="0.25">
      <c r="A1329" t="s">
        <v>438</v>
      </c>
      <c r="B1329" t="str">
        <f>VLOOKUP(Tabla1[[#This Row],[Code]],[1]!Tabla4[#Data],2,FALSE)</f>
        <v>M2 Metamark M4 Mate 355M Azul Ultramarino 0,61 x 50m</v>
      </c>
      <c r="C1329">
        <v>8</v>
      </c>
      <c r="D1329" t="s">
        <v>86</v>
      </c>
      <c r="E1329" t="str">
        <f>VLOOKUP(Tabla1[[#This Row],[Cód. Atributo]],[1]!Tabla5[#Data],6,FALSE)</f>
        <v>Select</v>
      </c>
      <c r="F1329">
        <v>1</v>
      </c>
      <c r="G1329">
        <v>1</v>
      </c>
      <c r="H1329" t="s">
        <v>263</v>
      </c>
      <c r="I1329" t="str">
        <f>VLOOKUP(Tabla1[[#This Row],[Code]],'[1]Articulos Precio'!$A:$E,5,FALSE)</f>
        <v>A0000352</v>
      </c>
    </row>
    <row r="1330" spans="1:9" x14ac:dyDescent="0.25">
      <c r="A1330" t="s">
        <v>438</v>
      </c>
      <c r="B1330" t="str">
        <f>VLOOKUP(Tabla1[[#This Row],[Code]],[1]!Tabla4[#Data],2,FALSE)</f>
        <v>M2 Metamark M4 Mate 355M Azul Ultramarino 0,61 x 50m</v>
      </c>
      <c r="C1330">
        <v>22</v>
      </c>
      <c r="D1330" t="s">
        <v>393</v>
      </c>
      <c r="E1330" t="str">
        <f>VLOOKUP(Tabla1[[#This Row],[Cód. Atributo]],[1]!Tabla5[#Data],6,FALSE)</f>
        <v>Color</v>
      </c>
      <c r="F1330">
        <v>2</v>
      </c>
      <c r="G1330">
        <v>16</v>
      </c>
      <c r="H1330" t="s">
        <v>439</v>
      </c>
      <c r="I1330" t="str">
        <f>VLOOKUP(Tabla1[[#This Row],[Code]],'[1]Articulos Precio'!$A:$E,5,FALSE)</f>
        <v>A0000352</v>
      </c>
    </row>
    <row r="1331" spans="1:9" x14ac:dyDescent="0.25">
      <c r="A1331" t="s">
        <v>438</v>
      </c>
      <c r="B1331" t="str">
        <f>VLOOKUP(Tabla1[[#This Row],[Code]],[1]!Tabla4[#Data],2,FALSE)</f>
        <v>M2 Metamark M4 Mate 355M Azul Ultramarino 0,61 x 50m</v>
      </c>
      <c r="C1331">
        <v>23</v>
      </c>
      <c r="D1331" t="s">
        <v>90</v>
      </c>
      <c r="E1331" t="str">
        <f>VLOOKUP(Tabla1[[#This Row],[Cód. Atributo]],[1]!Tabla5[#Data],6,FALSE)</f>
        <v>Select</v>
      </c>
      <c r="F1331">
        <v>3</v>
      </c>
      <c r="G1331">
        <v>1</v>
      </c>
      <c r="H1331" t="s">
        <v>110</v>
      </c>
      <c r="I1331" t="str">
        <f>VLOOKUP(Tabla1[[#This Row],[Code]],'[1]Articulos Precio'!$A:$E,5,FALSE)</f>
        <v>A0000352</v>
      </c>
    </row>
    <row r="1332" spans="1:9" x14ac:dyDescent="0.25">
      <c r="A1332" t="s">
        <v>438</v>
      </c>
      <c r="B1332" t="str">
        <f>VLOOKUP(Tabla1[[#This Row],[Code]],[1]!Tabla4[#Data],2,FALSE)</f>
        <v>M2 Metamark M4 Mate 355M Azul Ultramarino 0,61 x 50m</v>
      </c>
      <c r="C1332">
        <v>25</v>
      </c>
      <c r="D1332" t="s">
        <v>94</v>
      </c>
      <c r="E1332" t="str">
        <f>VLOOKUP(Tabla1[[#This Row],[Cód. Atributo]],[1]!Tabla5[#Data],6,FALSE)</f>
        <v>Select</v>
      </c>
      <c r="F1332">
        <v>4</v>
      </c>
      <c r="G1332">
        <v>2</v>
      </c>
      <c r="H1332" t="s">
        <v>111</v>
      </c>
      <c r="I1332" t="str">
        <f>VLOOKUP(Tabla1[[#This Row],[Code]],'[1]Articulos Precio'!$A:$E,5,FALSE)</f>
        <v>A0000352</v>
      </c>
    </row>
    <row r="1333" spans="1:9" x14ac:dyDescent="0.25">
      <c r="A1333" t="s">
        <v>438</v>
      </c>
      <c r="B1333" t="str">
        <f>VLOOKUP(Tabla1[[#This Row],[Code]],[1]!Tabla4[#Data],2,FALSE)</f>
        <v>M2 Metamark M4 Mate 355M Azul Ultramarino 0,61 x 50m</v>
      </c>
      <c r="C1333">
        <v>28</v>
      </c>
      <c r="D1333" t="s">
        <v>92</v>
      </c>
      <c r="E1333" t="str">
        <f>VLOOKUP(Tabla1[[#This Row],[Cód. Atributo]],[1]!Tabla5[#Data],6,FALSE)</f>
        <v>Select</v>
      </c>
      <c r="F1333">
        <v>5</v>
      </c>
      <c r="G1333">
        <v>2</v>
      </c>
      <c r="H1333" t="s">
        <v>102</v>
      </c>
      <c r="I1333" t="str">
        <f>VLOOKUP(Tabla1[[#This Row],[Code]],'[1]Articulos Precio'!$A:$E,5,FALSE)</f>
        <v>A0000352</v>
      </c>
    </row>
    <row r="1334" spans="1:9" x14ac:dyDescent="0.25">
      <c r="A1334" t="s">
        <v>438</v>
      </c>
      <c r="B1334" t="str">
        <f>VLOOKUP(Tabla1[[#This Row],[Code]],[1]!Tabla4[#Data],2,FALSE)</f>
        <v>M2 Metamark M4 Mate 355M Azul Ultramarino 0,61 x 50m</v>
      </c>
      <c r="C1334">
        <v>24</v>
      </c>
      <c r="D1334" t="s">
        <v>96</v>
      </c>
      <c r="E1334" t="str">
        <f>VLOOKUP(Tabla1[[#This Row],[Cód. Atributo]],[1]!Tabla5[#Data],6,FALSE)</f>
        <v>Select</v>
      </c>
      <c r="F1334">
        <v>6</v>
      </c>
      <c r="G1334">
        <v>2</v>
      </c>
      <c r="H1334" t="s">
        <v>266</v>
      </c>
      <c r="I1334" t="str">
        <f>VLOOKUP(Tabla1[[#This Row],[Code]],'[1]Articulos Precio'!$A:$E,5,FALSE)</f>
        <v>A0000352</v>
      </c>
    </row>
    <row r="1335" spans="1:9" x14ac:dyDescent="0.25">
      <c r="A1335" t="s">
        <v>440</v>
      </c>
      <c r="B1335" t="str">
        <f>VLOOKUP(Tabla1[[#This Row],[Code]],[1]!Tabla4[#Data],2,FALSE)</f>
        <v>M2 Metamark M4 Mate 355M Azul Ultramarino 1,22 x 50m</v>
      </c>
      <c r="C1335">
        <v>8</v>
      </c>
      <c r="D1335" t="s">
        <v>86</v>
      </c>
      <c r="E1335" t="str">
        <f>VLOOKUP(Tabla1[[#This Row],[Cód. Atributo]],[1]!Tabla5[#Data],6,FALSE)</f>
        <v>Select</v>
      </c>
      <c r="F1335">
        <v>1</v>
      </c>
      <c r="G1335">
        <v>2</v>
      </c>
      <c r="H1335" t="s">
        <v>268</v>
      </c>
      <c r="I1335" t="str">
        <f>VLOOKUP(Tabla1[[#This Row],[Code]],'[1]Articulos Precio'!$A:$E,5,FALSE)</f>
        <v>A0000352</v>
      </c>
    </row>
    <row r="1336" spans="1:9" x14ac:dyDescent="0.25">
      <c r="A1336" t="s">
        <v>440</v>
      </c>
      <c r="B1336" t="str">
        <f>VLOOKUP(Tabla1[[#This Row],[Code]],[1]!Tabla4[#Data],2,FALSE)</f>
        <v>M2 Metamark M4 Mate 355M Azul Ultramarino 1,22 x 50m</v>
      </c>
      <c r="C1336">
        <v>22</v>
      </c>
      <c r="D1336" t="s">
        <v>393</v>
      </c>
      <c r="E1336" t="str">
        <f>VLOOKUP(Tabla1[[#This Row],[Cód. Atributo]],[1]!Tabla5[#Data],6,FALSE)</f>
        <v>Color</v>
      </c>
      <c r="F1336">
        <v>2</v>
      </c>
      <c r="G1336">
        <v>16</v>
      </c>
      <c r="H1336" t="s">
        <v>439</v>
      </c>
      <c r="I1336" t="str">
        <f>VLOOKUP(Tabla1[[#This Row],[Code]],'[1]Articulos Precio'!$A:$E,5,FALSE)</f>
        <v>A0000352</v>
      </c>
    </row>
    <row r="1337" spans="1:9" x14ac:dyDescent="0.25">
      <c r="A1337" t="s">
        <v>440</v>
      </c>
      <c r="B1337" t="str">
        <f>VLOOKUP(Tabla1[[#This Row],[Code]],[1]!Tabla4[#Data],2,FALSE)</f>
        <v>M2 Metamark M4 Mate 355M Azul Ultramarino 1,22 x 50m</v>
      </c>
      <c r="C1337">
        <v>23</v>
      </c>
      <c r="D1337" t="s">
        <v>90</v>
      </c>
      <c r="E1337" t="str">
        <f>VLOOKUP(Tabla1[[#This Row],[Cód. Atributo]],[1]!Tabla5[#Data],6,FALSE)</f>
        <v>Select</v>
      </c>
      <c r="F1337">
        <v>3</v>
      </c>
      <c r="G1337">
        <v>1</v>
      </c>
      <c r="H1337" t="s">
        <v>110</v>
      </c>
      <c r="I1337" t="str">
        <f>VLOOKUP(Tabla1[[#This Row],[Code]],'[1]Articulos Precio'!$A:$E,5,FALSE)</f>
        <v>A0000352</v>
      </c>
    </row>
    <row r="1338" spans="1:9" x14ac:dyDescent="0.25">
      <c r="A1338" t="s">
        <v>440</v>
      </c>
      <c r="B1338" t="str">
        <f>VLOOKUP(Tabla1[[#This Row],[Code]],[1]!Tabla4[#Data],2,FALSE)</f>
        <v>M2 Metamark M4 Mate 355M Azul Ultramarino 1,22 x 50m</v>
      </c>
      <c r="C1338">
        <v>25</v>
      </c>
      <c r="D1338" t="s">
        <v>94</v>
      </c>
      <c r="E1338" t="str">
        <f>VLOOKUP(Tabla1[[#This Row],[Cód. Atributo]],[1]!Tabla5[#Data],6,FALSE)</f>
        <v>Select</v>
      </c>
      <c r="F1338">
        <v>4</v>
      </c>
      <c r="G1338">
        <v>2</v>
      </c>
      <c r="H1338" t="s">
        <v>111</v>
      </c>
      <c r="I1338" t="str">
        <f>VLOOKUP(Tabla1[[#This Row],[Code]],'[1]Articulos Precio'!$A:$E,5,FALSE)</f>
        <v>A0000352</v>
      </c>
    </row>
    <row r="1339" spans="1:9" x14ac:dyDescent="0.25">
      <c r="A1339" t="s">
        <v>440</v>
      </c>
      <c r="B1339" t="str">
        <f>VLOOKUP(Tabla1[[#This Row],[Code]],[1]!Tabla4[#Data],2,FALSE)</f>
        <v>M2 Metamark M4 Mate 355M Azul Ultramarino 1,22 x 50m</v>
      </c>
      <c r="C1339">
        <v>28</v>
      </c>
      <c r="D1339" t="s">
        <v>92</v>
      </c>
      <c r="E1339" t="str">
        <f>VLOOKUP(Tabla1[[#This Row],[Cód. Atributo]],[1]!Tabla5[#Data],6,FALSE)</f>
        <v>Select</v>
      </c>
      <c r="F1339">
        <v>5</v>
      </c>
      <c r="G1339">
        <v>2</v>
      </c>
      <c r="H1339" t="s">
        <v>102</v>
      </c>
      <c r="I1339" t="str">
        <f>VLOOKUP(Tabla1[[#This Row],[Code]],'[1]Articulos Precio'!$A:$E,5,FALSE)</f>
        <v>A0000352</v>
      </c>
    </row>
    <row r="1340" spans="1:9" x14ac:dyDescent="0.25">
      <c r="A1340" t="s">
        <v>440</v>
      </c>
      <c r="B1340" t="str">
        <f>VLOOKUP(Tabla1[[#This Row],[Code]],[1]!Tabla4[#Data],2,FALSE)</f>
        <v>M2 Metamark M4 Mate 355M Azul Ultramarino 1,22 x 50m</v>
      </c>
      <c r="C1340">
        <v>24</v>
      </c>
      <c r="D1340" t="s">
        <v>96</v>
      </c>
      <c r="E1340" t="str">
        <f>VLOOKUP(Tabla1[[#This Row],[Cód. Atributo]],[1]!Tabla5[#Data],6,FALSE)</f>
        <v>Select</v>
      </c>
      <c r="F1340">
        <v>6</v>
      </c>
      <c r="G1340">
        <v>2</v>
      </c>
      <c r="H1340" t="s">
        <v>266</v>
      </c>
      <c r="I1340" t="str">
        <f>VLOOKUP(Tabla1[[#This Row],[Code]],'[1]Articulos Precio'!$A:$E,5,FALSE)</f>
        <v>A0000352</v>
      </c>
    </row>
    <row r="1341" spans="1:9" x14ac:dyDescent="0.25">
      <c r="A1341" t="s">
        <v>441</v>
      </c>
      <c r="B1341" t="str">
        <f>VLOOKUP(Tabla1[[#This Row],[Code]],[1]!Tabla4[#Data],2,FALSE)</f>
        <v>M2 Metamark M4 Mate 358M Azul Cielo 0,61 x 50m</v>
      </c>
      <c r="C1341">
        <v>8</v>
      </c>
      <c r="D1341" t="s">
        <v>86</v>
      </c>
      <c r="E1341" t="str">
        <f>VLOOKUP(Tabla1[[#This Row],[Cód. Atributo]],[1]!Tabla5[#Data],6,FALSE)</f>
        <v>Select</v>
      </c>
      <c r="F1341">
        <v>1</v>
      </c>
      <c r="G1341">
        <v>1</v>
      </c>
      <c r="H1341" t="s">
        <v>263</v>
      </c>
      <c r="I1341" t="str">
        <f>VLOOKUP(Tabla1[[#This Row],[Code]],'[1]Articulos Precio'!$A:$E,5,FALSE)</f>
        <v>A0000352</v>
      </c>
    </row>
    <row r="1342" spans="1:9" x14ac:dyDescent="0.25">
      <c r="A1342" t="s">
        <v>441</v>
      </c>
      <c r="B1342" t="str">
        <f>VLOOKUP(Tabla1[[#This Row],[Code]],[1]!Tabla4[#Data],2,FALSE)</f>
        <v>M2 Metamark M4 Mate 358M Azul Cielo 0,61 x 50m</v>
      </c>
      <c r="C1342">
        <v>22</v>
      </c>
      <c r="D1342" t="s">
        <v>393</v>
      </c>
      <c r="E1342" t="str">
        <f>VLOOKUP(Tabla1[[#This Row],[Cód. Atributo]],[1]!Tabla5[#Data],6,FALSE)</f>
        <v>Color</v>
      </c>
      <c r="F1342">
        <v>2</v>
      </c>
      <c r="G1342">
        <v>17</v>
      </c>
      <c r="H1342" t="s">
        <v>442</v>
      </c>
      <c r="I1342" t="str">
        <f>VLOOKUP(Tabla1[[#This Row],[Code]],'[1]Articulos Precio'!$A:$E,5,FALSE)</f>
        <v>A0000352</v>
      </c>
    </row>
    <row r="1343" spans="1:9" x14ac:dyDescent="0.25">
      <c r="A1343" t="s">
        <v>441</v>
      </c>
      <c r="B1343" t="str">
        <f>VLOOKUP(Tabla1[[#This Row],[Code]],[1]!Tabla4[#Data],2,FALSE)</f>
        <v>M2 Metamark M4 Mate 358M Azul Cielo 0,61 x 50m</v>
      </c>
      <c r="C1343">
        <v>23</v>
      </c>
      <c r="D1343" t="s">
        <v>90</v>
      </c>
      <c r="E1343" t="str">
        <f>VLOOKUP(Tabla1[[#This Row],[Cód. Atributo]],[1]!Tabla5[#Data],6,FALSE)</f>
        <v>Select</v>
      </c>
      <c r="F1343">
        <v>3</v>
      </c>
      <c r="G1343">
        <v>1</v>
      </c>
      <c r="H1343" t="s">
        <v>110</v>
      </c>
      <c r="I1343" t="str">
        <f>VLOOKUP(Tabla1[[#This Row],[Code]],'[1]Articulos Precio'!$A:$E,5,FALSE)</f>
        <v>A0000352</v>
      </c>
    </row>
    <row r="1344" spans="1:9" x14ac:dyDescent="0.25">
      <c r="A1344" t="s">
        <v>441</v>
      </c>
      <c r="B1344" t="str">
        <f>VLOOKUP(Tabla1[[#This Row],[Code]],[1]!Tabla4[#Data],2,FALSE)</f>
        <v>M2 Metamark M4 Mate 358M Azul Cielo 0,61 x 50m</v>
      </c>
      <c r="C1344">
        <v>25</v>
      </c>
      <c r="D1344" t="s">
        <v>94</v>
      </c>
      <c r="E1344" t="str">
        <f>VLOOKUP(Tabla1[[#This Row],[Cód. Atributo]],[1]!Tabla5[#Data],6,FALSE)</f>
        <v>Select</v>
      </c>
      <c r="F1344">
        <v>4</v>
      </c>
      <c r="G1344">
        <v>2</v>
      </c>
      <c r="H1344" t="s">
        <v>111</v>
      </c>
      <c r="I1344" t="str">
        <f>VLOOKUP(Tabla1[[#This Row],[Code]],'[1]Articulos Precio'!$A:$E,5,FALSE)</f>
        <v>A0000352</v>
      </c>
    </row>
    <row r="1345" spans="1:9" x14ac:dyDescent="0.25">
      <c r="A1345" t="s">
        <v>441</v>
      </c>
      <c r="B1345" t="str">
        <f>VLOOKUP(Tabla1[[#This Row],[Code]],[1]!Tabla4[#Data],2,FALSE)</f>
        <v>M2 Metamark M4 Mate 358M Azul Cielo 0,61 x 50m</v>
      </c>
      <c r="C1345">
        <v>28</v>
      </c>
      <c r="D1345" t="s">
        <v>92</v>
      </c>
      <c r="E1345" t="str">
        <f>VLOOKUP(Tabla1[[#This Row],[Cód. Atributo]],[1]!Tabla5[#Data],6,FALSE)</f>
        <v>Select</v>
      </c>
      <c r="F1345">
        <v>5</v>
      </c>
      <c r="G1345">
        <v>2</v>
      </c>
      <c r="H1345" t="s">
        <v>102</v>
      </c>
      <c r="I1345" t="str">
        <f>VLOOKUP(Tabla1[[#This Row],[Code]],'[1]Articulos Precio'!$A:$E,5,FALSE)</f>
        <v>A0000352</v>
      </c>
    </row>
    <row r="1346" spans="1:9" x14ac:dyDescent="0.25">
      <c r="A1346" t="s">
        <v>441</v>
      </c>
      <c r="B1346" t="str">
        <f>VLOOKUP(Tabla1[[#This Row],[Code]],[1]!Tabla4[#Data],2,FALSE)</f>
        <v>M2 Metamark M4 Mate 358M Azul Cielo 0,61 x 50m</v>
      </c>
      <c r="C1346">
        <v>24</v>
      </c>
      <c r="D1346" t="s">
        <v>96</v>
      </c>
      <c r="E1346" t="str">
        <f>VLOOKUP(Tabla1[[#This Row],[Cód. Atributo]],[1]!Tabla5[#Data],6,FALSE)</f>
        <v>Select</v>
      </c>
      <c r="F1346">
        <v>6</v>
      </c>
      <c r="G1346">
        <v>2</v>
      </c>
      <c r="H1346" t="s">
        <v>266</v>
      </c>
      <c r="I1346" t="str">
        <f>VLOOKUP(Tabla1[[#This Row],[Code]],'[1]Articulos Precio'!$A:$E,5,FALSE)</f>
        <v>A0000352</v>
      </c>
    </row>
    <row r="1347" spans="1:9" x14ac:dyDescent="0.25">
      <c r="A1347" t="s">
        <v>443</v>
      </c>
      <c r="B1347" t="str">
        <f>VLOOKUP(Tabla1[[#This Row],[Code]],[1]!Tabla4[#Data],2,FALSE)</f>
        <v>M2 Metamark M4 Mate 358M Azul Cielo 1,22 x 50m</v>
      </c>
      <c r="C1347">
        <v>8</v>
      </c>
      <c r="D1347" t="s">
        <v>86</v>
      </c>
      <c r="E1347" t="str">
        <f>VLOOKUP(Tabla1[[#This Row],[Cód. Atributo]],[1]!Tabla5[#Data],6,FALSE)</f>
        <v>Select</v>
      </c>
      <c r="F1347">
        <v>1</v>
      </c>
      <c r="G1347">
        <v>2</v>
      </c>
      <c r="H1347" t="s">
        <v>268</v>
      </c>
      <c r="I1347" t="str">
        <f>VLOOKUP(Tabla1[[#This Row],[Code]],'[1]Articulos Precio'!$A:$E,5,FALSE)</f>
        <v>A0000352</v>
      </c>
    </row>
    <row r="1348" spans="1:9" x14ac:dyDescent="0.25">
      <c r="A1348" t="s">
        <v>443</v>
      </c>
      <c r="B1348" t="str">
        <f>VLOOKUP(Tabla1[[#This Row],[Code]],[1]!Tabla4[#Data],2,FALSE)</f>
        <v>M2 Metamark M4 Mate 358M Azul Cielo 1,22 x 50m</v>
      </c>
      <c r="C1348">
        <v>22</v>
      </c>
      <c r="D1348" t="s">
        <v>393</v>
      </c>
      <c r="E1348" t="str">
        <f>VLOOKUP(Tabla1[[#This Row],[Cód. Atributo]],[1]!Tabla5[#Data],6,FALSE)</f>
        <v>Color</v>
      </c>
      <c r="F1348">
        <v>2</v>
      </c>
      <c r="G1348">
        <v>17</v>
      </c>
      <c r="H1348" t="s">
        <v>442</v>
      </c>
      <c r="I1348" t="str">
        <f>VLOOKUP(Tabla1[[#This Row],[Code]],'[1]Articulos Precio'!$A:$E,5,FALSE)</f>
        <v>A0000352</v>
      </c>
    </row>
    <row r="1349" spans="1:9" x14ac:dyDescent="0.25">
      <c r="A1349" t="s">
        <v>443</v>
      </c>
      <c r="B1349" t="str">
        <f>VLOOKUP(Tabla1[[#This Row],[Code]],[1]!Tabla4[#Data],2,FALSE)</f>
        <v>M2 Metamark M4 Mate 358M Azul Cielo 1,22 x 50m</v>
      </c>
      <c r="C1349">
        <v>23</v>
      </c>
      <c r="D1349" t="s">
        <v>90</v>
      </c>
      <c r="E1349" t="str">
        <f>VLOOKUP(Tabla1[[#This Row],[Cód. Atributo]],[1]!Tabla5[#Data],6,FALSE)</f>
        <v>Select</v>
      </c>
      <c r="F1349">
        <v>3</v>
      </c>
      <c r="G1349">
        <v>1</v>
      </c>
      <c r="H1349" t="s">
        <v>110</v>
      </c>
      <c r="I1349" t="str">
        <f>VLOOKUP(Tabla1[[#This Row],[Code]],'[1]Articulos Precio'!$A:$E,5,FALSE)</f>
        <v>A0000352</v>
      </c>
    </row>
    <row r="1350" spans="1:9" x14ac:dyDescent="0.25">
      <c r="A1350" t="s">
        <v>443</v>
      </c>
      <c r="B1350" t="str">
        <f>VLOOKUP(Tabla1[[#This Row],[Code]],[1]!Tabla4[#Data],2,FALSE)</f>
        <v>M2 Metamark M4 Mate 358M Azul Cielo 1,22 x 50m</v>
      </c>
      <c r="C1350">
        <v>25</v>
      </c>
      <c r="D1350" t="s">
        <v>94</v>
      </c>
      <c r="E1350" t="str">
        <f>VLOOKUP(Tabla1[[#This Row],[Cód. Atributo]],[1]!Tabla5[#Data],6,FALSE)</f>
        <v>Select</v>
      </c>
      <c r="F1350">
        <v>4</v>
      </c>
      <c r="G1350">
        <v>2</v>
      </c>
      <c r="H1350" t="s">
        <v>111</v>
      </c>
      <c r="I1350" t="str">
        <f>VLOOKUP(Tabla1[[#This Row],[Code]],'[1]Articulos Precio'!$A:$E,5,FALSE)</f>
        <v>A0000352</v>
      </c>
    </row>
    <row r="1351" spans="1:9" x14ac:dyDescent="0.25">
      <c r="A1351" t="s">
        <v>443</v>
      </c>
      <c r="B1351" t="str">
        <f>VLOOKUP(Tabla1[[#This Row],[Code]],[1]!Tabla4[#Data],2,FALSE)</f>
        <v>M2 Metamark M4 Mate 358M Azul Cielo 1,22 x 50m</v>
      </c>
      <c r="C1351">
        <v>28</v>
      </c>
      <c r="D1351" t="s">
        <v>92</v>
      </c>
      <c r="E1351" t="str">
        <f>VLOOKUP(Tabla1[[#This Row],[Cód. Atributo]],[1]!Tabla5[#Data],6,FALSE)</f>
        <v>Select</v>
      </c>
      <c r="F1351">
        <v>5</v>
      </c>
      <c r="G1351">
        <v>2</v>
      </c>
      <c r="H1351" t="s">
        <v>102</v>
      </c>
      <c r="I1351" t="str">
        <f>VLOOKUP(Tabla1[[#This Row],[Code]],'[1]Articulos Precio'!$A:$E,5,FALSE)</f>
        <v>A0000352</v>
      </c>
    </row>
    <row r="1352" spans="1:9" x14ac:dyDescent="0.25">
      <c r="A1352" t="s">
        <v>443</v>
      </c>
      <c r="B1352" t="str">
        <f>VLOOKUP(Tabla1[[#This Row],[Code]],[1]!Tabla4[#Data],2,FALSE)</f>
        <v>M2 Metamark M4 Mate 358M Azul Cielo 1,22 x 50m</v>
      </c>
      <c r="C1352">
        <v>24</v>
      </c>
      <c r="D1352" t="s">
        <v>96</v>
      </c>
      <c r="E1352" t="str">
        <f>VLOOKUP(Tabla1[[#This Row],[Cód. Atributo]],[1]!Tabla5[#Data],6,FALSE)</f>
        <v>Select</v>
      </c>
      <c r="F1352">
        <v>6</v>
      </c>
      <c r="G1352">
        <v>2</v>
      </c>
      <c r="H1352" t="s">
        <v>266</v>
      </c>
      <c r="I1352" t="str">
        <f>VLOOKUP(Tabla1[[#This Row],[Code]],'[1]Articulos Precio'!$A:$E,5,FALSE)</f>
        <v>A0000352</v>
      </c>
    </row>
    <row r="1353" spans="1:9" x14ac:dyDescent="0.25">
      <c r="A1353" t="s">
        <v>444</v>
      </c>
      <c r="B1353" t="str">
        <f>VLOOKUP(Tabla1[[#This Row],[Code]],[1]!Tabla4[#Data],2,FALSE)</f>
        <v>M2 Metamark M4 Mate 359M Azul Cobalto 0,61 x 50m</v>
      </c>
      <c r="C1353">
        <v>8</v>
      </c>
      <c r="D1353" t="s">
        <v>86</v>
      </c>
      <c r="E1353" t="str">
        <f>VLOOKUP(Tabla1[[#This Row],[Cód. Atributo]],[1]!Tabla5[#Data],6,FALSE)</f>
        <v>Select</v>
      </c>
      <c r="F1353">
        <v>1</v>
      </c>
      <c r="G1353">
        <v>1</v>
      </c>
      <c r="H1353" t="s">
        <v>263</v>
      </c>
      <c r="I1353" t="str">
        <f>VLOOKUP(Tabla1[[#This Row],[Code]],'[1]Articulos Precio'!$A:$E,5,FALSE)</f>
        <v>A0000352</v>
      </c>
    </row>
    <row r="1354" spans="1:9" x14ac:dyDescent="0.25">
      <c r="A1354" t="s">
        <v>444</v>
      </c>
      <c r="B1354" t="str">
        <f>VLOOKUP(Tabla1[[#This Row],[Code]],[1]!Tabla4[#Data],2,FALSE)</f>
        <v>M2 Metamark M4 Mate 359M Azul Cobalto 0,61 x 50m</v>
      </c>
      <c r="C1354">
        <v>22</v>
      </c>
      <c r="D1354" t="s">
        <v>393</v>
      </c>
      <c r="E1354" t="str">
        <f>VLOOKUP(Tabla1[[#This Row],[Cód. Atributo]],[1]!Tabla5[#Data],6,FALSE)</f>
        <v>Color</v>
      </c>
      <c r="F1354">
        <v>2</v>
      </c>
      <c r="G1354">
        <v>18</v>
      </c>
      <c r="H1354" t="s">
        <v>445</v>
      </c>
      <c r="I1354" t="str">
        <f>VLOOKUP(Tabla1[[#This Row],[Code]],'[1]Articulos Precio'!$A:$E,5,FALSE)</f>
        <v>A0000352</v>
      </c>
    </row>
    <row r="1355" spans="1:9" x14ac:dyDescent="0.25">
      <c r="A1355" t="s">
        <v>444</v>
      </c>
      <c r="B1355" t="str">
        <f>VLOOKUP(Tabla1[[#This Row],[Code]],[1]!Tabla4[#Data],2,FALSE)</f>
        <v>M2 Metamark M4 Mate 359M Azul Cobalto 0,61 x 50m</v>
      </c>
      <c r="C1355">
        <v>23</v>
      </c>
      <c r="D1355" t="s">
        <v>90</v>
      </c>
      <c r="E1355" t="str">
        <f>VLOOKUP(Tabla1[[#This Row],[Cód. Atributo]],[1]!Tabla5[#Data],6,FALSE)</f>
        <v>Select</v>
      </c>
      <c r="F1355">
        <v>3</v>
      </c>
      <c r="G1355">
        <v>1</v>
      </c>
      <c r="H1355" t="s">
        <v>110</v>
      </c>
      <c r="I1355" t="str">
        <f>VLOOKUP(Tabla1[[#This Row],[Code]],'[1]Articulos Precio'!$A:$E,5,FALSE)</f>
        <v>A0000352</v>
      </c>
    </row>
    <row r="1356" spans="1:9" x14ac:dyDescent="0.25">
      <c r="A1356" t="s">
        <v>444</v>
      </c>
      <c r="B1356" t="str">
        <f>VLOOKUP(Tabla1[[#This Row],[Code]],[1]!Tabla4[#Data],2,FALSE)</f>
        <v>M2 Metamark M4 Mate 359M Azul Cobalto 0,61 x 50m</v>
      </c>
      <c r="C1356">
        <v>25</v>
      </c>
      <c r="D1356" t="s">
        <v>94</v>
      </c>
      <c r="E1356" t="str">
        <f>VLOOKUP(Tabla1[[#This Row],[Cód. Atributo]],[1]!Tabla5[#Data],6,FALSE)</f>
        <v>Select</v>
      </c>
      <c r="F1356">
        <v>4</v>
      </c>
      <c r="G1356">
        <v>2</v>
      </c>
      <c r="H1356" t="s">
        <v>111</v>
      </c>
      <c r="I1356" t="str">
        <f>VLOOKUP(Tabla1[[#This Row],[Code]],'[1]Articulos Precio'!$A:$E,5,FALSE)</f>
        <v>A0000352</v>
      </c>
    </row>
    <row r="1357" spans="1:9" x14ac:dyDescent="0.25">
      <c r="A1357" t="s">
        <v>444</v>
      </c>
      <c r="B1357" t="str">
        <f>VLOOKUP(Tabla1[[#This Row],[Code]],[1]!Tabla4[#Data],2,FALSE)</f>
        <v>M2 Metamark M4 Mate 359M Azul Cobalto 0,61 x 50m</v>
      </c>
      <c r="C1357">
        <v>28</v>
      </c>
      <c r="D1357" t="s">
        <v>92</v>
      </c>
      <c r="E1357" t="str">
        <f>VLOOKUP(Tabla1[[#This Row],[Cód. Atributo]],[1]!Tabla5[#Data],6,FALSE)</f>
        <v>Select</v>
      </c>
      <c r="F1357">
        <v>5</v>
      </c>
      <c r="G1357">
        <v>2</v>
      </c>
      <c r="H1357" t="s">
        <v>102</v>
      </c>
      <c r="I1357" t="str">
        <f>VLOOKUP(Tabla1[[#This Row],[Code]],'[1]Articulos Precio'!$A:$E,5,FALSE)</f>
        <v>A0000352</v>
      </c>
    </row>
    <row r="1358" spans="1:9" x14ac:dyDescent="0.25">
      <c r="A1358" t="s">
        <v>444</v>
      </c>
      <c r="B1358" t="str">
        <f>VLOOKUP(Tabla1[[#This Row],[Code]],[1]!Tabla4[#Data],2,FALSE)</f>
        <v>M2 Metamark M4 Mate 359M Azul Cobalto 0,61 x 50m</v>
      </c>
      <c r="C1358">
        <v>24</v>
      </c>
      <c r="D1358" t="s">
        <v>96</v>
      </c>
      <c r="E1358" t="str">
        <f>VLOOKUP(Tabla1[[#This Row],[Cód. Atributo]],[1]!Tabla5[#Data],6,FALSE)</f>
        <v>Select</v>
      </c>
      <c r="F1358">
        <v>6</v>
      </c>
      <c r="G1358">
        <v>2</v>
      </c>
      <c r="H1358" t="s">
        <v>266</v>
      </c>
      <c r="I1358" t="str">
        <f>VLOOKUP(Tabla1[[#This Row],[Code]],'[1]Articulos Precio'!$A:$E,5,FALSE)</f>
        <v>A0000352</v>
      </c>
    </row>
    <row r="1359" spans="1:9" x14ac:dyDescent="0.25">
      <c r="A1359" t="s">
        <v>446</v>
      </c>
      <c r="B1359" t="str">
        <f>VLOOKUP(Tabla1[[#This Row],[Code]],[1]!Tabla4[#Data],2,FALSE)</f>
        <v>M2 Metamark M4 Mate 359M Azul Cobalto 1,22 x 50m</v>
      </c>
      <c r="C1359">
        <v>8</v>
      </c>
      <c r="D1359" t="s">
        <v>86</v>
      </c>
      <c r="E1359" t="str">
        <f>VLOOKUP(Tabla1[[#This Row],[Cód. Atributo]],[1]!Tabla5[#Data],6,FALSE)</f>
        <v>Select</v>
      </c>
      <c r="F1359">
        <v>1</v>
      </c>
      <c r="G1359">
        <v>2</v>
      </c>
      <c r="H1359" t="s">
        <v>268</v>
      </c>
      <c r="I1359" t="str">
        <f>VLOOKUP(Tabla1[[#This Row],[Code]],'[1]Articulos Precio'!$A:$E,5,FALSE)</f>
        <v>A0000352</v>
      </c>
    </row>
    <row r="1360" spans="1:9" x14ac:dyDescent="0.25">
      <c r="A1360" t="s">
        <v>446</v>
      </c>
      <c r="B1360" t="str">
        <f>VLOOKUP(Tabla1[[#This Row],[Code]],[1]!Tabla4[#Data],2,FALSE)</f>
        <v>M2 Metamark M4 Mate 359M Azul Cobalto 1,22 x 50m</v>
      </c>
      <c r="C1360">
        <v>22</v>
      </c>
      <c r="D1360" t="s">
        <v>393</v>
      </c>
      <c r="E1360" t="str">
        <f>VLOOKUP(Tabla1[[#This Row],[Cód. Atributo]],[1]!Tabla5[#Data],6,FALSE)</f>
        <v>Color</v>
      </c>
      <c r="F1360">
        <v>2</v>
      </c>
      <c r="G1360">
        <v>18</v>
      </c>
      <c r="H1360" t="s">
        <v>445</v>
      </c>
      <c r="I1360" t="str">
        <f>VLOOKUP(Tabla1[[#This Row],[Code]],'[1]Articulos Precio'!$A:$E,5,FALSE)</f>
        <v>A0000352</v>
      </c>
    </row>
    <row r="1361" spans="1:9" x14ac:dyDescent="0.25">
      <c r="A1361" t="s">
        <v>446</v>
      </c>
      <c r="B1361" t="str">
        <f>VLOOKUP(Tabla1[[#This Row],[Code]],[1]!Tabla4[#Data],2,FALSE)</f>
        <v>M2 Metamark M4 Mate 359M Azul Cobalto 1,22 x 50m</v>
      </c>
      <c r="C1361">
        <v>23</v>
      </c>
      <c r="D1361" t="s">
        <v>90</v>
      </c>
      <c r="E1361" t="str">
        <f>VLOOKUP(Tabla1[[#This Row],[Cód. Atributo]],[1]!Tabla5[#Data],6,FALSE)</f>
        <v>Select</v>
      </c>
      <c r="F1361">
        <v>3</v>
      </c>
      <c r="G1361">
        <v>1</v>
      </c>
      <c r="H1361" t="s">
        <v>110</v>
      </c>
      <c r="I1361" t="str">
        <f>VLOOKUP(Tabla1[[#This Row],[Code]],'[1]Articulos Precio'!$A:$E,5,FALSE)</f>
        <v>A0000352</v>
      </c>
    </row>
    <row r="1362" spans="1:9" x14ac:dyDescent="0.25">
      <c r="A1362" t="s">
        <v>446</v>
      </c>
      <c r="B1362" t="str">
        <f>VLOOKUP(Tabla1[[#This Row],[Code]],[1]!Tabla4[#Data],2,FALSE)</f>
        <v>M2 Metamark M4 Mate 359M Azul Cobalto 1,22 x 50m</v>
      </c>
      <c r="C1362">
        <v>25</v>
      </c>
      <c r="D1362" t="s">
        <v>94</v>
      </c>
      <c r="E1362" t="str">
        <f>VLOOKUP(Tabla1[[#This Row],[Cód. Atributo]],[1]!Tabla5[#Data],6,FALSE)</f>
        <v>Select</v>
      </c>
      <c r="F1362">
        <v>4</v>
      </c>
      <c r="G1362">
        <v>2</v>
      </c>
      <c r="H1362" t="s">
        <v>111</v>
      </c>
      <c r="I1362" t="str">
        <f>VLOOKUP(Tabla1[[#This Row],[Code]],'[1]Articulos Precio'!$A:$E,5,FALSE)</f>
        <v>A0000352</v>
      </c>
    </row>
    <row r="1363" spans="1:9" x14ac:dyDescent="0.25">
      <c r="A1363" t="s">
        <v>446</v>
      </c>
      <c r="B1363" t="str">
        <f>VLOOKUP(Tabla1[[#This Row],[Code]],[1]!Tabla4[#Data],2,FALSE)</f>
        <v>M2 Metamark M4 Mate 359M Azul Cobalto 1,22 x 50m</v>
      </c>
      <c r="C1363">
        <v>28</v>
      </c>
      <c r="D1363" t="s">
        <v>92</v>
      </c>
      <c r="E1363" t="str">
        <f>VLOOKUP(Tabla1[[#This Row],[Cód. Atributo]],[1]!Tabla5[#Data],6,FALSE)</f>
        <v>Select</v>
      </c>
      <c r="F1363">
        <v>5</v>
      </c>
      <c r="G1363">
        <v>2</v>
      </c>
      <c r="H1363" t="s">
        <v>102</v>
      </c>
      <c r="I1363" t="str">
        <f>VLOOKUP(Tabla1[[#This Row],[Code]],'[1]Articulos Precio'!$A:$E,5,FALSE)</f>
        <v>A0000352</v>
      </c>
    </row>
    <row r="1364" spans="1:9" x14ac:dyDescent="0.25">
      <c r="A1364" t="s">
        <v>446</v>
      </c>
      <c r="B1364" t="str">
        <f>VLOOKUP(Tabla1[[#This Row],[Code]],[1]!Tabla4[#Data],2,FALSE)</f>
        <v>M2 Metamark M4 Mate 359M Azul Cobalto 1,22 x 50m</v>
      </c>
      <c r="C1364">
        <v>24</v>
      </c>
      <c r="D1364" t="s">
        <v>96</v>
      </c>
      <c r="E1364" t="str">
        <f>VLOOKUP(Tabla1[[#This Row],[Cód. Atributo]],[1]!Tabla5[#Data],6,FALSE)</f>
        <v>Select</v>
      </c>
      <c r="F1364">
        <v>6</v>
      </c>
      <c r="G1364">
        <v>2</v>
      </c>
      <c r="H1364" t="s">
        <v>266</v>
      </c>
      <c r="I1364" t="str">
        <f>VLOOKUP(Tabla1[[#This Row],[Code]],'[1]Articulos Precio'!$A:$E,5,FALSE)</f>
        <v>A0000352</v>
      </c>
    </row>
    <row r="1365" spans="1:9" x14ac:dyDescent="0.25">
      <c r="A1365" t="s">
        <v>447</v>
      </c>
      <c r="B1365" t="str">
        <f>VLOOKUP(Tabla1[[#This Row],[Code]],[1]!Tabla4[#Data],2,FALSE)</f>
        <v>M2 Metamark M4 Mate 360M Verde Lima 0,61 x 50m</v>
      </c>
      <c r="C1365">
        <v>8</v>
      </c>
      <c r="D1365" t="s">
        <v>86</v>
      </c>
      <c r="E1365" t="str">
        <f>VLOOKUP(Tabla1[[#This Row],[Cód. Atributo]],[1]!Tabla5[#Data],6,FALSE)</f>
        <v>Select</v>
      </c>
      <c r="F1365">
        <v>1</v>
      </c>
      <c r="G1365">
        <v>1</v>
      </c>
      <c r="H1365" t="s">
        <v>263</v>
      </c>
      <c r="I1365" t="str">
        <f>VLOOKUP(Tabla1[[#This Row],[Code]],'[1]Articulos Precio'!$A:$E,5,FALSE)</f>
        <v>A0000352</v>
      </c>
    </row>
    <row r="1366" spans="1:9" x14ac:dyDescent="0.25">
      <c r="A1366" t="s">
        <v>447</v>
      </c>
      <c r="B1366" t="str">
        <f>VLOOKUP(Tabla1[[#This Row],[Code]],[1]!Tabla4[#Data],2,FALSE)</f>
        <v>M2 Metamark M4 Mate 360M Verde Lima 0,61 x 50m</v>
      </c>
      <c r="C1366">
        <v>22</v>
      </c>
      <c r="D1366" t="s">
        <v>393</v>
      </c>
      <c r="E1366" t="str">
        <f>VLOOKUP(Tabla1[[#This Row],[Cód. Atributo]],[1]!Tabla5[#Data],6,FALSE)</f>
        <v>Color</v>
      </c>
      <c r="F1366">
        <v>2</v>
      </c>
      <c r="G1366">
        <v>19</v>
      </c>
      <c r="H1366" t="s">
        <v>448</v>
      </c>
      <c r="I1366" t="str">
        <f>VLOOKUP(Tabla1[[#This Row],[Code]],'[1]Articulos Precio'!$A:$E,5,FALSE)</f>
        <v>A0000352</v>
      </c>
    </row>
    <row r="1367" spans="1:9" x14ac:dyDescent="0.25">
      <c r="A1367" t="s">
        <v>447</v>
      </c>
      <c r="B1367" t="str">
        <f>VLOOKUP(Tabla1[[#This Row],[Code]],[1]!Tabla4[#Data],2,FALSE)</f>
        <v>M2 Metamark M4 Mate 360M Verde Lima 0,61 x 50m</v>
      </c>
      <c r="C1367">
        <v>23</v>
      </c>
      <c r="D1367" t="s">
        <v>90</v>
      </c>
      <c r="E1367" t="str">
        <f>VLOOKUP(Tabla1[[#This Row],[Cód. Atributo]],[1]!Tabla5[#Data],6,FALSE)</f>
        <v>Select</v>
      </c>
      <c r="F1367">
        <v>3</v>
      </c>
      <c r="G1367">
        <v>1</v>
      </c>
      <c r="H1367" t="s">
        <v>110</v>
      </c>
      <c r="I1367" t="str">
        <f>VLOOKUP(Tabla1[[#This Row],[Code]],'[1]Articulos Precio'!$A:$E,5,FALSE)</f>
        <v>A0000352</v>
      </c>
    </row>
    <row r="1368" spans="1:9" x14ac:dyDescent="0.25">
      <c r="A1368" t="s">
        <v>447</v>
      </c>
      <c r="B1368" t="str">
        <f>VLOOKUP(Tabla1[[#This Row],[Code]],[1]!Tabla4[#Data],2,FALSE)</f>
        <v>M2 Metamark M4 Mate 360M Verde Lima 0,61 x 50m</v>
      </c>
      <c r="C1368">
        <v>25</v>
      </c>
      <c r="D1368" t="s">
        <v>94</v>
      </c>
      <c r="E1368" t="str">
        <f>VLOOKUP(Tabla1[[#This Row],[Cód. Atributo]],[1]!Tabla5[#Data],6,FALSE)</f>
        <v>Select</v>
      </c>
      <c r="F1368">
        <v>4</v>
      </c>
      <c r="G1368">
        <v>2</v>
      </c>
      <c r="H1368" t="s">
        <v>111</v>
      </c>
      <c r="I1368" t="str">
        <f>VLOOKUP(Tabla1[[#This Row],[Code]],'[1]Articulos Precio'!$A:$E,5,FALSE)</f>
        <v>A0000352</v>
      </c>
    </row>
    <row r="1369" spans="1:9" x14ac:dyDescent="0.25">
      <c r="A1369" t="s">
        <v>447</v>
      </c>
      <c r="B1369" t="str">
        <f>VLOOKUP(Tabla1[[#This Row],[Code]],[1]!Tabla4[#Data],2,FALSE)</f>
        <v>M2 Metamark M4 Mate 360M Verde Lima 0,61 x 50m</v>
      </c>
      <c r="C1369">
        <v>28</v>
      </c>
      <c r="D1369" t="s">
        <v>92</v>
      </c>
      <c r="E1369" t="str">
        <f>VLOOKUP(Tabla1[[#This Row],[Cód. Atributo]],[1]!Tabla5[#Data],6,FALSE)</f>
        <v>Select</v>
      </c>
      <c r="F1369">
        <v>5</v>
      </c>
      <c r="G1369">
        <v>2</v>
      </c>
      <c r="H1369" t="s">
        <v>102</v>
      </c>
      <c r="I1369" t="str">
        <f>VLOOKUP(Tabla1[[#This Row],[Code]],'[1]Articulos Precio'!$A:$E,5,FALSE)</f>
        <v>A0000352</v>
      </c>
    </row>
    <row r="1370" spans="1:9" x14ac:dyDescent="0.25">
      <c r="A1370" t="s">
        <v>447</v>
      </c>
      <c r="B1370" t="str">
        <f>VLOOKUP(Tabla1[[#This Row],[Code]],[1]!Tabla4[#Data],2,FALSE)</f>
        <v>M2 Metamark M4 Mate 360M Verde Lima 0,61 x 50m</v>
      </c>
      <c r="C1370">
        <v>24</v>
      </c>
      <c r="D1370" t="s">
        <v>96</v>
      </c>
      <c r="E1370" t="str">
        <f>VLOOKUP(Tabla1[[#This Row],[Cód. Atributo]],[1]!Tabla5[#Data],6,FALSE)</f>
        <v>Select</v>
      </c>
      <c r="F1370">
        <v>6</v>
      </c>
      <c r="G1370">
        <v>2</v>
      </c>
      <c r="H1370" t="s">
        <v>266</v>
      </c>
      <c r="I1370" t="str">
        <f>VLOOKUP(Tabla1[[#This Row],[Code]],'[1]Articulos Precio'!$A:$E,5,FALSE)</f>
        <v>A0000352</v>
      </c>
    </row>
    <row r="1371" spans="1:9" x14ac:dyDescent="0.25">
      <c r="A1371" t="s">
        <v>449</v>
      </c>
      <c r="B1371" t="str">
        <f>VLOOKUP(Tabla1[[#This Row],[Code]],[1]!Tabla4[#Data],2,FALSE)</f>
        <v>M2 Metamark M4 Mate 360M Verde Lima 1,22 x 50m</v>
      </c>
      <c r="C1371">
        <v>8</v>
      </c>
      <c r="D1371" t="s">
        <v>86</v>
      </c>
      <c r="E1371" t="str">
        <f>VLOOKUP(Tabla1[[#This Row],[Cód. Atributo]],[1]!Tabla5[#Data],6,FALSE)</f>
        <v>Select</v>
      </c>
      <c r="F1371">
        <v>1</v>
      </c>
      <c r="G1371">
        <v>2</v>
      </c>
      <c r="H1371" t="s">
        <v>268</v>
      </c>
      <c r="I1371" t="str">
        <f>VLOOKUP(Tabla1[[#This Row],[Code]],'[1]Articulos Precio'!$A:$E,5,FALSE)</f>
        <v>A0000352</v>
      </c>
    </row>
    <row r="1372" spans="1:9" x14ac:dyDescent="0.25">
      <c r="A1372" t="s">
        <v>449</v>
      </c>
      <c r="B1372" t="str">
        <f>VLOOKUP(Tabla1[[#This Row],[Code]],[1]!Tabla4[#Data],2,FALSE)</f>
        <v>M2 Metamark M4 Mate 360M Verde Lima 1,22 x 50m</v>
      </c>
      <c r="C1372">
        <v>22</v>
      </c>
      <c r="D1372" t="s">
        <v>393</v>
      </c>
      <c r="E1372" t="str">
        <f>VLOOKUP(Tabla1[[#This Row],[Cód. Atributo]],[1]!Tabla5[#Data],6,FALSE)</f>
        <v>Color</v>
      </c>
      <c r="F1372">
        <v>2</v>
      </c>
      <c r="G1372">
        <v>19</v>
      </c>
      <c r="H1372" t="s">
        <v>448</v>
      </c>
      <c r="I1372" t="str">
        <f>VLOOKUP(Tabla1[[#This Row],[Code]],'[1]Articulos Precio'!$A:$E,5,FALSE)</f>
        <v>A0000352</v>
      </c>
    </row>
    <row r="1373" spans="1:9" x14ac:dyDescent="0.25">
      <c r="A1373" t="s">
        <v>449</v>
      </c>
      <c r="B1373" t="str">
        <f>VLOOKUP(Tabla1[[#This Row],[Code]],[1]!Tabla4[#Data],2,FALSE)</f>
        <v>M2 Metamark M4 Mate 360M Verde Lima 1,22 x 50m</v>
      </c>
      <c r="C1373">
        <v>23</v>
      </c>
      <c r="D1373" t="s">
        <v>90</v>
      </c>
      <c r="E1373" t="str">
        <f>VLOOKUP(Tabla1[[#This Row],[Cód. Atributo]],[1]!Tabla5[#Data],6,FALSE)</f>
        <v>Select</v>
      </c>
      <c r="F1373">
        <v>3</v>
      </c>
      <c r="G1373">
        <v>1</v>
      </c>
      <c r="H1373" t="s">
        <v>110</v>
      </c>
      <c r="I1373" t="str">
        <f>VLOOKUP(Tabla1[[#This Row],[Code]],'[1]Articulos Precio'!$A:$E,5,FALSE)</f>
        <v>A0000352</v>
      </c>
    </row>
    <row r="1374" spans="1:9" x14ac:dyDescent="0.25">
      <c r="A1374" t="s">
        <v>449</v>
      </c>
      <c r="B1374" t="str">
        <f>VLOOKUP(Tabla1[[#This Row],[Code]],[1]!Tabla4[#Data],2,FALSE)</f>
        <v>M2 Metamark M4 Mate 360M Verde Lima 1,22 x 50m</v>
      </c>
      <c r="C1374">
        <v>25</v>
      </c>
      <c r="D1374" t="s">
        <v>94</v>
      </c>
      <c r="E1374" t="str">
        <f>VLOOKUP(Tabla1[[#This Row],[Cód. Atributo]],[1]!Tabla5[#Data],6,FALSE)</f>
        <v>Select</v>
      </c>
      <c r="F1374">
        <v>4</v>
      </c>
      <c r="G1374">
        <v>2</v>
      </c>
      <c r="H1374" t="s">
        <v>111</v>
      </c>
      <c r="I1374" t="str">
        <f>VLOOKUP(Tabla1[[#This Row],[Code]],'[1]Articulos Precio'!$A:$E,5,FALSE)</f>
        <v>A0000352</v>
      </c>
    </row>
    <row r="1375" spans="1:9" x14ac:dyDescent="0.25">
      <c r="A1375" t="s">
        <v>449</v>
      </c>
      <c r="B1375" t="str">
        <f>VLOOKUP(Tabla1[[#This Row],[Code]],[1]!Tabla4[#Data],2,FALSE)</f>
        <v>M2 Metamark M4 Mate 360M Verde Lima 1,22 x 50m</v>
      </c>
      <c r="C1375">
        <v>28</v>
      </c>
      <c r="D1375" t="s">
        <v>92</v>
      </c>
      <c r="E1375" t="str">
        <f>VLOOKUP(Tabla1[[#This Row],[Cód. Atributo]],[1]!Tabla5[#Data],6,FALSE)</f>
        <v>Select</v>
      </c>
      <c r="F1375">
        <v>5</v>
      </c>
      <c r="G1375">
        <v>2</v>
      </c>
      <c r="H1375" t="s">
        <v>102</v>
      </c>
      <c r="I1375" t="str">
        <f>VLOOKUP(Tabla1[[#This Row],[Code]],'[1]Articulos Precio'!$A:$E,5,FALSE)</f>
        <v>A0000352</v>
      </c>
    </row>
    <row r="1376" spans="1:9" x14ac:dyDescent="0.25">
      <c r="A1376" t="s">
        <v>449</v>
      </c>
      <c r="B1376" t="str">
        <f>VLOOKUP(Tabla1[[#This Row],[Code]],[1]!Tabla4[#Data],2,FALSE)</f>
        <v>M2 Metamark M4 Mate 360M Verde Lima 1,22 x 50m</v>
      </c>
      <c r="C1376">
        <v>24</v>
      </c>
      <c r="D1376" t="s">
        <v>96</v>
      </c>
      <c r="E1376" t="str">
        <f>VLOOKUP(Tabla1[[#This Row],[Cód. Atributo]],[1]!Tabla5[#Data],6,FALSE)</f>
        <v>Select</v>
      </c>
      <c r="F1376">
        <v>6</v>
      </c>
      <c r="G1376">
        <v>2</v>
      </c>
      <c r="H1376" t="s">
        <v>266</v>
      </c>
      <c r="I1376" t="str">
        <f>VLOOKUP(Tabla1[[#This Row],[Code]],'[1]Articulos Precio'!$A:$E,5,FALSE)</f>
        <v>A0000352</v>
      </c>
    </row>
    <row r="1377" spans="1:9" x14ac:dyDescent="0.25">
      <c r="A1377" t="s">
        <v>450</v>
      </c>
      <c r="B1377" t="str">
        <f>VLOOKUP(Tabla1[[#This Row],[Code]],[1]!Tabla4[#Data],2,FALSE)</f>
        <v>M2 Metamark M4 Mate 361M Verde Cesped 0,61 x 50m</v>
      </c>
      <c r="C1377">
        <v>8</v>
      </c>
      <c r="D1377" t="s">
        <v>86</v>
      </c>
      <c r="E1377" t="str">
        <f>VLOOKUP(Tabla1[[#This Row],[Cód. Atributo]],[1]!Tabla5[#Data],6,FALSE)</f>
        <v>Select</v>
      </c>
      <c r="F1377">
        <v>1</v>
      </c>
      <c r="G1377">
        <v>1</v>
      </c>
      <c r="H1377" t="s">
        <v>263</v>
      </c>
      <c r="I1377" t="str">
        <f>VLOOKUP(Tabla1[[#This Row],[Code]],'[1]Articulos Precio'!$A:$E,5,FALSE)</f>
        <v>A0000352</v>
      </c>
    </row>
    <row r="1378" spans="1:9" x14ac:dyDescent="0.25">
      <c r="A1378" t="s">
        <v>450</v>
      </c>
      <c r="B1378" t="str">
        <f>VLOOKUP(Tabla1[[#This Row],[Code]],[1]!Tabla4[#Data],2,FALSE)</f>
        <v>M2 Metamark M4 Mate 361M Verde Cesped 0,61 x 50m</v>
      </c>
      <c r="C1378">
        <v>22</v>
      </c>
      <c r="D1378" t="s">
        <v>393</v>
      </c>
      <c r="E1378" t="str">
        <f>VLOOKUP(Tabla1[[#This Row],[Cód. Atributo]],[1]!Tabla5[#Data],6,FALSE)</f>
        <v>Color</v>
      </c>
      <c r="F1378">
        <v>2</v>
      </c>
      <c r="G1378">
        <v>20</v>
      </c>
      <c r="H1378" t="s">
        <v>451</v>
      </c>
      <c r="I1378" t="str">
        <f>VLOOKUP(Tabla1[[#This Row],[Code]],'[1]Articulos Precio'!$A:$E,5,FALSE)</f>
        <v>A0000352</v>
      </c>
    </row>
    <row r="1379" spans="1:9" x14ac:dyDescent="0.25">
      <c r="A1379" t="s">
        <v>450</v>
      </c>
      <c r="B1379" t="str">
        <f>VLOOKUP(Tabla1[[#This Row],[Code]],[1]!Tabla4[#Data],2,FALSE)</f>
        <v>M2 Metamark M4 Mate 361M Verde Cesped 0,61 x 50m</v>
      </c>
      <c r="C1379">
        <v>23</v>
      </c>
      <c r="D1379" t="s">
        <v>90</v>
      </c>
      <c r="E1379" t="str">
        <f>VLOOKUP(Tabla1[[#This Row],[Cód. Atributo]],[1]!Tabla5[#Data],6,FALSE)</f>
        <v>Select</v>
      </c>
      <c r="F1379">
        <v>3</v>
      </c>
      <c r="G1379">
        <v>1</v>
      </c>
      <c r="H1379" t="s">
        <v>110</v>
      </c>
      <c r="I1379" t="str">
        <f>VLOOKUP(Tabla1[[#This Row],[Code]],'[1]Articulos Precio'!$A:$E,5,FALSE)</f>
        <v>A0000352</v>
      </c>
    </row>
    <row r="1380" spans="1:9" x14ac:dyDescent="0.25">
      <c r="A1380" t="s">
        <v>450</v>
      </c>
      <c r="B1380" t="str">
        <f>VLOOKUP(Tabla1[[#This Row],[Code]],[1]!Tabla4[#Data],2,FALSE)</f>
        <v>M2 Metamark M4 Mate 361M Verde Cesped 0,61 x 50m</v>
      </c>
      <c r="C1380">
        <v>25</v>
      </c>
      <c r="D1380" t="s">
        <v>94</v>
      </c>
      <c r="E1380" t="str">
        <f>VLOOKUP(Tabla1[[#This Row],[Cód. Atributo]],[1]!Tabla5[#Data],6,FALSE)</f>
        <v>Select</v>
      </c>
      <c r="F1380">
        <v>4</v>
      </c>
      <c r="G1380">
        <v>2</v>
      </c>
      <c r="H1380" t="s">
        <v>111</v>
      </c>
      <c r="I1380" t="str">
        <f>VLOOKUP(Tabla1[[#This Row],[Code]],'[1]Articulos Precio'!$A:$E,5,FALSE)</f>
        <v>A0000352</v>
      </c>
    </row>
    <row r="1381" spans="1:9" x14ac:dyDescent="0.25">
      <c r="A1381" t="s">
        <v>450</v>
      </c>
      <c r="B1381" t="str">
        <f>VLOOKUP(Tabla1[[#This Row],[Code]],[1]!Tabla4[#Data],2,FALSE)</f>
        <v>M2 Metamark M4 Mate 361M Verde Cesped 0,61 x 50m</v>
      </c>
      <c r="C1381">
        <v>28</v>
      </c>
      <c r="D1381" t="s">
        <v>92</v>
      </c>
      <c r="E1381" t="str">
        <f>VLOOKUP(Tabla1[[#This Row],[Cód. Atributo]],[1]!Tabla5[#Data],6,FALSE)</f>
        <v>Select</v>
      </c>
      <c r="F1381">
        <v>5</v>
      </c>
      <c r="G1381">
        <v>2</v>
      </c>
      <c r="H1381" t="s">
        <v>102</v>
      </c>
      <c r="I1381" t="str">
        <f>VLOOKUP(Tabla1[[#This Row],[Code]],'[1]Articulos Precio'!$A:$E,5,FALSE)</f>
        <v>A0000352</v>
      </c>
    </row>
    <row r="1382" spans="1:9" x14ac:dyDescent="0.25">
      <c r="A1382" t="s">
        <v>450</v>
      </c>
      <c r="B1382" t="str">
        <f>VLOOKUP(Tabla1[[#This Row],[Code]],[1]!Tabla4[#Data],2,FALSE)</f>
        <v>M2 Metamark M4 Mate 361M Verde Cesped 0,61 x 50m</v>
      </c>
      <c r="C1382">
        <v>24</v>
      </c>
      <c r="D1382" t="s">
        <v>96</v>
      </c>
      <c r="E1382" t="str">
        <f>VLOOKUP(Tabla1[[#This Row],[Cód. Atributo]],[1]!Tabla5[#Data],6,FALSE)</f>
        <v>Select</v>
      </c>
      <c r="F1382">
        <v>6</v>
      </c>
      <c r="G1382">
        <v>2</v>
      </c>
      <c r="H1382" t="s">
        <v>266</v>
      </c>
      <c r="I1382" t="str">
        <f>VLOOKUP(Tabla1[[#This Row],[Code]],'[1]Articulos Precio'!$A:$E,5,FALSE)</f>
        <v>A0000352</v>
      </c>
    </row>
    <row r="1383" spans="1:9" x14ac:dyDescent="0.25">
      <c r="A1383" t="s">
        <v>452</v>
      </c>
      <c r="B1383" t="str">
        <f>VLOOKUP(Tabla1[[#This Row],[Code]],[1]!Tabla4[#Data],2,FALSE)</f>
        <v>M2 Metamark M4 Mate 361M Verde Cesped 1,22 x 50m</v>
      </c>
      <c r="C1383">
        <v>8</v>
      </c>
      <c r="D1383" t="s">
        <v>86</v>
      </c>
      <c r="E1383" t="str">
        <f>VLOOKUP(Tabla1[[#This Row],[Cód. Atributo]],[1]!Tabla5[#Data],6,FALSE)</f>
        <v>Select</v>
      </c>
      <c r="F1383">
        <v>1</v>
      </c>
      <c r="G1383">
        <v>2</v>
      </c>
      <c r="H1383" t="s">
        <v>268</v>
      </c>
      <c r="I1383" t="str">
        <f>VLOOKUP(Tabla1[[#This Row],[Code]],'[1]Articulos Precio'!$A:$E,5,FALSE)</f>
        <v>A0000352</v>
      </c>
    </row>
    <row r="1384" spans="1:9" x14ac:dyDescent="0.25">
      <c r="A1384" t="s">
        <v>452</v>
      </c>
      <c r="B1384" t="str">
        <f>VLOOKUP(Tabla1[[#This Row],[Code]],[1]!Tabla4[#Data],2,FALSE)</f>
        <v>M2 Metamark M4 Mate 361M Verde Cesped 1,22 x 50m</v>
      </c>
      <c r="C1384">
        <v>22</v>
      </c>
      <c r="D1384" t="s">
        <v>393</v>
      </c>
      <c r="E1384" t="str">
        <f>VLOOKUP(Tabla1[[#This Row],[Cód. Atributo]],[1]!Tabla5[#Data],6,FALSE)</f>
        <v>Color</v>
      </c>
      <c r="F1384">
        <v>2</v>
      </c>
      <c r="G1384">
        <v>20</v>
      </c>
      <c r="H1384" t="s">
        <v>451</v>
      </c>
      <c r="I1384" t="str">
        <f>VLOOKUP(Tabla1[[#This Row],[Code]],'[1]Articulos Precio'!$A:$E,5,FALSE)</f>
        <v>A0000352</v>
      </c>
    </row>
    <row r="1385" spans="1:9" x14ac:dyDescent="0.25">
      <c r="A1385" t="s">
        <v>452</v>
      </c>
      <c r="B1385" t="str">
        <f>VLOOKUP(Tabla1[[#This Row],[Code]],[1]!Tabla4[#Data],2,FALSE)</f>
        <v>M2 Metamark M4 Mate 361M Verde Cesped 1,22 x 50m</v>
      </c>
      <c r="C1385">
        <v>23</v>
      </c>
      <c r="D1385" t="s">
        <v>90</v>
      </c>
      <c r="E1385" t="str">
        <f>VLOOKUP(Tabla1[[#This Row],[Cód. Atributo]],[1]!Tabla5[#Data],6,FALSE)</f>
        <v>Select</v>
      </c>
      <c r="F1385">
        <v>3</v>
      </c>
      <c r="G1385">
        <v>1</v>
      </c>
      <c r="H1385" t="s">
        <v>110</v>
      </c>
      <c r="I1385" t="str">
        <f>VLOOKUP(Tabla1[[#This Row],[Code]],'[1]Articulos Precio'!$A:$E,5,FALSE)</f>
        <v>A0000352</v>
      </c>
    </row>
    <row r="1386" spans="1:9" x14ac:dyDescent="0.25">
      <c r="A1386" t="s">
        <v>452</v>
      </c>
      <c r="B1386" t="str">
        <f>VLOOKUP(Tabla1[[#This Row],[Code]],[1]!Tabla4[#Data],2,FALSE)</f>
        <v>M2 Metamark M4 Mate 361M Verde Cesped 1,22 x 50m</v>
      </c>
      <c r="C1386">
        <v>25</v>
      </c>
      <c r="D1386" t="s">
        <v>94</v>
      </c>
      <c r="E1386" t="str">
        <f>VLOOKUP(Tabla1[[#This Row],[Cód. Atributo]],[1]!Tabla5[#Data],6,FALSE)</f>
        <v>Select</v>
      </c>
      <c r="F1386">
        <v>4</v>
      </c>
      <c r="G1386">
        <v>2</v>
      </c>
      <c r="H1386" t="s">
        <v>111</v>
      </c>
      <c r="I1386" t="str">
        <f>VLOOKUP(Tabla1[[#This Row],[Code]],'[1]Articulos Precio'!$A:$E,5,FALSE)</f>
        <v>A0000352</v>
      </c>
    </row>
    <row r="1387" spans="1:9" x14ac:dyDescent="0.25">
      <c r="A1387" t="s">
        <v>452</v>
      </c>
      <c r="B1387" t="str">
        <f>VLOOKUP(Tabla1[[#This Row],[Code]],[1]!Tabla4[#Data],2,FALSE)</f>
        <v>M2 Metamark M4 Mate 361M Verde Cesped 1,22 x 50m</v>
      </c>
      <c r="C1387">
        <v>28</v>
      </c>
      <c r="D1387" t="s">
        <v>92</v>
      </c>
      <c r="E1387" t="str">
        <f>VLOOKUP(Tabla1[[#This Row],[Cód. Atributo]],[1]!Tabla5[#Data],6,FALSE)</f>
        <v>Select</v>
      </c>
      <c r="F1387">
        <v>5</v>
      </c>
      <c r="G1387">
        <v>2</v>
      </c>
      <c r="H1387" t="s">
        <v>102</v>
      </c>
      <c r="I1387" t="str">
        <f>VLOOKUP(Tabla1[[#This Row],[Code]],'[1]Articulos Precio'!$A:$E,5,FALSE)</f>
        <v>A0000352</v>
      </c>
    </row>
    <row r="1388" spans="1:9" x14ac:dyDescent="0.25">
      <c r="A1388" t="s">
        <v>452</v>
      </c>
      <c r="B1388" t="str">
        <f>VLOOKUP(Tabla1[[#This Row],[Code]],[1]!Tabla4[#Data],2,FALSE)</f>
        <v>M2 Metamark M4 Mate 361M Verde Cesped 1,22 x 50m</v>
      </c>
      <c r="C1388">
        <v>24</v>
      </c>
      <c r="D1388" t="s">
        <v>96</v>
      </c>
      <c r="E1388" t="str">
        <f>VLOOKUP(Tabla1[[#This Row],[Cód. Atributo]],[1]!Tabla5[#Data],6,FALSE)</f>
        <v>Select</v>
      </c>
      <c r="F1388">
        <v>6</v>
      </c>
      <c r="G1388">
        <v>2</v>
      </c>
      <c r="H1388" t="s">
        <v>266</v>
      </c>
      <c r="I1388" t="str">
        <f>VLOOKUP(Tabla1[[#This Row],[Code]],'[1]Articulos Precio'!$A:$E,5,FALSE)</f>
        <v>A0000352</v>
      </c>
    </row>
    <row r="1389" spans="1:9" x14ac:dyDescent="0.25">
      <c r="A1389" t="s">
        <v>453</v>
      </c>
      <c r="B1389" t="str">
        <f>VLOOKUP(Tabla1[[#This Row],[Code]],[1]!Tabla4[#Data],2,FALSE)</f>
        <v>M2 Metamark M4 Mate 362M Verde Cactus 0,61 x 50m</v>
      </c>
      <c r="C1389">
        <v>8</v>
      </c>
      <c r="D1389" t="s">
        <v>86</v>
      </c>
      <c r="E1389" t="str">
        <f>VLOOKUP(Tabla1[[#This Row],[Cód. Atributo]],[1]!Tabla5[#Data],6,FALSE)</f>
        <v>Select</v>
      </c>
      <c r="F1389">
        <v>1</v>
      </c>
      <c r="G1389">
        <v>1</v>
      </c>
      <c r="H1389" t="s">
        <v>263</v>
      </c>
      <c r="I1389" t="str">
        <f>VLOOKUP(Tabla1[[#This Row],[Code]],'[1]Articulos Precio'!$A:$E,5,FALSE)</f>
        <v>A0000352</v>
      </c>
    </row>
    <row r="1390" spans="1:9" x14ac:dyDescent="0.25">
      <c r="A1390" t="s">
        <v>453</v>
      </c>
      <c r="B1390" t="str">
        <f>VLOOKUP(Tabla1[[#This Row],[Code]],[1]!Tabla4[#Data],2,FALSE)</f>
        <v>M2 Metamark M4 Mate 362M Verde Cactus 0,61 x 50m</v>
      </c>
      <c r="C1390">
        <v>22</v>
      </c>
      <c r="D1390" t="s">
        <v>393</v>
      </c>
      <c r="E1390" t="str">
        <f>VLOOKUP(Tabla1[[#This Row],[Cód. Atributo]],[1]!Tabla5[#Data],6,FALSE)</f>
        <v>Color</v>
      </c>
      <c r="F1390">
        <v>2</v>
      </c>
      <c r="G1390">
        <v>21</v>
      </c>
      <c r="H1390" t="s">
        <v>454</v>
      </c>
      <c r="I1390" t="str">
        <f>VLOOKUP(Tabla1[[#This Row],[Code]],'[1]Articulos Precio'!$A:$E,5,FALSE)</f>
        <v>A0000352</v>
      </c>
    </row>
    <row r="1391" spans="1:9" x14ac:dyDescent="0.25">
      <c r="A1391" t="s">
        <v>453</v>
      </c>
      <c r="B1391" t="str">
        <f>VLOOKUP(Tabla1[[#This Row],[Code]],[1]!Tabla4[#Data],2,FALSE)</f>
        <v>M2 Metamark M4 Mate 362M Verde Cactus 0,61 x 50m</v>
      </c>
      <c r="C1391">
        <v>23</v>
      </c>
      <c r="D1391" t="s">
        <v>90</v>
      </c>
      <c r="E1391" t="str">
        <f>VLOOKUP(Tabla1[[#This Row],[Cód. Atributo]],[1]!Tabla5[#Data],6,FALSE)</f>
        <v>Select</v>
      </c>
      <c r="F1391">
        <v>3</v>
      </c>
      <c r="G1391">
        <v>1</v>
      </c>
      <c r="H1391" t="s">
        <v>110</v>
      </c>
      <c r="I1391" t="str">
        <f>VLOOKUP(Tabla1[[#This Row],[Code]],'[1]Articulos Precio'!$A:$E,5,FALSE)</f>
        <v>A0000352</v>
      </c>
    </row>
    <row r="1392" spans="1:9" x14ac:dyDescent="0.25">
      <c r="A1392" t="s">
        <v>453</v>
      </c>
      <c r="B1392" t="str">
        <f>VLOOKUP(Tabla1[[#This Row],[Code]],[1]!Tabla4[#Data],2,FALSE)</f>
        <v>M2 Metamark M4 Mate 362M Verde Cactus 0,61 x 50m</v>
      </c>
      <c r="C1392">
        <v>25</v>
      </c>
      <c r="D1392" t="s">
        <v>94</v>
      </c>
      <c r="E1392" t="str">
        <f>VLOOKUP(Tabla1[[#This Row],[Cód. Atributo]],[1]!Tabla5[#Data],6,FALSE)</f>
        <v>Select</v>
      </c>
      <c r="F1392">
        <v>4</v>
      </c>
      <c r="G1392">
        <v>2</v>
      </c>
      <c r="H1392" t="s">
        <v>111</v>
      </c>
      <c r="I1392" t="str">
        <f>VLOOKUP(Tabla1[[#This Row],[Code]],'[1]Articulos Precio'!$A:$E,5,FALSE)</f>
        <v>A0000352</v>
      </c>
    </row>
    <row r="1393" spans="1:9" x14ac:dyDescent="0.25">
      <c r="A1393" t="s">
        <v>453</v>
      </c>
      <c r="B1393" t="str">
        <f>VLOOKUP(Tabla1[[#This Row],[Code]],[1]!Tabla4[#Data],2,FALSE)</f>
        <v>M2 Metamark M4 Mate 362M Verde Cactus 0,61 x 50m</v>
      </c>
      <c r="C1393">
        <v>28</v>
      </c>
      <c r="D1393" t="s">
        <v>92</v>
      </c>
      <c r="E1393" t="str">
        <f>VLOOKUP(Tabla1[[#This Row],[Cód. Atributo]],[1]!Tabla5[#Data],6,FALSE)</f>
        <v>Select</v>
      </c>
      <c r="F1393">
        <v>5</v>
      </c>
      <c r="G1393">
        <v>2</v>
      </c>
      <c r="H1393" t="s">
        <v>102</v>
      </c>
      <c r="I1393" t="str">
        <f>VLOOKUP(Tabla1[[#This Row],[Code]],'[1]Articulos Precio'!$A:$E,5,FALSE)</f>
        <v>A0000352</v>
      </c>
    </row>
    <row r="1394" spans="1:9" x14ac:dyDescent="0.25">
      <c r="A1394" t="s">
        <v>453</v>
      </c>
      <c r="B1394" t="str">
        <f>VLOOKUP(Tabla1[[#This Row],[Code]],[1]!Tabla4[#Data],2,FALSE)</f>
        <v>M2 Metamark M4 Mate 362M Verde Cactus 0,61 x 50m</v>
      </c>
      <c r="C1394">
        <v>24</v>
      </c>
      <c r="D1394" t="s">
        <v>96</v>
      </c>
      <c r="E1394" t="str">
        <f>VLOOKUP(Tabla1[[#This Row],[Cód. Atributo]],[1]!Tabla5[#Data],6,FALSE)</f>
        <v>Select</v>
      </c>
      <c r="F1394">
        <v>6</v>
      </c>
      <c r="G1394">
        <v>2</v>
      </c>
      <c r="H1394" t="s">
        <v>266</v>
      </c>
      <c r="I1394" t="str">
        <f>VLOOKUP(Tabla1[[#This Row],[Code]],'[1]Articulos Precio'!$A:$E,5,FALSE)</f>
        <v>A0000352</v>
      </c>
    </row>
    <row r="1395" spans="1:9" x14ac:dyDescent="0.25">
      <c r="A1395" t="s">
        <v>455</v>
      </c>
      <c r="B1395" t="str">
        <f>VLOOKUP(Tabla1[[#This Row],[Code]],[1]!Tabla4[#Data],2,FALSE)</f>
        <v>M2 Metamark M4 Mate 362M Verde Cactus 1,22 x 50m</v>
      </c>
      <c r="C1395">
        <v>8</v>
      </c>
      <c r="D1395" t="s">
        <v>86</v>
      </c>
      <c r="E1395" t="str">
        <f>VLOOKUP(Tabla1[[#This Row],[Cód. Atributo]],[1]!Tabla5[#Data],6,FALSE)</f>
        <v>Select</v>
      </c>
      <c r="F1395">
        <v>1</v>
      </c>
      <c r="G1395">
        <v>2</v>
      </c>
      <c r="H1395" t="s">
        <v>268</v>
      </c>
      <c r="I1395" t="str">
        <f>VLOOKUP(Tabla1[[#This Row],[Code]],'[1]Articulos Precio'!$A:$E,5,FALSE)</f>
        <v>A0000352</v>
      </c>
    </row>
    <row r="1396" spans="1:9" x14ac:dyDescent="0.25">
      <c r="A1396" t="s">
        <v>455</v>
      </c>
      <c r="B1396" t="str">
        <f>VLOOKUP(Tabla1[[#This Row],[Code]],[1]!Tabla4[#Data],2,FALSE)</f>
        <v>M2 Metamark M4 Mate 362M Verde Cactus 1,22 x 50m</v>
      </c>
      <c r="C1396">
        <v>22</v>
      </c>
      <c r="D1396" t="s">
        <v>393</v>
      </c>
      <c r="E1396" t="str">
        <f>VLOOKUP(Tabla1[[#This Row],[Cód. Atributo]],[1]!Tabla5[#Data],6,FALSE)</f>
        <v>Color</v>
      </c>
      <c r="F1396">
        <v>2</v>
      </c>
      <c r="G1396">
        <v>21</v>
      </c>
      <c r="H1396" t="s">
        <v>454</v>
      </c>
      <c r="I1396" t="str">
        <f>VLOOKUP(Tabla1[[#This Row],[Code]],'[1]Articulos Precio'!$A:$E,5,FALSE)</f>
        <v>A0000352</v>
      </c>
    </row>
    <row r="1397" spans="1:9" x14ac:dyDescent="0.25">
      <c r="A1397" t="s">
        <v>455</v>
      </c>
      <c r="B1397" t="str">
        <f>VLOOKUP(Tabla1[[#This Row],[Code]],[1]!Tabla4[#Data],2,FALSE)</f>
        <v>M2 Metamark M4 Mate 362M Verde Cactus 1,22 x 50m</v>
      </c>
      <c r="C1397">
        <v>23</v>
      </c>
      <c r="D1397" t="s">
        <v>90</v>
      </c>
      <c r="E1397" t="str">
        <f>VLOOKUP(Tabla1[[#This Row],[Cód. Atributo]],[1]!Tabla5[#Data],6,FALSE)</f>
        <v>Select</v>
      </c>
      <c r="F1397">
        <v>3</v>
      </c>
      <c r="G1397">
        <v>1</v>
      </c>
      <c r="H1397" t="s">
        <v>110</v>
      </c>
      <c r="I1397" t="str">
        <f>VLOOKUP(Tabla1[[#This Row],[Code]],'[1]Articulos Precio'!$A:$E,5,FALSE)</f>
        <v>A0000352</v>
      </c>
    </row>
    <row r="1398" spans="1:9" x14ac:dyDescent="0.25">
      <c r="A1398" t="s">
        <v>455</v>
      </c>
      <c r="B1398" t="str">
        <f>VLOOKUP(Tabla1[[#This Row],[Code]],[1]!Tabla4[#Data],2,FALSE)</f>
        <v>M2 Metamark M4 Mate 362M Verde Cactus 1,22 x 50m</v>
      </c>
      <c r="C1398">
        <v>25</v>
      </c>
      <c r="D1398" t="s">
        <v>94</v>
      </c>
      <c r="E1398" t="str">
        <f>VLOOKUP(Tabla1[[#This Row],[Cód. Atributo]],[1]!Tabla5[#Data],6,FALSE)</f>
        <v>Select</v>
      </c>
      <c r="F1398">
        <v>4</v>
      </c>
      <c r="G1398">
        <v>2</v>
      </c>
      <c r="H1398" t="s">
        <v>111</v>
      </c>
      <c r="I1398" t="str">
        <f>VLOOKUP(Tabla1[[#This Row],[Code]],'[1]Articulos Precio'!$A:$E,5,FALSE)</f>
        <v>A0000352</v>
      </c>
    </row>
    <row r="1399" spans="1:9" x14ac:dyDescent="0.25">
      <c r="A1399" t="s">
        <v>455</v>
      </c>
      <c r="B1399" t="str">
        <f>VLOOKUP(Tabla1[[#This Row],[Code]],[1]!Tabla4[#Data],2,FALSE)</f>
        <v>M2 Metamark M4 Mate 362M Verde Cactus 1,22 x 50m</v>
      </c>
      <c r="C1399">
        <v>28</v>
      </c>
      <c r="D1399" t="s">
        <v>92</v>
      </c>
      <c r="E1399" t="str">
        <f>VLOOKUP(Tabla1[[#This Row],[Cód. Atributo]],[1]!Tabla5[#Data],6,FALSE)</f>
        <v>Select</v>
      </c>
      <c r="F1399">
        <v>5</v>
      </c>
      <c r="G1399">
        <v>2</v>
      </c>
      <c r="H1399" t="s">
        <v>102</v>
      </c>
      <c r="I1399" t="str">
        <f>VLOOKUP(Tabla1[[#This Row],[Code]],'[1]Articulos Precio'!$A:$E,5,FALSE)</f>
        <v>A0000352</v>
      </c>
    </row>
    <row r="1400" spans="1:9" x14ac:dyDescent="0.25">
      <c r="A1400" t="s">
        <v>455</v>
      </c>
      <c r="B1400" t="str">
        <f>VLOOKUP(Tabla1[[#This Row],[Code]],[1]!Tabla4[#Data],2,FALSE)</f>
        <v>M2 Metamark M4 Mate 362M Verde Cactus 1,22 x 50m</v>
      </c>
      <c r="C1400">
        <v>24</v>
      </c>
      <c r="D1400" t="s">
        <v>96</v>
      </c>
      <c r="E1400" t="str">
        <f>VLOOKUP(Tabla1[[#This Row],[Cód. Atributo]],[1]!Tabla5[#Data],6,FALSE)</f>
        <v>Select</v>
      </c>
      <c r="F1400">
        <v>6</v>
      </c>
      <c r="G1400">
        <v>2</v>
      </c>
      <c r="H1400" t="s">
        <v>266</v>
      </c>
      <c r="I1400" t="str">
        <f>VLOOKUP(Tabla1[[#This Row],[Code]],'[1]Articulos Precio'!$A:$E,5,FALSE)</f>
        <v>A0000352</v>
      </c>
    </row>
    <row r="1401" spans="1:9" x14ac:dyDescent="0.25">
      <c r="A1401" t="s">
        <v>456</v>
      </c>
      <c r="B1401" t="str">
        <f>VLOOKUP(Tabla1[[#This Row],[Code]],[1]!Tabla4[#Data],2,FALSE)</f>
        <v>M2 Metamark M4 Mate 364M Verde Bosque 0,61 x 50m</v>
      </c>
      <c r="C1401">
        <v>8</v>
      </c>
      <c r="D1401" t="s">
        <v>86</v>
      </c>
      <c r="E1401" t="str">
        <f>VLOOKUP(Tabla1[[#This Row],[Cód. Atributo]],[1]!Tabla5[#Data],6,FALSE)</f>
        <v>Select</v>
      </c>
      <c r="F1401">
        <v>1</v>
      </c>
      <c r="G1401">
        <v>1</v>
      </c>
      <c r="H1401" t="s">
        <v>263</v>
      </c>
      <c r="I1401" t="str">
        <f>VLOOKUP(Tabla1[[#This Row],[Code]],'[1]Articulos Precio'!$A:$E,5,FALSE)</f>
        <v>A0000352</v>
      </c>
    </row>
    <row r="1402" spans="1:9" x14ac:dyDescent="0.25">
      <c r="A1402" t="s">
        <v>456</v>
      </c>
      <c r="B1402" t="str">
        <f>VLOOKUP(Tabla1[[#This Row],[Code]],[1]!Tabla4[#Data],2,FALSE)</f>
        <v>M2 Metamark M4 Mate 364M Verde Bosque 0,61 x 50m</v>
      </c>
      <c r="C1402">
        <v>22</v>
      </c>
      <c r="D1402" t="s">
        <v>393</v>
      </c>
      <c r="E1402" t="str">
        <f>VLOOKUP(Tabla1[[#This Row],[Cód. Atributo]],[1]!Tabla5[#Data],6,FALSE)</f>
        <v>Color</v>
      </c>
      <c r="F1402">
        <v>2</v>
      </c>
      <c r="G1402">
        <v>22</v>
      </c>
      <c r="H1402" t="s">
        <v>457</v>
      </c>
      <c r="I1402" t="str">
        <f>VLOOKUP(Tabla1[[#This Row],[Code]],'[1]Articulos Precio'!$A:$E,5,FALSE)</f>
        <v>A0000352</v>
      </c>
    </row>
    <row r="1403" spans="1:9" x14ac:dyDescent="0.25">
      <c r="A1403" t="s">
        <v>456</v>
      </c>
      <c r="B1403" t="str">
        <f>VLOOKUP(Tabla1[[#This Row],[Code]],[1]!Tabla4[#Data],2,FALSE)</f>
        <v>M2 Metamark M4 Mate 364M Verde Bosque 0,61 x 50m</v>
      </c>
      <c r="C1403">
        <v>23</v>
      </c>
      <c r="D1403" t="s">
        <v>90</v>
      </c>
      <c r="E1403" t="str">
        <f>VLOOKUP(Tabla1[[#This Row],[Cód. Atributo]],[1]!Tabla5[#Data],6,FALSE)</f>
        <v>Select</v>
      </c>
      <c r="F1403">
        <v>3</v>
      </c>
      <c r="G1403">
        <v>1</v>
      </c>
      <c r="H1403" t="s">
        <v>110</v>
      </c>
      <c r="I1403" t="str">
        <f>VLOOKUP(Tabla1[[#This Row],[Code]],'[1]Articulos Precio'!$A:$E,5,FALSE)</f>
        <v>A0000352</v>
      </c>
    </row>
    <row r="1404" spans="1:9" x14ac:dyDescent="0.25">
      <c r="A1404" t="s">
        <v>456</v>
      </c>
      <c r="B1404" t="str">
        <f>VLOOKUP(Tabla1[[#This Row],[Code]],[1]!Tabla4[#Data],2,FALSE)</f>
        <v>M2 Metamark M4 Mate 364M Verde Bosque 0,61 x 50m</v>
      </c>
      <c r="C1404">
        <v>25</v>
      </c>
      <c r="D1404" t="s">
        <v>94</v>
      </c>
      <c r="E1404" t="str">
        <f>VLOOKUP(Tabla1[[#This Row],[Cód. Atributo]],[1]!Tabla5[#Data],6,FALSE)</f>
        <v>Select</v>
      </c>
      <c r="F1404">
        <v>4</v>
      </c>
      <c r="G1404">
        <v>2</v>
      </c>
      <c r="H1404" t="s">
        <v>111</v>
      </c>
      <c r="I1404" t="str">
        <f>VLOOKUP(Tabla1[[#This Row],[Code]],'[1]Articulos Precio'!$A:$E,5,FALSE)</f>
        <v>A0000352</v>
      </c>
    </row>
    <row r="1405" spans="1:9" x14ac:dyDescent="0.25">
      <c r="A1405" t="s">
        <v>456</v>
      </c>
      <c r="B1405" t="str">
        <f>VLOOKUP(Tabla1[[#This Row],[Code]],[1]!Tabla4[#Data],2,FALSE)</f>
        <v>M2 Metamark M4 Mate 364M Verde Bosque 0,61 x 50m</v>
      </c>
      <c r="C1405">
        <v>28</v>
      </c>
      <c r="D1405" t="s">
        <v>92</v>
      </c>
      <c r="E1405" t="str">
        <f>VLOOKUP(Tabla1[[#This Row],[Cód. Atributo]],[1]!Tabla5[#Data],6,FALSE)</f>
        <v>Select</v>
      </c>
      <c r="F1405">
        <v>5</v>
      </c>
      <c r="G1405">
        <v>2</v>
      </c>
      <c r="H1405" t="s">
        <v>102</v>
      </c>
      <c r="I1405" t="str">
        <f>VLOOKUP(Tabla1[[#This Row],[Code]],'[1]Articulos Precio'!$A:$E,5,FALSE)</f>
        <v>A0000352</v>
      </c>
    </row>
    <row r="1406" spans="1:9" x14ac:dyDescent="0.25">
      <c r="A1406" t="s">
        <v>456</v>
      </c>
      <c r="B1406" t="str">
        <f>VLOOKUP(Tabla1[[#This Row],[Code]],[1]!Tabla4[#Data],2,FALSE)</f>
        <v>M2 Metamark M4 Mate 364M Verde Bosque 0,61 x 50m</v>
      </c>
      <c r="C1406">
        <v>24</v>
      </c>
      <c r="D1406" t="s">
        <v>96</v>
      </c>
      <c r="E1406" t="str">
        <f>VLOOKUP(Tabla1[[#This Row],[Cód. Atributo]],[1]!Tabla5[#Data],6,FALSE)</f>
        <v>Select</v>
      </c>
      <c r="F1406">
        <v>6</v>
      </c>
      <c r="G1406">
        <v>2</v>
      </c>
      <c r="H1406" t="s">
        <v>266</v>
      </c>
      <c r="I1406" t="str">
        <f>VLOOKUP(Tabla1[[#This Row],[Code]],'[1]Articulos Precio'!$A:$E,5,FALSE)</f>
        <v>A0000352</v>
      </c>
    </row>
    <row r="1407" spans="1:9" x14ac:dyDescent="0.25">
      <c r="A1407" t="s">
        <v>458</v>
      </c>
      <c r="B1407" t="str">
        <f>VLOOKUP(Tabla1[[#This Row],[Code]],[1]!Tabla4[#Data],2,FALSE)</f>
        <v>M2 Metamark M4 Mate 364M Verde Bosque 1,22 x 50m</v>
      </c>
      <c r="C1407">
        <v>8</v>
      </c>
      <c r="D1407" t="s">
        <v>86</v>
      </c>
      <c r="E1407" t="str">
        <f>VLOOKUP(Tabla1[[#This Row],[Cód. Atributo]],[1]!Tabla5[#Data],6,FALSE)</f>
        <v>Select</v>
      </c>
      <c r="F1407">
        <v>1</v>
      </c>
      <c r="G1407">
        <v>2</v>
      </c>
      <c r="H1407" t="s">
        <v>268</v>
      </c>
      <c r="I1407" t="str">
        <f>VLOOKUP(Tabla1[[#This Row],[Code]],'[1]Articulos Precio'!$A:$E,5,FALSE)</f>
        <v>A0000352</v>
      </c>
    </row>
    <row r="1408" spans="1:9" x14ac:dyDescent="0.25">
      <c r="A1408" t="s">
        <v>458</v>
      </c>
      <c r="B1408" t="str">
        <f>VLOOKUP(Tabla1[[#This Row],[Code]],[1]!Tabla4[#Data],2,FALSE)</f>
        <v>M2 Metamark M4 Mate 364M Verde Bosque 1,22 x 50m</v>
      </c>
      <c r="C1408">
        <v>22</v>
      </c>
      <c r="D1408" t="s">
        <v>393</v>
      </c>
      <c r="E1408" t="str">
        <f>VLOOKUP(Tabla1[[#This Row],[Cód. Atributo]],[1]!Tabla5[#Data],6,FALSE)</f>
        <v>Color</v>
      </c>
      <c r="F1408">
        <v>2</v>
      </c>
      <c r="G1408">
        <v>22</v>
      </c>
      <c r="H1408" t="s">
        <v>457</v>
      </c>
      <c r="I1408" t="str">
        <f>VLOOKUP(Tabla1[[#This Row],[Code]],'[1]Articulos Precio'!$A:$E,5,FALSE)</f>
        <v>A0000352</v>
      </c>
    </row>
    <row r="1409" spans="1:9" x14ac:dyDescent="0.25">
      <c r="A1409" t="s">
        <v>458</v>
      </c>
      <c r="B1409" t="str">
        <f>VLOOKUP(Tabla1[[#This Row],[Code]],[1]!Tabla4[#Data],2,FALSE)</f>
        <v>M2 Metamark M4 Mate 364M Verde Bosque 1,22 x 50m</v>
      </c>
      <c r="C1409">
        <v>23</v>
      </c>
      <c r="D1409" t="s">
        <v>90</v>
      </c>
      <c r="E1409" t="str">
        <f>VLOOKUP(Tabla1[[#This Row],[Cód. Atributo]],[1]!Tabla5[#Data],6,FALSE)</f>
        <v>Select</v>
      </c>
      <c r="F1409">
        <v>3</v>
      </c>
      <c r="G1409">
        <v>1</v>
      </c>
      <c r="H1409" t="s">
        <v>110</v>
      </c>
      <c r="I1409" t="str">
        <f>VLOOKUP(Tabla1[[#This Row],[Code]],'[1]Articulos Precio'!$A:$E,5,FALSE)</f>
        <v>A0000352</v>
      </c>
    </row>
    <row r="1410" spans="1:9" x14ac:dyDescent="0.25">
      <c r="A1410" t="s">
        <v>458</v>
      </c>
      <c r="B1410" t="str">
        <f>VLOOKUP(Tabla1[[#This Row],[Code]],[1]!Tabla4[#Data],2,FALSE)</f>
        <v>M2 Metamark M4 Mate 364M Verde Bosque 1,22 x 50m</v>
      </c>
      <c r="C1410">
        <v>25</v>
      </c>
      <c r="D1410" t="s">
        <v>94</v>
      </c>
      <c r="E1410" t="str">
        <f>VLOOKUP(Tabla1[[#This Row],[Cód. Atributo]],[1]!Tabla5[#Data],6,FALSE)</f>
        <v>Select</v>
      </c>
      <c r="F1410">
        <v>4</v>
      </c>
      <c r="G1410">
        <v>2</v>
      </c>
      <c r="H1410" t="s">
        <v>111</v>
      </c>
      <c r="I1410" t="str">
        <f>VLOOKUP(Tabla1[[#This Row],[Code]],'[1]Articulos Precio'!$A:$E,5,FALSE)</f>
        <v>A0000352</v>
      </c>
    </row>
    <row r="1411" spans="1:9" x14ac:dyDescent="0.25">
      <c r="A1411" t="s">
        <v>458</v>
      </c>
      <c r="B1411" t="str">
        <f>VLOOKUP(Tabla1[[#This Row],[Code]],[1]!Tabla4[#Data],2,FALSE)</f>
        <v>M2 Metamark M4 Mate 364M Verde Bosque 1,22 x 50m</v>
      </c>
      <c r="C1411">
        <v>28</v>
      </c>
      <c r="D1411" t="s">
        <v>92</v>
      </c>
      <c r="E1411" t="str">
        <f>VLOOKUP(Tabla1[[#This Row],[Cód. Atributo]],[1]!Tabla5[#Data],6,FALSE)</f>
        <v>Select</v>
      </c>
      <c r="F1411">
        <v>5</v>
      </c>
      <c r="G1411">
        <v>2</v>
      </c>
      <c r="H1411" t="s">
        <v>102</v>
      </c>
      <c r="I1411" t="str">
        <f>VLOOKUP(Tabla1[[#This Row],[Code]],'[1]Articulos Precio'!$A:$E,5,FALSE)</f>
        <v>A0000352</v>
      </c>
    </row>
    <row r="1412" spans="1:9" x14ac:dyDescent="0.25">
      <c r="A1412" t="s">
        <v>458</v>
      </c>
      <c r="B1412" t="str">
        <f>VLOOKUP(Tabla1[[#This Row],[Code]],[1]!Tabla4[#Data],2,FALSE)</f>
        <v>M2 Metamark M4 Mate 364M Verde Bosque 1,22 x 50m</v>
      </c>
      <c r="C1412">
        <v>24</v>
      </c>
      <c r="D1412" t="s">
        <v>96</v>
      </c>
      <c r="E1412" t="str">
        <f>VLOOKUP(Tabla1[[#This Row],[Cód. Atributo]],[1]!Tabla5[#Data],6,FALSE)</f>
        <v>Select</v>
      </c>
      <c r="F1412">
        <v>6</v>
      </c>
      <c r="G1412">
        <v>2</v>
      </c>
      <c r="H1412" t="s">
        <v>266</v>
      </c>
      <c r="I1412" t="str">
        <f>VLOOKUP(Tabla1[[#This Row],[Code]],'[1]Articulos Precio'!$A:$E,5,FALSE)</f>
        <v>A0000352</v>
      </c>
    </row>
    <row r="1413" spans="1:9" x14ac:dyDescent="0.25">
      <c r="A1413" t="s">
        <v>459</v>
      </c>
      <c r="B1413" t="str">
        <f>VLOOKUP(Tabla1[[#This Row],[Code]],[1]!Tabla4[#Data],2,FALSE)</f>
        <v>M2 Metamark M4 Mate 366M Verde Turquesa 0,61 x 50m</v>
      </c>
      <c r="C1413">
        <v>8</v>
      </c>
      <c r="D1413" t="s">
        <v>86</v>
      </c>
      <c r="E1413" t="str">
        <f>VLOOKUP(Tabla1[[#This Row],[Cód. Atributo]],[1]!Tabla5[#Data],6,FALSE)</f>
        <v>Select</v>
      </c>
      <c r="F1413">
        <v>1</v>
      </c>
      <c r="G1413">
        <v>1</v>
      </c>
      <c r="H1413" t="s">
        <v>263</v>
      </c>
      <c r="I1413" t="str">
        <f>VLOOKUP(Tabla1[[#This Row],[Code]],'[1]Articulos Precio'!$A:$E,5,FALSE)</f>
        <v>A0000352</v>
      </c>
    </row>
    <row r="1414" spans="1:9" x14ac:dyDescent="0.25">
      <c r="A1414" t="s">
        <v>459</v>
      </c>
      <c r="B1414" t="str">
        <f>VLOOKUP(Tabla1[[#This Row],[Code]],[1]!Tabla4[#Data],2,FALSE)</f>
        <v>M2 Metamark M4 Mate 366M Verde Turquesa 0,61 x 50m</v>
      </c>
      <c r="C1414">
        <v>22</v>
      </c>
      <c r="D1414" t="s">
        <v>393</v>
      </c>
      <c r="E1414" t="str">
        <f>VLOOKUP(Tabla1[[#This Row],[Cód. Atributo]],[1]!Tabla5[#Data],6,FALSE)</f>
        <v>Color</v>
      </c>
      <c r="F1414">
        <v>2</v>
      </c>
      <c r="G1414">
        <v>23</v>
      </c>
      <c r="H1414" t="s">
        <v>460</v>
      </c>
      <c r="I1414" t="str">
        <f>VLOOKUP(Tabla1[[#This Row],[Code]],'[1]Articulos Precio'!$A:$E,5,FALSE)</f>
        <v>A0000352</v>
      </c>
    </row>
    <row r="1415" spans="1:9" x14ac:dyDescent="0.25">
      <c r="A1415" t="s">
        <v>459</v>
      </c>
      <c r="B1415" t="str">
        <f>VLOOKUP(Tabla1[[#This Row],[Code]],[1]!Tabla4[#Data],2,FALSE)</f>
        <v>M2 Metamark M4 Mate 366M Verde Turquesa 0,61 x 50m</v>
      </c>
      <c r="C1415">
        <v>23</v>
      </c>
      <c r="D1415" t="s">
        <v>90</v>
      </c>
      <c r="E1415" t="str">
        <f>VLOOKUP(Tabla1[[#This Row],[Cód. Atributo]],[1]!Tabla5[#Data],6,FALSE)</f>
        <v>Select</v>
      </c>
      <c r="F1415">
        <v>3</v>
      </c>
      <c r="G1415">
        <v>1</v>
      </c>
      <c r="H1415" t="s">
        <v>110</v>
      </c>
      <c r="I1415" t="str">
        <f>VLOOKUP(Tabla1[[#This Row],[Code]],'[1]Articulos Precio'!$A:$E,5,FALSE)</f>
        <v>A0000352</v>
      </c>
    </row>
    <row r="1416" spans="1:9" x14ac:dyDescent="0.25">
      <c r="A1416" t="s">
        <v>459</v>
      </c>
      <c r="B1416" t="str">
        <f>VLOOKUP(Tabla1[[#This Row],[Code]],[1]!Tabla4[#Data],2,FALSE)</f>
        <v>M2 Metamark M4 Mate 366M Verde Turquesa 0,61 x 50m</v>
      </c>
      <c r="C1416">
        <v>25</v>
      </c>
      <c r="D1416" t="s">
        <v>94</v>
      </c>
      <c r="E1416" t="str">
        <f>VLOOKUP(Tabla1[[#This Row],[Cód. Atributo]],[1]!Tabla5[#Data],6,FALSE)</f>
        <v>Select</v>
      </c>
      <c r="F1416">
        <v>4</v>
      </c>
      <c r="G1416">
        <v>2</v>
      </c>
      <c r="H1416" t="s">
        <v>111</v>
      </c>
      <c r="I1416" t="str">
        <f>VLOOKUP(Tabla1[[#This Row],[Code]],'[1]Articulos Precio'!$A:$E,5,FALSE)</f>
        <v>A0000352</v>
      </c>
    </row>
    <row r="1417" spans="1:9" x14ac:dyDescent="0.25">
      <c r="A1417" t="s">
        <v>459</v>
      </c>
      <c r="B1417" t="str">
        <f>VLOOKUP(Tabla1[[#This Row],[Code]],[1]!Tabla4[#Data],2,FALSE)</f>
        <v>M2 Metamark M4 Mate 366M Verde Turquesa 0,61 x 50m</v>
      </c>
      <c r="C1417">
        <v>28</v>
      </c>
      <c r="D1417" t="s">
        <v>92</v>
      </c>
      <c r="E1417" t="str">
        <f>VLOOKUP(Tabla1[[#This Row],[Cód. Atributo]],[1]!Tabla5[#Data],6,FALSE)</f>
        <v>Select</v>
      </c>
      <c r="F1417">
        <v>5</v>
      </c>
      <c r="G1417">
        <v>2</v>
      </c>
      <c r="H1417" t="s">
        <v>102</v>
      </c>
      <c r="I1417" t="str">
        <f>VLOOKUP(Tabla1[[#This Row],[Code]],'[1]Articulos Precio'!$A:$E,5,FALSE)</f>
        <v>A0000352</v>
      </c>
    </row>
    <row r="1418" spans="1:9" x14ac:dyDescent="0.25">
      <c r="A1418" t="s">
        <v>459</v>
      </c>
      <c r="B1418" t="str">
        <f>VLOOKUP(Tabla1[[#This Row],[Code]],[1]!Tabla4[#Data],2,FALSE)</f>
        <v>M2 Metamark M4 Mate 366M Verde Turquesa 0,61 x 50m</v>
      </c>
      <c r="C1418">
        <v>24</v>
      </c>
      <c r="D1418" t="s">
        <v>96</v>
      </c>
      <c r="E1418" t="str">
        <f>VLOOKUP(Tabla1[[#This Row],[Cód. Atributo]],[1]!Tabla5[#Data],6,FALSE)</f>
        <v>Select</v>
      </c>
      <c r="F1418">
        <v>6</v>
      </c>
      <c r="G1418">
        <v>2</v>
      </c>
      <c r="H1418" t="s">
        <v>266</v>
      </c>
      <c r="I1418" t="str">
        <f>VLOOKUP(Tabla1[[#This Row],[Code]],'[1]Articulos Precio'!$A:$E,5,FALSE)</f>
        <v>A0000352</v>
      </c>
    </row>
    <row r="1419" spans="1:9" x14ac:dyDescent="0.25">
      <c r="A1419" t="s">
        <v>461</v>
      </c>
      <c r="B1419" t="str">
        <f>VLOOKUP(Tabla1[[#This Row],[Code]],[1]!Tabla4[#Data],2,FALSE)</f>
        <v>M2 Metamark M4 Mate 366M Verde Turquesa 1,22 x 50m</v>
      </c>
      <c r="C1419">
        <v>8</v>
      </c>
      <c r="D1419" t="s">
        <v>86</v>
      </c>
      <c r="E1419" t="str">
        <f>VLOOKUP(Tabla1[[#This Row],[Cód. Atributo]],[1]!Tabla5[#Data],6,FALSE)</f>
        <v>Select</v>
      </c>
      <c r="F1419">
        <v>1</v>
      </c>
      <c r="G1419">
        <v>2</v>
      </c>
      <c r="H1419" t="s">
        <v>268</v>
      </c>
      <c r="I1419" t="str">
        <f>VLOOKUP(Tabla1[[#This Row],[Code]],'[1]Articulos Precio'!$A:$E,5,FALSE)</f>
        <v>A0000352</v>
      </c>
    </row>
    <row r="1420" spans="1:9" x14ac:dyDescent="0.25">
      <c r="A1420" t="s">
        <v>461</v>
      </c>
      <c r="B1420" t="str">
        <f>VLOOKUP(Tabla1[[#This Row],[Code]],[1]!Tabla4[#Data],2,FALSE)</f>
        <v>M2 Metamark M4 Mate 366M Verde Turquesa 1,22 x 50m</v>
      </c>
      <c r="C1420">
        <v>22</v>
      </c>
      <c r="D1420" t="s">
        <v>393</v>
      </c>
      <c r="E1420" t="str">
        <f>VLOOKUP(Tabla1[[#This Row],[Cód. Atributo]],[1]!Tabla5[#Data],6,FALSE)</f>
        <v>Color</v>
      </c>
      <c r="F1420">
        <v>2</v>
      </c>
      <c r="G1420">
        <v>23</v>
      </c>
      <c r="H1420" t="s">
        <v>460</v>
      </c>
      <c r="I1420" t="str">
        <f>VLOOKUP(Tabla1[[#This Row],[Code]],'[1]Articulos Precio'!$A:$E,5,FALSE)</f>
        <v>A0000352</v>
      </c>
    </row>
    <row r="1421" spans="1:9" x14ac:dyDescent="0.25">
      <c r="A1421" t="s">
        <v>461</v>
      </c>
      <c r="B1421" t="str">
        <f>VLOOKUP(Tabla1[[#This Row],[Code]],[1]!Tabla4[#Data],2,FALSE)</f>
        <v>M2 Metamark M4 Mate 366M Verde Turquesa 1,22 x 50m</v>
      </c>
      <c r="C1421">
        <v>23</v>
      </c>
      <c r="D1421" t="s">
        <v>90</v>
      </c>
      <c r="E1421" t="str">
        <f>VLOOKUP(Tabla1[[#This Row],[Cód. Atributo]],[1]!Tabla5[#Data],6,FALSE)</f>
        <v>Select</v>
      </c>
      <c r="F1421">
        <v>3</v>
      </c>
      <c r="G1421">
        <v>1</v>
      </c>
      <c r="H1421" t="s">
        <v>110</v>
      </c>
      <c r="I1421" t="str">
        <f>VLOOKUP(Tabla1[[#This Row],[Code]],'[1]Articulos Precio'!$A:$E,5,FALSE)</f>
        <v>A0000352</v>
      </c>
    </row>
    <row r="1422" spans="1:9" x14ac:dyDescent="0.25">
      <c r="A1422" t="s">
        <v>461</v>
      </c>
      <c r="B1422" t="str">
        <f>VLOOKUP(Tabla1[[#This Row],[Code]],[1]!Tabla4[#Data],2,FALSE)</f>
        <v>M2 Metamark M4 Mate 366M Verde Turquesa 1,22 x 50m</v>
      </c>
      <c r="C1422">
        <v>25</v>
      </c>
      <c r="D1422" t="s">
        <v>94</v>
      </c>
      <c r="E1422" t="str">
        <f>VLOOKUP(Tabla1[[#This Row],[Cód. Atributo]],[1]!Tabla5[#Data],6,FALSE)</f>
        <v>Select</v>
      </c>
      <c r="F1422">
        <v>4</v>
      </c>
      <c r="G1422">
        <v>2</v>
      </c>
      <c r="H1422" t="s">
        <v>111</v>
      </c>
      <c r="I1422" t="str">
        <f>VLOOKUP(Tabla1[[#This Row],[Code]],'[1]Articulos Precio'!$A:$E,5,FALSE)</f>
        <v>A0000352</v>
      </c>
    </row>
    <row r="1423" spans="1:9" x14ac:dyDescent="0.25">
      <c r="A1423" t="s">
        <v>461</v>
      </c>
      <c r="B1423" t="str">
        <f>VLOOKUP(Tabla1[[#This Row],[Code]],[1]!Tabla4[#Data],2,FALSE)</f>
        <v>M2 Metamark M4 Mate 366M Verde Turquesa 1,22 x 50m</v>
      </c>
      <c r="C1423">
        <v>28</v>
      </c>
      <c r="D1423" t="s">
        <v>92</v>
      </c>
      <c r="E1423" t="str">
        <f>VLOOKUP(Tabla1[[#This Row],[Cód. Atributo]],[1]!Tabla5[#Data],6,FALSE)</f>
        <v>Select</v>
      </c>
      <c r="F1423">
        <v>5</v>
      </c>
      <c r="G1423">
        <v>2</v>
      </c>
      <c r="H1423" t="s">
        <v>102</v>
      </c>
      <c r="I1423" t="str">
        <f>VLOOKUP(Tabla1[[#This Row],[Code]],'[1]Articulos Precio'!$A:$E,5,FALSE)</f>
        <v>A0000352</v>
      </c>
    </row>
    <row r="1424" spans="1:9" x14ac:dyDescent="0.25">
      <c r="A1424" t="s">
        <v>461</v>
      </c>
      <c r="B1424" t="str">
        <f>VLOOKUP(Tabla1[[#This Row],[Code]],[1]!Tabla4[#Data],2,FALSE)</f>
        <v>M2 Metamark M4 Mate 366M Verde Turquesa 1,22 x 50m</v>
      </c>
      <c r="C1424">
        <v>24</v>
      </c>
      <c r="D1424" t="s">
        <v>96</v>
      </c>
      <c r="E1424" t="str">
        <f>VLOOKUP(Tabla1[[#This Row],[Cód. Atributo]],[1]!Tabla5[#Data],6,FALSE)</f>
        <v>Select</v>
      </c>
      <c r="F1424">
        <v>6</v>
      </c>
      <c r="G1424">
        <v>2</v>
      </c>
      <c r="H1424" t="s">
        <v>266</v>
      </c>
      <c r="I1424" t="str">
        <f>VLOOKUP(Tabla1[[#This Row],[Code]],'[1]Articulos Precio'!$A:$E,5,FALSE)</f>
        <v>A0000352</v>
      </c>
    </row>
    <row r="1425" spans="1:9" x14ac:dyDescent="0.25">
      <c r="A1425" t="s">
        <v>462</v>
      </c>
      <c r="B1425" t="str">
        <f>VLOOKUP(Tabla1[[#This Row],[Code]],[1]!Tabla4[#Data],2,FALSE)</f>
        <v>M2 Metamark M4 Mate 368M Verde Prado 0,61 x 50m</v>
      </c>
      <c r="C1425">
        <v>8</v>
      </c>
      <c r="D1425" t="s">
        <v>86</v>
      </c>
      <c r="E1425" t="str">
        <f>VLOOKUP(Tabla1[[#This Row],[Cód. Atributo]],[1]!Tabla5[#Data],6,FALSE)</f>
        <v>Select</v>
      </c>
      <c r="F1425">
        <v>1</v>
      </c>
      <c r="G1425">
        <v>1</v>
      </c>
      <c r="H1425" t="s">
        <v>263</v>
      </c>
      <c r="I1425" t="str">
        <f>VLOOKUP(Tabla1[[#This Row],[Code]],'[1]Articulos Precio'!$A:$E,5,FALSE)</f>
        <v>A0000352</v>
      </c>
    </row>
    <row r="1426" spans="1:9" x14ac:dyDescent="0.25">
      <c r="A1426" t="s">
        <v>462</v>
      </c>
      <c r="B1426" t="str">
        <f>VLOOKUP(Tabla1[[#This Row],[Code]],[1]!Tabla4[#Data],2,FALSE)</f>
        <v>M2 Metamark M4 Mate 368M Verde Prado 0,61 x 50m</v>
      </c>
      <c r="C1426">
        <v>22</v>
      </c>
      <c r="D1426" t="s">
        <v>393</v>
      </c>
      <c r="E1426" t="str">
        <f>VLOOKUP(Tabla1[[#This Row],[Cód. Atributo]],[1]!Tabla5[#Data],6,FALSE)</f>
        <v>Color</v>
      </c>
      <c r="F1426">
        <v>2</v>
      </c>
      <c r="G1426">
        <v>24</v>
      </c>
      <c r="H1426" t="s">
        <v>463</v>
      </c>
      <c r="I1426" t="str">
        <f>VLOOKUP(Tabla1[[#This Row],[Code]],'[1]Articulos Precio'!$A:$E,5,FALSE)</f>
        <v>A0000352</v>
      </c>
    </row>
    <row r="1427" spans="1:9" x14ac:dyDescent="0.25">
      <c r="A1427" t="s">
        <v>462</v>
      </c>
      <c r="B1427" t="str">
        <f>VLOOKUP(Tabla1[[#This Row],[Code]],[1]!Tabla4[#Data],2,FALSE)</f>
        <v>M2 Metamark M4 Mate 368M Verde Prado 0,61 x 50m</v>
      </c>
      <c r="C1427">
        <v>23</v>
      </c>
      <c r="D1427" t="s">
        <v>90</v>
      </c>
      <c r="E1427" t="str">
        <f>VLOOKUP(Tabla1[[#This Row],[Cód. Atributo]],[1]!Tabla5[#Data],6,FALSE)</f>
        <v>Select</v>
      </c>
      <c r="F1427">
        <v>3</v>
      </c>
      <c r="G1427">
        <v>1</v>
      </c>
      <c r="H1427" t="s">
        <v>110</v>
      </c>
      <c r="I1427" t="str">
        <f>VLOOKUP(Tabla1[[#This Row],[Code]],'[1]Articulos Precio'!$A:$E,5,FALSE)</f>
        <v>A0000352</v>
      </c>
    </row>
    <row r="1428" spans="1:9" x14ac:dyDescent="0.25">
      <c r="A1428" t="s">
        <v>462</v>
      </c>
      <c r="B1428" t="str">
        <f>VLOOKUP(Tabla1[[#This Row],[Code]],[1]!Tabla4[#Data],2,FALSE)</f>
        <v>M2 Metamark M4 Mate 368M Verde Prado 0,61 x 50m</v>
      </c>
      <c r="C1428">
        <v>25</v>
      </c>
      <c r="D1428" t="s">
        <v>94</v>
      </c>
      <c r="E1428" t="str">
        <f>VLOOKUP(Tabla1[[#This Row],[Cód. Atributo]],[1]!Tabla5[#Data],6,FALSE)</f>
        <v>Select</v>
      </c>
      <c r="F1428">
        <v>4</v>
      </c>
      <c r="G1428">
        <v>2</v>
      </c>
      <c r="H1428" t="s">
        <v>111</v>
      </c>
      <c r="I1428" t="str">
        <f>VLOOKUP(Tabla1[[#This Row],[Code]],'[1]Articulos Precio'!$A:$E,5,FALSE)</f>
        <v>A0000352</v>
      </c>
    </row>
    <row r="1429" spans="1:9" x14ac:dyDescent="0.25">
      <c r="A1429" t="s">
        <v>462</v>
      </c>
      <c r="B1429" t="str">
        <f>VLOOKUP(Tabla1[[#This Row],[Code]],[1]!Tabla4[#Data],2,FALSE)</f>
        <v>M2 Metamark M4 Mate 368M Verde Prado 0,61 x 50m</v>
      </c>
      <c r="C1429">
        <v>28</v>
      </c>
      <c r="D1429" t="s">
        <v>92</v>
      </c>
      <c r="E1429" t="str">
        <f>VLOOKUP(Tabla1[[#This Row],[Cód. Atributo]],[1]!Tabla5[#Data],6,FALSE)</f>
        <v>Select</v>
      </c>
      <c r="F1429">
        <v>5</v>
      </c>
      <c r="G1429">
        <v>2</v>
      </c>
      <c r="H1429" t="s">
        <v>102</v>
      </c>
      <c r="I1429" t="str">
        <f>VLOOKUP(Tabla1[[#This Row],[Code]],'[1]Articulos Precio'!$A:$E,5,FALSE)</f>
        <v>A0000352</v>
      </c>
    </row>
    <row r="1430" spans="1:9" x14ac:dyDescent="0.25">
      <c r="A1430" t="s">
        <v>462</v>
      </c>
      <c r="B1430" t="str">
        <f>VLOOKUP(Tabla1[[#This Row],[Code]],[1]!Tabla4[#Data],2,FALSE)</f>
        <v>M2 Metamark M4 Mate 368M Verde Prado 0,61 x 50m</v>
      </c>
      <c r="C1430">
        <v>24</v>
      </c>
      <c r="D1430" t="s">
        <v>96</v>
      </c>
      <c r="E1430" t="str">
        <f>VLOOKUP(Tabla1[[#This Row],[Cód. Atributo]],[1]!Tabla5[#Data],6,FALSE)</f>
        <v>Select</v>
      </c>
      <c r="F1430">
        <v>6</v>
      </c>
      <c r="G1430">
        <v>2</v>
      </c>
      <c r="H1430" t="s">
        <v>266</v>
      </c>
      <c r="I1430" t="str">
        <f>VLOOKUP(Tabla1[[#This Row],[Code]],'[1]Articulos Precio'!$A:$E,5,FALSE)</f>
        <v>A0000352</v>
      </c>
    </row>
    <row r="1431" spans="1:9" x14ac:dyDescent="0.25">
      <c r="A1431" t="s">
        <v>464</v>
      </c>
      <c r="B1431" t="str">
        <f>VLOOKUP(Tabla1[[#This Row],[Code]],[1]!Tabla4[#Data],2,FALSE)</f>
        <v>M2 Metamark M4 Mate 368M Verde Prado 1,22 x 50m</v>
      </c>
      <c r="C1431">
        <v>8</v>
      </c>
      <c r="D1431" t="s">
        <v>86</v>
      </c>
      <c r="E1431" t="str">
        <f>VLOOKUP(Tabla1[[#This Row],[Cód. Atributo]],[1]!Tabla5[#Data],6,FALSE)</f>
        <v>Select</v>
      </c>
      <c r="F1431">
        <v>1</v>
      </c>
      <c r="G1431">
        <v>2</v>
      </c>
      <c r="H1431" t="s">
        <v>268</v>
      </c>
      <c r="I1431" t="str">
        <f>VLOOKUP(Tabla1[[#This Row],[Code]],'[1]Articulos Precio'!$A:$E,5,FALSE)</f>
        <v>A0000352</v>
      </c>
    </row>
    <row r="1432" spans="1:9" x14ac:dyDescent="0.25">
      <c r="A1432" t="s">
        <v>464</v>
      </c>
      <c r="B1432" t="str">
        <f>VLOOKUP(Tabla1[[#This Row],[Code]],[1]!Tabla4[#Data],2,FALSE)</f>
        <v>M2 Metamark M4 Mate 368M Verde Prado 1,22 x 50m</v>
      </c>
      <c r="C1432">
        <v>22</v>
      </c>
      <c r="D1432" t="s">
        <v>393</v>
      </c>
      <c r="E1432" t="str">
        <f>VLOOKUP(Tabla1[[#This Row],[Cód. Atributo]],[1]!Tabla5[#Data],6,FALSE)</f>
        <v>Color</v>
      </c>
      <c r="F1432">
        <v>2</v>
      </c>
      <c r="G1432">
        <v>24</v>
      </c>
      <c r="H1432" t="s">
        <v>463</v>
      </c>
      <c r="I1432" t="str">
        <f>VLOOKUP(Tabla1[[#This Row],[Code]],'[1]Articulos Precio'!$A:$E,5,FALSE)</f>
        <v>A0000352</v>
      </c>
    </row>
    <row r="1433" spans="1:9" x14ac:dyDescent="0.25">
      <c r="A1433" t="s">
        <v>464</v>
      </c>
      <c r="B1433" t="str">
        <f>VLOOKUP(Tabla1[[#This Row],[Code]],[1]!Tabla4[#Data],2,FALSE)</f>
        <v>M2 Metamark M4 Mate 368M Verde Prado 1,22 x 50m</v>
      </c>
      <c r="C1433">
        <v>23</v>
      </c>
      <c r="D1433" t="s">
        <v>90</v>
      </c>
      <c r="E1433" t="str">
        <f>VLOOKUP(Tabla1[[#This Row],[Cód. Atributo]],[1]!Tabla5[#Data],6,FALSE)</f>
        <v>Select</v>
      </c>
      <c r="F1433">
        <v>3</v>
      </c>
      <c r="G1433">
        <v>1</v>
      </c>
      <c r="H1433" t="s">
        <v>110</v>
      </c>
      <c r="I1433" t="str">
        <f>VLOOKUP(Tabla1[[#This Row],[Code]],'[1]Articulos Precio'!$A:$E,5,FALSE)</f>
        <v>A0000352</v>
      </c>
    </row>
    <row r="1434" spans="1:9" x14ac:dyDescent="0.25">
      <c r="A1434" t="s">
        <v>464</v>
      </c>
      <c r="B1434" t="str">
        <f>VLOOKUP(Tabla1[[#This Row],[Code]],[1]!Tabla4[#Data],2,FALSE)</f>
        <v>M2 Metamark M4 Mate 368M Verde Prado 1,22 x 50m</v>
      </c>
      <c r="C1434">
        <v>25</v>
      </c>
      <c r="D1434" t="s">
        <v>94</v>
      </c>
      <c r="E1434" t="str">
        <f>VLOOKUP(Tabla1[[#This Row],[Cód. Atributo]],[1]!Tabla5[#Data],6,FALSE)</f>
        <v>Select</v>
      </c>
      <c r="F1434">
        <v>4</v>
      </c>
      <c r="G1434">
        <v>2</v>
      </c>
      <c r="H1434" t="s">
        <v>111</v>
      </c>
      <c r="I1434" t="str">
        <f>VLOOKUP(Tabla1[[#This Row],[Code]],'[1]Articulos Precio'!$A:$E,5,FALSE)</f>
        <v>A0000352</v>
      </c>
    </row>
    <row r="1435" spans="1:9" x14ac:dyDescent="0.25">
      <c r="A1435" t="s">
        <v>464</v>
      </c>
      <c r="B1435" t="str">
        <f>VLOOKUP(Tabla1[[#This Row],[Code]],[1]!Tabla4[#Data],2,FALSE)</f>
        <v>M2 Metamark M4 Mate 368M Verde Prado 1,22 x 50m</v>
      </c>
      <c r="C1435">
        <v>28</v>
      </c>
      <c r="D1435" t="s">
        <v>92</v>
      </c>
      <c r="E1435" t="str">
        <f>VLOOKUP(Tabla1[[#This Row],[Cód. Atributo]],[1]!Tabla5[#Data],6,FALSE)</f>
        <v>Select</v>
      </c>
      <c r="F1435">
        <v>5</v>
      </c>
      <c r="G1435">
        <v>2</v>
      </c>
      <c r="H1435" t="s">
        <v>102</v>
      </c>
      <c r="I1435" t="str">
        <f>VLOOKUP(Tabla1[[#This Row],[Code]],'[1]Articulos Precio'!$A:$E,5,FALSE)</f>
        <v>A0000352</v>
      </c>
    </row>
    <row r="1436" spans="1:9" x14ac:dyDescent="0.25">
      <c r="A1436" t="s">
        <v>464</v>
      </c>
      <c r="B1436" t="str">
        <f>VLOOKUP(Tabla1[[#This Row],[Code]],[1]!Tabla4[#Data],2,FALSE)</f>
        <v>M2 Metamark M4 Mate 368M Verde Prado 1,22 x 50m</v>
      </c>
      <c r="C1436">
        <v>24</v>
      </c>
      <c r="D1436" t="s">
        <v>96</v>
      </c>
      <c r="E1436" t="str">
        <f>VLOOKUP(Tabla1[[#This Row],[Cód. Atributo]],[1]!Tabla5[#Data],6,FALSE)</f>
        <v>Select</v>
      </c>
      <c r="F1436">
        <v>6</v>
      </c>
      <c r="G1436">
        <v>2</v>
      </c>
      <c r="H1436" t="s">
        <v>266</v>
      </c>
      <c r="I1436" t="str">
        <f>VLOOKUP(Tabla1[[#This Row],[Code]],'[1]Articulos Precio'!$A:$E,5,FALSE)</f>
        <v>A0000352</v>
      </c>
    </row>
    <row r="1437" spans="1:9" x14ac:dyDescent="0.25">
      <c r="A1437" t="s">
        <v>465</v>
      </c>
      <c r="B1437" t="str">
        <f>VLOOKUP(Tabla1[[#This Row],[Code]],[1]!Tabla4[#Data],2,FALSE)</f>
        <v>M2 Metamark M4 Mate 370M Crema 0,61 x 50m</v>
      </c>
      <c r="C1437">
        <v>8</v>
      </c>
      <c r="D1437" t="s">
        <v>86</v>
      </c>
      <c r="E1437" t="str">
        <f>VLOOKUP(Tabla1[[#This Row],[Cód. Atributo]],[1]!Tabla5[#Data],6,FALSE)</f>
        <v>Select</v>
      </c>
      <c r="F1437">
        <v>1</v>
      </c>
      <c r="G1437">
        <v>1</v>
      </c>
      <c r="H1437" t="s">
        <v>263</v>
      </c>
      <c r="I1437" t="str">
        <f>VLOOKUP(Tabla1[[#This Row],[Code]],'[1]Articulos Precio'!$A:$E,5,FALSE)</f>
        <v>A0000352</v>
      </c>
    </row>
    <row r="1438" spans="1:9" x14ac:dyDescent="0.25">
      <c r="A1438" t="s">
        <v>465</v>
      </c>
      <c r="B1438" t="str">
        <f>VLOOKUP(Tabla1[[#This Row],[Code]],[1]!Tabla4[#Data],2,FALSE)</f>
        <v>M2 Metamark M4 Mate 370M Crema 0,61 x 50m</v>
      </c>
      <c r="C1438">
        <v>22</v>
      </c>
      <c r="D1438" t="s">
        <v>393</v>
      </c>
      <c r="E1438" t="str">
        <f>VLOOKUP(Tabla1[[#This Row],[Cód. Atributo]],[1]!Tabla5[#Data],6,FALSE)</f>
        <v>Color</v>
      </c>
      <c r="F1438">
        <v>2</v>
      </c>
      <c r="G1438">
        <v>25</v>
      </c>
      <c r="H1438" t="s">
        <v>466</v>
      </c>
      <c r="I1438" t="str">
        <f>VLOOKUP(Tabla1[[#This Row],[Code]],'[1]Articulos Precio'!$A:$E,5,FALSE)</f>
        <v>A0000352</v>
      </c>
    </row>
    <row r="1439" spans="1:9" x14ac:dyDescent="0.25">
      <c r="A1439" t="s">
        <v>465</v>
      </c>
      <c r="B1439" t="str">
        <f>VLOOKUP(Tabla1[[#This Row],[Code]],[1]!Tabla4[#Data],2,FALSE)</f>
        <v>M2 Metamark M4 Mate 370M Crema 0,61 x 50m</v>
      </c>
      <c r="C1439">
        <v>23</v>
      </c>
      <c r="D1439" t="s">
        <v>90</v>
      </c>
      <c r="E1439" t="str">
        <f>VLOOKUP(Tabla1[[#This Row],[Cód. Atributo]],[1]!Tabla5[#Data],6,FALSE)</f>
        <v>Select</v>
      </c>
      <c r="F1439">
        <v>3</v>
      </c>
      <c r="G1439">
        <v>1</v>
      </c>
      <c r="H1439" t="s">
        <v>110</v>
      </c>
      <c r="I1439" t="str">
        <f>VLOOKUP(Tabla1[[#This Row],[Code]],'[1]Articulos Precio'!$A:$E,5,FALSE)</f>
        <v>A0000352</v>
      </c>
    </row>
    <row r="1440" spans="1:9" x14ac:dyDescent="0.25">
      <c r="A1440" t="s">
        <v>465</v>
      </c>
      <c r="B1440" t="str">
        <f>VLOOKUP(Tabla1[[#This Row],[Code]],[1]!Tabla4[#Data],2,FALSE)</f>
        <v>M2 Metamark M4 Mate 370M Crema 0,61 x 50m</v>
      </c>
      <c r="C1440">
        <v>25</v>
      </c>
      <c r="D1440" t="s">
        <v>94</v>
      </c>
      <c r="E1440" t="str">
        <f>VLOOKUP(Tabla1[[#This Row],[Cód. Atributo]],[1]!Tabla5[#Data],6,FALSE)</f>
        <v>Select</v>
      </c>
      <c r="F1440">
        <v>4</v>
      </c>
      <c r="G1440">
        <v>2</v>
      </c>
      <c r="H1440" t="s">
        <v>111</v>
      </c>
      <c r="I1440" t="str">
        <f>VLOOKUP(Tabla1[[#This Row],[Code]],'[1]Articulos Precio'!$A:$E,5,FALSE)</f>
        <v>A0000352</v>
      </c>
    </row>
    <row r="1441" spans="1:9" x14ac:dyDescent="0.25">
      <c r="A1441" t="s">
        <v>465</v>
      </c>
      <c r="B1441" t="str">
        <f>VLOOKUP(Tabla1[[#This Row],[Code]],[1]!Tabla4[#Data],2,FALSE)</f>
        <v>M2 Metamark M4 Mate 370M Crema 0,61 x 50m</v>
      </c>
      <c r="C1441">
        <v>28</v>
      </c>
      <c r="D1441" t="s">
        <v>92</v>
      </c>
      <c r="E1441" t="str">
        <f>VLOOKUP(Tabla1[[#This Row],[Cód. Atributo]],[1]!Tabla5[#Data],6,FALSE)</f>
        <v>Select</v>
      </c>
      <c r="F1441">
        <v>5</v>
      </c>
      <c r="G1441">
        <v>2</v>
      </c>
      <c r="H1441" t="s">
        <v>102</v>
      </c>
      <c r="I1441" t="str">
        <f>VLOOKUP(Tabla1[[#This Row],[Code]],'[1]Articulos Precio'!$A:$E,5,FALSE)</f>
        <v>A0000352</v>
      </c>
    </row>
    <row r="1442" spans="1:9" x14ac:dyDescent="0.25">
      <c r="A1442" t="s">
        <v>465</v>
      </c>
      <c r="B1442" t="str">
        <f>VLOOKUP(Tabla1[[#This Row],[Code]],[1]!Tabla4[#Data],2,FALSE)</f>
        <v>M2 Metamark M4 Mate 370M Crema 0,61 x 50m</v>
      </c>
      <c r="C1442">
        <v>24</v>
      </c>
      <c r="D1442" t="s">
        <v>96</v>
      </c>
      <c r="E1442" t="str">
        <f>VLOOKUP(Tabla1[[#This Row],[Cód. Atributo]],[1]!Tabla5[#Data],6,FALSE)</f>
        <v>Select</v>
      </c>
      <c r="F1442">
        <v>6</v>
      </c>
      <c r="G1442">
        <v>2</v>
      </c>
      <c r="H1442" t="s">
        <v>266</v>
      </c>
      <c r="I1442" t="str">
        <f>VLOOKUP(Tabla1[[#This Row],[Code]],'[1]Articulos Precio'!$A:$E,5,FALSE)</f>
        <v>A0000352</v>
      </c>
    </row>
    <row r="1443" spans="1:9" x14ac:dyDescent="0.25">
      <c r="A1443" t="s">
        <v>467</v>
      </c>
      <c r="B1443" t="str">
        <f>VLOOKUP(Tabla1[[#This Row],[Code]],[1]!Tabla4[#Data],2,FALSE)</f>
        <v>M2 Metamark M4 Mate 370M Crema 1,22 x 50m</v>
      </c>
      <c r="C1443">
        <v>8</v>
      </c>
      <c r="D1443" t="s">
        <v>86</v>
      </c>
      <c r="E1443" t="str">
        <f>VLOOKUP(Tabla1[[#This Row],[Cód. Atributo]],[1]!Tabla5[#Data],6,FALSE)</f>
        <v>Select</v>
      </c>
      <c r="F1443">
        <v>1</v>
      </c>
      <c r="G1443">
        <v>2</v>
      </c>
      <c r="H1443" t="s">
        <v>268</v>
      </c>
      <c r="I1443" t="str">
        <f>VLOOKUP(Tabla1[[#This Row],[Code]],'[1]Articulos Precio'!$A:$E,5,FALSE)</f>
        <v>A0000352</v>
      </c>
    </row>
    <row r="1444" spans="1:9" x14ac:dyDescent="0.25">
      <c r="A1444" t="s">
        <v>467</v>
      </c>
      <c r="B1444" t="str">
        <f>VLOOKUP(Tabla1[[#This Row],[Code]],[1]!Tabla4[#Data],2,FALSE)</f>
        <v>M2 Metamark M4 Mate 370M Crema 1,22 x 50m</v>
      </c>
      <c r="C1444">
        <v>22</v>
      </c>
      <c r="D1444" t="s">
        <v>393</v>
      </c>
      <c r="E1444" t="str">
        <f>VLOOKUP(Tabla1[[#This Row],[Cód. Atributo]],[1]!Tabla5[#Data],6,FALSE)</f>
        <v>Color</v>
      </c>
      <c r="F1444">
        <v>2</v>
      </c>
      <c r="G1444">
        <v>25</v>
      </c>
      <c r="H1444" t="s">
        <v>466</v>
      </c>
      <c r="I1444" t="str">
        <f>VLOOKUP(Tabla1[[#This Row],[Code]],'[1]Articulos Precio'!$A:$E,5,FALSE)</f>
        <v>A0000352</v>
      </c>
    </row>
    <row r="1445" spans="1:9" x14ac:dyDescent="0.25">
      <c r="A1445" t="s">
        <v>467</v>
      </c>
      <c r="B1445" t="str">
        <f>VLOOKUP(Tabla1[[#This Row],[Code]],[1]!Tabla4[#Data],2,FALSE)</f>
        <v>M2 Metamark M4 Mate 370M Crema 1,22 x 50m</v>
      </c>
      <c r="C1445">
        <v>23</v>
      </c>
      <c r="D1445" t="s">
        <v>90</v>
      </c>
      <c r="E1445" t="str">
        <f>VLOOKUP(Tabla1[[#This Row],[Cód. Atributo]],[1]!Tabla5[#Data],6,FALSE)</f>
        <v>Select</v>
      </c>
      <c r="F1445">
        <v>3</v>
      </c>
      <c r="G1445">
        <v>1</v>
      </c>
      <c r="H1445" t="s">
        <v>110</v>
      </c>
      <c r="I1445" t="str">
        <f>VLOOKUP(Tabla1[[#This Row],[Code]],'[1]Articulos Precio'!$A:$E,5,FALSE)</f>
        <v>A0000352</v>
      </c>
    </row>
    <row r="1446" spans="1:9" x14ac:dyDescent="0.25">
      <c r="A1446" t="s">
        <v>467</v>
      </c>
      <c r="B1446" t="str">
        <f>VLOOKUP(Tabla1[[#This Row],[Code]],[1]!Tabla4[#Data],2,FALSE)</f>
        <v>M2 Metamark M4 Mate 370M Crema 1,22 x 50m</v>
      </c>
      <c r="C1446">
        <v>25</v>
      </c>
      <c r="D1446" t="s">
        <v>94</v>
      </c>
      <c r="E1446" t="str">
        <f>VLOOKUP(Tabla1[[#This Row],[Cód. Atributo]],[1]!Tabla5[#Data],6,FALSE)</f>
        <v>Select</v>
      </c>
      <c r="F1446">
        <v>4</v>
      </c>
      <c r="G1446">
        <v>2</v>
      </c>
      <c r="H1446" t="s">
        <v>111</v>
      </c>
      <c r="I1446" t="str">
        <f>VLOOKUP(Tabla1[[#This Row],[Code]],'[1]Articulos Precio'!$A:$E,5,FALSE)</f>
        <v>A0000352</v>
      </c>
    </row>
    <row r="1447" spans="1:9" x14ac:dyDescent="0.25">
      <c r="A1447" t="s">
        <v>467</v>
      </c>
      <c r="B1447" t="str">
        <f>VLOOKUP(Tabla1[[#This Row],[Code]],[1]!Tabla4[#Data],2,FALSE)</f>
        <v>M2 Metamark M4 Mate 370M Crema 1,22 x 50m</v>
      </c>
      <c r="C1447">
        <v>28</v>
      </c>
      <c r="D1447" t="s">
        <v>92</v>
      </c>
      <c r="E1447" t="str">
        <f>VLOOKUP(Tabla1[[#This Row],[Cód. Atributo]],[1]!Tabla5[#Data],6,FALSE)</f>
        <v>Select</v>
      </c>
      <c r="F1447">
        <v>5</v>
      </c>
      <c r="G1447">
        <v>2</v>
      </c>
      <c r="H1447" t="s">
        <v>102</v>
      </c>
      <c r="I1447" t="str">
        <f>VLOOKUP(Tabla1[[#This Row],[Code]],'[1]Articulos Precio'!$A:$E,5,FALSE)</f>
        <v>A0000352</v>
      </c>
    </row>
    <row r="1448" spans="1:9" x14ac:dyDescent="0.25">
      <c r="A1448" t="s">
        <v>467</v>
      </c>
      <c r="B1448" t="str">
        <f>VLOOKUP(Tabla1[[#This Row],[Code]],[1]!Tabla4[#Data],2,FALSE)</f>
        <v>M2 Metamark M4 Mate 370M Crema 1,22 x 50m</v>
      </c>
      <c r="C1448">
        <v>24</v>
      </c>
      <c r="D1448" t="s">
        <v>96</v>
      </c>
      <c r="E1448" t="str">
        <f>VLOOKUP(Tabla1[[#This Row],[Cód. Atributo]],[1]!Tabla5[#Data],6,FALSE)</f>
        <v>Select</v>
      </c>
      <c r="F1448">
        <v>6</v>
      </c>
      <c r="G1448">
        <v>2</v>
      </c>
      <c r="H1448" t="s">
        <v>266</v>
      </c>
      <c r="I1448" t="str">
        <f>VLOOKUP(Tabla1[[#This Row],[Code]],'[1]Articulos Precio'!$A:$E,5,FALSE)</f>
        <v>A0000352</v>
      </c>
    </row>
    <row r="1449" spans="1:9" x14ac:dyDescent="0.25">
      <c r="A1449" t="s">
        <v>468</v>
      </c>
      <c r="B1449" t="str">
        <f>VLOOKUP(Tabla1[[#This Row],[Code]],[1]!Tabla4[#Data],2,FALSE)</f>
        <v>M2 Metamark M4 Mate 372M Chocolate 1,22 x 50m</v>
      </c>
      <c r="C1449">
        <v>8</v>
      </c>
      <c r="D1449" t="s">
        <v>86</v>
      </c>
      <c r="E1449" t="str">
        <f>VLOOKUP(Tabla1[[#This Row],[Cód. Atributo]],[1]!Tabla5[#Data],6,FALSE)</f>
        <v>Select</v>
      </c>
      <c r="F1449">
        <v>1</v>
      </c>
      <c r="G1449">
        <v>2</v>
      </c>
      <c r="H1449" t="s">
        <v>268</v>
      </c>
      <c r="I1449" t="str">
        <f>VLOOKUP(Tabla1[[#This Row],[Code]],'[1]Articulos Precio'!$A:$E,5,FALSE)</f>
        <v>A0000352</v>
      </c>
    </row>
    <row r="1450" spans="1:9" x14ac:dyDescent="0.25">
      <c r="A1450" t="s">
        <v>468</v>
      </c>
      <c r="B1450" t="str">
        <f>VLOOKUP(Tabla1[[#This Row],[Code]],[1]!Tabla4[#Data],2,FALSE)</f>
        <v>M2 Metamark M4 Mate 372M Chocolate 1,22 x 50m</v>
      </c>
      <c r="C1450">
        <v>22</v>
      </c>
      <c r="D1450" t="s">
        <v>393</v>
      </c>
      <c r="E1450" t="str">
        <f>VLOOKUP(Tabla1[[#This Row],[Cód. Atributo]],[1]!Tabla5[#Data],6,FALSE)</f>
        <v>Color</v>
      </c>
      <c r="F1450">
        <v>2</v>
      </c>
      <c r="G1450">
        <v>26</v>
      </c>
      <c r="H1450" t="s">
        <v>469</v>
      </c>
      <c r="I1450" t="str">
        <f>VLOOKUP(Tabla1[[#This Row],[Code]],'[1]Articulos Precio'!$A:$E,5,FALSE)</f>
        <v>A0000352</v>
      </c>
    </row>
    <row r="1451" spans="1:9" x14ac:dyDescent="0.25">
      <c r="A1451" t="s">
        <v>468</v>
      </c>
      <c r="B1451" t="str">
        <f>VLOOKUP(Tabla1[[#This Row],[Code]],[1]!Tabla4[#Data],2,FALSE)</f>
        <v>M2 Metamark M4 Mate 372M Chocolate 1,22 x 50m</v>
      </c>
      <c r="C1451">
        <v>23</v>
      </c>
      <c r="D1451" t="s">
        <v>90</v>
      </c>
      <c r="E1451" t="str">
        <f>VLOOKUP(Tabla1[[#This Row],[Cód. Atributo]],[1]!Tabla5[#Data],6,FALSE)</f>
        <v>Select</v>
      </c>
      <c r="F1451">
        <v>3</v>
      </c>
      <c r="G1451">
        <v>1</v>
      </c>
      <c r="H1451" t="s">
        <v>110</v>
      </c>
      <c r="I1451" t="str">
        <f>VLOOKUP(Tabla1[[#This Row],[Code]],'[1]Articulos Precio'!$A:$E,5,FALSE)</f>
        <v>A0000352</v>
      </c>
    </row>
    <row r="1452" spans="1:9" x14ac:dyDescent="0.25">
      <c r="A1452" t="s">
        <v>468</v>
      </c>
      <c r="B1452" t="str">
        <f>VLOOKUP(Tabla1[[#This Row],[Code]],[1]!Tabla4[#Data],2,FALSE)</f>
        <v>M2 Metamark M4 Mate 372M Chocolate 1,22 x 50m</v>
      </c>
      <c r="C1452">
        <v>25</v>
      </c>
      <c r="D1452" t="s">
        <v>94</v>
      </c>
      <c r="E1452" t="str">
        <f>VLOOKUP(Tabla1[[#This Row],[Cód. Atributo]],[1]!Tabla5[#Data],6,FALSE)</f>
        <v>Select</v>
      </c>
      <c r="F1452">
        <v>4</v>
      </c>
      <c r="G1452">
        <v>2</v>
      </c>
      <c r="H1452" t="s">
        <v>111</v>
      </c>
      <c r="I1452" t="str">
        <f>VLOOKUP(Tabla1[[#This Row],[Code]],'[1]Articulos Precio'!$A:$E,5,FALSE)</f>
        <v>A0000352</v>
      </c>
    </row>
    <row r="1453" spans="1:9" x14ac:dyDescent="0.25">
      <c r="A1453" t="s">
        <v>468</v>
      </c>
      <c r="B1453" t="str">
        <f>VLOOKUP(Tabla1[[#This Row],[Code]],[1]!Tabla4[#Data],2,FALSE)</f>
        <v>M2 Metamark M4 Mate 372M Chocolate 1,22 x 50m</v>
      </c>
      <c r="C1453">
        <v>28</v>
      </c>
      <c r="D1453" t="s">
        <v>92</v>
      </c>
      <c r="E1453" t="str">
        <f>VLOOKUP(Tabla1[[#This Row],[Cód. Atributo]],[1]!Tabla5[#Data],6,FALSE)</f>
        <v>Select</v>
      </c>
      <c r="F1453">
        <v>5</v>
      </c>
      <c r="G1453">
        <v>2</v>
      </c>
      <c r="H1453" t="s">
        <v>102</v>
      </c>
      <c r="I1453" t="str">
        <f>VLOOKUP(Tabla1[[#This Row],[Code]],'[1]Articulos Precio'!$A:$E,5,FALSE)</f>
        <v>A0000352</v>
      </c>
    </row>
    <row r="1454" spans="1:9" x14ac:dyDescent="0.25">
      <c r="A1454" t="s">
        <v>468</v>
      </c>
      <c r="B1454" t="str">
        <f>VLOOKUP(Tabla1[[#This Row],[Code]],[1]!Tabla4[#Data],2,FALSE)</f>
        <v>M2 Metamark M4 Mate 372M Chocolate 1,22 x 50m</v>
      </c>
      <c r="C1454">
        <v>24</v>
      </c>
      <c r="D1454" t="s">
        <v>96</v>
      </c>
      <c r="E1454" t="str">
        <f>VLOOKUP(Tabla1[[#This Row],[Cód. Atributo]],[1]!Tabla5[#Data],6,FALSE)</f>
        <v>Select</v>
      </c>
      <c r="F1454">
        <v>6</v>
      </c>
      <c r="G1454">
        <v>2</v>
      </c>
      <c r="H1454" t="s">
        <v>266</v>
      </c>
      <c r="I1454" t="str">
        <f>VLOOKUP(Tabla1[[#This Row],[Code]],'[1]Articulos Precio'!$A:$E,5,FALSE)</f>
        <v>A0000352</v>
      </c>
    </row>
    <row r="1455" spans="1:9" x14ac:dyDescent="0.25">
      <c r="A1455" t="s">
        <v>470</v>
      </c>
      <c r="B1455" t="str">
        <f>VLOOKUP(Tabla1[[#This Row],[Code]],[1]!Tabla4[#Data],2,FALSE)</f>
        <v>M2 Metamark M4 Mate 381M Rosa 0,61 x 50m</v>
      </c>
      <c r="C1455">
        <v>8</v>
      </c>
      <c r="D1455" t="s">
        <v>86</v>
      </c>
      <c r="E1455" t="str">
        <f>VLOOKUP(Tabla1[[#This Row],[Cód. Atributo]],[1]!Tabla5[#Data],6,FALSE)</f>
        <v>Select</v>
      </c>
      <c r="F1455">
        <v>1</v>
      </c>
      <c r="G1455">
        <v>1</v>
      </c>
      <c r="H1455" t="s">
        <v>263</v>
      </c>
      <c r="I1455" t="str">
        <f>VLOOKUP(Tabla1[[#This Row],[Code]],'[1]Articulos Precio'!$A:$E,5,FALSE)</f>
        <v>A0000352</v>
      </c>
    </row>
    <row r="1456" spans="1:9" x14ac:dyDescent="0.25">
      <c r="A1456" t="s">
        <v>470</v>
      </c>
      <c r="B1456" t="str">
        <f>VLOOKUP(Tabla1[[#This Row],[Code]],[1]!Tabla4[#Data],2,FALSE)</f>
        <v>M2 Metamark M4 Mate 381M Rosa 0,61 x 50m</v>
      </c>
      <c r="C1456">
        <v>22</v>
      </c>
      <c r="D1456" t="s">
        <v>393</v>
      </c>
      <c r="E1456" t="str">
        <f>VLOOKUP(Tabla1[[#This Row],[Cód. Atributo]],[1]!Tabla5[#Data],6,FALSE)</f>
        <v>Color</v>
      </c>
      <c r="F1456">
        <v>2</v>
      </c>
      <c r="G1456">
        <v>27</v>
      </c>
      <c r="H1456" t="s">
        <v>471</v>
      </c>
      <c r="I1456" t="str">
        <f>VLOOKUP(Tabla1[[#This Row],[Code]],'[1]Articulos Precio'!$A:$E,5,FALSE)</f>
        <v>A0000352</v>
      </c>
    </row>
    <row r="1457" spans="1:9" x14ac:dyDescent="0.25">
      <c r="A1457" t="s">
        <v>470</v>
      </c>
      <c r="B1457" t="str">
        <f>VLOOKUP(Tabla1[[#This Row],[Code]],[1]!Tabla4[#Data],2,FALSE)</f>
        <v>M2 Metamark M4 Mate 381M Rosa 0,61 x 50m</v>
      </c>
      <c r="C1457">
        <v>23</v>
      </c>
      <c r="D1457" t="s">
        <v>90</v>
      </c>
      <c r="E1457" t="str">
        <f>VLOOKUP(Tabla1[[#This Row],[Cód. Atributo]],[1]!Tabla5[#Data],6,FALSE)</f>
        <v>Select</v>
      </c>
      <c r="F1457">
        <v>3</v>
      </c>
      <c r="G1457">
        <v>1</v>
      </c>
      <c r="H1457" t="s">
        <v>110</v>
      </c>
      <c r="I1457" t="str">
        <f>VLOOKUP(Tabla1[[#This Row],[Code]],'[1]Articulos Precio'!$A:$E,5,FALSE)</f>
        <v>A0000352</v>
      </c>
    </row>
    <row r="1458" spans="1:9" x14ac:dyDescent="0.25">
      <c r="A1458" t="s">
        <v>470</v>
      </c>
      <c r="B1458" t="str">
        <f>VLOOKUP(Tabla1[[#This Row],[Code]],[1]!Tabla4[#Data],2,FALSE)</f>
        <v>M2 Metamark M4 Mate 381M Rosa 0,61 x 50m</v>
      </c>
      <c r="C1458">
        <v>25</v>
      </c>
      <c r="D1458" t="s">
        <v>94</v>
      </c>
      <c r="E1458" t="str">
        <f>VLOOKUP(Tabla1[[#This Row],[Cód. Atributo]],[1]!Tabla5[#Data],6,FALSE)</f>
        <v>Select</v>
      </c>
      <c r="F1458">
        <v>4</v>
      </c>
      <c r="G1458">
        <v>2</v>
      </c>
      <c r="H1458" t="s">
        <v>111</v>
      </c>
      <c r="I1458" t="str">
        <f>VLOOKUP(Tabla1[[#This Row],[Code]],'[1]Articulos Precio'!$A:$E,5,FALSE)</f>
        <v>A0000352</v>
      </c>
    </row>
    <row r="1459" spans="1:9" x14ac:dyDescent="0.25">
      <c r="A1459" t="s">
        <v>470</v>
      </c>
      <c r="B1459" t="str">
        <f>VLOOKUP(Tabla1[[#This Row],[Code]],[1]!Tabla4[#Data],2,FALSE)</f>
        <v>M2 Metamark M4 Mate 381M Rosa 0,61 x 50m</v>
      </c>
      <c r="C1459">
        <v>28</v>
      </c>
      <c r="D1459" t="s">
        <v>92</v>
      </c>
      <c r="E1459" t="str">
        <f>VLOOKUP(Tabla1[[#This Row],[Cód. Atributo]],[1]!Tabla5[#Data],6,FALSE)</f>
        <v>Select</v>
      </c>
      <c r="F1459">
        <v>5</v>
      </c>
      <c r="G1459">
        <v>2</v>
      </c>
      <c r="H1459" t="s">
        <v>102</v>
      </c>
      <c r="I1459" t="str">
        <f>VLOOKUP(Tabla1[[#This Row],[Code]],'[1]Articulos Precio'!$A:$E,5,FALSE)</f>
        <v>A0000352</v>
      </c>
    </row>
    <row r="1460" spans="1:9" x14ac:dyDescent="0.25">
      <c r="A1460" t="s">
        <v>470</v>
      </c>
      <c r="B1460" t="str">
        <f>VLOOKUP(Tabla1[[#This Row],[Code]],[1]!Tabla4[#Data],2,FALSE)</f>
        <v>M2 Metamark M4 Mate 381M Rosa 0,61 x 50m</v>
      </c>
      <c r="C1460">
        <v>24</v>
      </c>
      <c r="D1460" t="s">
        <v>96</v>
      </c>
      <c r="E1460" t="str">
        <f>VLOOKUP(Tabla1[[#This Row],[Cód. Atributo]],[1]!Tabla5[#Data],6,FALSE)</f>
        <v>Select</v>
      </c>
      <c r="F1460">
        <v>6</v>
      </c>
      <c r="G1460">
        <v>2</v>
      </c>
      <c r="H1460" t="s">
        <v>266</v>
      </c>
      <c r="I1460" t="str">
        <f>VLOOKUP(Tabla1[[#This Row],[Code]],'[1]Articulos Precio'!$A:$E,5,FALSE)</f>
        <v>A0000352</v>
      </c>
    </row>
    <row r="1461" spans="1:9" x14ac:dyDescent="0.25">
      <c r="A1461" t="s">
        <v>472</v>
      </c>
      <c r="B1461" t="str">
        <f>VLOOKUP(Tabla1[[#This Row],[Code]],[1]!Tabla4[#Data],2,FALSE)</f>
        <v>M2 Metamark M4 Mate 381M Rosa 1,22 x 50m</v>
      </c>
      <c r="C1461">
        <v>8</v>
      </c>
      <c r="D1461" t="s">
        <v>86</v>
      </c>
      <c r="E1461" t="str">
        <f>VLOOKUP(Tabla1[[#This Row],[Cód. Atributo]],[1]!Tabla5[#Data],6,FALSE)</f>
        <v>Select</v>
      </c>
      <c r="F1461">
        <v>1</v>
      </c>
      <c r="G1461">
        <v>2</v>
      </c>
      <c r="H1461" t="s">
        <v>268</v>
      </c>
      <c r="I1461" t="str">
        <f>VLOOKUP(Tabla1[[#This Row],[Code]],'[1]Articulos Precio'!$A:$E,5,FALSE)</f>
        <v>A0000352</v>
      </c>
    </row>
    <row r="1462" spans="1:9" x14ac:dyDescent="0.25">
      <c r="A1462" t="s">
        <v>472</v>
      </c>
      <c r="B1462" t="str">
        <f>VLOOKUP(Tabla1[[#This Row],[Code]],[1]!Tabla4[#Data],2,FALSE)</f>
        <v>M2 Metamark M4 Mate 381M Rosa 1,22 x 50m</v>
      </c>
      <c r="C1462">
        <v>22</v>
      </c>
      <c r="D1462" t="s">
        <v>393</v>
      </c>
      <c r="E1462" t="str">
        <f>VLOOKUP(Tabla1[[#This Row],[Cód. Atributo]],[1]!Tabla5[#Data],6,FALSE)</f>
        <v>Color</v>
      </c>
      <c r="F1462">
        <v>2</v>
      </c>
      <c r="G1462">
        <v>27</v>
      </c>
      <c r="H1462" t="s">
        <v>471</v>
      </c>
      <c r="I1462" t="str">
        <f>VLOOKUP(Tabla1[[#This Row],[Code]],'[1]Articulos Precio'!$A:$E,5,FALSE)</f>
        <v>A0000352</v>
      </c>
    </row>
    <row r="1463" spans="1:9" x14ac:dyDescent="0.25">
      <c r="A1463" t="s">
        <v>472</v>
      </c>
      <c r="B1463" t="str">
        <f>VLOOKUP(Tabla1[[#This Row],[Code]],[1]!Tabla4[#Data],2,FALSE)</f>
        <v>M2 Metamark M4 Mate 381M Rosa 1,22 x 50m</v>
      </c>
      <c r="C1463">
        <v>23</v>
      </c>
      <c r="D1463" t="s">
        <v>90</v>
      </c>
      <c r="E1463" t="str">
        <f>VLOOKUP(Tabla1[[#This Row],[Cód. Atributo]],[1]!Tabla5[#Data],6,FALSE)</f>
        <v>Select</v>
      </c>
      <c r="F1463">
        <v>3</v>
      </c>
      <c r="G1463">
        <v>1</v>
      </c>
      <c r="H1463" t="s">
        <v>110</v>
      </c>
      <c r="I1463" t="str">
        <f>VLOOKUP(Tabla1[[#This Row],[Code]],'[1]Articulos Precio'!$A:$E,5,FALSE)</f>
        <v>A0000352</v>
      </c>
    </row>
    <row r="1464" spans="1:9" x14ac:dyDescent="0.25">
      <c r="A1464" t="s">
        <v>472</v>
      </c>
      <c r="B1464" t="str">
        <f>VLOOKUP(Tabla1[[#This Row],[Code]],[1]!Tabla4[#Data],2,FALSE)</f>
        <v>M2 Metamark M4 Mate 381M Rosa 1,22 x 50m</v>
      </c>
      <c r="C1464">
        <v>25</v>
      </c>
      <c r="D1464" t="s">
        <v>94</v>
      </c>
      <c r="E1464" t="str">
        <f>VLOOKUP(Tabla1[[#This Row],[Cód. Atributo]],[1]!Tabla5[#Data],6,FALSE)</f>
        <v>Select</v>
      </c>
      <c r="F1464">
        <v>4</v>
      </c>
      <c r="G1464">
        <v>2</v>
      </c>
      <c r="H1464" t="s">
        <v>111</v>
      </c>
      <c r="I1464" t="str">
        <f>VLOOKUP(Tabla1[[#This Row],[Code]],'[1]Articulos Precio'!$A:$E,5,FALSE)</f>
        <v>A0000352</v>
      </c>
    </row>
    <row r="1465" spans="1:9" x14ac:dyDescent="0.25">
      <c r="A1465" t="s">
        <v>472</v>
      </c>
      <c r="B1465" t="str">
        <f>VLOOKUP(Tabla1[[#This Row],[Code]],[1]!Tabla4[#Data],2,FALSE)</f>
        <v>M2 Metamark M4 Mate 381M Rosa 1,22 x 50m</v>
      </c>
      <c r="C1465">
        <v>28</v>
      </c>
      <c r="D1465" t="s">
        <v>92</v>
      </c>
      <c r="E1465" t="str">
        <f>VLOOKUP(Tabla1[[#This Row],[Cód. Atributo]],[1]!Tabla5[#Data],6,FALSE)</f>
        <v>Select</v>
      </c>
      <c r="F1465">
        <v>5</v>
      </c>
      <c r="G1465">
        <v>2</v>
      </c>
      <c r="H1465" t="s">
        <v>102</v>
      </c>
      <c r="I1465" t="str">
        <f>VLOOKUP(Tabla1[[#This Row],[Code]],'[1]Articulos Precio'!$A:$E,5,FALSE)</f>
        <v>A0000352</v>
      </c>
    </row>
    <row r="1466" spans="1:9" x14ac:dyDescent="0.25">
      <c r="A1466" t="s">
        <v>472</v>
      </c>
      <c r="B1466" t="str">
        <f>VLOOKUP(Tabla1[[#This Row],[Code]],[1]!Tabla4[#Data],2,FALSE)</f>
        <v>M2 Metamark M4 Mate 381M Rosa 1,22 x 50m</v>
      </c>
      <c r="C1466">
        <v>24</v>
      </c>
      <c r="D1466" t="s">
        <v>96</v>
      </c>
      <c r="E1466" t="str">
        <f>VLOOKUP(Tabla1[[#This Row],[Cód. Atributo]],[1]!Tabla5[#Data],6,FALSE)</f>
        <v>Select</v>
      </c>
      <c r="F1466">
        <v>6</v>
      </c>
      <c r="G1466">
        <v>2</v>
      </c>
      <c r="H1466" t="s">
        <v>266</v>
      </c>
      <c r="I1466" t="str">
        <f>VLOOKUP(Tabla1[[#This Row],[Code]],'[1]Articulos Precio'!$A:$E,5,FALSE)</f>
        <v>A0000352</v>
      </c>
    </row>
    <row r="1467" spans="1:9" x14ac:dyDescent="0.25">
      <c r="A1467" t="s">
        <v>473</v>
      </c>
      <c r="B1467" t="str">
        <f>VLOOKUP(Tabla1[[#This Row],[Code]],[1]!Tabla4[#Data],2,FALSE)</f>
        <v>M2 Metamark M4 Mate 382M Magenta 0,61 x 50m</v>
      </c>
      <c r="C1467">
        <v>8</v>
      </c>
      <c r="D1467" t="s">
        <v>86</v>
      </c>
      <c r="E1467" t="str">
        <f>VLOOKUP(Tabla1[[#This Row],[Cód. Atributo]],[1]!Tabla5[#Data],6,FALSE)</f>
        <v>Select</v>
      </c>
      <c r="F1467">
        <v>1</v>
      </c>
      <c r="G1467">
        <v>1</v>
      </c>
      <c r="H1467" t="s">
        <v>263</v>
      </c>
      <c r="I1467" t="str">
        <f>VLOOKUP(Tabla1[[#This Row],[Code]],'[1]Articulos Precio'!$A:$E,5,FALSE)</f>
        <v>A0000352</v>
      </c>
    </row>
    <row r="1468" spans="1:9" x14ac:dyDescent="0.25">
      <c r="A1468" t="s">
        <v>473</v>
      </c>
      <c r="B1468" t="str">
        <f>VLOOKUP(Tabla1[[#This Row],[Code]],[1]!Tabla4[#Data],2,FALSE)</f>
        <v>M2 Metamark M4 Mate 382M Magenta 0,61 x 50m</v>
      </c>
      <c r="C1468">
        <v>22</v>
      </c>
      <c r="D1468" t="s">
        <v>393</v>
      </c>
      <c r="E1468" t="str">
        <f>VLOOKUP(Tabla1[[#This Row],[Cód. Atributo]],[1]!Tabla5[#Data],6,FALSE)</f>
        <v>Color</v>
      </c>
      <c r="F1468">
        <v>2</v>
      </c>
      <c r="G1468">
        <v>28</v>
      </c>
      <c r="H1468" t="s">
        <v>474</v>
      </c>
      <c r="I1468" t="str">
        <f>VLOOKUP(Tabla1[[#This Row],[Code]],'[1]Articulos Precio'!$A:$E,5,FALSE)</f>
        <v>A0000352</v>
      </c>
    </row>
    <row r="1469" spans="1:9" x14ac:dyDescent="0.25">
      <c r="A1469" t="s">
        <v>473</v>
      </c>
      <c r="B1469" t="str">
        <f>VLOOKUP(Tabla1[[#This Row],[Code]],[1]!Tabla4[#Data],2,FALSE)</f>
        <v>M2 Metamark M4 Mate 382M Magenta 0,61 x 50m</v>
      </c>
      <c r="C1469">
        <v>23</v>
      </c>
      <c r="D1469" t="s">
        <v>90</v>
      </c>
      <c r="E1469" t="str">
        <f>VLOOKUP(Tabla1[[#This Row],[Cód. Atributo]],[1]!Tabla5[#Data],6,FALSE)</f>
        <v>Select</v>
      </c>
      <c r="F1469">
        <v>3</v>
      </c>
      <c r="G1469">
        <v>1</v>
      </c>
      <c r="H1469" t="s">
        <v>110</v>
      </c>
      <c r="I1469" t="str">
        <f>VLOOKUP(Tabla1[[#This Row],[Code]],'[1]Articulos Precio'!$A:$E,5,FALSE)</f>
        <v>A0000352</v>
      </c>
    </row>
    <row r="1470" spans="1:9" x14ac:dyDescent="0.25">
      <c r="A1470" t="s">
        <v>473</v>
      </c>
      <c r="B1470" t="str">
        <f>VLOOKUP(Tabla1[[#This Row],[Code]],[1]!Tabla4[#Data],2,FALSE)</f>
        <v>M2 Metamark M4 Mate 382M Magenta 0,61 x 50m</v>
      </c>
      <c r="C1470">
        <v>25</v>
      </c>
      <c r="D1470" t="s">
        <v>94</v>
      </c>
      <c r="E1470" t="str">
        <f>VLOOKUP(Tabla1[[#This Row],[Cód. Atributo]],[1]!Tabla5[#Data],6,FALSE)</f>
        <v>Select</v>
      </c>
      <c r="F1470">
        <v>4</v>
      </c>
      <c r="G1470">
        <v>2</v>
      </c>
      <c r="H1470" t="s">
        <v>111</v>
      </c>
      <c r="I1470" t="str">
        <f>VLOOKUP(Tabla1[[#This Row],[Code]],'[1]Articulos Precio'!$A:$E,5,FALSE)</f>
        <v>A0000352</v>
      </c>
    </row>
    <row r="1471" spans="1:9" x14ac:dyDescent="0.25">
      <c r="A1471" t="s">
        <v>473</v>
      </c>
      <c r="B1471" t="str">
        <f>VLOOKUP(Tabla1[[#This Row],[Code]],[1]!Tabla4[#Data],2,FALSE)</f>
        <v>M2 Metamark M4 Mate 382M Magenta 0,61 x 50m</v>
      </c>
      <c r="C1471">
        <v>28</v>
      </c>
      <c r="D1471" t="s">
        <v>92</v>
      </c>
      <c r="E1471" t="str">
        <f>VLOOKUP(Tabla1[[#This Row],[Cód. Atributo]],[1]!Tabla5[#Data],6,FALSE)</f>
        <v>Select</v>
      </c>
      <c r="F1471">
        <v>5</v>
      </c>
      <c r="G1471">
        <v>2</v>
      </c>
      <c r="H1471" t="s">
        <v>102</v>
      </c>
      <c r="I1471" t="str">
        <f>VLOOKUP(Tabla1[[#This Row],[Code]],'[1]Articulos Precio'!$A:$E,5,FALSE)</f>
        <v>A0000352</v>
      </c>
    </row>
    <row r="1472" spans="1:9" x14ac:dyDescent="0.25">
      <c r="A1472" t="s">
        <v>473</v>
      </c>
      <c r="B1472" t="str">
        <f>VLOOKUP(Tabla1[[#This Row],[Code]],[1]!Tabla4[#Data],2,FALSE)</f>
        <v>M2 Metamark M4 Mate 382M Magenta 0,61 x 50m</v>
      </c>
      <c r="C1472">
        <v>24</v>
      </c>
      <c r="D1472" t="s">
        <v>96</v>
      </c>
      <c r="E1472" t="str">
        <f>VLOOKUP(Tabla1[[#This Row],[Cód. Atributo]],[1]!Tabla5[#Data],6,FALSE)</f>
        <v>Select</v>
      </c>
      <c r="F1472">
        <v>6</v>
      </c>
      <c r="G1472">
        <v>2</v>
      </c>
      <c r="H1472" t="s">
        <v>266</v>
      </c>
      <c r="I1472" t="str">
        <f>VLOOKUP(Tabla1[[#This Row],[Code]],'[1]Articulos Precio'!$A:$E,5,FALSE)</f>
        <v>A0000352</v>
      </c>
    </row>
    <row r="1473" spans="1:9" x14ac:dyDescent="0.25">
      <c r="A1473" t="s">
        <v>475</v>
      </c>
      <c r="B1473" t="str">
        <f>VLOOKUP(Tabla1[[#This Row],[Code]],[1]!Tabla4[#Data],2,FALSE)</f>
        <v>M2 Metamark M4 Mate 382M Magenta 1,22 x 50m</v>
      </c>
      <c r="C1473">
        <v>8</v>
      </c>
      <c r="D1473" t="s">
        <v>86</v>
      </c>
      <c r="E1473" t="str">
        <f>VLOOKUP(Tabla1[[#This Row],[Cód. Atributo]],[1]!Tabla5[#Data],6,FALSE)</f>
        <v>Select</v>
      </c>
      <c r="F1473">
        <v>1</v>
      </c>
      <c r="G1473">
        <v>2</v>
      </c>
      <c r="H1473" t="s">
        <v>268</v>
      </c>
      <c r="I1473" t="str">
        <f>VLOOKUP(Tabla1[[#This Row],[Code]],'[1]Articulos Precio'!$A:$E,5,FALSE)</f>
        <v>A0000352</v>
      </c>
    </row>
    <row r="1474" spans="1:9" x14ac:dyDescent="0.25">
      <c r="A1474" t="s">
        <v>475</v>
      </c>
      <c r="B1474" t="str">
        <f>VLOOKUP(Tabla1[[#This Row],[Code]],[1]!Tabla4[#Data],2,FALSE)</f>
        <v>M2 Metamark M4 Mate 382M Magenta 1,22 x 50m</v>
      </c>
      <c r="C1474">
        <v>22</v>
      </c>
      <c r="D1474" t="s">
        <v>393</v>
      </c>
      <c r="E1474" t="str">
        <f>VLOOKUP(Tabla1[[#This Row],[Cód. Atributo]],[1]!Tabla5[#Data],6,FALSE)</f>
        <v>Color</v>
      </c>
      <c r="F1474">
        <v>2</v>
      </c>
      <c r="G1474">
        <v>28</v>
      </c>
      <c r="H1474" t="s">
        <v>474</v>
      </c>
      <c r="I1474" t="str">
        <f>VLOOKUP(Tabla1[[#This Row],[Code]],'[1]Articulos Precio'!$A:$E,5,FALSE)</f>
        <v>A0000352</v>
      </c>
    </row>
    <row r="1475" spans="1:9" x14ac:dyDescent="0.25">
      <c r="A1475" t="s">
        <v>475</v>
      </c>
      <c r="B1475" t="str">
        <f>VLOOKUP(Tabla1[[#This Row],[Code]],[1]!Tabla4[#Data],2,FALSE)</f>
        <v>M2 Metamark M4 Mate 382M Magenta 1,22 x 50m</v>
      </c>
      <c r="C1475">
        <v>23</v>
      </c>
      <c r="D1475" t="s">
        <v>90</v>
      </c>
      <c r="E1475" t="str">
        <f>VLOOKUP(Tabla1[[#This Row],[Cód. Atributo]],[1]!Tabla5[#Data],6,FALSE)</f>
        <v>Select</v>
      </c>
      <c r="F1475">
        <v>3</v>
      </c>
      <c r="G1475">
        <v>1</v>
      </c>
      <c r="H1475" t="s">
        <v>110</v>
      </c>
      <c r="I1475" t="str">
        <f>VLOOKUP(Tabla1[[#This Row],[Code]],'[1]Articulos Precio'!$A:$E,5,FALSE)</f>
        <v>A0000352</v>
      </c>
    </row>
    <row r="1476" spans="1:9" x14ac:dyDescent="0.25">
      <c r="A1476" t="s">
        <v>475</v>
      </c>
      <c r="B1476" t="str">
        <f>VLOOKUP(Tabla1[[#This Row],[Code]],[1]!Tabla4[#Data],2,FALSE)</f>
        <v>M2 Metamark M4 Mate 382M Magenta 1,22 x 50m</v>
      </c>
      <c r="C1476">
        <v>25</v>
      </c>
      <c r="D1476" t="s">
        <v>94</v>
      </c>
      <c r="E1476" t="str">
        <f>VLOOKUP(Tabla1[[#This Row],[Cód. Atributo]],[1]!Tabla5[#Data],6,FALSE)</f>
        <v>Select</v>
      </c>
      <c r="F1476">
        <v>4</v>
      </c>
      <c r="G1476">
        <v>2</v>
      </c>
      <c r="H1476" t="s">
        <v>111</v>
      </c>
      <c r="I1476" t="str">
        <f>VLOOKUP(Tabla1[[#This Row],[Code]],'[1]Articulos Precio'!$A:$E,5,FALSE)</f>
        <v>A0000352</v>
      </c>
    </row>
    <row r="1477" spans="1:9" x14ac:dyDescent="0.25">
      <c r="A1477" t="s">
        <v>475</v>
      </c>
      <c r="B1477" t="str">
        <f>VLOOKUP(Tabla1[[#This Row],[Code]],[1]!Tabla4[#Data],2,FALSE)</f>
        <v>M2 Metamark M4 Mate 382M Magenta 1,22 x 50m</v>
      </c>
      <c r="C1477">
        <v>28</v>
      </c>
      <c r="D1477" t="s">
        <v>92</v>
      </c>
      <c r="E1477" t="str">
        <f>VLOOKUP(Tabla1[[#This Row],[Cód. Atributo]],[1]!Tabla5[#Data],6,FALSE)</f>
        <v>Select</v>
      </c>
      <c r="F1477">
        <v>5</v>
      </c>
      <c r="G1477">
        <v>2</v>
      </c>
      <c r="H1477" t="s">
        <v>102</v>
      </c>
      <c r="I1477" t="str">
        <f>VLOOKUP(Tabla1[[#This Row],[Code]],'[1]Articulos Precio'!$A:$E,5,FALSE)</f>
        <v>A0000352</v>
      </c>
    </row>
    <row r="1478" spans="1:9" x14ac:dyDescent="0.25">
      <c r="A1478" t="s">
        <v>475</v>
      </c>
      <c r="B1478" t="str">
        <f>VLOOKUP(Tabla1[[#This Row],[Code]],[1]!Tabla4[#Data],2,FALSE)</f>
        <v>M2 Metamark M4 Mate 382M Magenta 1,22 x 50m</v>
      </c>
      <c r="C1478">
        <v>24</v>
      </c>
      <c r="D1478" t="s">
        <v>96</v>
      </c>
      <c r="E1478" t="str">
        <f>VLOOKUP(Tabla1[[#This Row],[Cód. Atributo]],[1]!Tabla5[#Data],6,FALSE)</f>
        <v>Select</v>
      </c>
      <c r="F1478">
        <v>6</v>
      </c>
      <c r="G1478">
        <v>2</v>
      </c>
      <c r="H1478" t="s">
        <v>266</v>
      </c>
      <c r="I1478" t="str">
        <f>VLOOKUP(Tabla1[[#This Row],[Code]],'[1]Articulos Precio'!$A:$E,5,FALSE)</f>
        <v>A0000352</v>
      </c>
    </row>
    <row r="1479" spans="1:9" x14ac:dyDescent="0.25">
      <c r="A1479" t="s">
        <v>476</v>
      </c>
      <c r="B1479" t="str">
        <f>VLOOKUP(Tabla1[[#This Row],[Code]],[1]!Tabla4[#Data],2,FALSE)</f>
        <v>M2 Metamark M4 Mate 383M Púrpura 0,61 x 50m</v>
      </c>
      <c r="C1479">
        <v>8</v>
      </c>
      <c r="D1479" t="s">
        <v>86</v>
      </c>
      <c r="E1479" t="str">
        <f>VLOOKUP(Tabla1[[#This Row],[Cód. Atributo]],[1]!Tabla5[#Data],6,FALSE)</f>
        <v>Select</v>
      </c>
      <c r="F1479">
        <v>1</v>
      </c>
      <c r="G1479">
        <v>1</v>
      </c>
      <c r="H1479" t="s">
        <v>263</v>
      </c>
      <c r="I1479" t="str">
        <f>VLOOKUP(Tabla1[[#This Row],[Code]],'[1]Articulos Precio'!$A:$E,5,FALSE)</f>
        <v>A0000352</v>
      </c>
    </row>
    <row r="1480" spans="1:9" x14ac:dyDescent="0.25">
      <c r="A1480" t="s">
        <v>476</v>
      </c>
      <c r="B1480" t="str">
        <f>VLOOKUP(Tabla1[[#This Row],[Code]],[1]!Tabla4[#Data],2,FALSE)</f>
        <v>M2 Metamark M4 Mate 383M Púrpura 0,61 x 50m</v>
      </c>
      <c r="C1480">
        <v>22</v>
      </c>
      <c r="D1480" t="s">
        <v>393</v>
      </c>
      <c r="E1480" t="str">
        <f>VLOOKUP(Tabla1[[#This Row],[Cód. Atributo]],[1]!Tabla5[#Data],6,FALSE)</f>
        <v>Color</v>
      </c>
      <c r="F1480">
        <v>2</v>
      </c>
      <c r="G1480">
        <v>29</v>
      </c>
      <c r="H1480" t="s">
        <v>477</v>
      </c>
      <c r="I1480" t="str">
        <f>VLOOKUP(Tabla1[[#This Row],[Code]],'[1]Articulos Precio'!$A:$E,5,FALSE)</f>
        <v>A0000352</v>
      </c>
    </row>
    <row r="1481" spans="1:9" x14ac:dyDescent="0.25">
      <c r="A1481" t="s">
        <v>476</v>
      </c>
      <c r="B1481" t="str">
        <f>VLOOKUP(Tabla1[[#This Row],[Code]],[1]!Tabla4[#Data],2,FALSE)</f>
        <v>M2 Metamark M4 Mate 383M Púrpura 0,61 x 50m</v>
      </c>
      <c r="C1481">
        <v>23</v>
      </c>
      <c r="D1481" t="s">
        <v>90</v>
      </c>
      <c r="E1481" t="str">
        <f>VLOOKUP(Tabla1[[#This Row],[Cód. Atributo]],[1]!Tabla5[#Data],6,FALSE)</f>
        <v>Select</v>
      </c>
      <c r="F1481">
        <v>3</v>
      </c>
      <c r="G1481">
        <v>1</v>
      </c>
      <c r="H1481" t="s">
        <v>110</v>
      </c>
      <c r="I1481" t="str">
        <f>VLOOKUP(Tabla1[[#This Row],[Code]],'[1]Articulos Precio'!$A:$E,5,FALSE)</f>
        <v>A0000352</v>
      </c>
    </row>
    <row r="1482" spans="1:9" x14ac:dyDescent="0.25">
      <c r="A1482" t="s">
        <v>476</v>
      </c>
      <c r="B1482" t="str">
        <f>VLOOKUP(Tabla1[[#This Row],[Code]],[1]!Tabla4[#Data],2,FALSE)</f>
        <v>M2 Metamark M4 Mate 383M Púrpura 0,61 x 50m</v>
      </c>
      <c r="C1482">
        <v>25</v>
      </c>
      <c r="D1482" t="s">
        <v>94</v>
      </c>
      <c r="E1482" t="str">
        <f>VLOOKUP(Tabla1[[#This Row],[Cód. Atributo]],[1]!Tabla5[#Data],6,FALSE)</f>
        <v>Select</v>
      </c>
      <c r="F1482">
        <v>4</v>
      </c>
      <c r="G1482">
        <v>2</v>
      </c>
      <c r="H1482" t="s">
        <v>111</v>
      </c>
      <c r="I1482" t="str">
        <f>VLOOKUP(Tabla1[[#This Row],[Code]],'[1]Articulos Precio'!$A:$E,5,FALSE)</f>
        <v>A0000352</v>
      </c>
    </row>
    <row r="1483" spans="1:9" x14ac:dyDescent="0.25">
      <c r="A1483" t="s">
        <v>476</v>
      </c>
      <c r="B1483" t="str">
        <f>VLOOKUP(Tabla1[[#This Row],[Code]],[1]!Tabla4[#Data],2,FALSE)</f>
        <v>M2 Metamark M4 Mate 383M Púrpura 0,61 x 50m</v>
      </c>
      <c r="C1483">
        <v>28</v>
      </c>
      <c r="D1483" t="s">
        <v>92</v>
      </c>
      <c r="E1483" t="str">
        <f>VLOOKUP(Tabla1[[#This Row],[Cód. Atributo]],[1]!Tabla5[#Data],6,FALSE)</f>
        <v>Select</v>
      </c>
      <c r="F1483">
        <v>5</v>
      </c>
      <c r="G1483">
        <v>2</v>
      </c>
      <c r="H1483" t="s">
        <v>102</v>
      </c>
      <c r="I1483" t="str">
        <f>VLOOKUP(Tabla1[[#This Row],[Code]],'[1]Articulos Precio'!$A:$E,5,FALSE)</f>
        <v>A0000352</v>
      </c>
    </row>
    <row r="1484" spans="1:9" x14ac:dyDescent="0.25">
      <c r="A1484" t="s">
        <v>476</v>
      </c>
      <c r="B1484" t="str">
        <f>VLOOKUP(Tabla1[[#This Row],[Code]],[1]!Tabla4[#Data],2,FALSE)</f>
        <v>M2 Metamark M4 Mate 383M Púrpura 0,61 x 50m</v>
      </c>
      <c r="C1484">
        <v>24</v>
      </c>
      <c r="D1484" t="s">
        <v>96</v>
      </c>
      <c r="E1484" t="str">
        <f>VLOOKUP(Tabla1[[#This Row],[Cód. Atributo]],[1]!Tabla5[#Data],6,FALSE)</f>
        <v>Select</v>
      </c>
      <c r="F1484">
        <v>6</v>
      </c>
      <c r="G1484">
        <v>2</v>
      </c>
      <c r="H1484" t="s">
        <v>266</v>
      </c>
      <c r="I1484" t="str">
        <f>VLOOKUP(Tabla1[[#This Row],[Code]],'[1]Articulos Precio'!$A:$E,5,FALSE)</f>
        <v>A0000352</v>
      </c>
    </row>
    <row r="1485" spans="1:9" x14ac:dyDescent="0.25">
      <c r="A1485" t="s">
        <v>478</v>
      </c>
      <c r="B1485" t="str">
        <f>VLOOKUP(Tabla1[[#This Row],[Code]],[1]!Tabla4[#Data],2,FALSE)</f>
        <v>M2 Metamark M4 Mate 383M Púrpura 1,22 x 50m</v>
      </c>
      <c r="C1485">
        <v>8</v>
      </c>
      <c r="D1485" t="s">
        <v>86</v>
      </c>
      <c r="E1485" t="str">
        <f>VLOOKUP(Tabla1[[#This Row],[Cód. Atributo]],[1]!Tabla5[#Data],6,FALSE)</f>
        <v>Select</v>
      </c>
      <c r="F1485">
        <v>1</v>
      </c>
      <c r="G1485">
        <v>2</v>
      </c>
      <c r="H1485" t="s">
        <v>268</v>
      </c>
      <c r="I1485" t="str">
        <f>VLOOKUP(Tabla1[[#This Row],[Code]],'[1]Articulos Precio'!$A:$E,5,FALSE)</f>
        <v>A0000352</v>
      </c>
    </row>
    <row r="1486" spans="1:9" x14ac:dyDescent="0.25">
      <c r="A1486" t="s">
        <v>478</v>
      </c>
      <c r="B1486" t="str">
        <f>VLOOKUP(Tabla1[[#This Row],[Code]],[1]!Tabla4[#Data],2,FALSE)</f>
        <v>M2 Metamark M4 Mate 383M Púrpura 1,22 x 50m</v>
      </c>
      <c r="C1486">
        <v>22</v>
      </c>
      <c r="D1486" t="s">
        <v>393</v>
      </c>
      <c r="E1486" t="str">
        <f>VLOOKUP(Tabla1[[#This Row],[Cód. Atributo]],[1]!Tabla5[#Data],6,FALSE)</f>
        <v>Color</v>
      </c>
      <c r="F1486">
        <v>2</v>
      </c>
      <c r="G1486">
        <v>29</v>
      </c>
      <c r="H1486" t="s">
        <v>477</v>
      </c>
      <c r="I1486" t="str">
        <f>VLOOKUP(Tabla1[[#This Row],[Code]],'[1]Articulos Precio'!$A:$E,5,FALSE)</f>
        <v>A0000352</v>
      </c>
    </row>
    <row r="1487" spans="1:9" x14ac:dyDescent="0.25">
      <c r="A1487" t="s">
        <v>478</v>
      </c>
      <c r="B1487" t="str">
        <f>VLOOKUP(Tabla1[[#This Row],[Code]],[1]!Tabla4[#Data],2,FALSE)</f>
        <v>M2 Metamark M4 Mate 383M Púrpura 1,22 x 50m</v>
      </c>
      <c r="C1487">
        <v>23</v>
      </c>
      <c r="D1487" t="s">
        <v>90</v>
      </c>
      <c r="E1487" t="str">
        <f>VLOOKUP(Tabla1[[#This Row],[Cód. Atributo]],[1]!Tabla5[#Data],6,FALSE)</f>
        <v>Select</v>
      </c>
      <c r="F1487">
        <v>3</v>
      </c>
      <c r="G1487">
        <v>1</v>
      </c>
      <c r="H1487" t="s">
        <v>110</v>
      </c>
      <c r="I1487" t="str">
        <f>VLOOKUP(Tabla1[[#This Row],[Code]],'[1]Articulos Precio'!$A:$E,5,FALSE)</f>
        <v>A0000352</v>
      </c>
    </row>
    <row r="1488" spans="1:9" x14ac:dyDescent="0.25">
      <c r="A1488" t="s">
        <v>478</v>
      </c>
      <c r="B1488" t="str">
        <f>VLOOKUP(Tabla1[[#This Row],[Code]],[1]!Tabla4[#Data],2,FALSE)</f>
        <v>M2 Metamark M4 Mate 383M Púrpura 1,22 x 50m</v>
      </c>
      <c r="C1488">
        <v>25</v>
      </c>
      <c r="D1488" t="s">
        <v>94</v>
      </c>
      <c r="E1488" t="str">
        <f>VLOOKUP(Tabla1[[#This Row],[Cód. Atributo]],[1]!Tabla5[#Data],6,FALSE)</f>
        <v>Select</v>
      </c>
      <c r="F1488">
        <v>4</v>
      </c>
      <c r="G1488">
        <v>2</v>
      </c>
      <c r="H1488" t="s">
        <v>111</v>
      </c>
      <c r="I1488" t="str">
        <f>VLOOKUP(Tabla1[[#This Row],[Code]],'[1]Articulos Precio'!$A:$E,5,FALSE)</f>
        <v>A0000352</v>
      </c>
    </row>
    <row r="1489" spans="1:9" x14ac:dyDescent="0.25">
      <c r="A1489" t="s">
        <v>478</v>
      </c>
      <c r="B1489" t="str">
        <f>VLOOKUP(Tabla1[[#This Row],[Code]],[1]!Tabla4[#Data],2,FALSE)</f>
        <v>M2 Metamark M4 Mate 383M Púrpura 1,22 x 50m</v>
      </c>
      <c r="C1489">
        <v>28</v>
      </c>
      <c r="D1489" t="s">
        <v>92</v>
      </c>
      <c r="E1489" t="str">
        <f>VLOOKUP(Tabla1[[#This Row],[Cód. Atributo]],[1]!Tabla5[#Data],6,FALSE)</f>
        <v>Select</v>
      </c>
      <c r="F1489">
        <v>5</v>
      </c>
      <c r="G1489">
        <v>2</v>
      </c>
      <c r="H1489" t="s">
        <v>102</v>
      </c>
      <c r="I1489" t="str">
        <f>VLOOKUP(Tabla1[[#This Row],[Code]],'[1]Articulos Precio'!$A:$E,5,FALSE)</f>
        <v>A0000352</v>
      </c>
    </row>
    <row r="1490" spans="1:9" x14ac:dyDescent="0.25">
      <c r="A1490" t="s">
        <v>478</v>
      </c>
      <c r="B1490" t="str">
        <f>VLOOKUP(Tabla1[[#This Row],[Code]],[1]!Tabla4[#Data],2,FALSE)</f>
        <v>M2 Metamark M4 Mate 383M Púrpura 1,22 x 50m</v>
      </c>
      <c r="C1490">
        <v>24</v>
      </c>
      <c r="D1490" t="s">
        <v>96</v>
      </c>
      <c r="E1490" t="str">
        <f>VLOOKUP(Tabla1[[#This Row],[Cód. Atributo]],[1]!Tabla5[#Data],6,FALSE)</f>
        <v>Select</v>
      </c>
      <c r="F1490">
        <v>6</v>
      </c>
      <c r="G1490">
        <v>2</v>
      </c>
      <c r="H1490" t="s">
        <v>266</v>
      </c>
      <c r="I1490" t="str">
        <f>VLOOKUP(Tabla1[[#This Row],[Code]],'[1]Articulos Precio'!$A:$E,5,FALSE)</f>
        <v>A0000352</v>
      </c>
    </row>
    <row r="1491" spans="1:9" x14ac:dyDescent="0.25">
      <c r="A1491" t="s">
        <v>479</v>
      </c>
      <c r="B1491" t="str">
        <f>VLOOKUP(Tabla1[[#This Row],[Code]],[1]!Tabla4[#Data],2,FALSE)</f>
        <v>M2 Metamark M4 Mate 390M Plata 0,61 x 50m</v>
      </c>
      <c r="C1491">
        <v>8</v>
      </c>
      <c r="D1491" t="s">
        <v>86</v>
      </c>
      <c r="E1491" t="str">
        <f>VLOOKUP(Tabla1[[#This Row],[Cód. Atributo]],[1]!Tabla5[#Data],6,FALSE)</f>
        <v>Select</v>
      </c>
      <c r="F1491">
        <v>1</v>
      </c>
      <c r="G1491">
        <v>1</v>
      </c>
      <c r="H1491" t="s">
        <v>263</v>
      </c>
      <c r="I1491" t="str">
        <f>VLOOKUP(Tabla1[[#This Row],[Code]],'[1]Articulos Precio'!$A:$E,5,FALSE)</f>
        <v>A0000352</v>
      </c>
    </row>
    <row r="1492" spans="1:9" x14ac:dyDescent="0.25">
      <c r="A1492" t="s">
        <v>479</v>
      </c>
      <c r="B1492" t="str">
        <f>VLOOKUP(Tabla1[[#This Row],[Code]],[1]!Tabla4[#Data],2,FALSE)</f>
        <v>M2 Metamark M4 Mate 390M Plata 0,61 x 50m</v>
      </c>
      <c r="C1492">
        <v>22</v>
      </c>
      <c r="D1492" t="s">
        <v>393</v>
      </c>
      <c r="E1492" t="str">
        <f>VLOOKUP(Tabla1[[#This Row],[Cód. Atributo]],[1]!Tabla5[#Data],6,FALSE)</f>
        <v>Color</v>
      </c>
      <c r="F1492">
        <v>2</v>
      </c>
      <c r="G1492">
        <v>30</v>
      </c>
      <c r="H1492" t="s">
        <v>480</v>
      </c>
      <c r="I1492" t="str">
        <f>VLOOKUP(Tabla1[[#This Row],[Code]],'[1]Articulos Precio'!$A:$E,5,FALSE)</f>
        <v>A0000352</v>
      </c>
    </row>
    <row r="1493" spans="1:9" x14ac:dyDescent="0.25">
      <c r="A1493" t="s">
        <v>479</v>
      </c>
      <c r="B1493" t="str">
        <f>VLOOKUP(Tabla1[[#This Row],[Code]],[1]!Tabla4[#Data],2,FALSE)</f>
        <v>M2 Metamark M4 Mate 390M Plata 0,61 x 50m</v>
      </c>
      <c r="C1493">
        <v>23</v>
      </c>
      <c r="D1493" t="s">
        <v>90</v>
      </c>
      <c r="E1493" t="str">
        <f>VLOOKUP(Tabla1[[#This Row],[Cód. Atributo]],[1]!Tabla5[#Data],6,FALSE)</f>
        <v>Select</v>
      </c>
      <c r="F1493">
        <v>3</v>
      </c>
      <c r="G1493">
        <v>1</v>
      </c>
      <c r="H1493" t="s">
        <v>110</v>
      </c>
      <c r="I1493" t="str">
        <f>VLOOKUP(Tabla1[[#This Row],[Code]],'[1]Articulos Precio'!$A:$E,5,FALSE)</f>
        <v>A0000352</v>
      </c>
    </row>
    <row r="1494" spans="1:9" x14ac:dyDescent="0.25">
      <c r="A1494" t="s">
        <v>479</v>
      </c>
      <c r="B1494" t="str">
        <f>VLOOKUP(Tabla1[[#This Row],[Code]],[1]!Tabla4[#Data],2,FALSE)</f>
        <v>M2 Metamark M4 Mate 390M Plata 0,61 x 50m</v>
      </c>
      <c r="C1494">
        <v>25</v>
      </c>
      <c r="D1494" t="s">
        <v>94</v>
      </c>
      <c r="E1494" t="str">
        <f>VLOOKUP(Tabla1[[#This Row],[Cód. Atributo]],[1]!Tabla5[#Data],6,FALSE)</f>
        <v>Select</v>
      </c>
      <c r="F1494">
        <v>4</v>
      </c>
      <c r="G1494">
        <v>2</v>
      </c>
      <c r="H1494" t="s">
        <v>111</v>
      </c>
      <c r="I1494" t="str">
        <f>VLOOKUP(Tabla1[[#This Row],[Code]],'[1]Articulos Precio'!$A:$E,5,FALSE)</f>
        <v>A0000352</v>
      </c>
    </row>
    <row r="1495" spans="1:9" x14ac:dyDescent="0.25">
      <c r="A1495" t="s">
        <v>479</v>
      </c>
      <c r="B1495" t="str">
        <f>VLOOKUP(Tabla1[[#This Row],[Code]],[1]!Tabla4[#Data],2,FALSE)</f>
        <v>M2 Metamark M4 Mate 390M Plata 0,61 x 50m</v>
      </c>
      <c r="C1495">
        <v>28</v>
      </c>
      <c r="D1495" t="s">
        <v>92</v>
      </c>
      <c r="E1495" t="str">
        <f>VLOOKUP(Tabla1[[#This Row],[Cód. Atributo]],[1]!Tabla5[#Data],6,FALSE)</f>
        <v>Select</v>
      </c>
      <c r="F1495">
        <v>5</v>
      </c>
      <c r="G1495">
        <v>2</v>
      </c>
      <c r="H1495" t="s">
        <v>102</v>
      </c>
      <c r="I1495" t="str">
        <f>VLOOKUP(Tabla1[[#This Row],[Code]],'[1]Articulos Precio'!$A:$E,5,FALSE)</f>
        <v>A0000352</v>
      </c>
    </row>
    <row r="1496" spans="1:9" x14ac:dyDescent="0.25">
      <c r="A1496" t="s">
        <v>479</v>
      </c>
      <c r="B1496" t="str">
        <f>VLOOKUP(Tabla1[[#This Row],[Code]],[1]!Tabla4[#Data],2,FALSE)</f>
        <v>M2 Metamark M4 Mate 390M Plata 0,61 x 50m</v>
      </c>
      <c r="C1496">
        <v>24</v>
      </c>
      <c r="D1496" t="s">
        <v>96</v>
      </c>
      <c r="E1496" t="str">
        <f>VLOOKUP(Tabla1[[#This Row],[Cód. Atributo]],[1]!Tabla5[#Data],6,FALSE)</f>
        <v>Select</v>
      </c>
      <c r="F1496">
        <v>6</v>
      </c>
      <c r="G1496">
        <v>2</v>
      </c>
      <c r="H1496" t="s">
        <v>266</v>
      </c>
      <c r="I1496" t="str">
        <f>VLOOKUP(Tabla1[[#This Row],[Code]],'[1]Articulos Precio'!$A:$E,5,FALSE)</f>
        <v>A0000352</v>
      </c>
    </row>
    <row r="1497" spans="1:9" x14ac:dyDescent="0.25">
      <c r="A1497" t="s">
        <v>481</v>
      </c>
      <c r="B1497" t="str">
        <f>VLOOKUP(Tabla1[[#This Row],[Code]],[1]!Tabla4[#Data],2,FALSE)</f>
        <v>M2 Metamark M4 Mate 390M Plata 1,22 x 50m</v>
      </c>
      <c r="C1497">
        <v>8</v>
      </c>
      <c r="D1497" t="s">
        <v>86</v>
      </c>
      <c r="E1497" t="str">
        <f>VLOOKUP(Tabla1[[#This Row],[Cód. Atributo]],[1]!Tabla5[#Data],6,FALSE)</f>
        <v>Select</v>
      </c>
      <c r="F1497">
        <v>1</v>
      </c>
      <c r="G1497">
        <v>2</v>
      </c>
      <c r="H1497" t="s">
        <v>268</v>
      </c>
      <c r="I1497" t="str">
        <f>VLOOKUP(Tabla1[[#This Row],[Code]],'[1]Articulos Precio'!$A:$E,5,FALSE)</f>
        <v>A0000352</v>
      </c>
    </row>
    <row r="1498" spans="1:9" x14ac:dyDescent="0.25">
      <c r="A1498" t="s">
        <v>481</v>
      </c>
      <c r="B1498" t="str">
        <f>VLOOKUP(Tabla1[[#This Row],[Code]],[1]!Tabla4[#Data],2,FALSE)</f>
        <v>M2 Metamark M4 Mate 390M Plata 1,22 x 50m</v>
      </c>
      <c r="C1498">
        <v>22</v>
      </c>
      <c r="D1498" t="s">
        <v>393</v>
      </c>
      <c r="E1498" t="str">
        <f>VLOOKUP(Tabla1[[#This Row],[Cód. Atributo]],[1]!Tabla5[#Data],6,FALSE)</f>
        <v>Color</v>
      </c>
      <c r="F1498">
        <v>2</v>
      </c>
      <c r="G1498">
        <v>30</v>
      </c>
      <c r="H1498" t="s">
        <v>480</v>
      </c>
      <c r="I1498" t="str">
        <f>VLOOKUP(Tabla1[[#This Row],[Code]],'[1]Articulos Precio'!$A:$E,5,FALSE)</f>
        <v>A0000352</v>
      </c>
    </row>
    <row r="1499" spans="1:9" x14ac:dyDescent="0.25">
      <c r="A1499" t="s">
        <v>481</v>
      </c>
      <c r="B1499" t="str">
        <f>VLOOKUP(Tabla1[[#This Row],[Code]],[1]!Tabla4[#Data],2,FALSE)</f>
        <v>M2 Metamark M4 Mate 390M Plata 1,22 x 50m</v>
      </c>
      <c r="C1499">
        <v>23</v>
      </c>
      <c r="D1499" t="s">
        <v>90</v>
      </c>
      <c r="E1499" t="str">
        <f>VLOOKUP(Tabla1[[#This Row],[Cód. Atributo]],[1]!Tabla5[#Data],6,FALSE)</f>
        <v>Select</v>
      </c>
      <c r="F1499">
        <v>3</v>
      </c>
      <c r="G1499">
        <v>1</v>
      </c>
      <c r="H1499" t="s">
        <v>110</v>
      </c>
      <c r="I1499" t="str">
        <f>VLOOKUP(Tabla1[[#This Row],[Code]],'[1]Articulos Precio'!$A:$E,5,FALSE)</f>
        <v>A0000352</v>
      </c>
    </row>
    <row r="1500" spans="1:9" x14ac:dyDescent="0.25">
      <c r="A1500" t="s">
        <v>481</v>
      </c>
      <c r="B1500" t="str">
        <f>VLOOKUP(Tabla1[[#This Row],[Code]],[1]!Tabla4[#Data],2,FALSE)</f>
        <v>M2 Metamark M4 Mate 390M Plata 1,22 x 50m</v>
      </c>
      <c r="C1500">
        <v>25</v>
      </c>
      <c r="D1500" t="s">
        <v>94</v>
      </c>
      <c r="E1500" t="str">
        <f>VLOOKUP(Tabla1[[#This Row],[Cód. Atributo]],[1]!Tabla5[#Data],6,FALSE)</f>
        <v>Select</v>
      </c>
      <c r="F1500">
        <v>4</v>
      </c>
      <c r="G1500">
        <v>2</v>
      </c>
      <c r="H1500" t="s">
        <v>111</v>
      </c>
      <c r="I1500" t="str">
        <f>VLOOKUP(Tabla1[[#This Row],[Code]],'[1]Articulos Precio'!$A:$E,5,FALSE)</f>
        <v>A0000352</v>
      </c>
    </row>
    <row r="1501" spans="1:9" x14ac:dyDescent="0.25">
      <c r="A1501" t="s">
        <v>481</v>
      </c>
      <c r="B1501" t="str">
        <f>VLOOKUP(Tabla1[[#This Row],[Code]],[1]!Tabla4[#Data],2,FALSE)</f>
        <v>M2 Metamark M4 Mate 390M Plata 1,22 x 50m</v>
      </c>
      <c r="C1501">
        <v>28</v>
      </c>
      <c r="D1501" t="s">
        <v>92</v>
      </c>
      <c r="E1501" t="str">
        <f>VLOOKUP(Tabla1[[#This Row],[Cód. Atributo]],[1]!Tabla5[#Data],6,FALSE)</f>
        <v>Select</v>
      </c>
      <c r="F1501">
        <v>5</v>
      </c>
      <c r="G1501">
        <v>2</v>
      </c>
      <c r="H1501" t="s">
        <v>102</v>
      </c>
      <c r="I1501" t="str">
        <f>VLOOKUP(Tabla1[[#This Row],[Code]],'[1]Articulos Precio'!$A:$E,5,FALSE)</f>
        <v>A0000352</v>
      </c>
    </row>
    <row r="1502" spans="1:9" x14ac:dyDescent="0.25">
      <c r="A1502" t="s">
        <v>481</v>
      </c>
      <c r="B1502" t="str">
        <f>VLOOKUP(Tabla1[[#This Row],[Code]],[1]!Tabla4[#Data],2,FALSE)</f>
        <v>M2 Metamark M4 Mate 390M Plata 1,22 x 50m</v>
      </c>
      <c r="C1502">
        <v>24</v>
      </c>
      <c r="D1502" t="s">
        <v>96</v>
      </c>
      <c r="E1502" t="str">
        <f>VLOOKUP(Tabla1[[#This Row],[Cód. Atributo]],[1]!Tabla5[#Data],6,FALSE)</f>
        <v>Select</v>
      </c>
      <c r="F1502">
        <v>6</v>
      </c>
      <c r="G1502">
        <v>2</v>
      </c>
      <c r="H1502" t="s">
        <v>266</v>
      </c>
      <c r="I1502" t="str">
        <f>VLOOKUP(Tabla1[[#This Row],[Code]],'[1]Articulos Precio'!$A:$E,5,FALSE)</f>
        <v>A0000352</v>
      </c>
    </row>
    <row r="1503" spans="1:9" x14ac:dyDescent="0.25">
      <c r="A1503" t="s">
        <v>482</v>
      </c>
      <c r="B1503" t="str">
        <f>VLOOKUP(Tabla1[[#This Row],[Code]],[1]!Tabla4[#Data],2,FALSE)</f>
        <v>M2 Metamark M4 Mate 391M Oro 0,61 x 50m</v>
      </c>
      <c r="C1503">
        <v>8</v>
      </c>
      <c r="D1503" t="s">
        <v>86</v>
      </c>
      <c r="E1503" t="str">
        <f>VLOOKUP(Tabla1[[#This Row],[Cód. Atributo]],[1]!Tabla5[#Data],6,FALSE)</f>
        <v>Select</v>
      </c>
      <c r="F1503">
        <v>1</v>
      </c>
      <c r="G1503">
        <v>1</v>
      </c>
      <c r="H1503" t="s">
        <v>263</v>
      </c>
      <c r="I1503" t="str">
        <f>VLOOKUP(Tabla1[[#This Row],[Code]],'[1]Articulos Precio'!$A:$E,5,FALSE)</f>
        <v>A0000352</v>
      </c>
    </row>
    <row r="1504" spans="1:9" x14ac:dyDescent="0.25">
      <c r="A1504" t="s">
        <v>482</v>
      </c>
      <c r="B1504" t="str">
        <f>VLOOKUP(Tabla1[[#This Row],[Code]],[1]!Tabla4[#Data],2,FALSE)</f>
        <v>M2 Metamark M4 Mate 391M Oro 0,61 x 50m</v>
      </c>
      <c r="C1504">
        <v>22</v>
      </c>
      <c r="D1504" t="s">
        <v>393</v>
      </c>
      <c r="E1504" t="str">
        <f>VLOOKUP(Tabla1[[#This Row],[Cód. Atributo]],[1]!Tabla5[#Data],6,FALSE)</f>
        <v>Color</v>
      </c>
      <c r="F1504">
        <v>2</v>
      </c>
      <c r="G1504">
        <v>31</v>
      </c>
      <c r="H1504" t="s">
        <v>483</v>
      </c>
      <c r="I1504" t="str">
        <f>VLOOKUP(Tabla1[[#This Row],[Code]],'[1]Articulos Precio'!$A:$E,5,FALSE)</f>
        <v>A0000352</v>
      </c>
    </row>
    <row r="1505" spans="1:9" x14ac:dyDescent="0.25">
      <c r="A1505" t="s">
        <v>482</v>
      </c>
      <c r="B1505" t="str">
        <f>VLOOKUP(Tabla1[[#This Row],[Code]],[1]!Tabla4[#Data],2,FALSE)</f>
        <v>M2 Metamark M4 Mate 391M Oro 0,61 x 50m</v>
      </c>
      <c r="C1505">
        <v>23</v>
      </c>
      <c r="D1505" t="s">
        <v>90</v>
      </c>
      <c r="E1505" t="str">
        <f>VLOOKUP(Tabla1[[#This Row],[Cód. Atributo]],[1]!Tabla5[#Data],6,FALSE)</f>
        <v>Select</v>
      </c>
      <c r="F1505">
        <v>3</v>
      </c>
      <c r="G1505">
        <v>1</v>
      </c>
      <c r="H1505" t="s">
        <v>110</v>
      </c>
      <c r="I1505" t="str">
        <f>VLOOKUP(Tabla1[[#This Row],[Code]],'[1]Articulos Precio'!$A:$E,5,FALSE)</f>
        <v>A0000352</v>
      </c>
    </row>
    <row r="1506" spans="1:9" x14ac:dyDescent="0.25">
      <c r="A1506" t="s">
        <v>482</v>
      </c>
      <c r="B1506" t="str">
        <f>VLOOKUP(Tabla1[[#This Row],[Code]],[1]!Tabla4[#Data],2,FALSE)</f>
        <v>M2 Metamark M4 Mate 391M Oro 0,61 x 50m</v>
      </c>
      <c r="C1506">
        <v>25</v>
      </c>
      <c r="D1506" t="s">
        <v>94</v>
      </c>
      <c r="E1506" t="str">
        <f>VLOOKUP(Tabla1[[#This Row],[Cód. Atributo]],[1]!Tabla5[#Data],6,FALSE)</f>
        <v>Select</v>
      </c>
      <c r="F1506">
        <v>4</v>
      </c>
      <c r="G1506">
        <v>2</v>
      </c>
      <c r="H1506" t="s">
        <v>111</v>
      </c>
      <c r="I1506" t="str">
        <f>VLOOKUP(Tabla1[[#This Row],[Code]],'[1]Articulos Precio'!$A:$E,5,FALSE)</f>
        <v>A0000352</v>
      </c>
    </row>
    <row r="1507" spans="1:9" x14ac:dyDescent="0.25">
      <c r="A1507" t="s">
        <v>482</v>
      </c>
      <c r="B1507" t="str">
        <f>VLOOKUP(Tabla1[[#This Row],[Code]],[1]!Tabla4[#Data],2,FALSE)</f>
        <v>M2 Metamark M4 Mate 391M Oro 0,61 x 50m</v>
      </c>
      <c r="C1507">
        <v>28</v>
      </c>
      <c r="D1507" t="s">
        <v>92</v>
      </c>
      <c r="E1507" t="str">
        <f>VLOOKUP(Tabla1[[#This Row],[Cód. Atributo]],[1]!Tabla5[#Data],6,FALSE)</f>
        <v>Select</v>
      </c>
      <c r="F1507">
        <v>5</v>
      </c>
      <c r="G1507">
        <v>2</v>
      </c>
      <c r="H1507" t="s">
        <v>102</v>
      </c>
      <c r="I1507" t="str">
        <f>VLOOKUP(Tabla1[[#This Row],[Code]],'[1]Articulos Precio'!$A:$E,5,FALSE)</f>
        <v>A0000352</v>
      </c>
    </row>
    <row r="1508" spans="1:9" x14ac:dyDescent="0.25">
      <c r="A1508" t="s">
        <v>482</v>
      </c>
      <c r="B1508" t="str">
        <f>VLOOKUP(Tabla1[[#This Row],[Code]],[1]!Tabla4[#Data],2,FALSE)</f>
        <v>M2 Metamark M4 Mate 391M Oro 0,61 x 50m</v>
      </c>
      <c r="C1508">
        <v>24</v>
      </c>
      <c r="D1508" t="s">
        <v>96</v>
      </c>
      <c r="E1508" t="str">
        <f>VLOOKUP(Tabla1[[#This Row],[Cód. Atributo]],[1]!Tabla5[#Data],6,FALSE)</f>
        <v>Select</v>
      </c>
      <c r="F1508">
        <v>6</v>
      </c>
      <c r="G1508">
        <v>2</v>
      </c>
      <c r="H1508" t="s">
        <v>266</v>
      </c>
      <c r="I1508" t="str">
        <f>VLOOKUP(Tabla1[[#This Row],[Code]],'[1]Articulos Precio'!$A:$E,5,FALSE)</f>
        <v>A0000352</v>
      </c>
    </row>
    <row r="1509" spans="1:9" x14ac:dyDescent="0.25">
      <c r="A1509" t="s">
        <v>484</v>
      </c>
      <c r="B1509" t="str">
        <f>VLOOKUP(Tabla1[[#This Row],[Code]],[1]!Tabla4[#Data],2,FALSE)</f>
        <v>M2 Metamark M4 Mate 391M Oro 1,22 x 50m</v>
      </c>
      <c r="C1509">
        <v>8</v>
      </c>
      <c r="D1509" t="s">
        <v>86</v>
      </c>
      <c r="E1509" t="str">
        <f>VLOOKUP(Tabla1[[#This Row],[Cód. Atributo]],[1]!Tabla5[#Data],6,FALSE)</f>
        <v>Select</v>
      </c>
      <c r="F1509">
        <v>1</v>
      </c>
      <c r="G1509">
        <v>2</v>
      </c>
      <c r="H1509" t="s">
        <v>268</v>
      </c>
      <c r="I1509" t="str">
        <f>VLOOKUP(Tabla1[[#This Row],[Code]],'[1]Articulos Precio'!$A:$E,5,FALSE)</f>
        <v>A0000352</v>
      </c>
    </row>
    <row r="1510" spans="1:9" x14ac:dyDescent="0.25">
      <c r="A1510" t="s">
        <v>484</v>
      </c>
      <c r="B1510" t="str">
        <f>VLOOKUP(Tabla1[[#This Row],[Code]],[1]!Tabla4[#Data],2,FALSE)</f>
        <v>M2 Metamark M4 Mate 391M Oro 1,22 x 50m</v>
      </c>
      <c r="C1510">
        <v>22</v>
      </c>
      <c r="D1510" t="s">
        <v>485</v>
      </c>
      <c r="E1510" t="str">
        <f>VLOOKUP(Tabla1[[#This Row],[Cód. Atributo]],[1]!Tabla5[#Data],6,FALSE)</f>
        <v>Color</v>
      </c>
      <c r="F1510">
        <v>2</v>
      </c>
      <c r="G1510">
        <v>31</v>
      </c>
      <c r="H1510" t="s">
        <v>486</v>
      </c>
      <c r="I1510" t="str">
        <f>VLOOKUP(Tabla1[[#This Row],[Code]],'[1]Articulos Precio'!$A:$E,5,FALSE)</f>
        <v>A0000352</v>
      </c>
    </row>
    <row r="1511" spans="1:9" x14ac:dyDescent="0.25">
      <c r="A1511" t="s">
        <v>484</v>
      </c>
      <c r="B1511" t="str">
        <f>VLOOKUP(Tabla1[[#This Row],[Code]],[1]!Tabla4[#Data],2,FALSE)</f>
        <v>M2 Metamark M4 Mate 391M Oro 1,22 x 50m</v>
      </c>
      <c r="C1511">
        <v>23</v>
      </c>
      <c r="D1511" t="s">
        <v>90</v>
      </c>
      <c r="E1511" t="str">
        <f>VLOOKUP(Tabla1[[#This Row],[Cód. Atributo]],[1]!Tabla5[#Data],6,FALSE)</f>
        <v>Select</v>
      </c>
      <c r="F1511">
        <v>3</v>
      </c>
      <c r="G1511">
        <v>1</v>
      </c>
      <c r="H1511" t="s">
        <v>110</v>
      </c>
      <c r="I1511" t="str">
        <f>VLOOKUP(Tabla1[[#This Row],[Code]],'[1]Articulos Precio'!$A:$E,5,FALSE)</f>
        <v>A0000352</v>
      </c>
    </row>
    <row r="1512" spans="1:9" x14ac:dyDescent="0.25">
      <c r="A1512" t="s">
        <v>484</v>
      </c>
      <c r="B1512" t="str">
        <f>VLOOKUP(Tabla1[[#This Row],[Code]],[1]!Tabla4[#Data],2,FALSE)</f>
        <v>M2 Metamark M4 Mate 391M Oro 1,22 x 50m</v>
      </c>
      <c r="C1512">
        <v>25</v>
      </c>
      <c r="D1512" t="s">
        <v>94</v>
      </c>
      <c r="E1512" t="str">
        <f>VLOOKUP(Tabla1[[#This Row],[Cód. Atributo]],[1]!Tabla5[#Data],6,FALSE)</f>
        <v>Select</v>
      </c>
      <c r="F1512">
        <v>4</v>
      </c>
      <c r="G1512">
        <v>2</v>
      </c>
      <c r="H1512" t="s">
        <v>111</v>
      </c>
      <c r="I1512" t="str">
        <f>VLOOKUP(Tabla1[[#This Row],[Code]],'[1]Articulos Precio'!$A:$E,5,FALSE)</f>
        <v>A0000352</v>
      </c>
    </row>
    <row r="1513" spans="1:9" x14ac:dyDescent="0.25">
      <c r="A1513" t="s">
        <v>484</v>
      </c>
      <c r="B1513" t="str">
        <f>VLOOKUP(Tabla1[[#This Row],[Code]],[1]!Tabla4[#Data],2,FALSE)</f>
        <v>M2 Metamark M4 Mate 391M Oro 1,22 x 50m</v>
      </c>
      <c r="C1513">
        <v>28</v>
      </c>
      <c r="D1513" t="s">
        <v>92</v>
      </c>
      <c r="E1513" t="str">
        <f>VLOOKUP(Tabla1[[#This Row],[Cód. Atributo]],[1]!Tabla5[#Data],6,FALSE)</f>
        <v>Select</v>
      </c>
      <c r="F1513">
        <v>5</v>
      </c>
      <c r="G1513">
        <v>2</v>
      </c>
      <c r="H1513" t="s">
        <v>102</v>
      </c>
      <c r="I1513" t="str">
        <f>VLOOKUP(Tabla1[[#This Row],[Code]],'[1]Articulos Precio'!$A:$E,5,FALSE)</f>
        <v>A0000352</v>
      </c>
    </row>
    <row r="1514" spans="1:9" x14ac:dyDescent="0.25">
      <c r="A1514" t="s">
        <v>484</v>
      </c>
      <c r="B1514" t="str">
        <f>VLOOKUP(Tabla1[[#This Row],[Code]],[1]!Tabla4[#Data],2,FALSE)</f>
        <v>M2 Metamark M4 Mate 391M Oro 1,22 x 50m</v>
      </c>
      <c r="C1514">
        <v>24</v>
      </c>
      <c r="D1514" t="s">
        <v>96</v>
      </c>
      <c r="E1514" t="str">
        <f>VLOOKUP(Tabla1[[#This Row],[Cód. Atributo]],[1]!Tabla5[#Data],6,FALSE)</f>
        <v>Select</v>
      </c>
      <c r="F1514">
        <v>6</v>
      </c>
      <c r="G1514">
        <v>2</v>
      </c>
      <c r="H1514" t="s">
        <v>266</v>
      </c>
      <c r="I1514" t="str">
        <f>VLOOKUP(Tabla1[[#This Row],[Code]],'[1]Articulos Precio'!$A:$E,5,FALSE)</f>
        <v>A0000352</v>
      </c>
    </row>
    <row r="1515" spans="1:9" x14ac:dyDescent="0.25">
      <c r="A1515" t="s">
        <v>487</v>
      </c>
      <c r="B1515" t="str">
        <f>VLOOKUP(Tabla1[[#This Row],[Code]],[1]!Tabla4[#Data],2,FALSE)</f>
        <v>M2 Metamark M5000 Reflectante Blanco 1,22 x 45m</v>
      </c>
      <c r="C1515">
        <v>8</v>
      </c>
      <c r="D1515" t="s">
        <v>86</v>
      </c>
      <c r="E1515" t="str">
        <f>VLOOKUP(Tabla1[[#This Row],[Cód. Atributo]],[1]!Tabla5[#Data],6,FALSE)</f>
        <v>Select</v>
      </c>
      <c r="F1515">
        <v>1</v>
      </c>
      <c r="G1515">
        <v>2</v>
      </c>
      <c r="H1515" t="s">
        <v>268</v>
      </c>
      <c r="I1515" t="str">
        <f>VLOOKUP(Tabla1[[#This Row],[Code]],'[1]Articulos Precio'!$A:$E,5,FALSE)</f>
        <v>A0000983</v>
      </c>
    </row>
    <row r="1516" spans="1:9" x14ac:dyDescent="0.25">
      <c r="A1516" t="s">
        <v>487</v>
      </c>
      <c r="B1516" t="str">
        <f>VLOOKUP(Tabla1[[#This Row],[Code]],[1]!Tabla4[#Data],2,FALSE)</f>
        <v>M2 Metamark M5000 Reflectante Blanco 1,22 x 45m</v>
      </c>
      <c r="C1516">
        <v>34</v>
      </c>
      <c r="D1516">
        <v>34</v>
      </c>
      <c r="E1516" t="str">
        <f>VLOOKUP(Tabla1[[#This Row],[Cód. Atributo]],[1]!Tabla5[#Data],6,FALSE)</f>
        <v>Color</v>
      </c>
      <c r="F1516">
        <v>2</v>
      </c>
      <c r="G1516">
        <v>1</v>
      </c>
      <c r="H1516" t="s">
        <v>488</v>
      </c>
      <c r="I1516" t="str">
        <f>VLOOKUP(Tabla1[[#This Row],[Code]],'[1]Articulos Precio'!$A:$E,5,FALSE)</f>
        <v>A0000983</v>
      </c>
    </row>
    <row r="1517" spans="1:9" x14ac:dyDescent="0.25">
      <c r="A1517" t="s">
        <v>487</v>
      </c>
      <c r="B1517" t="str">
        <f>VLOOKUP(Tabla1[[#This Row],[Code]],[1]!Tabla4[#Data],2,FALSE)</f>
        <v>M2 Metamark M5000 Reflectante Blanco 1,22 x 45m</v>
      </c>
      <c r="C1517">
        <v>24</v>
      </c>
      <c r="D1517" t="s">
        <v>96</v>
      </c>
      <c r="E1517" t="str">
        <f>VLOOKUP(Tabla1[[#This Row],[Cód. Atributo]],[1]!Tabla5[#Data],6,FALSE)</f>
        <v>Select</v>
      </c>
      <c r="F1517">
        <v>4</v>
      </c>
      <c r="G1517">
        <v>4</v>
      </c>
      <c r="H1517" t="s">
        <v>489</v>
      </c>
      <c r="I1517" t="str">
        <f>VLOOKUP(Tabla1[[#This Row],[Code]],'[1]Articulos Precio'!$A:$E,5,FALSE)</f>
        <v>A0000983</v>
      </c>
    </row>
    <row r="1518" spans="1:9" x14ac:dyDescent="0.25">
      <c r="A1518" t="s">
        <v>487</v>
      </c>
      <c r="B1518" t="str">
        <f>VLOOKUP(Tabla1[[#This Row],[Code]],[1]!Tabla4[#Data],2,FALSE)</f>
        <v>M2 Metamark M5000 Reflectante Blanco 1,22 x 45m</v>
      </c>
      <c r="C1518">
        <v>25</v>
      </c>
      <c r="D1518" t="s">
        <v>94</v>
      </c>
      <c r="E1518" t="str">
        <f>VLOOKUP(Tabla1[[#This Row],[Cód. Atributo]],[1]!Tabla5[#Data],6,FALSE)</f>
        <v>Select</v>
      </c>
      <c r="F1518">
        <v>5</v>
      </c>
      <c r="G1518">
        <v>4</v>
      </c>
      <c r="H1518" t="s">
        <v>137</v>
      </c>
      <c r="I1518" t="str">
        <f>VLOOKUP(Tabla1[[#This Row],[Code]],'[1]Articulos Precio'!$A:$E,5,FALSE)</f>
        <v>A0000983</v>
      </c>
    </row>
    <row r="1519" spans="1:9" x14ac:dyDescent="0.25">
      <c r="A1519" t="s">
        <v>487</v>
      </c>
      <c r="B1519" t="str">
        <f>VLOOKUP(Tabla1[[#This Row],[Code]],[1]!Tabla4[#Data],2,FALSE)</f>
        <v>M2 Metamark M5000 Reflectante Blanco 1,22 x 45m</v>
      </c>
      <c r="E1519" t="e">
        <f>VLOOKUP(Tabla1[[#This Row],[Cód. Atributo]],[1]!Tabla5[#Data],6,FALSE)</f>
        <v>#N/A</v>
      </c>
      <c r="F1519">
        <v>6</v>
      </c>
      <c r="I1519" t="str">
        <f>VLOOKUP(Tabla1[[#This Row],[Code]],'[1]Articulos Precio'!$A:$E,5,FALSE)</f>
        <v>A0000983</v>
      </c>
    </row>
    <row r="1520" spans="1:9" x14ac:dyDescent="0.25">
      <c r="A1520" t="s">
        <v>490</v>
      </c>
      <c r="B1520" t="str">
        <f>VLOOKUP(Tabla1[[#This Row],[Code]],[1]!Tabla4[#Data],2,FALSE)</f>
        <v>M2 Metamark M7 100 Blanco Brillo 0,61 x 50m</v>
      </c>
      <c r="C1520">
        <v>8</v>
      </c>
      <c r="D1520" t="s">
        <v>86</v>
      </c>
      <c r="E1520" t="str">
        <f>VLOOKUP(Tabla1[[#This Row],[Cód. Atributo]],[1]!Tabla5[#Data],6,FALSE)</f>
        <v>Select</v>
      </c>
      <c r="F1520">
        <v>1</v>
      </c>
      <c r="G1520">
        <v>1</v>
      </c>
      <c r="H1520" t="s">
        <v>263</v>
      </c>
      <c r="I1520" t="str">
        <f>VLOOKUP(Tabla1[[#This Row],[Code]],'[1]Articulos Precio'!$A:$E,5,FALSE)</f>
        <v>A0000103</v>
      </c>
    </row>
    <row r="1521" spans="1:9" x14ac:dyDescent="0.25">
      <c r="A1521" t="s">
        <v>490</v>
      </c>
      <c r="B1521" t="str">
        <f>VLOOKUP(Tabla1[[#This Row],[Code]],[1]!Tabla4[#Data],2,FALSE)</f>
        <v>M2 Metamark M7 100 Blanco Brillo 0,61 x 50m</v>
      </c>
      <c r="C1521">
        <v>13</v>
      </c>
      <c r="D1521" t="s">
        <v>491</v>
      </c>
      <c r="E1521" t="str">
        <f>VLOOKUP(Tabla1[[#This Row],[Cód. Atributo]],[1]!Tabla5[#Data],6,FALSE)</f>
        <v>Color</v>
      </c>
      <c r="F1521">
        <v>2</v>
      </c>
      <c r="G1521">
        <v>1</v>
      </c>
      <c r="H1521" t="s">
        <v>492</v>
      </c>
      <c r="I1521" t="str">
        <f>VLOOKUP(Tabla1[[#This Row],[Code]],'[1]Articulos Precio'!$A:$E,5,FALSE)</f>
        <v>A0000103</v>
      </c>
    </row>
    <row r="1522" spans="1:9" x14ac:dyDescent="0.25">
      <c r="A1522" t="s">
        <v>490</v>
      </c>
      <c r="B1522" t="str">
        <f>VLOOKUP(Tabla1[[#This Row],[Code]],[1]!Tabla4[#Data],2,FALSE)</f>
        <v>M2 Metamark M7 100 Blanco Brillo 0,61 x 50m</v>
      </c>
      <c r="C1522">
        <v>23</v>
      </c>
      <c r="D1522" t="s">
        <v>90</v>
      </c>
      <c r="E1522" t="str">
        <f>VLOOKUP(Tabla1[[#This Row],[Cód. Atributo]],[1]!Tabla5[#Data],6,FALSE)</f>
        <v>Select</v>
      </c>
      <c r="F1522">
        <v>3</v>
      </c>
      <c r="G1522">
        <v>2</v>
      </c>
      <c r="H1522" t="s">
        <v>136</v>
      </c>
      <c r="I1522" t="str">
        <f>VLOOKUP(Tabla1[[#This Row],[Code]],'[1]Articulos Precio'!$A:$E,5,FALSE)</f>
        <v>A0000103</v>
      </c>
    </row>
    <row r="1523" spans="1:9" x14ac:dyDescent="0.25">
      <c r="A1523" t="s">
        <v>490</v>
      </c>
      <c r="B1523" t="str">
        <f>VLOOKUP(Tabla1[[#This Row],[Code]],[1]!Tabla4[#Data],2,FALSE)</f>
        <v>M2 Metamark M7 100 Blanco Brillo 0,61 x 50m</v>
      </c>
      <c r="C1523">
        <v>28</v>
      </c>
      <c r="D1523" t="s">
        <v>92</v>
      </c>
      <c r="E1523" t="str">
        <f>VLOOKUP(Tabla1[[#This Row],[Cód. Atributo]],[1]!Tabla5[#Data],6,FALSE)</f>
        <v>Select</v>
      </c>
      <c r="F1523">
        <v>4</v>
      </c>
      <c r="G1523">
        <v>1</v>
      </c>
      <c r="H1523" t="s">
        <v>93</v>
      </c>
      <c r="I1523" t="str">
        <f>VLOOKUP(Tabla1[[#This Row],[Code]],'[1]Articulos Precio'!$A:$E,5,FALSE)</f>
        <v>A0000103</v>
      </c>
    </row>
    <row r="1524" spans="1:9" x14ac:dyDescent="0.25">
      <c r="A1524" t="s">
        <v>490</v>
      </c>
      <c r="B1524" t="str">
        <f>VLOOKUP(Tabla1[[#This Row],[Code]],[1]!Tabla4[#Data],2,FALSE)</f>
        <v>M2 Metamark M7 100 Blanco Brillo 0,61 x 50m</v>
      </c>
      <c r="C1524">
        <v>25</v>
      </c>
      <c r="D1524" t="s">
        <v>94</v>
      </c>
      <c r="E1524" t="str">
        <f>VLOOKUP(Tabla1[[#This Row],[Cód. Atributo]],[1]!Tabla5[#Data],6,FALSE)</f>
        <v>Select</v>
      </c>
      <c r="F1524">
        <v>5</v>
      </c>
      <c r="G1524">
        <v>4</v>
      </c>
      <c r="H1524" t="s">
        <v>137</v>
      </c>
      <c r="I1524" t="str">
        <f>VLOOKUP(Tabla1[[#This Row],[Code]],'[1]Articulos Precio'!$A:$E,5,FALSE)</f>
        <v>A0000103</v>
      </c>
    </row>
    <row r="1525" spans="1:9" x14ac:dyDescent="0.25">
      <c r="A1525" t="s">
        <v>490</v>
      </c>
      <c r="B1525" t="str">
        <f>VLOOKUP(Tabla1[[#This Row],[Code]],[1]!Tabla4[#Data],2,FALSE)</f>
        <v>M2 Metamark M7 100 Blanco Brillo 0,61 x 50m</v>
      </c>
      <c r="C1525">
        <v>24</v>
      </c>
      <c r="D1525" t="s">
        <v>96</v>
      </c>
      <c r="E1525" t="str">
        <f>VLOOKUP(Tabla1[[#This Row],[Cód. Atributo]],[1]!Tabla5[#Data],6,FALSE)</f>
        <v>Select</v>
      </c>
      <c r="F1525">
        <v>6</v>
      </c>
      <c r="G1525">
        <v>2</v>
      </c>
      <c r="H1525" t="s">
        <v>266</v>
      </c>
      <c r="I1525" t="str">
        <f>VLOOKUP(Tabla1[[#This Row],[Code]],'[1]Articulos Precio'!$A:$E,5,FALSE)</f>
        <v>A0000103</v>
      </c>
    </row>
    <row r="1526" spans="1:9" x14ac:dyDescent="0.25">
      <c r="A1526" t="s">
        <v>493</v>
      </c>
      <c r="B1526" t="str">
        <f>VLOOKUP(Tabla1[[#This Row],[Code]],[1]!Tabla4[#Data],2,FALSE)</f>
        <v>M2 Metamark M7 100 Blanco Brillo 1,22 x 50m</v>
      </c>
      <c r="C1526">
        <v>8</v>
      </c>
      <c r="D1526" t="s">
        <v>86</v>
      </c>
      <c r="E1526" t="str">
        <f>VLOOKUP(Tabla1[[#This Row],[Cód. Atributo]],[1]!Tabla5[#Data],6,FALSE)</f>
        <v>Select</v>
      </c>
      <c r="F1526">
        <v>1</v>
      </c>
      <c r="G1526">
        <v>2</v>
      </c>
      <c r="H1526" t="s">
        <v>268</v>
      </c>
      <c r="I1526" t="str">
        <f>VLOOKUP(Tabla1[[#This Row],[Code]],'[1]Articulos Precio'!$A:$E,5,FALSE)</f>
        <v>A0000103</v>
      </c>
    </row>
    <row r="1527" spans="1:9" x14ac:dyDescent="0.25">
      <c r="A1527" t="s">
        <v>493</v>
      </c>
      <c r="B1527" t="str">
        <f>VLOOKUP(Tabla1[[#This Row],[Code]],[1]!Tabla4[#Data],2,FALSE)</f>
        <v>M2 Metamark M7 100 Blanco Brillo 1,22 x 50m</v>
      </c>
      <c r="C1527">
        <v>13</v>
      </c>
      <c r="D1527" t="s">
        <v>491</v>
      </c>
      <c r="E1527" t="str">
        <f>VLOOKUP(Tabla1[[#This Row],[Cód. Atributo]],[1]!Tabla5[#Data],6,FALSE)</f>
        <v>Color</v>
      </c>
      <c r="F1527">
        <v>2</v>
      </c>
      <c r="G1527">
        <v>1</v>
      </c>
      <c r="H1527" t="s">
        <v>492</v>
      </c>
      <c r="I1527" t="str">
        <f>VLOOKUP(Tabla1[[#This Row],[Code]],'[1]Articulos Precio'!$A:$E,5,FALSE)</f>
        <v>A0000103</v>
      </c>
    </row>
    <row r="1528" spans="1:9" x14ac:dyDescent="0.25">
      <c r="A1528" t="s">
        <v>493</v>
      </c>
      <c r="B1528" t="str">
        <f>VLOOKUP(Tabla1[[#This Row],[Code]],[1]!Tabla4[#Data],2,FALSE)</f>
        <v>M2 Metamark M7 100 Blanco Brillo 1,22 x 50m</v>
      </c>
      <c r="C1528">
        <v>23</v>
      </c>
      <c r="D1528" t="s">
        <v>90</v>
      </c>
      <c r="E1528" t="str">
        <f>VLOOKUP(Tabla1[[#This Row],[Cód. Atributo]],[1]!Tabla5[#Data],6,FALSE)</f>
        <v>Select</v>
      </c>
      <c r="F1528">
        <v>3</v>
      </c>
      <c r="G1528">
        <v>2</v>
      </c>
      <c r="H1528" t="s">
        <v>136</v>
      </c>
      <c r="I1528" t="str">
        <f>VLOOKUP(Tabla1[[#This Row],[Code]],'[1]Articulos Precio'!$A:$E,5,FALSE)</f>
        <v>A0000103</v>
      </c>
    </row>
    <row r="1529" spans="1:9" x14ac:dyDescent="0.25">
      <c r="A1529" t="s">
        <v>493</v>
      </c>
      <c r="B1529" t="str">
        <f>VLOOKUP(Tabla1[[#This Row],[Code]],[1]!Tabla4[#Data],2,FALSE)</f>
        <v>M2 Metamark M7 100 Blanco Brillo 1,22 x 50m</v>
      </c>
      <c r="C1529">
        <v>28</v>
      </c>
      <c r="D1529" t="s">
        <v>92</v>
      </c>
      <c r="E1529" t="str">
        <f>VLOOKUP(Tabla1[[#This Row],[Cód. Atributo]],[1]!Tabla5[#Data],6,FALSE)</f>
        <v>Select</v>
      </c>
      <c r="F1529">
        <v>4</v>
      </c>
      <c r="G1529">
        <v>1</v>
      </c>
      <c r="H1529" t="s">
        <v>93</v>
      </c>
      <c r="I1529" t="str">
        <f>VLOOKUP(Tabla1[[#This Row],[Code]],'[1]Articulos Precio'!$A:$E,5,FALSE)</f>
        <v>A0000103</v>
      </c>
    </row>
    <row r="1530" spans="1:9" x14ac:dyDescent="0.25">
      <c r="A1530" t="s">
        <v>493</v>
      </c>
      <c r="B1530" t="str">
        <f>VLOOKUP(Tabla1[[#This Row],[Code]],[1]!Tabla4[#Data],2,FALSE)</f>
        <v>M2 Metamark M7 100 Blanco Brillo 1,22 x 50m</v>
      </c>
      <c r="C1530">
        <v>25</v>
      </c>
      <c r="D1530" t="s">
        <v>94</v>
      </c>
      <c r="E1530" t="str">
        <f>VLOOKUP(Tabla1[[#This Row],[Cód. Atributo]],[1]!Tabla5[#Data],6,FALSE)</f>
        <v>Select</v>
      </c>
      <c r="F1530">
        <v>5</v>
      </c>
      <c r="G1530">
        <v>4</v>
      </c>
      <c r="H1530" t="s">
        <v>137</v>
      </c>
      <c r="I1530" t="str">
        <f>VLOOKUP(Tabla1[[#This Row],[Code]],'[1]Articulos Precio'!$A:$E,5,FALSE)</f>
        <v>A0000103</v>
      </c>
    </row>
    <row r="1531" spans="1:9" x14ac:dyDescent="0.25">
      <c r="A1531" t="s">
        <v>493</v>
      </c>
      <c r="B1531" t="str">
        <f>VLOOKUP(Tabla1[[#This Row],[Code]],[1]!Tabla4[#Data],2,FALSE)</f>
        <v>M2 Metamark M7 100 Blanco Brillo 1,22 x 50m</v>
      </c>
      <c r="C1531">
        <v>24</v>
      </c>
      <c r="D1531" t="s">
        <v>96</v>
      </c>
      <c r="E1531" t="str">
        <f>VLOOKUP(Tabla1[[#This Row],[Cód. Atributo]],[1]!Tabla5[#Data],6,FALSE)</f>
        <v>Select</v>
      </c>
      <c r="F1531">
        <v>6</v>
      </c>
      <c r="G1531">
        <v>2</v>
      </c>
      <c r="H1531" t="s">
        <v>266</v>
      </c>
      <c r="I1531" t="str">
        <f>VLOOKUP(Tabla1[[#This Row],[Code]],'[1]Articulos Precio'!$A:$E,5,FALSE)</f>
        <v>A0000103</v>
      </c>
    </row>
    <row r="1532" spans="1:9" x14ac:dyDescent="0.25">
      <c r="A1532" t="s">
        <v>494</v>
      </c>
      <c r="B1532" t="str">
        <f>VLOOKUP(Tabla1[[#This Row],[Code]],[1]!Tabla4[#Data],2,FALSE)</f>
        <v>M2 Metamark M7 101M Blanco Mate 0,61 x 50m</v>
      </c>
      <c r="C1532">
        <v>8</v>
      </c>
      <c r="D1532" t="s">
        <v>86</v>
      </c>
      <c r="E1532" t="str">
        <f>VLOOKUP(Tabla1[[#This Row],[Cód. Atributo]],[1]!Tabla5[#Data],6,FALSE)</f>
        <v>Select</v>
      </c>
      <c r="F1532">
        <v>1</v>
      </c>
      <c r="G1532">
        <v>1</v>
      </c>
      <c r="H1532" t="s">
        <v>263</v>
      </c>
      <c r="I1532" t="str">
        <f>VLOOKUP(Tabla1[[#This Row],[Code]],'[1]Articulos Precio'!$A:$E,5,FALSE)</f>
        <v>A0000103</v>
      </c>
    </row>
    <row r="1533" spans="1:9" x14ac:dyDescent="0.25">
      <c r="A1533" t="s">
        <v>494</v>
      </c>
      <c r="B1533" t="str">
        <f>VLOOKUP(Tabla1[[#This Row],[Code]],[1]!Tabla4[#Data],2,FALSE)</f>
        <v>M2 Metamark M7 101M Blanco Mate 0,61 x 50m</v>
      </c>
      <c r="C1533">
        <v>13</v>
      </c>
      <c r="D1533" t="s">
        <v>491</v>
      </c>
      <c r="E1533" t="str">
        <f>VLOOKUP(Tabla1[[#This Row],[Cód. Atributo]],[1]!Tabla5[#Data],6,FALSE)</f>
        <v>Color</v>
      </c>
      <c r="F1533">
        <v>2</v>
      </c>
      <c r="G1533">
        <v>2</v>
      </c>
      <c r="H1533" t="s">
        <v>495</v>
      </c>
      <c r="I1533" t="str">
        <f>VLOOKUP(Tabla1[[#This Row],[Code]],'[1]Articulos Precio'!$A:$E,5,FALSE)</f>
        <v>A0000103</v>
      </c>
    </row>
    <row r="1534" spans="1:9" x14ac:dyDescent="0.25">
      <c r="A1534" t="s">
        <v>494</v>
      </c>
      <c r="B1534" t="str">
        <f>VLOOKUP(Tabla1[[#This Row],[Code]],[1]!Tabla4[#Data],2,FALSE)</f>
        <v>M2 Metamark M7 101M Blanco Mate 0,61 x 50m</v>
      </c>
      <c r="C1534">
        <v>23</v>
      </c>
      <c r="D1534" t="s">
        <v>90</v>
      </c>
      <c r="E1534" t="str">
        <f>VLOOKUP(Tabla1[[#This Row],[Cód. Atributo]],[1]!Tabla5[#Data],6,FALSE)</f>
        <v>Select</v>
      </c>
      <c r="F1534">
        <v>3</v>
      </c>
      <c r="G1534">
        <v>2</v>
      </c>
      <c r="H1534" t="s">
        <v>136</v>
      </c>
      <c r="I1534" t="str">
        <f>VLOOKUP(Tabla1[[#This Row],[Code]],'[1]Articulos Precio'!$A:$E,5,FALSE)</f>
        <v>A0000103</v>
      </c>
    </row>
    <row r="1535" spans="1:9" x14ac:dyDescent="0.25">
      <c r="A1535" t="s">
        <v>494</v>
      </c>
      <c r="B1535" t="str">
        <f>VLOOKUP(Tabla1[[#This Row],[Code]],[1]!Tabla4[#Data],2,FALSE)</f>
        <v>M2 Metamark M7 101M Blanco Mate 0,61 x 50m</v>
      </c>
      <c r="C1535">
        <v>28</v>
      </c>
      <c r="D1535" t="s">
        <v>92</v>
      </c>
      <c r="E1535" t="str">
        <f>VLOOKUP(Tabla1[[#This Row],[Cód. Atributo]],[1]!Tabla5[#Data],6,FALSE)</f>
        <v>Select</v>
      </c>
      <c r="F1535">
        <v>4</v>
      </c>
      <c r="G1535">
        <v>2</v>
      </c>
      <c r="H1535" t="s">
        <v>102</v>
      </c>
      <c r="I1535" t="str">
        <f>VLOOKUP(Tabla1[[#This Row],[Code]],'[1]Articulos Precio'!$A:$E,5,FALSE)</f>
        <v>A0000103</v>
      </c>
    </row>
    <row r="1536" spans="1:9" x14ac:dyDescent="0.25">
      <c r="A1536" t="s">
        <v>494</v>
      </c>
      <c r="B1536" t="str">
        <f>VLOOKUP(Tabla1[[#This Row],[Code]],[1]!Tabla4[#Data],2,FALSE)</f>
        <v>M2 Metamark M7 101M Blanco Mate 0,61 x 50m</v>
      </c>
      <c r="C1536">
        <v>25</v>
      </c>
      <c r="D1536" t="s">
        <v>94</v>
      </c>
      <c r="E1536" t="str">
        <f>VLOOKUP(Tabla1[[#This Row],[Cód. Atributo]],[1]!Tabla5[#Data],6,FALSE)</f>
        <v>Select</v>
      </c>
      <c r="F1536">
        <v>5</v>
      </c>
      <c r="G1536">
        <v>4</v>
      </c>
      <c r="H1536" t="s">
        <v>137</v>
      </c>
      <c r="I1536" t="str">
        <f>VLOOKUP(Tabla1[[#This Row],[Code]],'[1]Articulos Precio'!$A:$E,5,FALSE)</f>
        <v>A0000103</v>
      </c>
    </row>
    <row r="1537" spans="1:9" x14ac:dyDescent="0.25">
      <c r="A1537" t="s">
        <v>494</v>
      </c>
      <c r="B1537" t="str">
        <f>VLOOKUP(Tabla1[[#This Row],[Code]],[1]!Tabla4[#Data],2,FALSE)</f>
        <v>M2 Metamark M7 101M Blanco Mate 0,61 x 50m</v>
      </c>
      <c r="C1537">
        <v>24</v>
      </c>
      <c r="D1537" t="s">
        <v>96</v>
      </c>
      <c r="E1537" t="str">
        <f>VLOOKUP(Tabla1[[#This Row],[Cód. Atributo]],[1]!Tabla5[#Data],6,FALSE)</f>
        <v>Select</v>
      </c>
      <c r="F1537">
        <v>6</v>
      </c>
      <c r="G1537">
        <v>2</v>
      </c>
      <c r="H1537" t="s">
        <v>266</v>
      </c>
      <c r="I1537" t="str">
        <f>VLOOKUP(Tabla1[[#This Row],[Code]],'[1]Articulos Precio'!$A:$E,5,FALSE)</f>
        <v>A0000103</v>
      </c>
    </row>
    <row r="1538" spans="1:9" x14ac:dyDescent="0.25">
      <c r="A1538" t="s">
        <v>496</v>
      </c>
      <c r="B1538" t="str">
        <f>VLOOKUP(Tabla1[[#This Row],[Code]],[1]!Tabla4[#Data],2,FALSE)</f>
        <v>M2 Metamark M7 101M Blanco Mate 1,22 x 50m</v>
      </c>
      <c r="C1538">
        <v>8</v>
      </c>
      <c r="D1538" t="s">
        <v>86</v>
      </c>
      <c r="E1538" t="str">
        <f>VLOOKUP(Tabla1[[#This Row],[Cód. Atributo]],[1]!Tabla5[#Data],6,FALSE)</f>
        <v>Select</v>
      </c>
      <c r="F1538">
        <v>1</v>
      </c>
      <c r="G1538">
        <v>2</v>
      </c>
      <c r="H1538" t="s">
        <v>268</v>
      </c>
      <c r="I1538" t="str">
        <f>VLOOKUP(Tabla1[[#This Row],[Code]],'[1]Articulos Precio'!$A:$E,5,FALSE)</f>
        <v>A0000103</v>
      </c>
    </row>
    <row r="1539" spans="1:9" x14ac:dyDescent="0.25">
      <c r="A1539" t="s">
        <v>496</v>
      </c>
      <c r="B1539" t="str">
        <f>VLOOKUP(Tabla1[[#This Row],[Code]],[1]!Tabla4[#Data],2,FALSE)</f>
        <v>M2 Metamark M7 101M Blanco Mate 1,22 x 50m</v>
      </c>
      <c r="C1539">
        <v>13</v>
      </c>
      <c r="D1539" t="s">
        <v>491</v>
      </c>
      <c r="E1539" t="str">
        <f>VLOOKUP(Tabla1[[#This Row],[Cód. Atributo]],[1]!Tabla5[#Data],6,FALSE)</f>
        <v>Color</v>
      </c>
      <c r="F1539">
        <v>2</v>
      </c>
      <c r="G1539">
        <v>2</v>
      </c>
      <c r="H1539" t="s">
        <v>495</v>
      </c>
      <c r="I1539" t="str">
        <f>VLOOKUP(Tabla1[[#This Row],[Code]],'[1]Articulos Precio'!$A:$E,5,FALSE)</f>
        <v>A0000103</v>
      </c>
    </row>
    <row r="1540" spans="1:9" x14ac:dyDescent="0.25">
      <c r="A1540" t="s">
        <v>496</v>
      </c>
      <c r="B1540" t="str">
        <f>VLOOKUP(Tabla1[[#This Row],[Code]],[1]!Tabla4[#Data],2,FALSE)</f>
        <v>M2 Metamark M7 101M Blanco Mate 1,22 x 50m</v>
      </c>
      <c r="C1540">
        <v>23</v>
      </c>
      <c r="D1540" t="s">
        <v>90</v>
      </c>
      <c r="E1540" t="str">
        <f>VLOOKUP(Tabla1[[#This Row],[Cód. Atributo]],[1]!Tabla5[#Data],6,FALSE)</f>
        <v>Select</v>
      </c>
      <c r="F1540">
        <v>3</v>
      </c>
      <c r="G1540">
        <v>2</v>
      </c>
      <c r="H1540" t="s">
        <v>136</v>
      </c>
      <c r="I1540" t="str">
        <f>VLOOKUP(Tabla1[[#This Row],[Code]],'[1]Articulos Precio'!$A:$E,5,FALSE)</f>
        <v>A0000103</v>
      </c>
    </row>
    <row r="1541" spans="1:9" x14ac:dyDescent="0.25">
      <c r="A1541" t="s">
        <v>496</v>
      </c>
      <c r="B1541" t="str">
        <f>VLOOKUP(Tabla1[[#This Row],[Code]],[1]!Tabla4[#Data],2,FALSE)</f>
        <v>M2 Metamark M7 101M Blanco Mate 1,22 x 50m</v>
      </c>
      <c r="C1541">
        <v>28</v>
      </c>
      <c r="D1541" t="s">
        <v>92</v>
      </c>
      <c r="E1541" t="str">
        <f>VLOOKUP(Tabla1[[#This Row],[Cód. Atributo]],[1]!Tabla5[#Data],6,FALSE)</f>
        <v>Select</v>
      </c>
      <c r="F1541">
        <v>4</v>
      </c>
      <c r="G1541">
        <v>2</v>
      </c>
      <c r="H1541" t="s">
        <v>102</v>
      </c>
      <c r="I1541" t="str">
        <f>VLOOKUP(Tabla1[[#This Row],[Code]],'[1]Articulos Precio'!$A:$E,5,FALSE)</f>
        <v>A0000103</v>
      </c>
    </row>
    <row r="1542" spans="1:9" x14ac:dyDescent="0.25">
      <c r="A1542" t="s">
        <v>496</v>
      </c>
      <c r="B1542" t="str">
        <f>VLOOKUP(Tabla1[[#This Row],[Code]],[1]!Tabla4[#Data],2,FALSE)</f>
        <v>M2 Metamark M7 101M Blanco Mate 1,22 x 50m</v>
      </c>
      <c r="C1542">
        <v>25</v>
      </c>
      <c r="D1542" t="s">
        <v>94</v>
      </c>
      <c r="E1542" t="str">
        <f>VLOOKUP(Tabla1[[#This Row],[Cód. Atributo]],[1]!Tabla5[#Data],6,FALSE)</f>
        <v>Select</v>
      </c>
      <c r="F1542">
        <v>5</v>
      </c>
      <c r="G1542">
        <v>4</v>
      </c>
      <c r="H1542" t="s">
        <v>137</v>
      </c>
      <c r="I1542" t="str">
        <f>VLOOKUP(Tabla1[[#This Row],[Code]],'[1]Articulos Precio'!$A:$E,5,FALSE)</f>
        <v>A0000103</v>
      </c>
    </row>
    <row r="1543" spans="1:9" x14ac:dyDescent="0.25">
      <c r="A1543" t="s">
        <v>496</v>
      </c>
      <c r="B1543" t="str">
        <f>VLOOKUP(Tabla1[[#This Row],[Code]],[1]!Tabla4[#Data],2,FALSE)</f>
        <v>M2 Metamark M7 101M Blanco Mate 1,22 x 50m</v>
      </c>
      <c r="C1543">
        <v>24</v>
      </c>
      <c r="D1543" t="s">
        <v>96</v>
      </c>
      <c r="E1543" t="str">
        <f>VLOOKUP(Tabla1[[#This Row],[Cód. Atributo]],[1]!Tabla5[#Data],6,FALSE)</f>
        <v>Select</v>
      </c>
      <c r="F1543">
        <v>6</v>
      </c>
      <c r="G1543">
        <v>2</v>
      </c>
      <c r="H1543" t="s">
        <v>266</v>
      </c>
      <c r="I1543" t="str">
        <f>VLOOKUP(Tabla1[[#This Row],[Code]],'[1]Articulos Precio'!$A:$E,5,FALSE)</f>
        <v>A0000103</v>
      </c>
    </row>
    <row r="1544" spans="1:9" x14ac:dyDescent="0.25">
      <c r="A1544" t="s">
        <v>497</v>
      </c>
      <c r="B1544" t="str">
        <f>VLOOKUP(Tabla1[[#This Row],[Code]],[1]!Tabla4[#Data],2,FALSE)</f>
        <v>M2 Metamark M7 110 Negro Brillo 0,61 x 50m</v>
      </c>
      <c r="C1544">
        <v>8</v>
      </c>
      <c r="D1544" t="s">
        <v>86</v>
      </c>
      <c r="E1544" t="str">
        <f>VLOOKUP(Tabla1[[#This Row],[Cód. Atributo]],[1]!Tabla5[#Data],6,FALSE)</f>
        <v>Select</v>
      </c>
      <c r="F1544">
        <v>1</v>
      </c>
      <c r="G1544">
        <v>1</v>
      </c>
      <c r="H1544" t="s">
        <v>263</v>
      </c>
      <c r="I1544" t="str">
        <f>VLOOKUP(Tabla1[[#This Row],[Code]],'[1]Articulos Precio'!$A:$E,5,FALSE)</f>
        <v>A0000103</v>
      </c>
    </row>
    <row r="1545" spans="1:9" x14ac:dyDescent="0.25">
      <c r="A1545" t="s">
        <v>497</v>
      </c>
      <c r="B1545" t="str">
        <f>VLOOKUP(Tabla1[[#This Row],[Code]],[1]!Tabla4[#Data],2,FALSE)</f>
        <v>M2 Metamark M7 110 Negro Brillo 0,61 x 50m</v>
      </c>
      <c r="C1545">
        <v>13</v>
      </c>
      <c r="D1545" t="s">
        <v>491</v>
      </c>
      <c r="E1545" t="str">
        <f>VLOOKUP(Tabla1[[#This Row],[Cód. Atributo]],[1]!Tabla5[#Data],6,FALSE)</f>
        <v>Color</v>
      </c>
      <c r="F1545">
        <v>2</v>
      </c>
      <c r="G1545">
        <v>4</v>
      </c>
      <c r="H1545" t="s">
        <v>498</v>
      </c>
      <c r="I1545" t="str">
        <f>VLOOKUP(Tabla1[[#This Row],[Code]],'[1]Articulos Precio'!$A:$E,5,FALSE)</f>
        <v>A0000103</v>
      </c>
    </row>
    <row r="1546" spans="1:9" x14ac:dyDescent="0.25">
      <c r="A1546" t="s">
        <v>497</v>
      </c>
      <c r="B1546" t="str">
        <f>VLOOKUP(Tabla1[[#This Row],[Code]],[1]!Tabla4[#Data],2,FALSE)</f>
        <v>M2 Metamark M7 110 Negro Brillo 0,61 x 50m</v>
      </c>
      <c r="C1546">
        <v>23</v>
      </c>
      <c r="D1546" t="s">
        <v>90</v>
      </c>
      <c r="E1546" t="str">
        <f>VLOOKUP(Tabla1[[#This Row],[Cód. Atributo]],[1]!Tabla5[#Data],6,FALSE)</f>
        <v>Select</v>
      </c>
      <c r="F1546">
        <v>3</v>
      </c>
      <c r="G1546">
        <v>2</v>
      </c>
      <c r="H1546" t="s">
        <v>136</v>
      </c>
      <c r="I1546" t="str">
        <f>VLOOKUP(Tabla1[[#This Row],[Code]],'[1]Articulos Precio'!$A:$E,5,FALSE)</f>
        <v>A0000103</v>
      </c>
    </row>
    <row r="1547" spans="1:9" x14ac:dyDescent="0.25">
      <c r="A1547" t="s">
        <v>497</v>
      </c>
      <c r="B1547" t="str">
        <f>VLOOKUP(Tabla1[[#This Row],[Code]],[1]!Tabla4[#Data],2,FALSE)</f>
        <v>M2 Metamark M7 110 Negro Brillo 0,61 x 50m</v>
      </c>
      <c r="C1547">
        <v>28</v>
      </c>
      <c r="D1547" t="s">
        <v>92</v>
      </c>
      <c r="E1547" t="str">
        <f>VLOOKUP(Tabla1[[#This Row],[Cód. Atributo]],[1]!Tabla5[#Data],6,FALSE)</f>
        <v>Select</v>
      </c>
      <c r="F1547">
        <v>4</v>
      </c>
      <c r="G1547">
        <v>1</v>
      </c>
      <c r="H1547" t="s">
        <v>93</v>
      </c>
      <c r="I1547" t="str">
        <f>VLOOKUP(Tabla1[[#This Row],[Code]],'[1]Articulos Precio'!$A:$E,5,FALSE)</f>
        <v>A0000103</v>
      </c>
    </row>
    <row r="1548" spans="1:9" x14ac:dyDescent="0.25">
      <c r="A1548" t="s">
        <v>497</v>
      </c>
      <c r="B1548" t="str">
        <f>VLOOKUP(Tabla1[[#This Row],[Code]],[1]!Tabla4[#Data],2,FALSE)</f>
        <v>M2 Metamark M7 110 Negro Brillo 0,61 x 50m</v>
      </c>
      <c r="C1548">
        <v>25</v>
      </c>
      <c r="D1548" t="s">
        <v>94</v>
      </c>
      <c r="E1548" t="str">
        <f>VLOOKUP(Tabla1[[#This Row],[Cód. Atributo]],[1]!Tabla5[#Data],6,FALSE)</f>
        <v>Select</v>
      </c>
      <c r="F1548">
        <v>5</v>
      </c>
      <c r="G1548">
        <v>4</v>
      </c>
      <c r="H1548" t="s">
        <v>137</v>
      </c>
      <c r="I1548" t="str">
        <f>VLOOKUP(Tabla1[[#This Row],[Code]],'[1]Articulos Precio'!$A:$E,5,FALSE)</f>
        <v>A0000103</v>
      </c>
    </row>
    <row r="1549" spans="1:9" x14ac:dyDescent="0.25">
      <c r="A1549" t="s">
        <v>497</v>
      </c>
      <c r="B1549" t="str">
        <f>VLOOKUP(Tabla1[[#This Row],[Code]],[1]!Tabla4[#Data],2,FALSE)</f>
        <v>M2 Metamark M7 110 Negro Brillo 0,61 x 50m</v>
      </c>
      <c r="C1549">
        <v>24</v>
      </c>
      <c r="D1549" t="s">
        <v>96</v>
      </c>
      <c r="E1549" t="str">
        <f>VLOOKUP(Tabla1[[#This Row],[Cód. Atributo]],[1]!Tabla5[#Data],6,FALSE)</f>
        <v>Select</v>
      </c>
      <c r="F1549">
        <v>6</v>
      </c>
      <c r="G1549">
        <v>2</v>
      </c>
      <c r="H1549" t="s">
        <v>266</v>
      </c>
      <c r="I1549" t="str">
        <f>VLOOKUP(Tabla1[[#This Row],[Code]],'[1]Articulos Precio'!$A:$E,5,FALSE)</f>
        <v>A0000103</v>
      </c>
    </row>
    <row r="1550" spans="1:9" x14ac:dyDescent="0.25">
      <c r="A1550" t="s">
        <v>499</v>
      </c>
      <c r="B1550" t="str">
        <f>VLOOKUP(Tabla1[[#This Row],[Code]],[1]!Tabla4[#Data],2,FALSE)</f>
        <v>M2 Metamark M7 110 Negro Brillo 1,22 x 50m</v>
      </c>
      <c r="C1550">
        <v>8</v>
      </c>
      <c r="D1550" t="s">
        <v>86</v>
      </c>
      <c r="E1550" t="str">
        <f>VLOOKUP(Tabla1[[#This Row],[Cód. Atributo]],[1]!Tabla5[#Data],6,FALSE)</f>
        <v>Select</v>
      </c>
      <c r="F1550">
        <v>1</v>
      </c>
      <c r="G1550">
        <v>2</v>
      </c>
      <c r="H1550" t="s">
        <v>268</v>
      </c>
      <c r="I1550" t="str">
        <f>VLOOKUP(Tabla1[[#This Row],[Code]],'[1]Articulos Precio'!$A:$E,5,FALSE)</f>
        <v>A0000103</v>
      </c>
    </row>
    <row r="1551" spans="1:9" x14ac:dyDescent="0.25">
      <c r="A1551" t="s">
        <v>499</v>
      </c>
      <c r="B1551" t="str">
        <f>VLOOKUP(Tabla1[[#This Row],[Code]],[1]!Tabla4[#Data],2,FALSE)</f>
        <v>M2 Metamark M7 110 Negro Brillo 1,22 x 50m</v>
      </c>
      <c r="C1551">
        <v>13</v>
      </c>
      <c r="D1551" t="s">
        <v>491</v>
      </c>
      <c r="E1551" t="str">
        <f>VLOOKUP(Tabla1[[#This Row],[Cód. Atributo]],[1]!Tabla5[#Data],6,FALSE)</f>
        <v>Color</v>
      </c>
      <c r="F1551">
        <v>2</v>
      </c>
      <c r="G1551">
        <v>4</v>
      </c>
      <c r="H1551" t="s">
        <v>498</v>
      </c>
      <c r="I1551" t="str">
        <f>VLOOKUP(Tabla1[[#This Row],[Code]],'[1]Articulos Precio'!$A:$E,5,FALSE)</f>
        <v>A0000103</v>
      </c>
    </row>
    <row r="1552" spans="1:9" x14ac:dyDescent="0.25">
      <c r="A1552" t="s">
        <v>499</v>
      </c>
      <c r="B1552" t="str">
        <f>VLOOKUP(Tabla1[[#This Row],[Code]],[1]!Tabla4[#Data],2,FALSE)</f>
        <v>M2 Metamark M7 110 Negro Brillo 1,22 x 50m</v>
      </c>
      <c r="C1552">
        <v>23</v>
      </c>
      <c r="D1552" t="s">
        <v>90</v>
      </c>
      <c r="E1552" t="str">
        <f>VLOOKUP(Tabla1[[#This Row],[Cód. Atributo]],[1]!Tabla5[#Data],6,FALSE)</f>
        <v>Select</v>
      </c>
      <c r="F1552">
        <v>3</v>
      </c>
      <c r="G1552">
        <v>2</v>
      </c>
      <c r="H1552" t="s">
        <v>136</v>
      </c>
      <c r="I1552" t="str">
        <f>VLOOKUP(Tabla1[[#This Row],[Code]],'[1]Articulos Precio'!$A:$E,5,FALSE)</f>
        <v>A0000103</v>
      </c>
    </row>
    <row r="1553" spans="1:9" x14ac:dyDescent="0.25">
      <c r="A1553" t="s">
        <v>499</v>
      </c>
      <c r="B1553" t="str">
        <f>VLOOKUP(Tabla1[[#This Row],[Code]],[1]!Tabla4[#Data],2,FALSE)</f>
        <v>M2 Metamark M7 110 Negro Brillo 1,22 x 50m</v>
      </c>
      <c r="C1553">
        <v>28</v>
      </c>
      <c r="D1553" t="s">
        <v>92</v>
      </c>
      <c r="E1553" t="str">
        <f>VLOOKUP(Tabla1[[#This Row],[Cód. Atributo]],[1]!Tabla5[#Data],6,FALSE)</f>
        <v>Select</v>
      </c>
      <c r="F1553">
        <v>4</v>
      </c>
      <c r="G1553">
        <v>1</v>
      </c>
      <c r="H1553" t="s">
        <v>93</v>
      </c>
      <c r="I1553" t="str">
        <f>VLOOKUP(Tabla1[[#This Row],[Code]],'[1]Articulos Precio'!$A:$E,5,FALSE)</f>
        <v>A0000103</v>
      </c>
    </row>
    <row r="1554" spans="1:9" x14ac:dyDescent="0.25">
      <c r="A1554" t="s">
        <v>499</v>
      </c>
      <c r="B1554" t="str">
        <f>VLOOKUP(Tabla1[[#This Row],[Code]],[1]!Tabla4[#Data],2,FALSE)</f>
        <v>M2 Metamark M7 110 Negro Brillo 1,22 x 50m</v>
      </c>
      <c r="C1554">
        <v>25</v>
      </c>
      <c r="D1554" t="s">
        <v>94</v>
      </c>
      <c r="E1554" t="str">
        <f>VLOOKUP(Tabla1[[#This Row],[Cód. Atributo]],[1]!Tabla5[#Data],6,FALSE)</f>
        <v>Select</v>
      </c>
      <c r="F1554">
        <v>5</v>
      </c>
      <c r="G1554">
        <v>4</v>
      </c>
      <c r="H1554" t="s">
        <v>137</v>
      </c>
      <c r="I1554" t="str">
        <f>VLOOKUP(Tabla1[[#This Row],[Code]],'[1]Articulos Precio'!$A:$E,5,FALSE)</f>
        <v>A0000103</v>
      </c>
    </row>
    <row r="1555" spans="1:9" x14ac:dyDescent="0.25">
      <c r="A1555" t="s">
        <v>499</v>
      </c>
      <c r="B1555" t="str">
        <f>VLOOKUP(Tabla1[[#This Row],[Code]],[1]!Tabla4[#Data],2,FALSE)</f>
        <v>M2 Metamark M7 110 Negro Brillo 1,22 x 50m</v>
      </c>
      <c r="C1555">
        <v>24</v>
      </c>
      <c r="D1555" t="s">
        <v>96</v>
      </c>
      <c r="E1555" t="str">
        <f>VLOOKUP(Tabla1[[#This Row],[Cód. Atributo]],[1]!Tabla5[#Data],6,FALSE)</f>
        <v>Select</v>
      </c>
      <c r="F1555">
        <v>6</v>
      </c>
      <c r="G1555">
        <v>2</v>
      </c>
      <c r="H1555" t="s">
        <v>266</v>
      </c>
      <c r="I1555" t="str">
        <f>VLOOKUP(Tabla1[[#This Row],[Code]],'[1]Articulos Precio'!$A:$E,5,FALSE)</f>
        <v>A0000103</v>
      </c>
    </row>
    <row r="1556" spans="1:9" x14ac:dyDescent="0.25">
      <c r="A1556" t="s">
        <v>500</v>
      </c>
      <c r="B1556" t="str">
        <f>VLOOKUP(Tabla1[[#This Row],[Code]],[1]!Tabla4[#Data],2,FALSE)</f>
        <v>M2 Metamark M7 111M Negro Mate 0,61 x 50m</v>
      </c>
      <c r="C1556">
        <v>13</v>
      </c>
      <c r="D1556" t="s">
        <v>491</v>
      </c>
      <c r="E1556" t="str">
        <f>VLOOKUP(Tabla1[[#This Row],[Cód. Atributo]],[1]!Tabla5[#Data],6,FALSE)</f>
        <v>Color</v>
      </c>
      <c r="F1556">
        <v>1</v>
      </c>
      <c r="G1556">
        <v>5</v>
      </c>
      <c r="H1556" t="s">
        <v>501</v>
      </c>
      <c r="I1556" t="str">
        <f>VLOOKUP(Tabla1[[#This Row],[Code]],'[1]Articulos Precio'!$A:$E,5,FALSE)</f>
        <v>A0000103</v>
      </c>
    </row>
    <row r="1557" spans="1:9" x14ac:dyDescent="0.25">
      <c r="A1557" t="s">
        <v>500</v>
      </c>
      <c r="B1557" t="str">
        <f>VLOOKUP(Tabla1[[#This Row],[Code]],[1]!Tabla4[#Data],2,FALSE)</f>
        <v>M2 Metamark M7 111M Negro Mate 0,61 x 50m</v>
      </c>
      <c r="C1557">
        <v>8</v>
      </c>
      <c r="D1557" t="s">
        <v>86</v>
      </c>
      <c r="E1557" t="str">
        <f>VLOOKUP(Tabla1[[#This Row],[Cód. Atributo]],[1]!Tabla5[#Data],6,FALSE)</f>
        <v>Select</v>
      </c>
      <c r="F1557">
        <v>2</v>
      </c>
      <c r="G1557">
        <v>1</v>
      </c>
      <c r="H1557" t="s">
        <v>263</v>
      </c>
      <c r="I1557" t="str">
        <f>VLOOKUP(Tabla1[[#This Row],[Code]],'[1]Articulos Precio'!$A:$E,5,FALSE)</f>
        <v>A0000103</v>
      </c>
    </row>
    <row r="1558" spans="1:9" x14ac:dyDescent="0.25">
      <c r="A1558" t="s">
        <v>500</v>
      </c>
      <c r="B1558" t="str">
        <f>VLOOKUP(Tabla1[[#This Row],[Code]],[1]!Tabla4[#Data],2,FALSE)</f>
        <v>M2 Metamark M7 111M Negro Mate 0,61 x 50m</v>
      </c>
      <c r="C1558">
        <v>23</v>
      </c>
      <c r="D1558" t="s">
        <v>90</v>
      </c>
      <c r="E1558" t="str">
        <f>VLOOKUP(Tabla1[[#This Row],[Cód. Atributo]],[1]!Tabla5[#Data],6,FALSE)</f>
        <v>Select</v>
      </c>
      <c r="F1558">
        <v>3</v>
      </c>
      <c r="G1558">
        <v>2</v>
      </c>
      <c r="H1558" t="s">
        <v>136</v>
      </c>
      <c r="I1558" t="str">
        <f>VLOOKUP(Tabla1[[#This Row],[Code]],'[1]Articulos Precio'!$A:$E,5,FALSE)</f>
        <v>A0000103</v>
      </c>
    </row>
    <row r="1559" spans="1:9" x14ac:dyDescent="0.25">
      <c r="A1559" t="s">
        <v>500</v>
      </c>
      <c r="B1559" t="str">
        <f>VLOOKUP(Tabla1[[#This Row],[Code]],[1]!Tabla4[#Data],2,FALSE)</f>
        <v>M2 Metamark M7 111M Negro Mate 0,61 x 50m</v>
      </c>
      <c r="C1559">
        <v>28</v>
      </c>
      <c r="D1559" t="s">
        <v>92</v>
      </c>
      <c r="E1559" t="str">
        <f>VLOOKUP(Tabla1[[#This Row],[Cód. Atributo]],[1]!Tabla5[#Data],6,FALSE)</f>
        <v>Select</v>
      </c>
      <c r="F1559">
        <v>4</v>
      </c>
      <c r="G1559">
        <v>2</v>
      </c>
      <c r="H1559" t="s">
        <v>102</v>
      </c>
      <c r="I1559" t="str">
        <f>VLOOKUP(Tabla1[[#This Row],[Code]],'[1]Articulos Precio'!$A:$E,5,FALSE)</f>
        <v>A0000103</v>
      </c>
    </row>
    <row r="1560" spans="1:9" x14ac:dyDescent="0.25">
      <c r="A1560" t="s">
        <v>500</v>
      </c>
      <c r="B1560" t="str">
        <f>VLOOKUP(Tabla1[[#This Row],[Code]],[1]!Tabla4[#Data],2,FALSE)</f>
        <v>M2 Metamark M7 111M Negro Mate 0,61 x 50m</v>
      </c>
      <c r="C1560">
        <v>25</v>
      </c>
      <c r="D1560" t="s">
        <v>94</v>
      </c>
      <c r="E1560" t="str">
        <f>VLOOKUP(Tabla1[[#This Row],[Cód. Atributo]],[1]!Tabla5[#Data],6,FALSE)</f>
        <v>Select</v>
      </c>
      <c r="F1560">
        <v>5</v>
      </c>
      <c r="G1560">
        <v>4</v>
      </c>
      <c r="H1560" t="s">
        <v>137</v>
      </c>
      <c r="I1560" t="str">
        <f>VLOOKUP(Tabla1[[#This Row],[Code]],'[1]Articulos Precio'!$A:$E,5,FALSE)</f>
        <v>A0000103</v>
      </c>
    </row>
    <row r="1561" spans="1:9" x14ac:dyDescent="0.25">
      <c r="A1561" t="s">
        <v>500</v>
      </c>
      <c r="B1561" t="str">
        <f>VLOOKUP(Tabla1[[#This Row],[Code]],[1]!Tabla4[#Data],2,FALSE)</f>
        <v>M2 Metamark M7 111M Negro Mate 0,61 x 50m</v>
      </c>
      <c r="C1561">
        <v>24</v>
      </c>
      <c r="D1561" t="s">
        <v>96</v>
      </c>
      <c r="E1561" t="str">
        <f>VLOOKUP(Tabla1[[#This Row],[Cód. Atributo]],[1]!Tabla5[#Data],6,FALSE)</f>
        <v>Select</v>
      </c>
      <c r="F1561">
        <v>6</v>
      </c>
      <c r="G1561">
        <v>2</v>
      </c>
      <c r="H1561" t="s">
        <v>266</v>
      </c>
      <c r="I1561" t="str">
        <f>VLOOKUP(Tabla1[[#This Row],[Code]],'[1]Articulos Precio'!$A:$E,5,FALSE)</f>
        <v>A0000103</v>
      </c>
    </row>
    <row r="1562" spans="1:9" x14ac:dyDescent="0.25">
      <c r="A1562" t="s">
        <v>502</v>
      </c>
      <c r="B1562" t="str">
        <f>VLOOKUP(Tabla1[[#This Row],[Code]],[1]!Tabla4[#Data],2,FALSE)</f>
        <v>M2 Metamark M7 111M Negro Mate 1,22 x 50m</v>
      </c>
      <c r="C1562">
        <v>8</v>
      </c>
      <c r="D1562" t="s">
        <v>86</v>
      </c>
      <c r="E1562" t="str">
        <f>VLOOKUP(Tabla1[[#This Row],[Cód. Atributo]],[1]!Tabla5[#Data],6,FALSE)</f>
        <v>Select</v>
      </c>
      <c r="F1562">
        <v>1</v>
      </c>
      <c r="G1562">
        <v>2</v>
      </c>
      <c r="H1562" t="s">
        <v>268</v>
      </c>
      <c r="I1562" t="str">
        <f>VLOOKUP(Tabla1[[#This Row],[Code]],'[1]Articulos Precio'!$A:$E,5,FALSE)</f>
        <v>A0000103</v>
      </c>
    </row>
    <row r="1563" spans="1:9" x14ac:dyDescent="0.25">
      <c r="A1563" t="s">
        <v>502</v>
      </c>
      <c r="B1563" t="str">
        <f>VLOOKUP(Tabla1[[#This Row],[Code]],[1]!Tabla4[#Data],2,FALSE)</f>
        <v>M2 Metamark M7 111M Negro Mate 1,22 x 50m</v>
      </c>
      <c r="C1563">
        <v>13</v>
      </c>
      <c r="D1563" t="s">
        <v>491</v>
      </c>
      <c r="E1563" t="str">
        <f>VLOOKUP(Tabla1[[#This Row],[Cód. Atributo]],[1]!Tabla5[#Data],6,FALSE)</f>
        <v>Color</v>
      </c>
      <c r="F1563">
        <v>2</v>
      </c>
      <c r="G1563">
        <v>5</v>
      </c>
      <c r="H1563" t="s">
        <v>501</v>
      </c>
      <c r="I1563" t="str">
        <f>VLOOKUP(Tabla1[[#This Row],[Code]],'[1]Articulos Precio'!$A:$E,5,FALSE)</f>
        <v>A0000103</v>
      </c>
    </row>
    <row r="1564" spans="1:9" x14ac:dyDescent="0.25">
      <c r="A1564" t="s">
        <v>502</v>
      </c>
      <c r="B1564" t="str">
        <f>VLOOKUP(Tabla1[[#This Row],[Code]],[1]!Tabla4[#Data],2,FALSE)</f>
        <v>M2 Metamark M7 111M Negro Mate 1,22 x 50m</v>
      </c>
      <c r="C1564">
        <v>23</v>
      </c>
      <c r="D1564" t="s">
        <v>90</v>
      </c>
      <c r="E1564" t="str">
        <f>VLOOKUP(Tabla1[[#This Row],[Cód. Atributo]],[1]!Tabla5[#Data],6,FALSE)</f>
        <v>Select</v>
      </c>
      <c r="F1564">
        <v>3</v>
      </c>
      <c r="G1564">
        <v>2</v>
      </c>
      <c r="H1564" t="s">
        <v>136</v>
      </c>
      <c r="I1564" t="str">
        <f>VLOOKUP(Tabla1[[#This Row],[Code]],'[1]Articulos Precio'!$A:$E,5,FALSE)</f>
        <v>A0000103</v>
      </c>
    </row>
    <row r="1565" spans="1:9" x14ac:dyDescent="0.25">
      <c r="A1565" t="s">
        <v>502</v>
      </c>
      <c r="B1565" t="str">
        <f>VLOOKUP(Tabla1[[#This Row],[Code]],[1]!Tabla4[#Data],2,FALSE)</f>
        <v>M2 Metamark M7 111M Negro Mate 1,22 x 50m</v>
      </c>
      <c r="C1565">
        <v>28</v>
      </c>
      <c r="D1565" t="s">
        <v>92</v>
      </c>
      <c r="E1565" t="str">
        <f>VLOOKUP(Tabla1[[#This Row],[Cód. Atributo]],[1]!Tabla5[#Data],6,FALSE)</f>
        <v>Select</v>
      </c>
      <c r="F1565">
        <v>4</v>
      </c>
      <c r="G1565">
        <v>2</v>
      </c>
      <c r="H1565" t="s">
        <v>102</v>
      </c>
      <c r="I1565" t="str">
        <f>VLOOKUP(Tabla1[[#This Row],[Code]],'[1]Articulos Precio'!$A:$E,5,FALSE)</f>
        <v>A0000103</v>
      </c>
    </row>
    <row r="1566" spans="1:9" x14ac:dyDescent="0.25">
      <c r="A1566" t="s">
        <v>502</v>
      </c>
      <c r="B1566" t="str">
        <f>VLOOKUP(Tabla1[[#This Row],[Code]],[1]!Tabla4[#Data],2,FALSE)</f>
        <v>M2 Metamark M7 111M Negro Mate 1,22 x 50m</v>
      </c>
      <c r="C1566">
        <v>25</v>
      </c>
      <c r="D1566" t="s">
        <v>94</v>
      </c>
      <c r="E1566" t="str">
        <f>VLOOKUP(Tabla1[[#This Row],[Cód. Atributo]],[1]!Tabla5[#Data],6,FALSE)</f>
        <v>Select</v>
      </c>
      <c r="F1566">
        <v>5</v>
      </c>
      <c r="G1566">
        <v>4</v>
      </c>
      <c r="H1566" t="s">
        <v>137</v>
      </c>
      <c r="I1566" t="str">
        <f>VLOOKUP(Tabla1[[#This Row],[Code]],'[1]Articulos Precio'!$A:$E,5,FALSE)</f>
        <v>A0000103</v>
      </c>
    </row>
    <row r="1567" spans="1:9" x14ac:dyDescent="0.25">
      <c r="A1567" t="s">
        <v>502</v>
      </c>
      <c r="B1567" t="str">
        <f>VLOOKUP(Tabla1[[#This Row],[Code]],[1]!Tabla4[#Data],2,FALSE)</f>
        <v>M2 Metamark M7 111M Negro Mate 1,22 x 50m</v>
      </c>
      <c r="C1567">
        <v>24</v>
      </c>
      <c r="D1567" t="s">
        <v>96</v>
      </c>
      <c r="E1567" t="str">
        <f>VLOOKUP(Tabla1[[#This Row],[Cód. Atributo]],[1]!Tabla5[#Data],6,FALSE)</f>
        <v>Select</v>
      </c>
      <c r="F1567">
        <v>6</v>
      </c>
      <c r="G1567">
        <v>2</v>
      </c>
      <c r="H1567" t="s">
        <v>266</v>
      </c>
      <c r="I1567" t="str">
        <f>VLOOKUP(Tabla1[[#This Row],[Code]],'[1]Articulos Precio'!$A:$E,5,FALSE)</f>
        <v>A0000103</v>
      </c>
    </row>
    <row r="1568" spans="1:9" x14ac:dyDescent="0.25">
      <c r="A1568" t="s">
        <v>503</v>
      </c>
      <c r="B1568" t="str">
        <f>VLOOKUP(Tabla1[[#This Row],[Code]],[1]!Tabla4[#Data],2,FALSE)</f>
        <v>M2 Metamark M7 112 Mandarina 0,61 x 50m</v>
      </c>
      <c r="C1568">
        <v>8</v>
      </c>
      <c r="D1568" t="s">
        <v>86</v>
      </c>
      <c r="E1568" t="str">
        <f>VLOOKUP(Tabla1[[#This Row],[Cód. Atributo]],[1]!Tabla5[#Data],6,FALSE)</f>
        <v>Select</v>
      </c>
      <c r="F1568">
        <v>1</v>
      </c>
      <c r="G1568">
        <v>1</v>
      </c>
      <c r="H1568" t="s">
        <v>263</v>
      </c>
      <c r="I1568" t="str">
        <f>VLOOKUP(Tabla1[[#This Row],[Code]],'[1]Articulos Precio'!$A:$E,5,FALSE)</f>
        <v>A0000103</v>
      </c>
    </row>
    <row r="1569" spans="1:9" x14ac:dyDescent="0.25">
      <c r="A1569" t="s">
        <v>503</v>
      </c>
      <c r="B1569" t="str">
        <f>VLOOKUP(Tabla1[[#This Row],[Code]],[1]!Tabla4[#Data],2,FALSE)</f>
        <v>M2 Metamark M7 112 Mandarina 0,61 x 50m</v>
      </c>
      <c r="C1569">
        <v>13</v>
      </c>
      <c r="D1569" t="s">
        <v>491</v>
      </c>
      <c r="E1569" t="str">
        <f>VLOOKUP(Tabla1[[#This Row],[Cód. Atributo]],[1]!Tabla5[#Data],6,FALSE)</f>
        <v>Color</v>
      </c>
      <c r="F1569">
        <v>2</v>
      </c>
      <c r="G1569">
        <v>55</v>
      </c>
      <c r="H1569" t="s">
        <v>504</v>
      </c>
      <c r="I1569" t="str">
        <f>VLOOKUP(Tabla1[[#This Row],[Code]],'[1]Articulos Precio'!$A:$E,5,FALSE)</f>
        <v>A0000103</v>
      </c>
    </row>
    <row r="1570" spans="1:9" x14ac:dyDescent="0.25">
      <c r="A1570" t="s">
        <v>503</v>
      </c>
      <c r="B1570" t="str">
        <f>VLOOKUP(Tabla1[[#This Row],[Code]],[1]!Tabla4[#Data],2,FALSE)</f>
        <v>M2 Metamark M7 112 Mandarina 0,61 x 50m</v>
      </c>
      <c r="C1570">
        <v>23</v>
      </c>
      <c r="D1570" t="s">
        <v>90</v>
      </c>
      <c r="E1570" t="str">
        <f>VLOOKUP(Tabla1[[#This Row],[Cód. Atributo]],[1]!Tabla5[#Data],6,FALSE)</f>
        <v>Select</v>
      </c>
      <c r="F1570">
        <v>3</v>
      </c>
      <c r="G1570">
        <v>2</v>
      </c>
      <c r="H1570" t="s">
        <v>136</v>
      </c>
      <c r="I1570" t="str">
        <f>VLOOKUP(Tabla1[[#This Row],[Code]],'[1]Articulos Precio'!$A:$E,5,FALSE)</f>
        <v>A0000103</v>
      </c>
    </row>
    <row r="1571" spans="1:9" x14ac:dyDescent="0.25">
      <c r="A1571" t="s">
        <v>503</v>
      </c>
      <c r="B1571" t="str">
        <f>VLOOKUP(Tabla1[[#This Row],[Code]],[1]!Tabla4[#Data],2,FALSE)</f>
        <v>M2 Metamark M7 112 Mandarina 0,61 x 50m</v>
      </c>
      <c r="C1571">
        <v>28</v>
      </c>
      <c r="D1571" t="s">
        <v>92</v>
      </c>
      <c r="E1571" t="str">
        <f>VLOOKUP(Tabla1[[#This Row],[Cód. Atributo]],[1]!Tabla5[#Data],6,FALSE)</f>
        <v>Select</v>
      </c>
      <c r="F1571">
        <v>4</v>
      </c>
      <c r="G1571">
        <v>1</v>
      </c>
      <c r="H1571" t="s">
        <v>93</v>
      </c>
      <c r="I1571" t="str">
        <f>VLOOKUP(Tabla1[[#This Row],[Code]],'[1]Articulos Precio'!$A:$E,5,FALSE)</f>
        <v>A0000103</v>
      </c>
    </row>
    <row r="1572" spans="1:9" x14ac:dyDescent="0.25">
      <c r="A1572" t="s">
        <v>503</v>
      </c>
      <c r="B1572" t="str">
        <f>VLOOKUP(Tabla1[[#This Row],[Code]],[1]!Tabla4[#Data],2,FALSE)</f>
        <v>M2 Metamark M7 112 Mandarina 0,61 x 50m</v>
      </c>
      <c r="C1572">
        <v>25</v>
      </c>
      <c r="D1572" t="s">
        <v>94</v>
      </c>
      <c r="E1572" t="str">
        <f>VLOOKUP(Tabla1[[#This Row],[Cód. Atributo]],[1]!Tabla5[#Data],6,FALSE)</f>
        <v>Select</v>
      </c>
      <c r="F1572">
        <v>5</v>
      </c>
      <c r="G1572">
        <v>4</v>
      </c>
      <c r="H1572" t="s">
        <v>137</v>
      </c>
      <c r="I1572" t="str">
        <f>VLOOKUP(Tabla1[[#This Row],[Code]],'[1]Articulos Precio'!$A:$E,5,FALSE)</f>
        <v>A0000103</v>
      </c>
    </row>
    <row r="1573" spans="1:9" x14ac:dyDescent="0.25">
      <c r="A1573" t="s">
        <v>503</v>
      </c>
      <c r="B1573" t="str">
        <f>VLOOKUP(Tabla1[[#This Row],[Code]],[1]!Tabla4[#Data],2,FALSE)</f>
        <v>M2 Metamark M7 112 Mandarina 0,61 x 50m</v>
      </c>
      <c r="C1573">
        <v>24</v>
      </c>
      <c r="D1573" t="s">
        <v>96</v>
      </c>
      <c r="E1573" t="str">
        <f>VLOOKUP(Tabla1[[#This Row],[Cód. Atributo]],[1]!Tabla5[#Data],6,FALSE)</f>
        <v>Select</v>
      </c>
      <c r="F1573">
        <v>6</v>
      </c>
      <c r="G1573">
        <v>2</v>
      </c>
      <c r="H1573" t="s">
        <v>266</v>
      </c>
      <c r="I1573" t="str">
        <f>VLOOKUP(Tabla1[[#This Row],[Code]],'[1]Articulos Precio'!$A:$E,5,FALSE)</f>
        <v>A0000103</v>
      </c>
    </row>
    <row r="1574" spans="1:9" x14ac:dyDescent="0.25">
      <c r="A1574" t="s">
        <v>505</v>
      </c>
      <c r="B1574" t="str">
        <f>VLOOKUP(Tabla1[[#This Row],[Code]],[1]!Tabla4[#Data],2,FALSE)</f>
        <v>M2 Metamark M7 112 Mandarina 1,22 x 50m</v>
      </c>
      <c r="C1574">
        <v>8</v>
      </c>
      <c r="D1574" t="s">
        <v>86</v>
      </c>
      <c r="E1574" t="str">
        <f>VLOOKUP(Tabla1[[#This Row],[Cód. Atributo]],[1]!Tabla5[#Data],6,FALSE)</f>
        <v>Select</v>
      </c>
      <c r="F1574">
        <v>1</v>
      </c>
      <c r="G1574">
        <v>2</v>
      </c>
      <c r="H1574" t="s">
        <v>268</v>
      </c>
      <c r="I1574" t="str">
        <f>VLOOKUP(Tabla1[[#This Row],[Code]],'[1]Articulos Precio'!$A:$E,5,FALSE)</f>
        <v>A0000103</v>
      </c>
    </row>
    <row r="1575" spans="1:9" x14ac:dyDescent="0.25">
      <c r="A1575" t="s">
        <v>505</v>
      </c>
      <c r="B1575" t="str">
        <f>VLOOKUP(Tabla1[[#This Row],[Code]],[1]!Tabla4[#Data],2,FALSE)</f>
        <v>M2 Metamark M7 112 Mandarina 1,22 x 50m</v>
      </c>
      <c r="C1575">
        <v>13</v>
      </c>
      <c r="D1575" t="s">
        <v>491</v>
      </c>
      <c r="E1575" t="str">
        <f>VLOOKUP(Tabla1[[#This Row],[Cód. Atributo]],[1]!Tabla5[#Data],6,FALSE)</f>
        <v>Color</v>
      </c>
      <c r="F1575">
        <v>3</v>
      </c>
      <c r="G1575">
        <v>55</v>
      </c>
      <c r="H1575" t="s">
        <v>504</v>
      </c>
      <c r="I1575" t="str">
        <f>VLOOKUP(Tabla1[[#This Row],[Code]],'[1]Articulos Precio'!$A:$E,5,FALSE)</f>
        <v>A0000103</v>
      </c>
    </row>
    <row r="1576" spans="1:9" x14ac:dyDescent="0.25">
      <c r="A1576" t="s">
        <v>505</v>
      </c>
      <c r="B1576" t="str">
        <f>VLOOKUP(Tabla1[[#This Row],[Code]],[1]!Tabla4[#Data],2,FALSE)</f>
        <v>M2 Metamark M7 112 Mandarina 1,22 x 50m</v>
      </c>
      <c r="C1576">
        <v>23</v>
      </c>
      <c r="D1576" t="s">
        <v>90</v>
      </c>
      <c r="E1576" t="str">
        <f>VLOOKUP(Tabla1[[#This Row],[Cód. Atributo]],[1]!Tabla5[#Data],6,FALSE)</f>
        <v>Select</v>
      </c>
      <c r="F1576">
        <v>4</v>
      </c>
      <c r="G1576">
        <v>2</v>
      </c>
      <c r="H1576" t="s">
        <v>136</v>
      </c>
      <c r="I1576" t="str">
        <f>VLOOKUP(Tabla1[[#This Row],[Code]],'[1]Articulos Precio'!$A:$E,5,FALSE)</f>
        <v>A0000103</v>
      </c>
    </row>
    <row r="1577" spans="1:9" x14ac:dyDescent="0.25">
      <c r="A1577" t="s">
        <v>505</v>
      </c>
      <c r="B1577" t="str">
        <f>VLOOKUP(Tabla1[[#This Row],[Code]],[1]!Tabla4[#Data],2,FALSE)</f>
        <v>M2 Metamark M7 112 Mandarina 1,22 x 50m</v>
      </c>
      <c r="C1577">
        <v>28</v>
      </c>
      <c r="D1577" t="s">
        <v>92</v>
      </c>
      <c r="E1577" t="str">
        <f>VLOOKUP(Tabla1[[#This Row],[Cód. Atributo]],[1]!Tabla5[#Data],6,FALSE)</f>
        <v>Select</v>
      </c>
      <c r="F1577">
        <v>5</v>
      </c>
      <c r="G1577">
        <v>1</v>
      </c>
      <c r="H1577" t="s">
        <v>93</v>
      </c>
      <c r="I1577" t="str">
        <f>VLOOKUP(Tabla1[[#This Row],[Code]],'[1]Articulos Precio'!$A:$E,5,FALSE)</f>
        <v>A0000103</v>
      </c>
    </row>
    <row r="1578" spans="1:9" x14ac:dyDescent="0.25">
      <c r="A1578" t="s">
        <v>505</v>
      </c>
      <c r="B1578" t="str">
        <f>VLOOKUP(Tabla1[[#This Row],[Code]],[1]!Tabla4[#Data],2,FALSE)</f>
        <v>M2 Metamark M7 112 Mandarina 1,22 x 50m</v>
      </c>
      <c r="C1578">
        <v>25</v>
      </c>
      <c r="D1578" t="s">
        <v>94</v>
      </c>
      <c r="E1578" t="str">
        <f>VLOOKUP(Tabla1[[#This Row],[Cód. Atributo]],[1]!Tabla5[#Data],6,FALSE)</f>
        <v>Select</v>
      </c>
      <c r="F1578">
        <v>6</v>
      </c>
      <c r="G1578">
        <v>4</v>
      </c>
      <c r="H1578" t="s">
        <v>137</v>
      </c>
      <c r="I1578" t="str">
        <f>VLOOKUP(Tabla1[[#This Row],[Code]],'[1]Articulos Precio'!$A:$E,5,FALSE)</f>
        <v>A0000103</v>
      </c>
    </row>
    <row r="1579" spans="1:9" x14ac:dyDescent="0.25">
      <c r="A1579" t="s">
        <v>505</v>
      </c>
      <c r="B1579" t="str">
        <f>VLOOKUP(Tabla1[[#This Row],[Code]],[1]!Tabla4[#Data],2,FALSE)</f>
        <v>M2 Metamark M7 112 Mandarina 1,22 x 50m</v>
      </c>
      <c r="C1579">
        <v>24</v>
      </c>
      <c r="D1579" t="s">
        <v>96</v>
      </c>
      <c r="E1579" t="str">
        <f>VLOOKUP(Tabla1[[#This Row],[Cód. Atributo]],[1]!Tabla5[#Data],6,FALSE)</f>
        <v>Select</v>
      </c>
      <c r="F1579">
        <v>7</v>
      </c>
      <c r="G1579">
        <v>2</v>
      </c>
      <c r="H1579" t="s">
        <v>266</v>
      </c>
      <c r="I1579" t="str">
        <f>VLOOKUP(Tabla1[[#This Row],[Code]],'[1]Articulos Precio'!$A:$E,5,FALSE)</f>
        <v>A0000103</v>
      </c>
    </row>
    <row r="1580" spans="1:9" x14ac:dyDescent="0.25">
      <c r="A1580" t="s">
        <v>506</v>
      </c>
      <c r="B1580" t="str">
        <f>VLOOKUP(Tabla1[[#This Row],[Code]],[1]!Tabla4[#Data],2,FALSE)</f>
        <v>M2 Metamark M7 113 Naranja Quemada 0,61 x 50m</v>
      </c>
      <c r="C1580">
        <v>8</v>
      </c>
      <c r="D1580" t="s">
        <v>86</v>
      </c>
      <c r="E1580" t="str">
        <f>VLOOKUP(Tabla1[[#This Row],[Cód. Atributo]],[1]!Tabla5[#Data],6,FALSE)</f>
        <v>Select</v>
      </c>
      <c r="F1580">
        <v>1</v>
      </c>
      <c r="G1580">
        <v>1</v>
      </c>
      <c r="H1580" t="s">
        <v>263</v>
      </c>
      <c r="I1580" t="str">
        <f>VLOOKUP(Tabla1[[#This Row],[Code]],'[1]Articulos Precio'!$A:$E,5,FALSE)</f>
        <v>A0000103</v>
      </c>
    </row>
    <row r="1581" spans="1:9" x14ac:dyDescent="0.25">
      <c r="A1581" t="s">
        <v>506</v>
      </c>
      <c r="B1581" t="str">
        <f>VLOOKUP(Tabla1[[#This Row],[Code]],[1]!Tabla4[#Data],2,FALSE)</f>
        <v>M2 Metamark M7 113 Naranja Quemada 0,61 x 50m</v>
      </c>
      <c r="C1581">
        <v>13</v>
      </c>
      <c r="D1581" t="s">
        <v>491</v>
      </c>
      <c r="E1581" t="str">
        <f>VLOOKUP(Tabla1[[#This Row],[Cód. Atributo]],[1]!Tabla5[#Data],6,FALSE)</f>
        <v>Color</v>
      </c>
      <c r="F1581">
        <v>2</v>
      </c>
      <c r="G1581">
        <v>56</v>
      </c>
      <c r="H1581" t="s">
        <v>507</v>
      </c>
      <c r="I1581" t="str">
        <f>VLOOKUP(Tabla1[[#This Row],[Code]],'[1]Articulos Precio'!$A:$E,5,FALSE)</f>
        <v>A0000103</v>
      </c>
    </row>
    <row r="1582" spans="1:9" x14ac:dyDescent="0.25">
      <c r="A1582" t="s">
        <v>506</v>
      </c>
      <c r="B1582" t="str">
        <f>VLOOKUP(Tabla1[[#This Row],[Code]],[1]!Tabla4[#Data],2,FALSE)</f>
        <v>M2 Metamark M7 113 Naranja Quemada 0,61 x 50m</v>
      </c>
      <c r="C1582">
        <v>23</v>
      </c>
      <c r="D1582" t="s">
        <v>90</v>
      </c>
      <c r="E1582" t="str">
        <f>VLOOKUP(Tabla1[[#This Row],[Cód. Atributo]],[1]!Tabla5[#Data],6,FALSE)</f>
        <v>Select</v>
      </c>
      <c r="F1582">
        <v>3</v>
      </c>
      <c r="G1582">
        <v>2</v>
      </c>
      <c r="H1582" t="s">
        <v>136</v>
      </c>
      <c r="I1582" t="str">
        <f>VLOOKUP(Tabla1[[#This Row],[Code]],'[1]Articulos Precio'!$A:$E,5,FALSE)</f>
        <v>A0000103</v>
      </c>
    </row>
    <row r="1583" spans="1:9" x14ac:dyDescent="0.25">
      <c r="A1583" t="s">
        <v>506</v>
      </c>
      <c r="B1583" t="str">
        <f>VLOOKUP(Tabla1[[#This Row],[Code]],[1]!Tabla4[#Data],2,FALSE)</f>
        <v>M2 Metamark M7 113 Naranja Quemada 0,61 x 50m</v>
      </c>
      <c r="C1583">
        <v>28</v>
      </c>
      <c r="D1583" t="s">
        <v>92</v>
      </c>
      <c r="E1583" t="str">
        <f>VLOOKUP(Tabla1[[#This Row],[Cód. Atributo]],[1]!Tabla5[#Data],6,FALSE)</f>
        <v>Select</v>
      </c>
      <c r="F1583">
        <v>4</v>
      </c>
      <c r="G1583">
        <v>1</v>
      </c>
      <c r="H1583" t="s">
        <v>93</v>
      </c>
      <c r="I1583" t="str">
        <f>VLOOKUP(Tabla1[[#This Row],[Code]],'[1]Articulos Precio'!$A:$E,5,FALSE)</f>
        <v>A0000103</v>
      </c>
    </row>
    <row r="1584" spans="1:9" x14ac:dyDescent="0.25">
      <c r="A1584" t="s">
        <v>506</v>
      </c>
      <c r="B1584" t="str">
        <f>VLOOKUP(Tabla1[[#This Row],[Code]],[1]!Tabla4[#Data],2,FALSE)</f>
        <v>M2 Metamark M7 113 Naranja Quemada 0,61 x 50m</v>
      </c>
      <c r="C1584">
        <v>25</v>
      </c>
      <c r="D1584" t="s">
        <v>94</v>
      </c>
      <c r="E1584" t="str">
        <f>VLOOKUP(Tabla1[[#This Row],[Cód. Atributo]],[1]!Tabla5[#Data],6,FALSE)</f>
        <v>Select</v>
      </c>
      <c r="F1584">
        <v>5</v>
      </c>
      <c r="G1584">
        <v>4</v>
      </c>
      <c r="H1584" t="s">
        <v>137</v>
      </c>
      <c r="I1584" t="str">
        <f>VLOOKUP(Tabla1[[#This Row],[Code]],'[1]Articulos Precio'!$A:$E,5,FALSE)</f>
        <v>A0000103</v>
      </c>
    </row>
    <row r="1585" spans="1:9" x14ac:dyDescent="0.25">
      <c r="A1585" t="s">
        <v>506</v>
      </c>
      <c r="B1585" t="str">
        <f>VLOOKUP(Tabla1[[#This Row],[Code]],[1]!Tabla4[#Data],2,FALSE)</f>
        <v>M2 Metamark M7 113 Naranja Quemada 0,61 x 50m</v>
      </c>
      <c r="C1585">
        <v>24</v>
      </c>
      <c r="D1585" t="s">
        <v>96</v>
      </c>
      <c r="E1585" t="str">
        <f>VLOOKUP(Tabla1[[#This Row],[Cód. Atributo]],[1]!Tabla5[#Data],6,FALSE)</f>
        <v>Select</v>
      </c>
      <c r="F1585">
        <v>6</v>
      </c>
      <c r="G1585">
        <v>2</v>
      </c>
      <c r="H1585" t="s">
        <v>266</v>
      </c>
      <c r="I1585" t="str">
        <f>VLOOKUP(Tabla1[[#This Row],[Code]],'[1]Articulos Precio'!$A:$E,5,FALSE)</f>
        <v>A0000103</v>
      </c>
    </row>
    <row r="1586" spans="1:9" x14ac:dyDescent="0.25">
      <c r="A1586" t="s">
        <v>508</v>
      </c>
      <c r="B1586" t="str">
        <f>VLOOKUP(Tabla1[[#This Row],[Code]],[1]!Tabla4[#Data],2,FALSE)</f>
        <v>M2 Metamark M7 113 Naranja Quemada 1,22 x 50m</v>
      </c>
      <c r="C1586">
        <v>8</v>
      </c>
      <c r="D1586" t="s">
        <v>86</v>
      </c>
      <c r="E1586" t="str">
        <f>VLOOKUP(Tabla1[[#This Row],[Cód. Atributo]],[1]!Tabla5[#Data],6,FALSE)</f>
        <v>Select</v>
      </c>
      <c r="F1586">
        <v>1</v>
      </c>
      <c r="G1586">
        <v>2</v>
      </c>
      <c r="H1586" t="s">
        <v>268</v>
      </c>
      <c r="I1586" t="str">
        <f>VLOOKUP(Tabla1[[#This Row],[Code]],'[1]Articulos Precio'!$A:$E,5,FALSE)</f>
        <v>A0000103</v>
      </c>
    </row>
    <row r="1587" spans="1:9" x14ac:dyDescent="0.25">
      <c r="A1587" t="s">
        <v>508</v>
      </c>
      <c r="B1587" t="str">
        <f>VLOOKUP(Tabla1[[#This Row],[Code]],[1]!Tabla4[#Data],2,FALSE)</f>
        <v>M2 Metamark M7 113 Naranja Quemada 1,22 x 50m</v>
      </c>
      <c r="C1587">
        <v>13</v>
      </c>
      <c r="D1587" t="s">
        <v>491</v>
      </c>
      <c r="E1587" t="str">
        <f>VLOOKUP(Tabla1[[#This Row],[Cód. Atributo]],[1]!Tabla5[#Data],6,FALSE)</f>
        <v>Color</v>
      </c>
      <c r="F1587">
        <v>2</v>
      </c>
      <c r="G1587">
        <v>56</v>
      </c>
      <c r="H1587" t="s">
        <v>507</v>
      </c>
      <c r="I1587" t="str">
        <f>VLOOKUP(Tabla1[[#This Row],[Code]],'[1]Articulos Precio'!$A:$E,5,FALSE)</f>
        <v>A0000103</v>
      </c>
    </row>
    <row r="1588" spans="1:9" x14ac:dyDescent="0.25">
      <c r="A1588" t="s">
        <v>508</v>
      </c>
      <c r="B1588" t="str">
        <f>VLOOKUP(Tabla1[[#This Row],[Code]],[1]!Tabla4[#Data],2,FALSE)</f>
        <v>M2 Metamark M7 113 Naranja Quemada 1,22 x 50m</v>
      </c>
      <c r="C1588">
        <v>23</v>
      </c>
      <c r="D1588" t="s">
        <v>90</v>
      </c>
      <c r="E1588" t="str">
        <f>VLOOKUP(Tabla1[[#This Row],[Cód. Atributo]],[1]!Tabla5[#Data],6,FALSE)</f>
        <v>Select</v>
      </c>
      <c r="F1588">
        <v>3</v>
      </c>
      <c r="G1588">
        <v>2</v>
      </c>
      <c r="H1588" t="s">
        <v>136</v>
      </c>
      <c r="I1588" t="str">
        <f>VLOOKUP(Tabla1[[#This Row],[Code]],'[1]Articulos Precio'!$A:$E,5,FALSE)</f>
        <v>A0000103</v>
      </c>
    </row>
    <row r="1589" spans="1:9" x14ac:dyDescent="0.25">
      <c r="A1589" t="s">
        <v>508</v>
      </c>
      <c r="B1589" t="str">
        <f>VLOOKUP(Tabla1[[#This Row],[Code]],[1]!Tabla4[#Data],2,FALSE)</f>
        <v>M2 Metamark M7 113 Naranja Quemada 1,22 x 50m</v>
      </c>
      <c r="C1589">
        <v>28</v>
      </c>
      <c r="D1589" t="s">
        <v>92</v>
      </c>
      <c r="E1589" t="str">
        <f>VLOOKUP(Tabla1[[#This Row],[Cód. Atributo]],[1]!Tabla5[#Data],6,FALSE)</f>
        <v>Select</v>
      </c>
      <c r="F1589">
        <v>4</v>
      </c>
      <c r="G1589">
        <v>1</v>
      </c>
      <c r="H1589" t="s">
        <v>93</v>
      </c>
      <c r="I1589" t="str">
        <f>VLOOKUP(Tabla1[[#This Row],[Code]],'[1]Articulos Precio'!$A:$E,5,FALSE)</f>
        <v>A0000103</v>
      </c>
    </row>
    <row r="1590" spans="1:9" x14ac:dyDescent="0.25">
      <c r="A1590" t="s">
        <v>508</v>
      </c>
      <c r="B1590" t="str">
        <f>VLOOKUP(Tabla1[[#This Row],[Code]],[1]!Tabla4[#Data],2,FALSE)</f>
        <v>M2 Metamark M7 113 Naranja Quemada 1,22 x 50m</v>
      </c>
      <c r="C1590">
        <v>25</v>
      </c>
      <c r="D1590" t="s">
        <v>94</v>
      </c>
      <c r="E1590" t="str">
        <f>VLOOKUP(Tabla1[[#This Row],[Cód. Atributo]],[1]!Tabla5[#Data],6,FALSE)</f>
        <v>Select</v>
      </c>
      <c r="F1590">
        <v>5</v>
      </c>
      <c r="G1590">
        <v>4</v>
      </c>
      <c r="H1590" t="s">
        <v>137</v>
      </c>
      <c r="I1590" t="str">
        <f>VLOOKUP(Tabla1[[#This Row],[Code]],'[1]Articulos Precio'!$A:$E,5,FALSE)</f>
        <v>A0000103</v>
      </c>
    </row>
    <row r="1591" spans="1:9" x14ac:dyDescent="0.25">
      <c r="A1591" t="s">
        <v>508</v>
      </c>
      <c r="B1591" t="str">
        <f>VLOOKUP(Tabla1[[#This Row],[Code]],[1]!Tabla4[#Data],2,FALSE)</f>
        <v>M2 Metamark M7 113 Naranja Quemada 1,22 x 50m</v>
      </c>
      <c r="C1591">
        <v>24</v>
      </c>
      <c r="D1591" t="s">
        <v>96</v>
      </c>
      <c r="E1591" t="str">
        <f>VLOOKUP(Tabla1[[#This Row],[Cód. Atributo]],[1]!Tabla5[#Data],6,FALSE)</f>
        <v>Select</v>
      </c>
      <c r="F1591">
        <v>6</v>
      </c>
      <c r="G1591">
        <v>2</v>
      </c>
      <c r="H1591" t="s">
        <v>266</v>
      </c>
      <c r="I1591" t="str">
        <f>VLOOKUP(Tabla1[[#This Row],[Code]],'[1]Articulos Precio'!$A:$E,5,FALSE)</f>
        <v>A0000103</v>
      </c>
    </row>
    <row r="1592" spans="1:9" x14ac:dyDescent="0.25">
      <c r="A1592" t="s">
        <v>509</v>
      </c>
      <c r="B1592" t="str">
        <f>VLOOKUP(Tabla1[[#This Row],[Code]],[1]!Tabla4[#Data],2,FALSE)</f>
        <v>M2 Metamark M7 114 Granate 0,61 x 50m</v>
      </c>
      <c r="C1592">
        <v>8</v>
      </c>
      <c r="D1592" t="s">
        <v>86</v>
      </c>
      <c r="E1592" t="str">
        <f>VLOOKUP(Tabla1[[#This Row],[Cód. Atributo]],[1]!Tabla5[#Data],6,FALSE)</f>
        <v>Select</v>
      </c>
      <c r="F1592">
        <v>1</v>
      </c>
      <c r="G1592">
        <v>1</v>
      </c>
      <c r="H1592" t="s">
        <v>263</v>
      </c>
      <c r="I1592" t="str">
        <f>VLOOKUP(Tabla1[[#This Row],[Code]],'[1]Articulos Precio'!$A:$E,5,FALSE)</f>
        <v>A0000103</v>
      </c>
    </row>
    <row r="1593" spans="1:9" x14ac:dyDescent="0.25">
      <c r="A1593" t="s">
        <v>509</v>
      </c>
      <c r="B1593" t="str">
        <f>VLOOKUP(Tabla1[[#This Row],[Code]],[1]!Tabla4[#Data],2,FALSE)</f>
        <v>M2 Metamark M7 114 Granate 0,61 x 50m</v>
      </c>
      <c r="C1593">
        <v>13</v>
      </c>
      <c r="D1593" t="s">
        <v>491</v>
      </c>
      <c r="E1593" t="str">
        <f>VLOOKUP(Tabla1[[#This Row],[Cód. Atributo]],[1]!Tabla5[#Data],6,FALSE)</f>
        <v>Color</v>
      </c>
      <c r="F1593">
        <v>2</v>
      </c>
      <c r="G1593">
        <v>57</v>
      </c>
      <c r="H1593" t="s">
        <v>510</v>
      </c>
      <c r="I1593" t="str">
        <f>VLOOKUP(Tabla1[[#This Row],[Code]],'[1]Articulos Precio'!$A:$E,5,FALSE)</f>
        <v>A0000103</v>
      </c>
    </row>
    <row r="1594" spans="1:9" x14ac:dyDescent="0.25">
      <c r="A1594" t="s">
        <v>509</v>
      </c>
      <c r="B1594" t="str">
        <f>VLOOKUP(Tabla1[[#This Row],[Code]],[1]!Tabla4[#Data],2,FALSE)</f>
        <v>M2 Metamark M7 114 Granate 0,61 x 50m</v>
      </c>
      <c r="C1594">
        <v>23</v>
      </c>
      <c r="D1594" t="s">
        <v>90</v>
      </c>
      <c r="E1594" t="str">
        <f>VLOOKUP(Tabla1[[#This Row],[Cód. Atributo]],[1]!Tabla5[#Data],6,FALSE)</f>
        <v>Select</v>
      </c>
      <c r="F1594">
        <v>4</v>
      </c>
      <c r="G1594">
        <v>2</v>
      </c>
      <c r="H1594" t="s">
        <v>136</v>
      </c>
      <c r="I1594" t="str">
        <f>VLOOKUP(Tabla1[[#This Row],[Code]],'[1]Articulos Precio'!$A:$E,5,FALSE)</f>
        <v>A0000103</v>
      </c>
    </row>
    <row r="1595" spans="1:9" x14ac:dyDescent="0.25">
      <c r="A1595" t="s">
        <v>509</v>
      </c>
      <c r="B1595" t="str">
        <f>VLOOKUP(Tabla1[[#This Row],[Code]],[1]!Tabla4[#Data],2,FALSE)</f>
        <v>M2 Metamark M7 114 Granate 0,61 x 50m</v>
      </c>
      <c r="C1595">
        <v>28</v>
      </c>
      <c r="D1595" t="s">
        <v>92</v>
      </c>
      <c r="E1595" t="str">
        <f>VLOOKUP(Tabla1[[#This Row],[Cód. Atributo]],[1]!Tabla5[#Data],6,FALSE)</f>
        <v>Select</v>
      </c>
      <c r="F1595">
        <v>5</v>
      </c>
      <c r="G1595">
        <v>1</v>
      </c>
      <c r="H1595" t="s">
        <v>93</v>
      </c>
      <c r="I1595" t="str">
        <f>VLOOKUP(Tabla1[[#This Row],[Code]],'[1]Articulos Precio'!$A:$E,5,FALSE)</f>
        <v>A0000103</v>
      </c>
    </row>
    <row r="1596" spans="1:9" x14ac:dyDescent="0.25">
      <c r="A1596" t="s">
        <v>509</v>
      </c>
      <c r="B1596" t="str">
        <f>VLOOKUP(Tabla1[[#This Row],[Code]],[1]!Tabla4[#Data],2,FALSE)</f>
        <v>M2 Metamark M7 114 Granate 0,61 x 50m</v>
      </c>
      <c r="C1596">
        <v>24</v>
      </c>
      <c r="D1596" t="s">
        <v>96</v>
      </c>
      <c r="E1596" t="str">
        <f>VLOOKUP(Tabla1[[#This Row],[Cód. Atributo]],[1]!Tabla5[#Data],6,FALSE)</f>
        <v>Select</v>
      </c>
      <c r="F1596">
        <v>6</v>
      </c>
      <c r="G1596">
        <v>2</v>
      </c>
      <c r="H1596" t="s">
        <v>266</v>
      </c>
      <c r="I1596" t="str">
        <f>VLOOKUP(Tabla1[[#This Row],[Code]],'[1]Articulos Precio'!$A:$E,5,FALSE)</f>
        <v>A0000103</v>
      </c>
    </row>
    <row r="1597" spans="1:9" x14ac:dyDescent="0.25">
      <c r="A1597" t="s">
        <v>511</v>
      </c>
      <c r="B1597" t="str">
        <f>VLOOKUP(Tabla1[[#This Row],[Code]],[1]!Tabla4[#Data],2,FALSE)</f>
        <v>M2 Metamark M7 114 Granate 1,22 x 50m</v>
      </c>
      <c r="C1597">
        <v>8</v>
      </c>
      <c r="D1597" t="s">
        <v>86</v>
      </c>
      <c r="E1597" t="str">
        <f>VLOOKUP(Tabla1[[#This Row],[Cód. Atributo]],[1]!Tabla5[#Data],6,FALSE)</f>
        <v>Select</v>
      </c>
      <c r="F1597">
        <v>1</v>
      </c>
      <c r="G1597">
        <v>2</v>
      </c>
      <c r="H1597" t="s">
        <v>268</v>
      </c>
      <c r="I1597" t="str">
        <f>VLOOKUP(Tabla1[[#This Row],[Code]],'[1]Articulos Precio'!$A:$E,5,FALSE)</f>
        <v>A0000103</v>
      </c>
    </row>
    <row r="1598" spans="1:9" x14ac:dyDescent="0.25">
      <c r="A1598" t="s">
        <v>511</v>
      </c>
      <c r="B1598" t="str">
        <f>VLOOKUP(Tabla1[[#This Row],[Code]],[1]!Tabla4[#Data],2,FALSE)</f>
        <v>M2 Metamark M7 114 Granate 1,22 x 50m</v>
      </c>
      <c r="C1598">
        <v>13</v>
      </c>
      <c r="D1598" t="s">
        <v>491</v>
      </c>
      <c r="E1598" t="str">
        <f>VLOOKUP(Tabla1[[#This Row],[Cód. Atributo]],[1]!Tabla5[#Data],6,FALSE)</f>
        <v>Color</v>
      </c>
      <c r="F1598">
        <v>2</v>
      </c>
      <c r="G1598">
        <v>57</v>
      </c>
      <c r="H1598" t="s">
        <v>510</v>
      </c>
      <c r="I1598" t="str">
        <f>VLOOKUP(Tabla1[[#This Row],[Code]],'[1]Articulos Precio'!$A:$E,5,FALSE)</f>
        <v>A0000103</v>
      </c>
    </row>
    <row r="1599" spans="1:9" x14ac:dyDescent="0.25">
      <c r="A1599" t="s">
        <v>511</v>
      </c>
      <c r="B1599" t="str">
        <f>VLOOKUP(Tabla1[[#This Row],[Code]],[1]!Tabla4[#Data],2,FALSE)</f>
        <v>M2 Metamark M7 114 Granate 1,22 x 50m</v>
      </c>
      <c r="C1599">
        <v>23</v>
      </c>
      <c r="D1599" t="s">
        <v>90</v>
      </c>
      <c r="E1599" t="str">
        <f>VLOOKUP(Tabla1[[#This Row],[Cód. Atributo]],[1]!Tabla5[#Data],6,FALSE)</f>
        <v>Select</v>
      </c>
      <c r="F1599">
        <v>3</v>
      </c>
      <c r="G1599">
        <v>2</v>
      </c>
      <c r="H1599" t="s">
        <v>136</v>
      </c>
      <c r="I1599" t="str">
        <f>VLOOKUP(Tabla1[[#This Row],[Code]],'[1]Articulos Precio'!$A:$E,5,FALSE)</f>
        <v>A0000103</v>
      </c>
    </row>
    <row r="1600" spans="1:9" x14ac:dyDescent="0.25">
      <c r="A1600" t="s">
        <v>511</v>
      </c>
      <c r="B1600" t="str">
        <f>VLOOKUP(Tabla1[[#This Row],[Code]],[1]!Tabla4[#Data],2,FALSE)</f>
        <v>M2 Metamark M7 114 Granate 1,22 x 50m</v>
      </c>
      <c r="C1600">
        <v>28</v>
      </c>
      <c r="D1600" t="s">
        <v>92</v>
      </c>
      <c r="E1600" t="str">
        <f>VLOOKUP(Tabla1[[#This Row],[Cód. Atributo]],[1]!Tabla5[#Data],6,FALSE)</f>
        <v>Select</v>
      </c>
      <c r="F1600">
        <v>4</v>
      </c>
      <c r="G1600">
        <v>1</v>
      </c>
      <c r="H1600" t="s">
        <v>93</v>
      </c>
      <c r="I1600" t="str">
        <f>VLOOKUP(Tabla1[[#This Row],[Code]],'[1]Articulos Precio'!$A:$E,5,FALSE)</f>
        <v>A0000103</v>
      </c>
    </row>
    <row r="1601" spans="1:9" x14ac:dyDescent="0.25">
      <c r="A1601" t="s">
        <v>511</v>
      </c>
      <c r="B1601" t="str">
        <f>VLOOKUP(Tabla1[[#This Row],[Code]],[1]!Tabla4[#Data],2,FALSE)</f>
        <v>M2 Metamark M7 114 Granate 1,22 x 50m</v>
      </c>
      <c r="C1601">
        <v>25</v>
      </c>
      <c r="D1601" t="s">
        <v>94</v>
      </c>
      <c r="E1601" t="str">
        <f>VLOOKUP(Tabla1[[#This Row],[Cód. Atributo]],[1]!Tabla5[#Data],6,FALSE)</f>
        <v>Select</v>
      </c>
      <c r="F1601">
        <v>5</v>
      </c>
      <c r="G1601">
        <v>4</v>
      </c>
      <c r="H1601" t="s">
        <v>137</v>
      </c>
      <c r="I1601" t="str">
        <f>VLOOKUP(Tabla1[[#This Row],[Code]],'[1]Articulos Precio'!$A:$E,5,FALSE)</f>
        <v>A0000103</v>
      </c>
    </row>
    <row r="1602" spans="1:9" x14ac:dyDescent="0.25">
      <c r="A1602" t="s">
        <v>511</v>
      </c>
      <c r="B1602" t="str">
        <f>VLOOKUP(Tabla1[[#This Row],[Code]],[1]!Tabla4[#Data],2,FALSE)</f>
        <v>M2 Metamark M7 114 Granate 1,22 x 50m</v>
      </c>
      <c r="C1602">
        <v>24</v>
      </c>
      <c r="D1602" t="s">
        <v>96</v>
      </c>
      <c r="E1602" t="str">
        <f>VLOOKUP(Tabla1[[#This Row],[Cód. Atributo]],[1]!Tabla5[#Data],6,FALSE)</f>
        <v>Select</v>
      </c>
      <c r="F1602">
        <v>6</v>
      </c>
      <c r="G1602">
        <v>2</v>
      </c>
      <c r="H1602" t="s">
        <v>266</v>
      </c>
      <c r="I1602" t="str">
        <f>VLOOKUP(Tabla1[[#This Row],[Code]],'[1]Articulos Precio'!$A:$E,5,FALSE)</f>
        <v>A0000103</v>
      </c>
    </row>
    <row r="1603" spans="1:9" x14ac:dyDescent="0.25">
      <c r="A1603" t="s">
        <v>512</v>
      </c>
      <c r="B1603" t="str">
        <f>VLOOKUP(Tabla1[[#This Row],[Code]],[1]!Tabla4[#Data],2,FALSE)</f>
        <v>M2 Metamark M7 115 Azul Maíz 0,61 x 50m</v>
      </c>
      <c r="C1603">
        <v>8</v>
      </c>
      <c r="D1603" t="s">
        <v>86</v>
      </c>
      <c r="E1603" t="str">
        <f>VLOOKUP(Tabla1[[#This Row],[Cód. Atributo]],[1]!Tabla5[#Data],6,FALSE)</f>
        <v>Select</v>
      </c>
      <c r="F1603">
        <v>1</v>
      </c>
      <c r="G1603">
        <v>1</v>
      </c>
      <c r="H1603" t="s">
        <v>263</v>
      </c>
      <c r="I1603" t="str">
        <f>VLOOKUP(Tabla1[[#This Row],[Code]],'[1]Articulos Precio'!$A:$E,5,FALSE)</f>
        <v>A0000103</v>
      </c>
    </row>
    <row r="1604" spans="1:9" x14ac:dyDescent="0.25">
      <c r="A1604" t="s">
        <v>512</v>
      </c>
      <c r="B1604" t="str">
        <f>VLOOKUP(Tabla1[[#This Row],[Code]],[1]!Tabla4[#Data],2,FALSE)</f>
        <v>M2 Metamark M7 115 Azul Maíz 0,61 x 50m</v>
      </c>
      <c r="C1604">
        <v>13</v>
      </c>
      <c r="D1604" t="s">
        <v>491</v>
      </c>
      <c r="E1604" t="str">
        <f>VLOOKUP(Tabla1[[#This Row],[Cód. Atributo]],[1]!Tabla5[#Data],6,FALSE)</f>
        <v>Color</v>
      </c>
      <c r="F1604">
        <v>2</v>
      </c>
      <c r="G1604">
        <v>58</v>
      </c>
      <c r="H1604" t="s">
        <v>513</v>
      </c>
      <c r="I1604" t="str">
        <f>VLOOKUP(Tabla1[[#This Row],[Code]],'[1]Articulos Precio'!$A:$E,5,FALSE)</f>
        <v>A0000103</v>
      </c>
    </row>
    <row r="1605" spans="1:9" x14ac:dyDescent="0.25">
      <c r="A1605" t="s">
        <v>512</v>
      </c>
      <c r="B1605" t="str">
        <f>VLOOKUP(Tabla1[[#This Row],[Code]],[1]!Tabla4[#Data],2,FALSE)</f>
        <v>M2 Metamark M7 115 Azul Maíz 0,61 x 50m</v>
      </c>
      <c r="C1605">
        <v>23</v>
      </c>
      <c r="D1605" t="s">
        <v>90</v>
      </c>
      <c r="E1605" t="str">
        <f>VLOOKUP(Tabla1[[#This Row],[Cód. Atributo]],[1]!Tabla5[#Data],6,FALSE)</f>
        <v>Select</v>
      </c>
      <c r="F1605">
        <v>3</v>
      </c>
      <c r="G1605">
        <v>2</v>
      </c>
      <c r="H1605" t="s">
        <v>136</v>
      </c>
      <c r="I1605" t="str">
        <f>VLOOKUP(Tabla1[[#This Row],[Code]],'[1]Articulos Precio'!$A:$E,5,FALSE)</f>
        <v>A0000103</v>
      </c>
    </row>
    <row r="1606" spans="1:9" x14ac:dyDescent="0.25">
      <c r="A1606" t="s">
        <v>512</v>
      </c>
      <c r="B1606" t="str">
        <f>VLOOKUP(Tabla1[[#This Row],[Code]],[1]!Tabla4[#Data],2,FALSE)</f>
        <v>M2 Metamark M7 115 Azul Maíz 0,61 x 50m</v>
      </c>
      <c r="C1606">
        <v>28</v>
      </c>
      <c r="D1606" t="s">
        <v>92</v>
      </c>
      <c r="E1606" t="str">
        <f>VLOOKUP(Tabla1[[#This Row],[Cód. Atributo]],[1]!Tabla5[#Data],6,FALSE)</f>
        <v>Select</v>
      </c>
      <c r="F1606">
        <v>4</v>
      </c>
      <c r="G1606">
        <v>1</v>
      </c>
      <c r="H1606" t="s">
        <v>93</v>
      </c>
      <c r="I1606" t="str">
        <f>VLOOKUP(Tabla1[[#This Row],[Code]],'[1]Articulos Precio'!$A:$E,5,FALSE)</f>
        <v>A0000103</v>
      </c>
    </row>
    <row r="1607" spans="1:9" x14ac:dyDescent="0.25">
      <c r="A1607" t="s">
        <v>512</v>
      </c>
      <c r="B1607" t="str">
        <f>VLOOKUP(Tabla1[[#This Row],[Code]],[1]!Tabla4[#Data],2,FALSE)</f>
        <v>M2 Metamark M7 115 Azul Maíz 0,61 x 50m</v>
      </c>
      <c r="C1607">
        <v>25</v>
      </c>
      <c r="D1607" t="s">
        <v>94</v>
      </c>
      <c r="E1607" t="str">
        <f>VLOOKUP(Tabla1[[#This Row],[Cód. Atributo]],[1]!Tabla5[#Data],6,FALSE)</f>
        <v>Select</v>
      </c>
      <c r="F1607">
        <v>5</v>
      </c>
      <c r="G1607">
        <v>4</v>
      </c>
      <c r="H1607" t="s">
        <v>137</v>
      </c>
      <c r="I1607" t="str">
        <f>VLOOKUP(Tabla1[[#This Row],[Code]],'[1]Articulos Precio'!$A:$E,5,FALSE)</f>
        <v>A0000103</v>
      </c>
    </row>
    <row r="1608" spans="1:9" x14ac:dyDescent="0.25">
      <c r="A1608" t="s">
        <v>512</v>
      </c>
      <c r="B1608" t="str">
        <f>VLOOKUP(Tabla1[[#This Row],[Code]],[1]!Tabla4[#Data],2,FALSE)</f>
        <v>M2 Metamark M7 115 Azul Maíz 0,61 x 50m</v>
      </c>
      <c r="C1608">
        <v>24</v>
      </c>
      <c r="D1608" t="s">
        <v>96</v>
      </c>
      <c r="E1608" t="str">
        <f>VLOOKUP(Tabla1[[#This Row],[Cód. Atributo]],[1]!Tabla5[#Data],6,FALSE)</f>
        <v>Select</v>
      </c>
      <c r="F1608">
        <v>6</v>
      </c>
      <c r="G1608">
        <v>2</v>
      </c>
      <c r="H1608" t="s">
        <v>266</v>
      </c>
      <c r="I1608" t="str">
        <f>VLOOKUP(Tabla1[[#This Row],[Code]],'[1]Articulos Precio'!$A:$E,5,FALSE)</f>
        <v>A0000103</v>
      </c>
    </row>
    <row r="1609" spans="1:9" x14ac:dyDescent="0.25">
      <c r="A1609" t="s">
        <v>514</v>
      </c>
      <c r="B1609" t="str">
        <f>VLOOKUP(Tabla1[[#This Row],[Code]],[1]!Tabla4[#Data],2,FALSE)</f>
        <v>M2 Metamark M7 115 Azul Maíz 1,22 x 50m</v>
      </c>
      <c r="C1609">
        <v>8</v>
      </c>
      <c r="D1609" t="s">
        <v>86</v>
      </c>
      <c r="E1609" t="str">
        <f>VLOOKUP(Tabla1[[#This Row],[Cód. Atributo]],[1]!Tabla5[#Data],6,FALSE)</f>
        <v>Select</v>
      </c>
      <c r="F1609">
        <v>1</v>
      </c>
      <c r="G1609">
        <v>2</v>
      </c>
      <c r="H1609" t="s">
        <v>268</v>
      </c>
      <c r="I1609" t="str">
        <f>VLOOKUP(Tabla1[[#This Row],[Code]],'[1]Articulos Precio'!$A:$E,5,FALSE)</f>
        <v>A0000103</v>
      </c>
    </row>
    <row r="1610" spans="1:9" x14ac:dyDescent="0.25">
      <c r="A1610" t="s">
        <v>514</v>
      </c>
      <c r="B1610" t="str">
        <f>VLOOKUP(Tabla1[[#This Row],[Code]],[1]!Tabla4[#Data],2,FALSE)</f>
        <v>M2 Metamark M7 115 Azul Maíz 1,22 x 50m</v>
      </c>
      <c r="C1610">
        <v>13</v>
      </c>
      <c r="D1610" t="s">
        <v>491</v>
      </c>
      <c r="E1610" t="str">
        <f>VLOOKUP(Tabla1[[#This Row],[Cód. Atributo]],[1]!Tabla5[#Data],6,FALSE)</f>
        <v>Color</v>
      </c>
      <c r="F1610">
        <v>2</v>
      </c>
      <c r="G1610">
        <v>58</v>
      </c>
      <c r="H1610" t="s">
        <v>513</v>
      </c>
      <c r="I1610" t="str">
        <f>VLOOKUP(Tabla1[[#This Row],[Code]],'[1]Articulos Precio'!$A:$E,5,FALSE)</f>
        <v>A0000103</v>
      </c>
    </row>
    <row r="1611" spans="1:9" x14ac:dyDescent="0.25">
      <c r="A1611" t="s">
        <v>514</v>
      </c>
      <c r="B1611" t="str">
        <f>VLOOKUP(Tabla1[[#This Row],[Code]],[1]!Tabla4[#Data],2,FALSE)</f>
        <v>M2 Metamark M7 115 Azul Maíz 1,22 x 50m</v>
      </c>
      <c r="C1611">
        <v>23</v>
      </c>
      <c r="D1611" t="s">
        <v>90</v>
      </c>
      <c r="E1611" t="str">
        <f>VLOOKUP(Tabla1[[#This Row],[Cód. Atributo]],[1]!Tabla5[#Data],6,FALSE)</f>
        <v>Select</v>
      </c>
      <c r="F1611">
        <v>3</v>
      </c>
      <c r="G1611">
        <v>2</v>
      </c>
      <c r="H1611" t="s">
        <v>136</v>
      </c>
      <c r="I1611" t="str">
        <f>VLOOKUP(Tabla1[[#This Row],[Code]],'[1]Articulos Precio'!$A:$E,5,FALSE)</f>
        <v>A0000103</v>
      </c>
    </row>
    <row r="1612" spans="1:9" x14ac:dyDescent="0.25">
      <c r="A1612" t="s">
        <v>514</v>
      </c>
      <c r="B1612" t="str">
        <f>VLOOKUP(Tabla1[[#This Row],[Code]],[1]!Tabla4[#Data],2,FALSE)</f>
        <v>M2 Metamark M7 115 Azul Maíz 1,22 x 50m</v>
      </c>
      <c r="C1612">
        <v>28</v>
      </c>
      <c r="D1612" t="s">
        <v>92</v>
      </c>
      <c r="E1612" t="str">
        <f>VLOOKUP(Tabla1[[#This Row],[Cód. Atributo]],[1]!Tabla5[#Data],6,FALSE)</f>
        <v>Select</v>
      </c>
      <c r="F1612">
        <v>4</v>
      </c>
      <c r="G1612">
        <v>1</v>
      </c>
      <c r="H1612" t="s">
        <v>93</v>
      </c>
      <c r="I1612" t="str">
        <f>VLOOKUP(Tabla1[[#This Row],[Code]],'[1]Articulos Precio'!$A:$E,5,FALSE)</f>
        <v>A0000103</v>
      </c>
    </row>
    <row r="1613" spans="1:9" x14ac:dyDescent="0.25">
      <c r="A1613" t="s">
        <v>514</v>
      </c>
      <c r="B1613" t="str">
        <f>VLOOKUP(Tabla1[[#This Row],[Code]],[1]!Tabla4[#Data],2,FALSE)</f>
        <v>M2 Metamark M7 115 Azul Maíz 1,22 x 50m</v>
      </c>
      <c r="C1613">
        <v>25</v>
      </c>
      <c r="D1613" t="s">
        <v>94</v>
      </c>
      <c r="E1613" t="str">
        <f>VLOOKUP(Tabla1[[#This Row],[Cód. Atributo]],[1]!Tabla5[#Data],6,FALSE)</f>
        <v>Select</v>
      </c>
      <c r="F1613">
        <v>5</v>
      </c>
      <c r="G1613">
        <v>4</v>
      </c>
      <c r="H1613" t="s">
        <v>137</v>
      </c>
      <c r="I1613" t="str">
        <f>VLOOKUP(Tabla1[[#This Row],[Code]],'[1]Articulos Precio'!$A:$E,5,FALSE)</f>
        <v>A0000103</v>
      </c>
    </row>
    <row r="1614" spans="1:9" x14ac:dyDescent="0.25">
      <c r="A1614" t="s">
        <v>514</v>
      </c>
      <c r="B1614" t="str">
        <f>VLOOKUP(Tabla1[[#This Row],[Code]],[1]!Tabla4[#Data],2,FALSE)</f>
        <v>M2 Metamark M7 115 Azul Maíz 1,22 x 50m</v>
      </c>
      <c r="C1614">
        <v>24</v>
      </c>
      <c r="D1614" t="s">
        <v>96</v>
      </c>
      <c r="E1614" t="str">
        <f>VLOOKUP(Tabla1[[#This Row],[Cód. Atributo]],[1]!Tabla5[#Data],6,FALSE)</f>
        <v>Select</v>
      </c>
      <c r="F1614">
        <v>6</v>
      </c>
      <c r="G1614">
        <v>2</v>
      </c>
      <c r="H1614" t="s">
        <v>266</v>
      </c>
      <c r="I1614" t="str">
        <f>VLOOKUP(Tabla1[[#This Row],[Code]],'[1]Articulos Precio'!$A:$E,5,FALSE)</f>
        <v>A0000103</v>
      </c>
    </row>
    <row r="1615" spans="1:9" x14ac:dyDescent="0.25">
      <c r="A1615" t="s">
        <v>515</v>
      </c>
      <c r="B1615" t="str">
        <f>VLOOKUP(Tabla1[[#This Row],[Code]],[1]!Tabla4[#Data],2,FALSE)</f>
        <v>M2 Metamark M7 116 Azul Almirante 0,61 x 50m</v>
      </c>
      <c r="C1615">
        <v>8</v>
      </c>
      <c r="D1615" t="s">
        <v>86</v>
      </c>
      <c r="E1615" t="str">
        <f>VLOOKUP(Tabla1[[#This Row],[Cód. Atributo]],[1]!Tabla5[#Data],6,FALSE)</f>
        <v>Select</v>
      </c>
      <c r="F1615">
        <v>1</v>
      </c>
      <c r="G1615">
        <v>1</v>
      </c>
      <c r="H1615" t="s">
        <v>263</v>
      </c>
      <c r="I1615" t="str">
        <f>VLOOKUP(Tabla1[[#This Row],[Code]],'[1]Articulos Precio'!$A:$E,5,FALSE)</f>
        <v>A0000103</v>
      </c>
    </row>
    <row r="1616" spans="1:9" x14ac:dyDescent="0.25">
      <c r="A1616" t="s">
        <v>515</v>
      </c>
      <c r="B1616" t="str">
        <f>VLOOKUP(Tabla1[[#This Row],[Code]],[1]!Tabla4[#Data],2,FALSE)</f>
        <v>M2 Metamark M7 116 Azul Almirante 0,61 x 50m</v>
      </c>
      <c r="C1616">
        <v>13</v>
      </c>
      <c r="D1616" t="s">
        <v>491</v>
      </c>
      <c r="E1616" t="str">
        <f>VLOOKUP(Tabla1[[#This Row],[Cód. Atributo]],[1]!Tabla5[#Data],6,FALSE)</f>
        <v>Color</v>
      </c>
      <c r="F1616">
        <v>2</v>
      </c>
      <c r="G1616">
        <v>59</v>
      </c>
      <c r="H1616" t="s">
        <v>516</v>
      </c>
      <c r="I1616" t="str">
        <f>VLOOKUP(Tabla1[[#This Row],[Code]],'[1]Articulos Precio'!$A:$E,5,FALSE)</f>
        <v>A0000103</v>
      </c>
    </row>
    <row r="1617" spans="1:9" x14ac:dyDescent="0.25">
      <c r="A1617" t="s">
        <v>515</v>
      </c>
      <c r="B1617" t="str">
        <f>VLOOKUP(Tabla1[[#This Row],[Code]],[1]!Tabla4[#Data],2,FALSE)</f>
        <v>M2 Metamark M7 116 Azul Almirante 0,61 x 50m</v>
      </c>
      <c r="C1617">
        <v>23</v>
      </c>
      <c r="D1617" t="s">
        <v>90</v>
      </c>
      <c r="E1617" t="str">
        <f>VLOOKUP(Tabla1[[#This Row],[Cód. Atributo]],[1]!Tabla5[#Data],6,FALSE)</f>
        <v>Select</v>
      </c>
      <c r="F1617">
        <v>3</v>
      </c>
      <c r="G1617">
        <v>2</v>
      </c>
      <c r="H1617" t="s">
        <v>136</v>
      </c>
      <c r="I1617" t="str">
        <f>VLOOKUP(Tabla1[[#This Row],[Code]],'[1]Articulos Precio'!$A:$E,5,FALSE)</f>
        <v>A0000103</v>
      </c>
    </row>
    <row r="1618" spans="1:9" x14ac:dyDescent="0.25">
      <c r="A1618" t="s">
        <v>515</v>
      </c>
      <c r="B1618" t="str">
        <f>VLOOKUP(Tabla1[[#This Row],[Code]],[1]!Tabla4[#Data],2,FALSE)</f>
        <v>M2 Metamark M7 116 Azul Almirante 0,61 x 50m</v>
      </c>
      <c r="C1618">
        <v>28</v>
      </c>
      <c r="D1618" t="s">
        <v>92</v>
      </c>
      <c r="E1618" t="str">
        <f>VLOOKUP(Tabla1[[#This Row],[Cód. Atributo]],[1]!Tabla5[#Data],6,FALSE)</f>
        <v>Select</v>
      </c>
      <c r="F1618">
        <v>4</v>
      </c>
      <c r="G1618">
        <v>1</v>
      </c>
      <c r="H1618" t="s">
        <v>93</v>
      </c>
      <c r="I1618" t="str">
        <f>VLOOKUP(Tabla1[[#This Row],[Code]],'[1]Articulos Precio'!$A:$E,5,FALSE)</f>
        <v>A0000103</v>
      </c>
    </row>
    <row r="1619" spans="1:9" x14ac:dyDescent="0.25">
      <c r="A1619" t="s">
        <v>515</v>
      </c>
      <c r="B1619" t="str">
        <f>VLOOKUP(Tabla1[[#This Row],[Code]],[1]!Tabla4[#Data],2,FALSE)</f>
        <v>M2 Metamark M7 116 Azul Almirante 0,61 x 50m</v>
      </c>
      <c r="C1619">
        <v>25</v>
      </c>
      <c r="D1619" t="s">
        <v>94</v>
      </c>
      <c r="E1619" t="str">
        <f>VLOOKUP(Tabla1[[#This Row],[Cód. Atributo]],[1]!Tabla5[#Data],6,FALSE)</f>
        <v>Select</v>
      </c>
      <c r="F1619">
        <v>5</v>
      </c>
      <c r="G1619">
        <v>4</v>
      </c>
      <c r="H1619" t="s">
        <v>137</v>
      </c>
      <c r="I1619" t="str">
        <f>VLOOKUP(Tabla1[[#This Row],[Code]],'[1]Articulos Precio'!$A:$E,5,FALSE)</f>
        <v>A0000103</v>
      </c>
    </row>
    <row r="1620" spans="1:9" x14ac:dyDescent="0.25">
      <c r="A1620" t="s">
        <v>515</v>
      </c>
      <c r="B1620" t="str">
        <f>VLOOKUP(Tabla1[[#This Row],[Code]],[1]!Tabla4[#Data],2,FALSE)</f>
        <v>M2 Metamark M7 116 Azul Almirante 0,61 x 50m</v>
      </c>
      <c r="C1620">
        <v>24</v>
      </c>
      <c r="D1620" t="s">
        <v>96</v>
      </c>
      <c r="E1620" t="str">
        <f>VLOOKUP(Tabla1[[#This Row],[Cód. Atributo]],[1]!Tabla5[#Data],6,FALSE)</f>
        <v>Select</v>
      </c>
      <c r="F1620">
        <v>6</v>
      </c>
      <c r="G1620">
        <v>2</v>
      </c>
      <c r="H1620" t="s">
        <v>266</v>
      </c>
      <c r="I1620" t="str">
        <f>VLOOKUP(Tabla1[[#This Row],[Code]],'[1]Articulos Precio'!$A:$E,5,FALSE)</f>
        <v>A0000103</v>
      </c>
    </row>
    <row r="1621" spans="1:9" x14ac:dyDescent="0.25">
      <c r="A1621" t="s">
        <v>517</v>
      </c>
      <c r="B1621" t="str">
        <f>VLOOKUP(Tabla1[[#This Row],[Code]],[1]!Tabla4[#Data],2,FALSE)</f>
        <v>M2 Metamark M7 116 Azul Almirante 1,22 x 50m</v>
      </c>
      <c r="C1621">
        <v>8</v>
      </c>
      <c r="D1621" t="s">
        <v>86</v>
      </c>
      <c r="E1621" t="str">
        <f>VLOOKUP(Tabla1[[#This Row],[Cód. Atributo]],[1]!Tabla5[#Data],6,FALSE)</f>
        <v>Select</v>
      </c>
      <c r="F1621">
        <v>1</v>
      </c>
      <c r="G1621">
        <v>2</v>
      </c>
      <c r="H1621" t="s">
        <v>268</v>
      </c>
      <c r="I1621" t="str">
        <f>VLOOKUP(Tabla1[[#This Row],[Code]],'[1]Articulos Precio'!$A:$E,5,FALSE)</f>
        <v>A0000103</v>
      </c>
    </row>
    <row r="1622" spans="1:9" x14ac:dyDescent="0.25">
      <c r="A1622" t="s">
        <v>517</v>
      </c>
      <c r="B1622" t="str">
        <f>VLOOKUP(Tabla1[[#This Row],[Code]],[1]!Tabla4[#Data],2,FALSE)</f>
        <v>M2 Metamark M7 116 Azul Almirante 1,22 x 50m</v>
      </c>
      <c r="C1622">
        <v>13</v>
      </c>
      <c r="D1622" t="s">
        <v>491</v>
      </c>
      <c r="E1622" t="str">
        <f>VLOOKUP(Tabla1[[#This Row],[Cód. Atributo]],[1]!Tabla5[#Data],6,FALSE)</f>
        <v>Color</v>
      </c>
      <c r="F1622">
        <v>2</v>
      </c>
      <c r="G1622">
        <v>59</v>
      </c>
      <c r="H1622" t="s">
        <v>516</v>
      </c>
      <c r="I1622" t="str">
        <f>VLOOKUP(Tabla1[[#This Row],[Code]],'[1]Articulos Precio'!$A:$E,5,FALSE)</f>
        <v>A0000103</v>
      </c>
    </row>
    <row r="1623" spans="1:9" x14ac:dyDescent="0.25">
      <c r="A1623" t="s">
        <v>517</v>
      </c>
      <c r="B1623" t="str">
        <f>VLOOKUP(Tabla1[[#This Row],[Code]],[1]!Tabla4[#Data],2,FALSE)</f>
        <v>M2 Metamark M7 116 Azul Almirante 1,22 x 50m</v>
      </c>
      <c r="C1623">
        <v>23</v>
      </c>
      <c r="D1623" t="s">
        <v>90</v>
      </c>
      <c r="E1623" t="str">
        <f>VLOOKUP(Tabla1[[#This Row],[Cód. Atributo]],[1]!Tabla5[#Data],6,FALSE)</f>
        <v>Select</v>
      </c>
      <c r="F1623">
        <v>3</v>
      </c>
      <c r="G1623">
        <v>2</v>
      </c>
      <c r="H1623" t="s">
        <v>136</v>
      </c>
      <c r="I1623" t="str">
        <f>VLOOKUP(Tabla1[[#This Row],[Code]],'[1]Articulos Precio'!$A:$E,5,FALSE)</f>
        <v>A0000103</v>
      </c>
    </row>
    <row r="1624" spans="1:9" x14ac:dyDescent="0.25">
      <c r="A1624" t="s">
        <v>517</v>
      </c>
      <c r="B1624" t="str">
        <f>VLOOKUP(Tabla1[[#This Row],[Code]],[1]!Tabla4[#Data],2,FALSE)</f>
        <v>M2 Metamark M7 116 Azul Almirante 1,22 x 50m</v>
      </c>
      <c r="C1624">
        <v>28</v>
      </c>
      <c r="D1624" t="s">
        <v>92</v>
      </c>
      <c r="E1624" t="str">
        <f>VLOOKUP(Tabla1[[#This Row],[Cód. Atributo]],[1]!Tabla5[#Data],6,FALSE)</f>
        <v>Select</v>
      </c>
      <c r="F1624">
        <v>4</v>
      </c>
      <c r="G1624">
        <v>1</v>
      </c>
      <c r="H1624" t="s">
        <v>93</v>
      </c>
      <c r="I1624" t="str">
        <f>VLOOKUP(Tabla1[[#This Row],[Code]],'[1]Articulos Precio'!$A:$E,5,FALSE)</f>
        <v>A0000103</v>
      </c>
    </row>
    <row r="1625" spans="1:9" x14ac:dyDescent="0.25">
      <c r="A1625" t="s">
        <v>517</v>
      </c>
      <c r="B1625" t="str">
        <f>VLOOKUP(Tabla1[[#This Row],[Code]],[1]!Tabla4[#Data],2,FALSE)</f>
        <v>M2 Metamark M7 116 Azul Almirante 1,22 x 50m</v>
      </c>
      <c r="C1625">
        <v>25</v>
      </c>
      <c r="D1625" t="s">
        <v>94</v>
      </c>
      <c r="E1625" t="str">
        <f>VLOOKUP(Tabla1[[#This Row],[Cód. Atributo]],[1]!Tabla5[#Data],6,FALSE)</f>
        <v>Select</v>
      </c>
      <c r="F1625">
        <v>5</v>
      </c>
      <c r="G1625">
        <v>4</v>
      </c>
      <c r="H1625" t="s">
        <v>137</v>
      </c>
      <c r="I1625" t="str">
        <f>VLOOKUP(Tabla1[[#This Row],[Code]],'[1]Articulos Precio'!$A:$E,5,FALSE)</f>
        <v>A0000103</v>
      </c>
    </row>
    <row r="1626" spans="1:9" x14ac:dyDescent="0.25">
      <c r="A1626" t="s">
        <v>517</v>
      </c>
      <c r="B1626" t="str">
        <f>VLOOKUP(Tabla1[[#This Row],[Code]],[1]!Tabla4[#Data],2,FALSE)</f>
        <v>M2 Metamark M7 116 Azul Almirante 1,22 x 50m</v>
      </c>
      <c r="C1626">
        <v>24</v>
      </c>
      <c r="D1626" t="s">
        <v>96</v>
      </c>
      <c r="E1626" t="str">
        <f>VLOOKUP(Tabla1[[#This Row],[Cód. Atributo]],[1]!Tabla5[#Data],6,FALSE)</f>
        <v>Select</v>
      </c>
      <c r="F1626">
        <v>6</v>
      </c>
      <c r="G1626">
        <v>2</v>
      </c>
      <c r="H1626" t="s">
        <v>266</v>
      </c>
      <c r="I1626" t="str">
        <f>VLOOKUP(Tabla1[[#This Row],[Code]],'[1]Articulos Precio'!$A:$E,5,FALSE)</f>
        <v>A0000103</v>
      </c>
    </row>
    <row r="1627" spans="1:9" x14ac:dyDescent="0.25">
      <c r="A1627" t="s">
        <v>518</v>
      </c>
      <c r="B1627" t="str">
        <f>VLOOKUP(Tabla1[[#This Row],[Code]],[1]!Tabla4[#Data],2,FALSE)</f>
        <v>M2 Metamark M7 117 Oxford 0,61 x 50m</v>
      </c>
      <c r="C1627">
        <v>8</v>
      </c>
      <c r="D1627" t="s">
        <v>86</v>
      </c>
      <c r="E1627" t="str">
        <f>VLOOKUP(Tabla1[[#This Row],[Cód. Atributo]],[1]!Tabla5[#Data],6,FALSE)</f>
        <v>Select</v>
      </c>
      <c r="F1627">
        <v>1</v>
      </c>
      <c r="G1627">
        <v>1</v>
      </c>
      <c r="H1627" t="s">
        <v>263</v>
      </c>
      <c r="I1627" t="str">
        <f>VLOOKUP(Tabla1[[#This Row],[Code]],'[1]Articulos Precio'!$A:$E,5,FALSE)</f>
        <v>A0000103</v>
      </c>
    </row>
    <row r="1628" spans="1:9" x14ac:dyDescent="0.25">
      <c r="A1628" t="s">
        <v>518</v>
      </c>
      <c r="B1628" t="str">
        <f>VLOOKUP(Tabla1[[#This Row],[Code]],[1]!Tabla4[#Data],2,FALSE)</f>
        <v>M2 Metamark M7 117 Oxford 0,61 x 50m</v>
      </c>
      <c r="C1628">
        <v>13</v>
      </c>
      <c r="D1628" t="s">
        <v>491</v>
      </c>
      <c r="E1628" t="str">
        <f>VLOOKUP(Tabla1[[#This Row],[Cód. Atributo]],[1]!Tabla5[#Data],6,FALSE)</f>
        <v>Color</v>
      </c>
      <c r="F1628">
        <v>2</v>
      </c>
      <c r="G1628">
        <v>60</v>
      </c>
      <c r="H1628" t="s">
        <v>519</v>
      </c>
      <c r="I1628" t="str">
        <f>VLOOKUP(Tabla1[[#This Row],[Code]],'[1]Articulos Precio'!$A:$E,5,FALSE)</f>
        <v>A0000103</v>
      </c>
    </row>
    <row r="1629" spans="1:9" x14ac:dyDescent="0.25">
      <c r="A1629" t="s">
        <v>518</v>
      </c>
      <c r="B1629" t="str">
        <f>VLOOKUP(Tabla1[[#This Row],[Code]],[1]!Tabla4[#Data],2,FALSE)</f>
        <v>M2 Metamark M7 117 Oxford 0,61 x 50m</v>
      </c>
      <c r="C1629">
        <v>23</v>
      </c>
      <c r="D1629" t="s">
        <v>90</v>
      </c>
      <c r="E1629" t="str">
        <f>VLOOKUP(Tabla1[[#This Row],[Cód. Atributo]],[1]!Tabla5[#Data],6,FALSE)</f>
        <v>Select</v>
      </c>
      <c r="F1629">
        <v>3</v>
      </c>
      <c r="G1629">
        <v>2</v>
      </c>
      <c r="H1629" t="s">
        <v>136</v>
      </c>
      <c r="I1629" t="str">
        <f>VLOOKUP(Tabla1[[#This Row],[Code]],'[1]Articulos Precio'!$A:$E,5,FALSE)</f>
        <v>A0000103</v>
      </c>
    </row>
    <row r="1630" spans="1:9" x14ac:dyDescent="0.25">
      <c r="A1630" t="s">
        <v>518</v>
      </c>
      <c r="B1630" t="str">
        <f>VLOOKUP(Tabla1[[#This Row],[Code]],[1]!Tabla4[#Data],2,FALSE)</f>
        <v>M2 Metamark M7 117 Oxford 0,61 x 50m</v>
      </c>
      <c r="C1630">
        <v>28</v>
      </c>
      <c r="D1630" t="s">
        <v>92</v>
      </c>
      <c r="E1630" t="str">
        <f>VLOOKUP(Tabla1[[#This Row],[Cód. Atributo]],[1]!Tabla5[#Data],6,FALSE)</f>
        <v>Select</v>
      </c>
      <c r="F1630">
        <v>4</v>
      </c>
      <c r="G1630">
        <v>1</v>
      </c>
      <c r="H1630" t="s">
        <v>93</v>
      </c>
      <c r="I1630" t="str">
        <f>VLOOKUP(Tabla1[[#This Row],[Code]],'[1]Articulos Precio'!$A:$E,5,FALSE)</f>
        <v>A0000103</v>
      </c>
    </row>
    <row r="1631" spans="1:9" x14ac:dyDescent="0.25">
      <c r="A1631" t="s">
        <v>518</v>
      </c>
      <c r="B1631" t="str">
        <f>VLOOKUP(Tabla1[[#This Row],[Code]],[1]!Tabla4[#Data],2,FALSE)</f>
        <v>M2 Metamark M7 117 Oxford 0,61 x 50m</v>
      </c>
      <c r="C1631">
        <v>25</v>
      </c>
      <c r="D1631" t="s">
        <v>94</v>
      </c>
      <c r="E1631" t="str">
        <f>VLOOKUP(Tabla1[[#This Row],[Cód. Atributo]],[1]!Tabla5[#Data],6,FALSE)</f>
        <v>Select</v>
      </c>
      <c r="F1631">
        <v>5</v>
      </c>
      <c r="G1631">
        <v>4</v>
      </c>
      <c r="H1631" t="s">
        <v>137</v>
      </c>
      <c r="I1631" t="str">
        <f>VLOOKUP(Tabla1[[#This Row],[Code]],'[1]Articulos Precio'!$A:$E,5,FALSE)</f>
        <v>A0000103</v>
      </c>
    </row>
    <row r="1632" spans="1:9" x14ac:dyDescent="0.25">
      <c r="A1632" t="s">
        <v>518</v>
      </c>
      <c r="B1632" t="str">
        <f>VLOOKUP(Tabla1[[#This Row],[Code]],[1]!Tabla4[#Data],2,FALSE)</f>
        <v>M2 Metamark M7 117 Oxford 0,61 x 50m</v>
      </c>
      <c r="C1632">
        <v>24</v>
      </c>
      <c r="D1632" t="s">
        <v>96</v>
      </c>
      <c r="E1632" t="str">
        <f>VLOOKUP(Tabla1[[#This Row],[Cód. Atributo]],[1]!Tabla5[#Data],6,FALSE)</f>
        <v>Select</v>
      </c>
      <c r="F1632">
        <v>6</v>
      </c>
      <c r="G1632">
        <v>2</v>
      </c>
      <c r="H1632" t="s">
        <v>266</v>
      </c>
      <c r="I1632" t="str">
        <f>VLOOKUP(Tabla1[[#This Row],[Code]],'[1]Articulos Precio'!$A:$E,5,FALSE)</f>
        <v>A0000103</v>
      </c>
    </row>
    <row r="1633" spans="1:9" x14ac:dyDescent="0.25">
      <c r="A1633" t="s">
        <v>520</v>
      </c>
      <c r="B1633" t="str">
        <f>VLOOKUP(Tabla1[[#This Row],[Code]],[1]!Tabla4[#Data],2,FALSE)</f>
        <v>M2 Metamark M7 117 Oxford 1,22 x 50m</v>
      </c>
      <c r="C1633">
        <v>8</v>
      </c>
      <c r="D1633" t="s">
        <v>86</v>
      </c>
      <c r="E1633" t="str">
        <f>VLOOKUP(Tabla1[[#This Row],[Cód. Atributo]],[1]!Tabla5[#Data],6,FALSE)</f>
        <v>Select</v>
      </c>
      <c r="F1633">
        <v>1</v>
      </c>
      <c r="G1633">
        <v>2</v>
      </c>
      <c r="H1633" t="s">
        <v>268</v>
      </c>
      <c r="I1633" t="str">
        <f>VLOOKUP(Tabla1[[#This Row],[Code]],'[1]Articulos Precio'!$A:$E,5,FALSE)</f>
        <v>A0000103</v>
      </c>
    </row>
    <row r="1634" spans="1:9" x14ac:dyDescent="0.25">
      <c r="A1634" t="s">
        <v>520</v>
      </c>
      <c r="B1634" t="str">
        <f>VLOOKUP(Tabla1[[#This Row],[Code]],[1]!Tabla4[#Data],2,FALSE)</f>
        <v>M2 Metamark M7 117 Oxford 1,22 x 50m</v>
      </c>
      <c r="C1634">
        <v>13</v>
      </c>
      <c r="D1634" t="s">
        <v>491</v>
      </c>
      <c r="E1634" t="str">
        <f>VLOOKUP(Tabla1[[#This Row],[Cód. Atributo]],[1]!Tabla5[#Data],6,FALSE)</f>
        <v>Color</v>
      </c>
      <c r="F1634">
        <v>2</v>
      </c>
      <c r="G1634">
        <v>60</v>
      </c>
      <c r="H1634" t="s">
        <v>519</v>
      </c>
      <c r="I1634" t="str">
        <f>VLOOKUP(Tabla1[[#This Row],[Code]],'[1]Articulos Precio'!$A:$E,5,FALSE)</f>
        <v>A0000103</v>
      </c>
    </row>
    <row r="1635" spans="1:9" x14ac:dyDescent="0.25">
      <c r="A1635" t="s">
        <v>520</v>
      </c>
      <c r="B1635" t="str">
        <f>VLOOKUP(Tabla1[[#This Row],[Code]],[1]!Tabla4[#Data],2,FALSE)</f>
        <v>M2 Metamark M7 117 Oxford 1,22 x 50m</v>
      </c>
      <c r="C1635">
        <v>23</v>
      </c>
      <c r="D1635" t="s">
        <v>90</v>
      </c>
      <c r="E1635" t="str">
        <f>VLOOKUP(Tabla1[[#This Row],[Cód. Atributo]],[1]!Tabla5[#Data],6,FALSE)</f>
        <v>Select</v>
      </c>
      <c r="F1635">
        <v>3</v>
      </c>
      <c r="G1635">
        <v>2</v>
      </c>
      <c r="H1635" t="s">
        <v>136</v>
      </c>
      <c r="I1635" t="str">
        <f>VLOOKUP(Tabla1[[#This Row],[Code]],'[1]Articulos Precio'!$A:$E,5,FALSE)</f>
        <v>A0000103</v>
      </c>
    </row>
    <row r="1636" spans="1:9" x14ac:dyDescent="0.25">
      <c r="A1636" t="s">
        <v>520</v>
      </c>
      <c r="B1636" t="str">
        <f>VLOOKUP(Tabla1[[#This Row],[Code]],[1]!Tabla4[#Data],2,FALSE)</f>
        <v>M2 Metamark M7 117 Oxford 1,22 x 50m</v>
      </c>
      <c r="C1636">
        <v>28</v>
      </c>
      <c r="D1636" t="s">
        <v>92</v>
      </c>
      <c r="E1636" t="str">
        <f>VLOOKUP(Tabla1[[#This Row],[Cód. Atributo]],[1]!Tabla5[#Data],6,FALSE)</f>
        <v>Select</v>
      </c>
      <c r="F1636">
        <v>4</v>
      </c>
      <c r="G1636">
        <v>1</v>
      </c>
      <c r="H1636" t="s">
        <v>93</v>
      </c>
      <c r="I1636" t="str">
        <f>VLOOKUP(Tabla1[[#This Row],[Code]],'[1]Articulos Precio'!$A:$E,5,FALSE)</f>
        <v>A0000103</v>
      </c>
    </row>
    <row r="1637" spans="1:9" x14ac:dyDescent="0.25">
      <c r="A1637" t="s">
        <v>520</v>
      </c>
      <c r="B1637" t="str">
        <f>VLOOKUP(Tabla1[[#This Row],[Code]],[1]!Tabla4[#Data],2,FALSE)</f>
        <v>M2 Metamark M7 117 Oxford 1,22 x 50m</v>
      </c>
      <c r="C1637">
        <v>25</v>
      </c>
      <c r="D1637" t="s">
        <v>94</v>
      </c>
      <c r="E1637" t="str">
        <f>VLOOKUP(Tabla1[[#This Row],[Cód. Atributo]],[1]!Tabla5[#Data],6,FALSE)</f>
        <v>Select</v>
      </c>
      <c r="F1637">
        <v>5</v>
      </c>
      <c r="G1637">
        <v>4</v>
      </c>
      <c r="H1637" t="s">
        <v>137</v>
      </c>
      <c r="I1637" t="str">
        <f>VLOOKUP(Tabla1[[#This Row],[Code]],'[1]Articulos Precio'!$A:$E,5,FALSE)</f>
        <v>A0000103</v>
      </c>
    </row>
    <row r="1638" spans="1:9" x14ac:dyDescent="0.25">
      <c r="A1638" t="s">
        <v>520</v>
      </c>
      <c r="B1638" t="str">
        <f>VLOOKUP(Tabla1[[#This Row],[Code]],[1]!Tabla4[#Data],2,FALSE)</f>
        <v>M2 Metamark M7 117 Oxford 1,22 x 50m</v>
      </c>
      <c r="C1638">
        <v>24</v>
      </c>
      <c r="D1638" t="s">
        <v>96</v>
      </c>
      <c r="E1638" t="str">
        <f>VLOOKUP(Tabla1[[#This Row],[Cód. Atributo]],[1]!Tabla5[#Data],6,FALSE)</f>
        <v>Select</v>
      </c>
      <c r="F1638">
        <v>6</v>
      </c>
      <c r="G1638">
        <v>2</v>
      </c>
      <c r="H1638" t="s">
        <v>266</v>
      </c>
      <c r="I1638" t="str">
        <f>VLOOKUP(Tabla1[[#This Row],[Code]],'[1]Articulos Precio'!$A:$E,5,FALSE)</f>
        <v>A0000103</v>
      </c>
    </row>
    <row r="1639" spans="1:9" x14ac:dyDescent="0.25">
      <c r="A1639" t="s">
        <v>521</v>
      </c>
      <c r="B1639" t="str">
        <f>VLOOKUP(Tabla1[[#This Row],[Code]],[1]!Tabla4[#Data],2,FALSE)</f>
        <v>M2 Metamark M7 118 Azul Reflex 0,61 x 50m</v>
      </c>
      <c r="C1639">
        <v>8</v>
      </c>
      <c r="D1639" t="s">
        <v>86</v>
      </c>
      <c r="E1639" t="str">
        <f>VLOOKUP(Tabla1[[#This Row],[Cód. Atributo]],[1]!Tabla5[#Data],6,FALSE)</f>
        <v>Select</v>
      </c>
      <c r="F1639">
        <v>1</v>
      </c>
      <c r="G1639">
        <v>1</v>
      </c>
      <c r="H1639" t="s">
        <v>263</v>
      </c>
      <c r="I1639" t="str">
        <f>VLOOKUP(Tabla1[[#This Row],[Code]],'[1]Articulos Precio'!$A:$E,5,FALSE)</f>
        <v>A0000103</v>
      </c>
    </row>
    <row r="1640" spans="1:9" x14ac:dyDescent="0.25">
      <c r="A1640" t="s">
        <v>521</v>
      </c>
      <c r="B1640" t="str">
        <f>VLOOKUP(Tabla1[[#This Row],[Code]],[1]!Tabla4[#Data],2,FALSE)</f>
        <v>M2 Metamark M7 118 Azul Reflex 0,61 x 50m</v>
      </c>
      <c r="C1640">
        <v>13</v>
      </c>
      <c r="D1640" t="s">
        <v>491</v>
      </c>
      <c r="E1640" t="str">
        <f>VLOOKUP(Tabla1[[#This Row],[Cód. Atributo]],[1]!Tabla5[#Data],6,FALSE)</f>
        <v>Color</v>
      </c>
      <c r="F1640">
        <v>2</v>
      </c>
      <c r="G1640">
        <v>61</v>
      </c>
      <c r="H1640" t="s">
        <v>522</v>
      </c>
      <c r="I1640" t="str">
        <f>VLOOKUP(Tabla1[[#This Row],[Code]],'[1]Articulos Precio'!$A:$E,5,FALSE)</f>
        <v>A0000103</v>
      </c>
    </row>
    <row r="1641" spans="1:9" x14ac:dyDescent="0.25">
      <c r="A1641" t="s">
        <v>521</v>
      </c>
      <c r="B1641" t="str">
        <f>VLOOKUP(Tabla1[[#This Row],[Code]],[1]!Tabla4[#Data],2,FALSE)</f>
        <v>M2 Metamark M7 118 Azul Reflex 0,61 x 50m</v>
      </c>
      <c r="C1641">
        <v>23</v>
      </c>
      <c r="D1641" t="s">
        <v>90</v>
      </c>
      <c r="E1641" t="str">
        <f>VLOOKUP(Tabla1[[#This Row],[Cód. Atributo]],[1]!Tabla5[#Data],6,FALSE)</f>
        <v>Select</v>
      </c>
      <c r="F1641">
        <v>3</v>
      </c>
      <c r="G1641">
        <v>2</v>
      </c>
      <c r="H1641" t="s">
        <v>136</v>
      </c>
      <c r="I1641" t="str">
        <f>VLOOKUP(Tabla1[[#This Row],[Code]],'[1]Articulos Precio'!$A:$E,5,FALSE)</f>
        <v>A0000103</v>
      </c>
    </row>
    <row r="1642" spans="1:9" x14ac:dyDescent="0.25">
      <c r="A1642" t="s">
        <v>521</v>
      </c>
      <c r="B1642" t="str">
        <f>VLOOKUP(Tabla1[[#This Row],[Code]],[1]!Tabla4[#Data],2,FALSE)</f>
        <v>M2 Metamark M7 118 Azul Reflex 0,61 x 50m</v>
      </c>
      <c r="C1642">
        <v>28</v>
      </c>
      <c r="D1642" t="s">
        <v>92</v>
      </c>
      <c r="E1642" t="str">
        <f>VLOOKUP(Tabla1[[#This Row],[Cód. Atributo]],[1]!Tabla5[#Data],6,FALSE)</f>
        <v>Select</v>
      </c>
      <c r="F1642">
        <v>4</v>
      </c>
      <c r="G1642">
        <v>1</v>
      </c>
      <c r="H1642" t="s">
        <v>93</v>
      </c>
      <c r="I1642" t="str">
        <f>VLOOKUP(Tabla1[[#This Row],[Code]],'[1]Articulos Precio'!$A:$E,5,FALSE)</f>
        <v>A0000103</v>
      </c>
    </row>
    <row r="1643" spans="1:9" x14ac:dyDescent="0.25">
      <c r="A1643" t="s">
        <v>521</v>
      </c>
      <c r="B1643" t="str">
        <f>VLOOKUP(Tabla1[[#This Row],[Code]],[1]!Tabla4[#Data],2,FALSE)</f>
        <v>M2 Metamark M7 118 Azul Reflex 0,61 x 50m</v>
      </c>
      <c r="C1643">
        <v>25</v>
      </c>
      <c r="D1643" t="s">
        <v>94</v>
      </c>
      <c r="E1643" t="str">
        <f>VLOOKUP(Tabla1[[#This Row],[Cód. Atributo]],[1]!Tabla5[#Data],6,FALSE)</f>
        <v>Select</v>
      </c>
      <c r="F1643">
        <v>5</v>
      </c>
      <c r="G1643">
        <v>4</v>
      </c>
      <c r="H1643" t="s">
        <v>137</v>
      </c>
      <c r="I1643" t="str">
        <f>VLOOKUP(Tabla1[[#This Row],[Code]],'[1]Articulos Precio'!$A:$E,5,FALSE)</f>
        <v>A0000103</v>
      </c>
    </row>
    <row r="1644" spans="1:9" x14ac:dyDescent="0.25">
      <c r="A1644" t="s">
        <v>521</v>
      </c>
      <c r="B1644" t="str">
        <f>VLOOKUP(Tabla1[[#This Row],[Code]],[1]!Tabla4[#Data],2,FALSE)</f>
        <v>M2 Metamark M7 118 Azul Reflex 0,61 x 50m</v>
      </c>
      <c r="C1644">
        <v>24</v>
      </c>
      <c r="D1644" t="s">
        <v>96</v>
      </c>
      <c r="E1644" t="str">
        <f>VLOOKUP(Tabla1[[#This Row],[Cód. Atributo]],[1]!Tabla5[#Data],6,FALSE)</f>
        <v>Select</v>
      </c>
      <c r="F1644">
        <v>6</v>
      </c>
      <c r="G1644">
        <v>2</v>
      </c>
      <c r="H1644" t="s">
        <v>266</v>
      </c>
      <c r="I1644" t="str">
        <f>VLOOKUP(Tabla1[[#This Row],[Code]],'[1]Articulos Precio'!$A:$E,5,FALSE)</f>
        <v>A0000103</v>
      </c>
    </row>
    <row r="1645" spans="1:9" x14ac:dyDescent="0.25">
      <c r="A1645" t="s">
        <v>523</v>
      </c>
      <c r="B1645" t="str">
        <f>VLOOKUP(Tabla1[[#This Row],[Code]],[1]!Tabla4[#Data],2,FALSE)</f>
        <v>M2 Metamark M7 118 Azul Reflex 1,22 x 50m</v>
      </c>
      <c r="C1645">
        <v>8</v>
      </c>
      <c r="D1645" t="s">
        <v>86</v>
      </c>
      <c r="E1645" t="str">
        <f>VLOOKUP(Tabla1[[#This Row],[Cód. Atributo]],[1]!Tabla5[#Data],6,FALSE)</f>
        <v>Select</v>
      </c>
      <c r="F1645">
        <v>1</v>
      </c>
      <c r="G1645">
        <v>2</v>
      </c>
      <c r="H1645" t="s">
        <v>268</v>
      </c>
      <c r="I1645" t="str">
        <f>VLOOKUP(Tabla1[[#This Row],[Code]],'[1]Articulos Precio'!$A:$E,5,FALSE)</f>
        <v>A0000103</v>
      </c>
    </row>
    <row r="1646" spans="1:9" x14ac:dyDescent="0.25">
      <c r="A1646" t="s">
        <v>523</v>
      </c>
      <c r="B1646" t="str">
        <f>VLOOKUP(Tabla1[[#This Row],[Code]],[1]!Tabla4[#Data],2,FALSE)</f>
        <v>M2 Metamark M7 118 Azul Reflex 1,22 x 50m</v>
      </c>
      <c r="C1646">
        <v>13</v>
      </c>
      <c r="D1646" t="s">
        <v>491</v>
      </c>
      <c r="E1646" t="str">
        <f>VLOOKUP(Tabla1[[#This Row],[Cód. Atributo]],[1]!Tabla5[#Data],6,FALSE)</f>
        <v>Color</v>
      </c>
      <c r="F1646">
        <v>2</v>
      </c>
      <c r="G1646">
        <v>61</v>
      </c>
      <c r="H1646" t="s">
        <v>522</v>
      </c>
      <c r="I1646" t="str">
        <f>VLOOKUP(Tabla1[[#This Row],[Code]],'[1]Articulos Precio'!$A:$E,5,FALSE)</f>
        <v>A0000103</v>
      </c>
    </row>
    <row r="1647" spans="1:9" x14ac:dyDescent="0.25">
      <c r="A1647" t="s">
        <v>523</v>
      </c>
      <c r="B1647" t="str">
        <f>VLOOKUP(Tabla1[[#This Row],[Code]],[1]!Tabla4[#Data],2,FALSE)</f>
        <v>M2 Metamark M7 118 Azul Reflex 1,22 x 50m</v>
      </c>
      <c r="C1647">
        <v>23</v>
      </c>
      <c r="D1647" t="s">
        <v>90</v>
      </c>
      <c r="E1647" t="str">
        <f>VLOOKUP(Tabla1[[#This Row],[Cód. Atributo]],[1]!Tabla5[#Data],6,FALSE)</f>
        <v>Select</v>
      </c>
      <c r="F1647">
        <v>3</v>
      </c>
      <c r="G1647">
        <v>2</v>
      </c>
      <c r="H1647" t="s">
        <v>136</v>
      </c>
      <c r="I1647" t="str">
        <f>VLOOKUP(Tabla1[[#This Row],[Code]],'[1]Articulos Precio'!$A:$E,5,FALSE)</f>
        <v>A0000103</v>
      </c>
    </row>
    <row r="1648" spans="1:9" x14ac:dyDescent="0.25">
      <c r="A1648" t="s">
        <v>523</v>
      </c>
      <c r="B1648" t="str">
        <f>VLOOKUP(Tabla1[[#This Row],[Code]],[1]!Tabla4[#Data],2,FALSE)</f>
        <v>M2 Metamark M7 118 Azul Reflex 1,22 x 50m</v>
      </c>
      <c r="C1648">
        <v>28</v>
      </c>
      <c r="D1648" t="s">
        <v>92</v>
      </c>
      <c r="E1648" t="str">
        <f>VLOOKUP(Tabla1[[#This Row],[Cód. Atributo]],[1]!Tabla5[#Data],6,FALSE)</f>
        <v>Select</v>
      </c>
      <c r="F1648">
        <v>4</v>
      </c>
      <c r="G1648">
        <v>1</v>
      </c>
      <c r="H1648" t="s">
        <v>93</v>
      </c>
      <c r="I1648" t="str">
        <f>VLOOKUP(Tabla1[[#This Row],[Code]],'[1]Articulos Precio'!$A:$E,5,FALSE)</f>
        <v>A0000103</v>
      </c>
    </row>
    <row r="1649" spans="1:9" x14ac:dyDescent="0.25">
      <c r="A1649" t="s">
        <v>523</v>
      </c>
      <c r="B1649" t="str">
        <f>VLOOKUP(Tabla1[[#This Row],[Code]],[1]!Tabla4[#Data],2,FALSE)</f>
        <v>M2 Metamark M7 118 Azul Reflex 1,22 x 50m</v>
      </c>
      <c r="C1649">
        <v>25</v>
      </c>
      <c r="D1649" t="s">
        <v>94</v>
      </c>
      <c r="E1649" t="str">
        <f>VLOOKUP(Tabla1[[#This Row],[Cód. Atributo]],[1]!Tabla5[#Data],6,FALSE)</f>
        <v>Select</v>
      </c>
      <c r="F1649">
        <v>5</v>
      </c>
      <c r="G1649">
        <v>4</v>
      </c>
      <c r="H1649" t="s">
        <v>137</v>
      </c>
      <c r="I1649" t="str">
        <f>VLOOKUP(Tabla1[[#This Row],[Code]],'[1]Articulos Precio'!$A:$E,5,FALSE)</f>
        <v>A0000103</v>
      </c>
    </row>
    <row r="1650" spans="1:9" x14ac:dyDescent="0.25">
      <c r="A1650" t="s">
        <v>523</v>
      </c>
      <c r="B1650" t="str">
        <f>VLOOKUP(Tabla1[[#This Row],[Code]],[1]!Tabla4[#Data],2,FALSE)</f>
        <v>M2 Metamark M7 118 Azul Reflex 1,22 x 50m</v>
      </c>
      <c r="C1650">
        <v>24</v>
      </c>
      <c r="D1650" t="s">
        <v>96</v>
      </c>
      <c r="E1650" t="str">
        <f>VLOOKUP(Tabla1[[#This Row],[Cód. Atributo]],[1]!Tabla5[#Data],6,FALSE)</f>
        <v>Select</v>
      </c>
      <c r="F1650">
        <v>6</v>
      </c>
      <c r="G1650">
        <v>2</v>
      </c>
      <c r="H1650" t="s">
        <v>266</v>
      </c>
      <c r="I1650" t="str">
        <f>VLOOKUP(Tabla1[[#This Row],[Code]],'[1]Articulos Precio'!$A:$E,5,FALSE)</f>
        <v>A0000103</v>
      </c>
    </row>
    <row r="1651" spans="1:9" x14ac:dyDescent="0.25">
      <c r="A1651" t="s">
        <v>524</v>
      </c>
      <c r="B1651" t="str">
        <f>VLOOKUP(Tabla1[[#This Row],[Code]],[1]!Tabla4[#Data],2,FALSE)</f>
        <v>M2 Metamark M7 119 Azul Prusiano 0,61 x 50m</v>
      </c>
      <c r="C1651">
        <v>8</v>
      </c>
      <c r="D1651" t="s">
        <v>86</v>
      </c>
      <c r="E1651" t="str">
        <f>VLOOKUP(Tabla1[[#This Row],[Cód. Atributo]],[1]!Tabla5[#Data],6,FALSE)</f>
        <v>Select</v>
      </c>
      <c r="F1651">
        <v>1</v>
      </c>
      <c r="G1651">
        <v>1</v>
      </c>
      <c r="H1651" t="s">
        <v>263</v>
      </c>
      <c r="I1651" t="str">
        <f>VLOOKUP(Tabla1[[#This Row],[Code]],'[1]Articulos Precio'!$A:$E,5,FALSE)</f>
        <v>A0000103</v>
      </c>
    </row>
    <row r="1652" spans="1:9" x14ac:dyDescent="0.25">
      <c r="A1652" t="s">
        <v>524</v>
      </c>
      <c r="B1652" t="str">
        <f>VLOOKUP(Tabla1[[#This Row],[Code]],[1]!Tabla4[#Data],2,FALSE)</f>
        <v>M2 Metamark M7 119 Azul Prusiano 0,61 x 50m</v>
      </c>
      <c r="C1652">
        <v>13</v>
      </c>
      <c r="D1652" t="s">
        <v>491</v>
      </c>
      <c r="E1652" t="str">
        <f>VLOOKUP(Tabla1[[#This Row],[Cód. Atributo]],[1]!Tabla5[#Data],6,FALSE)</f>
        <v>Color</v>
      </c>
      <c r="F1652">
        <v>2</v>
      </c>
      <c r="G1652">
        <v>62</v>
      </c>
      <c r="H1652" t="s">
        <v>525</v>
      </c>
      <c r="I1652" t="str">
        <f>VLOOKUP(Tabla1[[#This Row],[Code]],'[1]Articulos Precio'!$A:$E,5,FALSE)</f>
        <v>A0000103</v>
      </c>
    </row>
    <row r="1653" spans="1:9" x14ac:dyDescent="0.25">
      <c r="A1653" t="s">
        <v>524</v>
      </c>
      <c r="B1653" t="str">
        <f>VLOOKUP(Tabla1[[#This Row],[Code]],[1]!Tabla4[#Data],2,FALSE)</f>
        <v>M2 Metamark M7 119 Azul Prusiano 0,61 x 50m</v>
      </c>
      <c r="C1653">
        <v>23</v>
      </c>
      <c r="D1653" t="s">
        <v>90</v>
      </c>
      <c r="E1653" t="str">
        <f>VLOOKUP(Tabla1[[#This Row],[Cód. Atributo]],[1]!Tabla5[#Data],6,FALSE)</f>
        <v>Select</v>
      </c>
      <c r="F1653">
        <v>3</v>
      </c>
      <c r="G1653">
        <v>2</v>
      </c>
      <c r="H1653" t="s">
        <v>136</v>
      </c>
      <c r="I1653" t="str">
        <f>VLOOKUP(Tabla1[[#This Row],[Code]],'[1]Articulos Precio'!$A:$E,5,FALSE)</f>
        <v>A0000103</v>
      </c>
    </row>
    <row r="1654" spans="1:9" x14ac:dyDescent="0.25">
      <c r="A1654" t="s">
        <v>524</v>
      </c>
      <c r="B1654" t="str">
        <f>VLOOKUP(Tabla1[[#This Row],[Code]],[1]!Tabla4[#Data],2,FALSE)</f>
        <v>M2 Metamark M7 119 Azul Prusiano 0,61 x 50m</v>
      </c>
      <c r="C1654">
        <v>28</v>
      </c>
      <c r="D1654" t="s">
        <v>92</v>
      </c>
      <c r="E1654" t="str">
        <f>VLOOKUP(Tabla1[[#This Row],[Cód. Atributo]],[1]!Tabla5[#Data],6,FALSE)</f>
        <v>Select</v>
      </c>
      <c r="F1654">
        <v>4</v>
      </c>
      <c r="G1654">
        <v>1</v>
      </c>
      <c r="H1654" t="s">
        <v>93</v>
      </c>
      <c r="I1654" t="str">
        <f>VLOOKUP(Tabla1[[#This Row],[Code]],'[1]Articulos Precio'!$A:$E,5,FALSE)</f>
        <v>A0000103</v>
      </c>
    </row>
    <row r="1655" spans="1:9" x14ac:dyDescent="0.25">
      <c r="A1655" t="s">
        <v>524</v>
      </c>
      <c r="B1655" t="str">
        <f>VLOOKUP(Tabla1[[#This Row],[Code]],[1]!Tabla4[#Data],2,FALSE)</f>
        <v>M2 Metamark M7 119 Azul Prusiano 0,61 x 50m</v>
      </c>
      <c r="C1655">
        <v>25</v>
      </c>
      <c r="D1655" t="s">
        <v>94</v>
      </c>
      <c r="E1655" t="str">
        <f>VLOOKUP(Tabla1[[#This Row],[Cód. Atributo]],[1]!Tabla5[#Data],6,FALSE)</f>
        <v>Select</v>
      </c>
      <c r="F1655">
        <v>5</v>
      </c>
      <c r="G1655">
        <v>4</v>
      </c>
      <c r="H1655" t="s">
        <v>137</v>
      </c>
      <c r="I1655" t="str">
        <f>VLOOKUP(Tabla1[[#This Row],[Code]],'[1]Articulos Precio'!$A:$E,5,FALSE)</f>
        <v>A0000103</v>
      </c>
    </row>
    <row r="1656" spans="1:9" x14ac:dyDescent="0.25">
      <c r="A1656" t="s">
        <v>524</v>
      </c>
      <c r="B1656" t="str">
        <f>VLOOKUP(Tabla1[[#This Row],[Code]],[1]!Tabla4[#Data],2,FALSE)</f>
        <v>M2 Metamark M7 119 Azul Prusiano 0,61 x 50m</v>
      </c>
      <c r="C1656">
        <v>24</v>
      </c>
      <c r="D1656" t="s">
        <v>96</v>
      </c>
      <c r="E1656" t="str">
        <f>VLOOKUP(Tabla1[[#This Row],[Cód. Atributo]],[1]!Tabla5[#Data],6,FALSE)</f>
        <v>Select</v>
      </c>
      <c r="F1656">
        <v>6</v>
      </c>
      <c r="G1656">
        <v>2</v>
      </c>
      <c r="H1656" t="s">
        <v>266</v>
      </c>
      <c r="I1656" t="str">
        <f>VLOOKUP(Tabla1[[#This Row],[Code]],'[1]Articulos Precio'!$A:$E,5,FALSE)</f>
        <v>A0000103</v>
      </c>
    </row>
    <row r="1657" spans="1:9" x14ac:dyDescent="0.25">
      <c r="A1657" t="s">
        <v>526</v>
      </c>
      <c r="B1657" t="str">
        <f>VLOOKUP(Tabla1[[#This Row],[Code]],[1]!Tabla4[#Data],2,FALSE)</f>
        <v>M2 Metamark M7 119 Azul Prusiano 1,22 x 50m</v>
      </c>
      <c r="C1657">
        <v>8</v>
      </c>
      <c r="D1657" t="s">
        <v>86</v>
      </c>
      <c r="E1657" t="str">
        <f>VLOOKUP(Tabla1[[#This Row],[Cód. Atributo]],[1]!Tabla5[#Data],6,FALSE)</f>
        <v>Select</v>
      </c>
      <c r="F1657">
        <v>1</v>
      </c>
      <c r="G1657">
        <v>2</v>
      </c>
      <c r="H1657" t="s">
        <v>268</v>
      </c>
      <c r="I1657" t="str">
        <f>VLOOKUP(Tabla1[[#This Row],[Code]],'[1]Articulos Precio'!$A:$E,5,FALSE)</f>
        <v>A0000103</v>
      </c>
    </row>
    <row r="1658" spans="1:9" x14ac:dyDescent="0.25">
      <c r="A1658" t="s">
        <v>526</v>
      </c>
      <c r="B1658" t="str">
        <f>VLOOKUP(Tabla1[[#This Row],[Code]],[1]!Tabla4[#Data],2,FALSE)</f>
        <v>M2 Metamark M7 119 Azul Prusiano 1,22 x 50m</v>
      </c>
      <c r="C1658">
        <v>13</v>
      </c>
      <c r="D1658" t="s">
        <v>491</v>
      </c>
      <c r="E1658" t="str">
        <f>VLOOKUP(Tabla1[[#This Row],[Cód. Atributo]],[1]!Tabla5[#Data],6,FALSE)</f>
        <v>Color</v>
      </c>
      <c r="F1658">
        <v>2</v>
      </c>
      <c r="G1658">
        <v>62</v>
      </c>
      <c r="H1658" t="s">
        <v>525</v>
      </c>
      <c r="I1658" t="str">
        <f>VLOOKUP(Tabla1[[#This Row],[Code]],'[1]Articulos Precio'!$A:$E,5,FALSE)</f>
        <v>A0000103</v>
      </c>
    </row>
    <row r="1659" spans="1:9" x14ac:dyDescent="0.25">
      <c r="A1659" t="s">
        <v>526</v>
      </c>
      <c r="B1659" t="str">
        <f>VLOOKUP(Tabla1[[#This Row],[Code]],[1]!Tabla4[#Data],2,FALSE)</f>
        <v>M2 Metamark M7 119 Azul Prusiano 1,22 x 50m</v>
      </c>
      <c r="C1659">
        <v>23</v>
      </c>
      <c r="D1659" t="s">
        <v>90</v>
      </c>
      <c r="E1659" t="str">
        <f>VLOOKUP(Tabla1[[#This Row],[Cód. Atributo]],[1]!Tabla5[#Data],6,FALSE)</f>
        <v>Select</v>
      </c>
      <c r="F1659">
        <v>3</v>
      </c>
      <c r="G1659">
        <v>2</v>
      </c>
      <c r="H1659" t="s">
        <v>136</v>
      </c>
      <c r="I1659" t="str">
        <f>VLOOKUP(Tabla1[[#This Row],[Code]],'[1]Articulos Precio'!$A:$E,5,FALSE)</f>
        <v>A0000103</v>
      </c>
    </row>
    <row r="1660" spans="1:9" x14ac:dyDescent="0.25">
      <c r="A1660" t="s">
        <v>526</v>
      </c>
      <c r="B1660" t="str">
        <f>VLOOKUP(Tabla1[[#This Row],[Code]],[1]!Tabla4[#Data],2,FALSE)</f>
        <v>M2 Metamark M7 119 Azul Prusiano 1,22 x 50m</v>
      </c>
      <c r="C1660">
        <v>28</v>
      </c>
      <c r="D1660" t="s">
        <v>92</v>
      </c>
      <c r="E1660" t="str">
        <f>VLOOKUP(Tabla1[[#This Row],[Cód. Atributo]],[1]!Tabla5[#Data],6,FALSE)</f>
        <v>Select</v>
      </c>
      <c r="F1660">
        <v>4</v>
      </c>
      <c r="G1660">
        <v>1</v>
      </c>
      <c r="H1660" t="s">
        <v>93</v>
      </c>
      <c r="I1660" t="str">
        <f>VLOOKUP(Tabla1[[#This Row],[Code]],'[1]Articulos Precio'!$A:$E,5,FALSE)</f>
        <v>A0000103</v>
      </c>
    </row>
    <row r="1661" spans="1:9" x14ac:dyDescent="0.25">
      <c r="A1661" t="s">
        <v>526</v>
      </c>
      <c r="B1661" t="str">
        <f>VLOOKUP(Tabla1[[#This Row],[Code]],[1]!Tabla4[#Data],2,FALSE)</f>
        <v>M2 Metamark M7 119 Azul Prusiano 1,22 x 50m</v>
      </c>
      <c r="C1661">
        <v>25</v>
      </c>
      <c r="D1661" t="s">
        <v>94</v>
      </c>
      <c r="E1661" t="str">
        <f>VLOOKUP(Tabla1[[#This Row],[Cód. Atributo]],[1]!Tabla5[#Data],6,FALSE)</f>
        <v>Select</v>
      </c>
      <c r="F1661">
        <v>5</v>
      </c>
      <c r="G1661">
        <v>4</v>
      </c>
      <c r="H1661" t="s">
        <v>137</v>
      </c>
      <c r="I1661" t="str">
        <f>VLOOKUP(Tabla1[[#This Row],[Code]],'[1]Articulos Precio'!$A:$E,5,FALSE)</f>
        <v>A0000103</v>
      </c>
    </row>
    <row r="1662" spans="1:9" x14ac:dyDescent="0.25">
      <c r="A1662" t="s">
        <v>526</v>
      </c>
      <c r="B1662" t="str">
        <f>VLOOKUP(Tabla1[[#This Row],[Code]],[1]!Tabla4[#Data],2,FALSE)</f>
        <v>M2 Metamark M7 119 Azul Prusiano 1,22 x 50m</v>
      </c>
      <c r="C1662">
        <v>24</v>
      </c>
      <c r="D1662" t="s">
        <v>96</v>
      </c>
      <c r="E1662" t="str">
        <f>VLOOKUP(Tabla1[[#This Row],[Cód. Atributo]],[1]!Tabla5[#Data],6,FALSE)</f>
        <v>Select</v>
      </c>
      <c r="F1662">
        <v>6</v>
      </c>
      <c r="G1662">
        <v>2</v>
      </c>
      <c r="H1662" t="s">
        <v>266</v>
      </c>
      <c r="I1662" t="str">
        <f>VLOOKUP(Tabla1[[#This Row],[Code]],'[1]Articulos Precio'!$A:$E,5,FALSE)</f>
        <v>A0000103</v>
      </c>
    </row>
    <row r="1663" spans="1:9" x14ac:dyDescent="0.25">
      <c r="A1663" t="s">
        <v>527</v>
      </c>
      <c r="B1663" t="str">
        <f>VLOOKUP(Tabla1[[#This Row],[Code]],[1]!Tabla4[#Data],2,FALSE)</f>
        <v>M2 Metamark M7 120 Estaño 0,61 x 50m</v>
      </c>
      <c r="C1663">
        <v>8</v>
      </c>
      <c r="D1663" t="s">
        <v>86</v>
      </c>
      <c r="E1663" t="str">
        <f>VLOOKUP(Tabla1[[#This Row],[Cód. Atributo]],[1]!Tabla5[#Data],6,FALSE)</f>
        <v>Select</v>
      </c>
      <c r="F1663">
        <v>1</v>
      </c>
      <c r="G1663">
        <v>1</v>
      </c>
      <c r="H1663" t="s">
        <v>263</v>
      </c>
      <c r="I1663" t="str">
        <f>VLOOKUP(Tabla1[[#This Row],[Code]],'[1]Articulos Precio'!$A:$E,5,FALSE)</f>
        <v>A0000103</v>
      </c>
    </row>
    <row r="1664" spans="1:9" x14ac:dyDescent="0.25">
      <c r="A1664" t="s">
        <v>527</v>
      </c>
      <c r="B1664" t="str">
        <f>VLOOKUP(Tabla1[[#This Row],[Code]],[1]!Tabla4[#Data],2,FALSE)</f>
        <v>M2 Metamark M7 120 Estaño 0,61 x 50m</v>
      </c>
      <c r="C1664">
        <v>13</v>
      </c>
      <c r="D1664" t="s">
        <v>491</v>
      </c>
      <c r="E1664" t="str">
        <f>VLOOKUP(Tabla1[[#This Row],[Cód. Atributo]],[1]!Tabla5[#Data],6,FALSE)</f>
        <v>Color</v>
      </c>
      <c r="F1664">
        <v>2</v>
      </c>
      <c r="G1664">
        <v>1</v>
      </c>
      <c r="H1664" t="s">
        <v>492</v>
      </c>
      <c r="I1664" t="str">
        <f>VLOOKUP(Tabla1[[#This Row],[Code]],'[1]Articulos Precio'!$A:$E,5,FALSE)</f>
        <v>A0000103</v>
      </c>
    </row>
    <row r="1665" spans="1:9" x14ac:dyDescent="0.25">
      <c r="A1665" t="s">
        <v>527</v>
      </c>
      <c r="B1665" t="str">
        <f>VLOOKUP(Tabla1[[#This Row],[Code]],[1]!Tabla4[#Data],2,FALSE)</f>
        <v>M2 Metamark M7 120 Estaño 0,61 x 50m</v>
      </c>
      <c r="C1665">
        <v>23</v>
      </c>
      <c r="D1665" t="s">
        <v>90</v>
      </c>
      <c r="E1665" t="str">
        <f>VLOOKUP(Tabla1[[#This Row],[Cód. Atributo]],[1]!Tabla5[#Data],6,FALSE)</f>
        <v>Select</v>
      </c>
      <c r="F1665">
        <v>3</v>
      </c>
      <c r="G1665">
        <v>2</v>
      </c>
      <c r="H1665" t="s">
        <v>136</v>
      </c>
      <c r="I1665" t="str">
        <f>VLOOKUP(Tabla1[[#This Row],[Code]],'[1]Articulos Precio'!$A:$E,5,FALSE)</f>
        <v>A0000103</v>
      </c>
    </row>
    <row r="1666" spans="1:9" x14ac:dyDescent="0.25">
      <c r="A1666" t="s">
        <v>527</v>
      </c>
      <c r="B1666" t="str">
        <f>VLOOKUP(Tabla1[[#This Row],[Code]],[1]!Tabla4[#Data],2,FALSE)</f>
        <v>M2 Metamark M7 120 Estaño 0,61 x 50m</v>
      </c>
      <c r="C1666">
        <v>28</v>
      </c>
      <c r="D1666" t="s">
        <v>92</v>
      </c>
      <c r="E1666" t="str">
        <f>VLOOKUP(Tabla1[[#This Row],[Cód. Atributo]],[1]!Tabla5[#Data],6,FALSE)</f>
        <v>Select</v>
      </c>
      <c r="F1666">
        <v>4</v>
      </c>
      <c r="G1666">
        <v>1</v>
      </c>
      <c r="H1666" t="s">
        <v>93</v>
      </c>
      <c r="I1666" t="str">
        <f>VLOOKUP(Tabla1[[#This Row],[Code]],'[1]Articulos Precio'!$A:$E,5,FALSE)</f>
        <v>A0000103</v>
      </c>
    </row>
    <row r="1667" spans="1:9" x14ac:dyDescent="0.25">
      <c r="A1667" t="s">
        <v>527</v>
      </c>
      <c r="B1667" t="str">
        <f>VLOOKUP(Tabla1[[#This Row],[Code]],[1]!Tabla4[#Data],2,FALSE)</f>
        <v>M2 Metamark M7 120 Estaño 0,61 x 50m</v>
      </c>
      <c r="C1667">
        <v>25</v>
      </c>
      <c r="D1667" t="s">
        <v>94</v>
      </c>
      <c r="E1667" t="str">
        <f>VLOOKUP(Tabla1[[#This Row],[Cód. Atributo]],[1]!Tabla5[#Data],6,FALSE)</f>
        <v>Select</v>
      </c>
      <c r="F1667">
        <v>5</v>
      </c>
      <c r="G1667">
        <v>4</v>
      </c>
      <c r="H1667" t="s">
        <v>137</v>
      </c>
      <c r="I1667" t="str">
        <f>VLOOKUP(Tabla1[[#This Row],[Code]],'[1]Articulos Precio'!$A:$E,5,FALSE)</f>
        <v>A0000103</v>
      </c>
    </row>
    <row r="1668" spans="1:9" x14ac:dyDescent="0.25">
      <c r="A1668" t="s">
        <v>527</v>
      </c>
      <c r="B1668" t="str">
        <f>VLOOKUP(Tabla1[[#This Row],[Code]],[1]!Tabla4[#Data],2,FALSE)</f>
        <v>M2 Metamark M7 120 Estaño 0,61 x 50m</v>
      </c>
      <c r="C1668">
        <v>24</v>
      </c>
      <c r="D1668" t="s">
        <v>96</v>
      </c>
      <c r="E1668" t="str">
        <f>VLOOKUP(Tabla1[[#This Row],[Cód. Atributo]],[1]!Tabla5[#Data],6,FALSE)</f>
        <v>Select</v>
      </c>
      <c r="F1668">
        <v>6</v>
      </c>
      <c r="G1668">
        <v>2</v>
      </c>
      <c r="H1668" t="s">
        <v>266</v>
      </c>
      <c r="I1668" t="str">
        <f>VLOOKUP(Tabla1[[#This Row],[Code]],'[1]Articulos Precio'!$A:$E,5,FALSE)</f>
        <v>A0000103</v>
      </c>
    </row>
    <row r="1669" spans="1:9" x14ac:dyDescent="0.25">
      <c r="A1669" t="s">
        <v>528</v>
      </c>
      <c r="B1669" t="str">
        <f>VLOOKUP(Tabla1[[#This Row],[Code]],[1]!Tabla4[#Data],2,FALSE)</f>
        <v>M2 Metamark M7 120 Estaño 1,22 x 50m</v>
      </c>
      <c r="C1669">
        <v>8</v>
      </c>
      <c r="D1669" t="s">
        <v>86</v>
      </c>
      <c r="E1669" t="str">
        <f>VLOOKUP(Tabla1[[#This Row],[Cód. Atributo]],[1]!Tabla5[#Data],6,FALSE)</f>
        <v>Select</v>
      </c>
      <c r="F1669">
        <v>1</v>
      </c>
      <c r="G1669">
        <v>2</v>
      </c>
      <c r="H1669" t="s">
        <v>268</v>
      </c>
      <c r="I1669" t="str">
        <f>VLOOKUP(Tabla1[[#This Row],[Code]],'[1]Articulos Precio'!$A:$E,5,FALSE)</f>
        <v>A0000103</v>
      </c>
    </row>
    <row r="1670" spans="1:9" x14ac:dyDescent="0.25">
      <c r="A1670" t="s">
        <v>528</v>
      </c>
      <c r="B1670" t="str">
        <f>VLOOKUP(Tabla1[[#This Row],[Code]],[1]!Tabla4[#Data],2,FALSE)</f>
        <v>M2 Metamark M7 120 Estaño 1,22 x 50m</v>
      </c>
      <c r="C1670">
        <v>13</v>
      </c>
      <c r="D1670" t="s">
        <v>491</v>
      </c>
      <c r="E1670" t="str">
        <f>VLOOKUP(Tabla1[[#This Row],[Cód. Atributo]],[1]!Tabla5[#Data],6,FALSE)</f>
        <v>Color</v>
      </c>
      <c r="F1670">
        <v>2</v>
      </c>
      <c r="G1670">
        <v>63</v>
      </c>
      <c r="H1670" t="s">
        <v>529</v>
      </c>
      <c r="I1670" t="str">
        <f>VLOOKUP(Tabla1[[#This Row],[Code]],'[1]Articulos Precio'!$A:$E,5,FALSE)</f>
        <v>A0000103</v>
      </c>
    </row>
    <row r="1671" spans="1:9" x14ac:dyDescent="0.25">
      <c r="A1671" t="s">
        <v>528</v>
      </c>
      <c r="B1671" t="str">
        <f>VLOOKUP(Tabla1[[#This Row],[Code]],[1]!Tabla4[#Data],2,FALSE)</f>
        <v>M2 Metamark M7 120 Estaño 1,22 x 50m</v>
      </c>
      <c r="C1671">
        <v>23</v>
      </c>
      <c r="D1671" t="s">
        <v>90</v>
      </c>
      <c r="E1671" t="str">
        <f>VLOOKUP(Tabla1[[#This Row],[Cód. Atributo]],[1]!Tabla5[#Data],6,FALSE)</f>
        <v>Select</v>
      </c>
      <c r="F1671">
        <v>3</v>
      </c>
      <c r="G1671">
        <v>2</v>
      </c>
      <c r="H1671" t="s">
        <v>136</v>
      </c>
      <c r="I1671" t="str">
        <f>VLOOKUP(Tabla1[[#This Row],[Code]],'[1]Articulos Precio'!$A:$E,5,FALSE)</f>
        <v>A0000103</v>
      </c>
    </row>
    <row r="1672" spans="1:9" x14ac:dyDescent="0.25">
      <c r="A1672" t="s">
        <v>528</v>
      </c>
      <c r="B1672" t="str">
        <f>VLOOKUP(Tabla1[[#This Row],[Code]],[1]!Tabla4[#Data],2,FALSE)</f>
        <v>M2 Metamark M7 120 Estaño 1,22 x 50m</v>
      </c>
      <c r="C1672">
        <v>28</v>
      </c>
      <c r="D1672" t="s">
        <v>92</v>
      </c>
      <c r="E1672" t="str">
        <f>VLOOKUP(Tabla1[[#This Row],[Cód. Atributo]],[1]!Tabla5[#Data],6,FALSE)</f>
        <v>Select</v>
      </c>
      <c r="F1672">
        <v>4</v>
      </c>
      <c r="G1672">
        <v>1</v>
      </c>
      <c r="H1672" t="s">
        <v>93</v>
      </c>
      <c r="I1672" t="str">
        <f>VLOOKUP(Tabla1[[#This Row],[Code]],'[1]Articulos Precio'!$A:$E,5,FALSE)</f>
        <v>A0000103</v>
      </c>
    </row>
    <row r="1673" spans="1:9" x14ac:dyDescent="0.25">
      <c r="A1673" t="s">
        <v>528</v>
      </c>
      <c r="B1673" t="str">
        <f>VLOOKUP(Tabla1[[#This Row],[Code]],[1]!Tabla4[#Data],2,FALSE)</f>
        <v>M2 Metamark M7 120 Estaño 1,22 x 50m</v>
      </c>
      <c r="C1673">
        <v>25</v>
      </c>
      <c r="D1673" t="s">
        <v>94</v>
      </c>
      <c r="E1673" t="str">
        <f>VLOOKUP(Tabla1[[#This Row],[Cód. Atributo]],[1]!Tabla5[#Data],6,FALSE)</f>
        <v>Select</v>
      </c>
      <c r="F1673">
        <v>5</v>
      </c>
      <c r="G1673">
        <v>4</v>
      </c>
      <c r="H1673" t="s">
        <v>137</v>
      </c>
      <c r="I1673" t="str">
        <f>VLOOKUP(Tabla1[[#This Row],[Code]],'[1]Articulos Precio'!$A:$E,5,FALSE)</f>
        <v>A0000103</v>
      </c>
    </row>
    <row r="1674" spans="1:9" x14ac:dyDescent="0.25">
      <c r="A1674" t="s">
        <v>528</v>
      </c>
      <c r="B1674" t="str">
        <f>VLOOKUP(Tabla1[[#This Row],[Code]],[1]!Tabla4[#Data],2,FALSE)</f>
        <v>M2 Metamark M7 120 Estaño 1,22 x 50m</v>
      </c>
      <c r="C1674">
        <v>24</v>
      </c>
      <c r="D1674" t="s">
        <v>96</v>
      </c>
      <c r="E1674" t="str">
        <f>VLOOKUP(Tabla1[[#This Row],[Cód. Atributo]],[1]!Tabla5[#Data],6,FALSE)</f>
        <v>Select</v>
      </c>
      <c r="F1674">
        <v>6</v>
      </c>
      <c r="G1674">
        <v>2</v>
      </c>
      <c r="H1674" t="s">
        <v>266</v>
      </c>
      <c r="I1674" t="str">
        <f>VLOOKUP(Tabla1[[#This Row],[Code]],'[1]Articulos Precio'!$A:$E,5,FALSE)</f>
        <v>A0000103</v>
      </c>
    </row>
    <row r="1675" spans="1:9" x14ac:dyDescent="0.25">
      <c r="A1675" t="s">
        <v>530</v>
      </c>
      <c r="B1675" t="str">
        <f>VLOOKUP(Tabla1[[#This Row],[Code]],[1]!Tabla4[#Data],2,FALSE)</f>
        <v>M2 Metamark M7 121 Gris Ligero 0,61 x 50m</v>
      </c>
      <c r="C1675">
        <v>8</v>
      </c>
      <c r="D1675" t="s">
        <v>86</v>
      </c>
      <c r="E1675" t="str">
        <f>VLOOKUP(Tabla1[[#This Row],[Cód. Atributo]],[1]!Tabla5[#Data],6,FALSE)</f>
        <v>Select</v>
      </c>
      <c r="F1675">
        <v>1</v>
      </c>
      <c r="G1675">
        <v>1</v>
      </c>
      <c r="H1675" t="s">
        <v>263</v>
      </c>
      <c r="I1675" t="str">
        <f>VLOOKUP(Tabla1[[#This Row],[Code]],'[1]Articulos Precio'!$A:$E,5,FALSE)</f>
        <v>A0000103</v>
      </c>
    </row>
    <row r="1676" spans="1:9" x14ac:dyDescent="0.25">
      <c r="A1676" t="s">
        <v>530</v>
      </c>
      <c r="B1676" t="str">
        <f>VLOOKUP(Tabla1[[#This Row],[Code]],[1]!Tabla4[#Data],2,FALSE)</f>
        <v>M2 Metamark M7 121 Gris Ligero 0,61 x 50m</v>
      </c>
      <c r="C1676">
        <v>13</v>
      </c>
      <c r="D1676" t="s">
        <v>491</v>
      </c>
      <c r="E1676" t="str">
        <f>VLOOKUP(Tabla1[[#This Row],[Cód. Atributo]],[1]!Tabla5[#Data],6,FALSE)</f>
        <v>Color</v>
      </c>
      <c r="F1676">
        <v>2</v>
      </c>
      <c r="G1676">
        <v>6</v>
      </c>
      <c r="H1676" t="s">
        <v>531</v>
      </c>
      <c r="I1676" t="str">
        <f>VLOOKUP(Tabla1[[#This Row],[Code]],'[1]Articulos Precio'!$A:$E,5,FALSE)</f>
        <v>A0000103</v>
      </c>
    </row>
    <row r="1677" spans="1:9" x14ac:dyDescent="0.25">
      <c r="A1677" t="s">
        <v>530</v>
      </c>
      <c r="B1677" t="str">
        <f>VLOOKUP(Tabla1[[#This Row],[Code]],[1]!Tabla4[#Data],2,FALSE)</f>
        <v>M2 Metamark M7 121 Gris Ligero 0,61 x 50m</v>
      </c>
      <c r="C1677">
        <v>23</v>
      </c>
      <c r="D1677" t="s">
        <v>90</v>
      </c>
      <c r="E1677" t="str">
        <f>VLOOKUP(Tabla1[[#This Row],[Cód. Atributo]],[1]!Tabla5[#Data],6,FALSE)</f>
        <v>Select</v>
      </c>
      <c r="F1677">
        <v>3</v>
      </c>
      <c r="G1677">
        <v>2</v>
      </c>
      <c r="H1677" t="s">
        <v>136</v>
      </c>
      <c r="I1677" t="str">
        <f>VLOOKUP(Tabla1[[#This Row],[Code]],'[1]Articulos Precio'!$A:$E,5,FALSE)</f>
        <v>A0000103</v>
      </c>
    </row>
    <row r="1678" spans="1:9" x14ac:dyDescent="0.25">
      <c r="A1678" t="s">
        <v>530</v>
      </c>
      <c r="B1678" t="str">
        <f>VLOOKUP(Tabla1[[#This Row],[Code]],[1]!Tabla4[#Data],2,FALSE)</f>
        <v>M2 Metamark M7 121 Gris Ligero 0,61 x 50m</v>
      </c>
      <c r="C1678">
        <v>28</v>
      </c>
      <c r="D1678" t="s">
        <v>92</v>
      </c>
      <c r="E1678" t="str">
        <f>VLOOKUP(Tabla1[[#This Row],[Cód. Atributo]],[1]!Tabla5[#Data],6,FALSE)</f>
        <v>Select</v>
      </c>
      <c r="F1678">
        <v>4</v>
      </c>
      <c r="G1678">
        <v>1</v>
      </c>
      <c r="H1678" t="s">
        <v>93</v>
      </c>
      <c r="I1678" t="str">
        <f>VLOOKUP(Tabla1[[#This Row],[Code]],'[1]Articulos Precio'!$A:$E,5,FALSE)</f>
        <v>A0000103</v>
      </c>
    </row>
    <row r="1679" spans="1:9" x14ac:dyDescent="0.25">
      <c r="A1679" t="s">
        <v>530</v>
      </c>
      <c r="B1679" t="str">
        <f>VLOOKUP(Tabla1[[#This Row],[Code]],[1]!Tabla4[#Data],2,FALSE)</f>
        <v>M2 Metamark M7 121 Gris Ligero 0,61 x 50m</v>
      </c>
      <c r="C1679">
        <v>25</v>
      </c>
      <c r="D1679" t="s">
        <v>94</v>
      </c>
      <c r="E1679" t="str">
        <f>VLOOKUP(Tabla1[[#This Row],[Cód. Atributo]],[1]!Tabla5[#Data],6,FALSE)</f>
        <v>Select</v>
      </c>
      <c r="F1679">
        <v>5</v>
      </c>
      <c r="G1679">
        <v>4</v>
      </c>
      <c r="H1679" t="s">
        <v>137</v>
      </c>
      <c r="I1679" t="str">
        <f>VLOOKUP(Tabla1[[#This Row],[Code]],'[1]Articulos Precio'!$A:$E,5,FALSE)</f>
        <v>A0000103</v>
      </c>
    </row>
    <row r="1680" spans="1:9" x14ac:dyDescent="0.25">
      <c r="A1680" t="s">
        <v>530</v>
      </c>
      <c r="B1680" t="str">
        <f>VLOOKUP(Tabla1[[#This Row],[Code]],[1]!Tabla4[#Data],2,FALSE)</f>
        <v>M2 Metamark M7 121 Gris Ligero 0,61 x 50m</v>
      </c>
      <c r="C1680">
        <v>24</v>
      </c>
      <c r="D1680" t="s">
        <v>96</v>
      </c>
      <c r="E1680" t="str">
        <f>VLOOKUP(Tabla1[[#This Row],[Cód. Atributo]],[1]!Tabla5[#Data],6,FALSE)</f>
        <v>Select</v>
      </c>
      <c r="F1680">
        <v>6</v>
      </c>
      <c r="G1680">
        <v>2</v>
      </c>
      <c r="H1680" t="s">
        <v>266</v>
      </c>
      <c r="I1680" t="str">
        <f>VLOOKUP(Tabla1[[#This Row],[Code]],'[1]Articulos Precio'!$A:$E,5,FALSE)</f>
        <v>A0000103</v>
      </c>
    </row>
    <row r="1681" spans="1:9" x14ac:dyDescent="0.25">
      <c r="A1681" t="s">
        <v>532</v>
      </c>
      <c r="B1681" t="str">
        <f>VLOOKUP(Tabla1[[#This Row],[Code]],[1]!Tabla4[#Data],2,FALSE)</f>
        <v>M2 Metamark M7 121 Gris Ligero 1,22 x 50m</v>
      </c>
      <c r="C1681">
        <v>8</v>
      </c>
      <c r="D1681" t="s">
        <v>86</v>
      </c>
      <c r="E1681" t="str">
        <f>VLOOKUP(Tabla1[[#This Row],[Cód. Atributo]],[1]!Tabla5[#Data],6,FALSE)</f>
        <v>Select</v>
      </c>
      <c r="F1681">
        <v>1</v>
      </c>
      <c r="G1681">
        <v>2</v>
      </c>
      <c r="H1681" t="s">
        <v>268</v>
      </c>
      <c r="I1681" t="str">
        <f>VLOOKUP(Tabla1[[#This Row],[Code]],'[1]Articulos Precio'!$A:$E,5,FALSE)</f>
        <v>A0000103</v>
      </c>
    </row>
    <row r="1682" spans="1:9" x14ac:dyDescent="0.25">
      <c r="A1682" t="s">
        <v>532</v>
      </c>
      <c r="B1682" t="str">
        <f>VLOOKUP(Tabla1[[#This Row],[Code]],[1]!Tabla4[#Data],2,FALSE)</f>
        <v>M2 Metamark M7 121 Gris Ligero 1,22 x 50m</v>
      </c>
      <c r="C1682">
        <v>13</v>
      </c>
      <c r="D1682" t="s">
        <v>491</v>
      </c>
      <c r="E1682" t="str">
        <f>VLOOKUP(Tabla1[[#This Row],[Cód. Atributo]],[1]!Tabla5[#Data],6,FALSE)</f>
        <v>Color</v>
      </c>
      <c r="F1682">
        <v>2</v>
      </c>
      <c r="G1682">
        <v>6</v>
      </c>
      <c r="H1682" t="s">
        <v>531</v>
      </c>
      <c r="I1682" t="str">
        <f>VLOOKUP(Tabla1[[#This Row],[Code]],'[1]Articulos Precio'!$A:$E,5,FALSE)</f>
        <v>A0000103</v>
      </c>
    </row>
    <row r="1683" spans="1:9" x14ac:dyDescent="0.25">
      <c r="A1683" t="s">
        <v>532</v>
      </c>
      <c r="B1683" t="str">
        <f>VLOOKUP(Tabla1[[#This Row],[Code]],[1]!Tabla4[#Data],2,FALSE)</f>
        <v>M2 Metamark M7 121 Gris Ligero 1,22 x 50m</v>
      </c>
      <c r="C1683">
        <v>23</v>
      </c>
      <c r="D1683" t="s">
        <v>90</v>
      </c>
      <c r="E1683" t="str">
        <f>VLOOKUP(Tabla1[[#This Row],[Cód. Atributo]],[1]!Tabla5[#Data],6,FALSE)</f>
        <v>Select</v>
      </c>
      <c r="F1683">
        <v>3</v>
      </c>
      <c r="G1683">
        <v>2</v>
      </c>
      <c r="H1683" t="s">
        <v>136</v>
      </c>
      <c r="I1683" t="str">
        <f>VLOOKUP(Tabla1[[#This Row],[Code]],'[1]Articulos Precio'!$A:$E,5,FALSE)</f>
        <v>A0000103</v>
      </c>
    </row>
    <row r="1684" spans="1:9" x14ac:dyDescent="0.25">
      <c r="A1684" t="s">
        <v>532</v>
      </c>
      <c r="B1684" t="str">
        <f>VLOOKUP(Tabla1[[#This Row],[Code]],[1]!Tabla4[#Data],2,FALSE)</f>
        <v>M2 Metamark M7 121 Gris Ligero 1,22 x 50m</v>
      </c>
      <c r="C1684">
        <v>28</v>
      </c>
      <c r="D1684" t="s">
        <v>92</v>
      </c>
      <c r="E1684" t="str">
        <f>VLOOKUP(Tabla1[[#This Row],[Cód. Atributo]],[1]!Tabla5[#Data],6,FALSE)</f>
        <v>Select</v>
      </c>
      <c r="F1684">
        <v>4</v>
      </c>
      <c r="G1684">
        <v>1</v>
      </c>
      <c r="H1684" t="s">
        <v>93</v>
      </c>
      <c r="I1684" t="str">
        <f>VLOOKUP(Tabla1[[#This Row],[Code]],'[1]Articulos Precio'!$A:$E,5,FALSE)</f>
        <v>A0000103</v>
      </c>
    </row>
    <row r="1685" spans="1:9" x14ac:dyDescent="0.25">
      <c r="A1685" t="s">
        <v>532</v>
      </c>
      <c r="B1685" t="str">
        <f>VLOOKUP(Tabla1[[#This Row],[Code]],[1]!Tabla4[#Data],2,FALSE)</f>
        <v>M2 Metamark M7 121 Gris Ligero 1,22 x 50m</v>
      </c>
      <c r="C1685">
        <v>25</v>
      </c>
      <c r="D1685" t="s">
        <v>94</v>
      </c>
      <c r="E1685" t="str">
        <f>VLOOKUP(Tabla1[[#This Row],[Cód. Atributo]],[1]!Tabla5[#Data],6,FALSE)</f>
        <v>Select</v>
      </c>
      <c r="F1685">
        <v>5</v>
      </c>
      <c r="G1685">
        <v>4</v>
      </c>
      <c r="H1685" t="s">
        <v>137</v>
      </c>
      <c r="I1685" t="str">
        <f>VLOOKUP(Tabla1[[#This Row],[Code]],'[1]Articulos Precio'!$A:$E,5,FALSE)</f>
        <v>A0000103</v>
      </c>
    </row>
    <row r="1686" spans="1:9" x14ac:dyDescent="0.25">
      <c r="A1686" t="s">
        <v>532</v>
      </c>
      <c r="B1686" t="str">
        <f>VLOOKUP(Tabla1[[#This Row],[Code]],[1]!Tabla4[#Data],2,FALSE)</f>
        <v>M2 Metamark M7 121 Gris Ligero 1,22 x 50m</v>
      </c>
      <c r="C1686">
        <v>24</v>
      </c>
      <c r="D1686" t="s">
        <v>96</v>
      </c>
      <c r="E1686" t="str">
        <f>VLOOKUP(Tabla1[[#This Row],[Cód. Atributo]],[1]!Tabla5[#Data],6,FALSE)</f>
        <v>Select</v>
      </c>
      <c r="F1686">
        <v>6</v>
      </c>
      <c r="G1686">
        <v>2</v>
      </c>
      <c r="H1686" t="s">
        <v>266</v>
      </c>
      <c r="I1686" t="str">
        <f>VLOOKUP(Tabla1[[#This Row],[Code]],'[1]Articulos Precio'!$A:$E,5,FALSE)</f>
        <v>A0000103</v>
      </c>
    </row>
    <row r="1687" spans="1:9" x14ac:dyDescent="0.25">
      <c r="A1687" t="s">
        <v>533</v>
      </c>
      <c r="B1687" t="str">
        <f>VLOOKUP(Tabla1[[#This Row],[Code]],[1]!Tabla4[#Data],2,FALSE)</f>
        <v>M2 Metamark M7 122 Gris Palo 0,61 x 50m</v>
      </c>
      <c r="C1687">
        <v>8</v>
      </c>
      <c r="D1687" t="s">
        <v>86</v>
      </c>
      <c r="E1687" t="str">
        <f>VLOOKUP(Tabla1[[#This Row],[Cód. Atributo]],[1]!Tabla5[#Data],6,FALSE)</f>
        <v>Select</v>
      </c>
      <c r="F1687">
        <v>1</v>
      </c>
      <c r="G1687">
        <v>1</v>
      </c>
      <c r="H1687" t="s">
        <v>263</v>
      </c>
      <c r="I1687" t="str">
        <f>VLOOKUP(Tabla1[[#This Row],[Code]],'[1]Articulos Precio'!$A:$E,5,FALSE)</f>
        <v>A0000103</v>
      </c>
    </row>
    <row r="1688" spans="1:9" x14ac:dyDescent="0.25">
      <c r="A1688" t="s">
        <v>533</v>
      </c>
      <c r="B1688" t="str">
        <f>VLOOKUP(Tabla1[[#This Row],[Code]],[1]!Tabla4[#Data],2,FALSE)</f>
        <v>M2 Metamark M7 122 Gris Palo 0,61 x 50m</v>
      </c>
      <c r="C1688">
        <v>13</v>
      </c>
      <c r="D1688" t="s">
        <v>491</v>
      </c>
      <c r="E1688" t="str">
        <f>VLOOKUP(Tabla1[[#This Row],[Cód. Atributo]],[1]!Tabla5[#Data],6,FALSE)</f>
        <v>Color</v>
      </c>
      <c r="F1688">
        <v>2</v>
      </c>
      <c r="G1688">
        <v>7</v>
      </c>
      <c r="H1688" t="s">
        <v>534</v>
      </c>
      <c r="I1688" t="str">
        <f>VLOOKUP(Tabla1[[#This Row],[Code]],'[1]Articulos Precio'!$A:$E,5,FALSE)</f>
        <v>A0000103</v>
      </c>
    </row>
    <row r="1689" spans="1:9" x14ac:dyDescent="0.25">
      <c r="A1689" t="s">
        <v>533</v>
      </c>
      <c r="B1689" t="str">
        <f>VLOOKUP(Tabla1[[#This Row],[Code]],[1]!Tabla4[#Data],2,FALSE)</f>
        <v>M2 Metamark M7 122 Gris Palo 0,61 x 50m</v>
      </c>
      <c r="C1689">
        <v>23</v>
      </c>
      <c r="D1689" t="s">
        <v>90</v>
      </c>
      <c r="E1689" t="str">
        <f>VLOOKUP(Tabla1[[#This Row],[Cód. Atributo]],[1]!Tabla5[#Data],6,FALSE)</f>
        <v>Select</v>
      </c>
      <c r="F1689">
        <v>3</v>
      </c>
      <c r="G1689">
        <v>2</v>
      </c>
      <c r="H1689" t="s">
        <v>136</v>
      </c>
      <c r="I1689" t="str">
        <f>VLOOKUP(Tabla1[[#This Row],[Code]],'[1]Articulos Precio'!$A:$E,5,FALSE)</f>
        <v>A0000103</v>
      </c>
    </row>
    <row r="1690" spans="1:9" x14ac:dyDescent="0.25">
      <c r="A1690" t="s">
        <v>533</v>
      </c>
      <c r="B1690" t="str">
        <f>VLOOKUP(Tabla1[[#This Row],[Code]],[1]!Tabla4[#Data],2,FALSE)</f>
        <v>M2 Metamark M7 122 Gris Palo 0,61 x 50m</v>
      </c>
      <c r="C1690">
        <v>28</v>
      </c>
      <c r="D1690" t="s">
        <v>92</v>
      </c>
      <c r="E1690" t="str">
        <f>VLOOKUP(Tabla1[[#This Row],[Cód. Atributo]],[1]!Tabla5[#Data],6,FALSE)</f>
        <v>Select</v>
      </c>
      <c r="F1690">
        <v>4</v>
      </c>
      <c r="G1690">
        <v>1</v>
      </c>
      <c r="H1690" t="s">
        <v>93</v>
      </c>
      <c r="I1690" t="str">
        <f>VLOOKUP(Tabla1[[#This Row],[Code]],'[1]Articulos Precio'!$A:$E,5,FALSE)</f>
        <v>A0000103</v>
      </c>
    </row>
    <row r="1691" spans="1:9" x14ac:dyDescent="0.25">
      <c r="A1691" t="s">
        <v>533</v>
      </c>
      <c r="B1691" t="str">
        <f>VLOOKUP(Tabla1[[#This Row],[Code]],[1]!Tabla4[#Data],2,FALSE)</f>
        <v>M2 Metamark M7 122 Gris Palo 0,61 x 50m</v>
      </c>
      <c r="C1691">
        <v>25</v>
      </c>
      <c r="D1691" t="s">
        <v>94</v>
      </c>
      <c r="E1691" t="str">
        <f>VLOOKUP(Tabla1[[#This Row],[Cód. Atributo]],[1]!Tabla5[#Data],6,FALSE)</f>
        <v>Select</v>
      </c>
      <c r="F1691">
        <v>5</v>
      </c>
      <c r="G1691">
        <v>4</v>
      </c>
      <c r="H1691" t="s">
        <v>137</v>
      </c>
      <c r="I1691" t="str">
        <f>VLOOKUP(Tabla1[[#This Row],[Code]],'[1]Articulos Precio'!$A:$E,5,FALSE)</f>
        <v>A0000103</v>
      </c>
    </row>
    <row r="1692" spans="1:9" x14ac:dyDescent="0.25">
      <c r="A1692" t="s">
        <v>533</v>
      </c>
      <c r="B1692" t="str">
        <f>VLOOKUP(Tabla1[[#This Row],[Code]],[1]!Tabla4[#Data],2,FALSE)</f>
        <v>M2 Metamark M7 122 Gris Palo 0,61 x 50m</v>
      </c>
      <c r="C1692">
        <v>24</v>
      </c>
      <c r="D1692" t="s">
        <v>96</v>
      </c>
      <c r="E1692" t="str">
        <f>VLOOKUP(Tabla1[[#This Row],[Cód. Atributo]],[1]!Tabla5[#Data],6,FALSE)</f>
        <v>Select</v>
      </c>
      <c r="F1692">
        <v>6</v>
      </c>
      <c r="G1692">
        <v>2</v>
      </c>
      <c r="H1692" t="s">
        <v>266</v>
      </c>
      <c r="I1692" t="str">
        <f>VLOOKUP(Tabla1[[#This Row],[Code]],'[1]Articulos Precio'!$A:$E,5,FALSE)</f>
        <v>A0000103</v>
      </c>
    </row>
    <row r="1693" spans="1:9" x14ac:dyDescent="0.25">
      <c r="A1693" t="s">
        <v>535</v>
      </c>
      <c r="B1693" t="str">
        <f>VLOOKUP(Tabla1[[#This Row],[Code]],[1]!Tabla4[#Data],2,FALSE)</f>
        <v>M2 Metamark M7 122 Gris Palo 1,22 x 50m</v>
      </c>
      <c r="C1693">
        <v>8</v>
      </c>
      <c r="D1693" t="s">
        <v>86</v>
      </c>
      <c r="E1693" t="str">
        <f>VLOOKUP(Tabla1[[#This Row],[Cód. Atributo]],[1]!Tabla5[#Data],6,FALSE)</f>
        <v>Select</v>
      </c>
      <c r="F1693">
        <v>1</v>
      </c>
      <c r="G1693">
        <v>2</v>
      </c>
      <c r="H1693" t="s">
        <v>268</v>
      </c>
      <c r="I1693" t="str">
        <f>VLOOKUP(Tabla1[[#This Row],[Code]],'[1]Articulos Precio'!$A:$E,5,FALSE)</f>
        <v>A0000103</v>
      </c>
    </row>
    <row r="1694" spans="1:9" x14ac:dyDescent="0.25">
      <c r="A1694" t="s">
        <v>535</v>
      </c>
      <c r="B1694" t="str">
        <f>VLOOKUP(Tabla1[[#This Row],[Code]],[1]!Tabla4[#Data],2,FALSE)</f>
        <v>M2 Metamark M7 122 Gris Palo 1,22 x 50m</v>
      </c>
      <c r="C1694">
        <v>13</v>
      </c>
      <c r="D1694" t="s">
        <v>491</v>
      </c>
      <c r="E1694" t="str">
        <f>VLOOKUP(Tabla1[[#This Row],[Cód. Atributo]],[1]!Tabla5[#Data],6,FALSE)</f>
        <v>Color</v>
      </c>
      <c r="F1694">
        <v>2</v>
      </c>
      <c r="G1694">
        <v>7</v>
      </c>
      <c r="H1694" t="s">
        <v>534</v>
      </c>
      <c r="I1694" t="str">
        <f>VLOOKUP(Tabla1[[#This Row],[Code]],'[1]Articulos Precio'!$A:$E,5,FALSE)</f>
        <v>A0000103</v>
      </c>
    </row>
    <row r="1695" spans="1:9" x14ac:dyDescent="0.25">
      <c r="A1695" t="s">
        <v>535</v>
      </c>
      <c r="B1695" t="str">
        <f>VLOOKUP(Tabla1[[#This Row],[Code]],[1]!Tabla4[#Data],2,FALSE)</f>
        <v>M2 Metamark M7 122 Gris Palo 1,22 x 50m</v>
      </c>
      <c r="C1695">
        <v>23</v>
      </c>
      <c r="D1695" t="s">
        <v>90</v>
      </c>
      <c r="E1695" t="str">
        <f>VLOOKUP(Tabla1[[#This Row],[Cód. Atributo]],[1]!Tabla5[#Data],6,FALSE)</f>
        <v>Select</v>
      </c>
      <c r="F1695">
        <v>3</v>
      </c>
      <c r="G1695">
        <v>2</v>
      </c>
      <c r="H1695" t="s">
        <v>136</v>
      </c>
      <c r="I1695" t="str">
        <f>VLOOKUP(Tabla1[[#This Row],[Code]],'[1]Articulos Precio'!$A:$E,5,FALSE)</f>
        <v>A0000103</v>
      </c>
    </row>
    <row r="1696" spans="1:9" x14ac:dyDescent="0.25">
      <c r="A1696" t="s">
        <v>535</v>
      </c>
      <c r="B1696" t="str">
        <f>VLOOKUP(Tabla1[[#This Row],[Code]],[1]!Tabla4[#Data],2,FALSE)</f>
        <v>M2 Metamark M7 122 Gris Palo 1,22 x 50m</v>
      </c>
      <c r="C1696">
        <v>28</v>
      </c>
      <c r="D1696" t="s">
        <v>92</v>
      </c>
      <c r="E1696" t="str">
        <f>VLOOKUP(Tabla1[[#This Row],[Cód. Atributo]],[1]!Tabla5[#Data],6,FALSE)</f>
        <v>Select</v>
      </c>
      <c r="F1696">
        <v>4</v>
      </c>
      <c r="G1696">
        <v>1</v>
      </c>
      <c r="H1696" t="s">
        <v>93</v>
      </c>
      <c r="I1696" t="str">
        <f>VLOOKUP(Tabla1[[#This Row],[Code]],'[1]Articulos Precio'!$A:$E,5,FALSE)</f>
        <v>A0000103</v>
      </c>
    </row>
    <row r="1697" spans="1:9" x14ac:dyDescent="0.25">
      <c r="A1697" t="s">
        <v>535</v>
      </c>
      <c r="B1697" t="str">
        <f>VLOOKUP(Tabla1[[#This Row],[Code]],[1]!Tabla4[#Data],2,FALSE)</f>
        <v>M2 Metamark M7 122 Gris Palo 1,22 x 50m</v>
      </c>
      <c r="C1697">
        <v>25</v>
      </c>
      <c r="D1697" t="s">
        <v>94</v>
      </c>
      <c r="E1697" t="str">
        <f>VLOOKUP(Tabla1[[#This Row],[Cód. Atributo]],[1]!Tabla5[#Data],6,FALSE)</f>
        <v>Select</v>
      </c>
      <c r="F1697">
        <v>5</v>
      </c>
      <c r="G1697">
        <v>4</v>
      </c>
      <c r="H1697" t="s">
        <v>137</v>
      </c>
      <c r="I1697" t="str">
        <f>VLOOKUP(Tabla1[[#This Row],[Code]],'[1]Articulos Precio'!$A:$E,5,FALSE)</f>
        <v>A0000103</v>
      </c>
    </row>
    <row r="1698" spans="1:9" x14ac:dyDescent="0.25">
      <c r="A1698" t="s">
        <v>535</v>
      </c>
      <c r="B1698" t="str">
        <f>VLOOKUP(Tabla1[[#This Row],[Code]],[1]!Tabla4[#Data],2,FALSE)</f>
        <v>M2 Metamark M7 122 Gris Palo 1,22 x 50m</v>
      </c>
      <c r="C1698">
        <v>24</v>
      </c>
      <c r="D1698" t="s">
        <v>96</v>
      </c>
      <c r="E1698" t="str">
        <f>VLOOKUP(Tabla1[[#This Row],[Cód. Atributo]],[1]!Tabla5[#Data],6,FALSE)</f>
        <v>Select</v>
      </c>
      <c r="F1698">
        <v>6</v>
      </c>
      <c r="G1698">
        <v>2</v>
      </c>
      <c r="H1698" t="s">
        <v>266</v>
      </c>
      <c r="I1698" t="str">
        <f>VLOOKUP(Tabla1[[#This Row],[Code]],'[1]Articulos Precio'!$A:$E,5,FALSE)</f>
        <v>A0000103</v>
      </c>
    </row>
    <row r="1699" spans="1:9" x14ac:dyDescent="0.25">
      <c r="A1699" t="s">
        <v>536</v>
      </c>
      <c r="B1699" t="str">
        <f>VLOOKUP(Tabla1[[#This Row],[Code]],[1]!Tabla4[#Data],2,FALSE)</f>
        <v>M2 Metamark M7 123 Gris Medio 0,61 x 50m</v>
      </c>
      <c r="C1699">
        <v>8</v>
      </c>
      <c r="D1699" t="s">
        <v>86</v>
      </c>
      <c r="E1699" t="str">
        <f>VLOOKUP(Tabla1[[#This Row],[Cód. Atributo]],[1]!Tabla5[#Data],6,FALSE)</f>
        <v>Select</v>
      </c>
      <c r="F1699">
        <v>1</v>
      </c>
      <c r="G1699">
        <v>1</v>
      </c>
      <c r="H1699" t="s">
        <v>263</v>
      </c>
      <c r="I1699" t="str">
        <f>VLOOKUP(Tabla1[[#This Row],[Code]],'[1]Articulos Precio'!$A:$E,5,FALSE)</f>
        <v>A0000103</v>
      </c>
    </row>
    <row r="1700" spans="1:9" x14ac:dyDescent="0.25">
      <c r="A1700" t="s">
        <v>536</v>
      </c>
      <c r="B1700" t="str">
        <f>VLOOKUP(Tabla1[[#This Row],[Code]],[1]!Tabla4[#Data],2,FALSE)</f>
        <v>M2 Metamark M7 123 Gris Medio 0,61 x 50m</v>
      </c>
      <c r="C1700">
        <v>13</v>
      </c>
      <c r="D1700" t="s">
        <v>491</v>
      </c>
      <c r="E1700" t="str">
        <f>VLOOKUP(Tabla1[[#This Row],[Cód. Atributo]],[1]!Tabla5[#Data],6,FALSE)</f>
        <v>Color</v>
      </c>
      <c r="F1700">
        <v>2</v>
      </c>
      <c r="G1700">
        <v>8</v>
      </c>
      <c r="H1700" t="s">
        <v>537</v>
      </c>
      <c r="I1700" t="str">
        <f>VLOOKUP(Tabla1[[#This Row],[Code]],'[1]Articulos Precio'!$A:$E,5,FALSE)</f>
        <v>A0000103</v>
      </c>
    </row>
    <row r="1701" spans="1:9" x14ac:dyDescent="0.25">
      <c r="A1701" t="s">
        <v>536</v>
      </c>
      <c r="B1701" t="str">
        <f>VLOOKUP(Tabla1[[#This Row],[Code]],[1]!Tabla4[#Data],2,FALSE)</f>
        <v>M2 Metamark M7 123 Gris Medio 0,61 x 50m</v>
      </c>
      <c r="C1701">
        <v>23</v>
      </c>
      <c r="D1701" t="s">
        <v>90</v>
      </c>
      <c r="E1701" t="str">
        <f>VLOOKUP(Tabla1[[#This Row],[Cód. Atributo]],[1]!Tabla5[#Data],6,FALSE)</f>
        <v>Select</v>
      </c>
      <c r="F1701">
        <v>3</v>
      </c>
      <c r="G1701">
        <v>2</v>
      </c>
      <c r="H1701" t="s">
        <v>136</v>
      </c>
      <c r="I1701" t="str">
        <f>VLOOKUP(Tabla1[[#This Row],[Code]],'[1]Articulos Precio'!$A:$E,5,FALSE)</f>
        <v>A0000103</v>
      </c>
    </row>
    <row r="1702" spans="1:9" x14ac:dyDescent="0.25">
      <c r="A1702" t="s">
        <v>536</v>
      </c>
      <c r="B1702" t="str">
        <f>VLOOKUP(Tabla1[[#This Row],[Code]],[1]!Tabla4[#Data],2,FALSE)</f>
        <v>M2 Metamark M7 123 Gris Medio 0,61 x 50m</v>
      </c>
      <c r="C1702">
        <v>28</v>
      </c>
      <c r="D1702" t="s">
        <v>92</v>
      </c>
      <c r="E1702" t="str">
        <f>VLOOKUP(Tabla1[[#This Row],[Cód. Atributo]],[1]!Tabla5[#Data],6,FALSE)</f>
        <v>Select</v>
      </c>
      <c r="F1702">
        <v>4</v>
      </c>
      <c r="G1702">
        <v>1</v>
      </c>
      <c r="H1702" t="s">
        <v>93</v>
      </c>
      <c r="I1702" t="str">
        <f>VLOOKUP(Tabla1[[#This Row],[Code]],'[1]Articulos Precio'!$A:$E,5,FALSE)</f>
        <v>A0000103</v>
      </c>
    </row>
    <row r="1703" spans="1:9" x14ac:dyDescent="0.25">
      <c r="A1703" t="s">
        <v>536</v>
      </c>
      <c r="B1703" t="str">
        <f>VLOOKUP(Tabla1[[#This Row],[Code]],[1]!Tabla4[#Data],2,FALSE)</f>
        <v>M2 Metamark M7 123 Gris Medio 0,61 x 50m</v>
      </c>
      <c r="C1703">
        <v>25</v>
      </c>
      <c r="D1703" t="s">
        <v>94</v>
      </c>
      <c r="E1703" t="str">
        <f>VLOOKUP(Tabla1[[#This Row],[Cód. Atributo]],[1]!Tabla5[#Data],6,FALSE)</f>
        <v>Select</v>
      </c>
      <c r="F1703">
        <v>5</v>
      </c>
      <c r="G1703">
        <v>4</v>
      </c>
      <c r="H1703" t="s">
        <v>137</v>
      </c>
      <c r="I1703" t="str">
        <f>VLOOKUP(Tabla1[[#This Row],[Code]],'[1]Articulos Precio'!$A:$E,5,FALSE)</f>
        <v>A0000103</v>
      </c>
    </row>
    <row r="1704" spans="1:9" x14ac:dyDescent="0.25">
      <c r="A1704" t="s">
        <v>536</v>
      </c>
      <c r="B1704" t="str">
        <f>VLOOKUP(Tabla1[[#This Row],[Code]],[1]!Tabla4[#Data],2,FALSE)</f>
        <v>M2 Metamark M7 123 Gris Medio 0,61 x 50m</v>
      </c>
      <c r="C1704">
        <v>24</v>
      </c>
      <c r="D1704" t="s">
        <v>96</v>
      </c>
      <c r="E1704" t="str">
        <f>VLOOKUP(Tabla1[[#This Row],[Cód. Atributo]],[1]!Tabla5[#Data],6,FALSE)</f>
        <v>Select</v>
      </c>
      <c r="F1704">
        <v>6</v>
      </c>
      <c r="G1704">
        <v>2</v>
      </c>
      <c r="H1704" t="s">
        <v>266</v>
      </c>
      <c r="I1704" t="str">
        <f>VLOOKUP(Tabla1[[#This Row],[Code]],'[1]Articulos Precio'!$A:$E,5,FALSE)</f>
        <v>A0000103</v>
      </c>
    </row>
    <row r="1705" spans="1:9" x14ac:dyDescent="0.25">
      <c r="A1705" t="s">
        <v>538</v>
      </c>
      <c r="B1705" t="str">
        <f>VLOOKUP(Tabla1[[#This Row],[Code]],[1]!Tabla4[#Data],2,FALSE)</f>
        <v>M2 Metamark M7 123 Gris Medio 1,22 x 50m</v>
      </c>
      <c r="C1705">
        <v>8</v>
      </c>
      <c r="D1705" t="s">
        <v>86</v>
      </c>
      <c r="E1705" t="str">
        <f>VLOOKUP(Tabla1[[#This Row],[Cód. Atributo]],[1]!Tabla5[#Data],6,FALSE)</f>
        <v>Select</v>
      </c>
      <c r="F1705">
        <v>1</v>
      </c>
      <c r="G1705">
        <v>2</v>
      </c>
      <c r="H1705" t="s">
        <v>268</v>
      </c>
      <c r="I1705" t="str">
        <f>VLOOKUP(Tabla1[[#This Row],[Code]],'[1]Articulos Precio'!$A:$E,5,FALSE)</f>
        <v>A0000103</v>
      </c>
    </row>
    <row r="1706" spans="1:9" x14ac:dyDescent="0.25">
      <c r="A1706" t="s">
        <v>538</v>
      </c>
      <c r="B1706" t="str">
        <f>VLOOKUP(Tabla1[[#This Row],[Code]],[1]!Tabla4[#Data],2,FALSE)</f>
        <v>M2 Metamark M7 123 Gris Medio 1,22 x 50m</v>
      </c>
      <c r="C1706">
        <v>13</v>
      </c>
      <c r="D1706" t="s">
        <v>491</v>
      </c>
      <c r="E1706" t="str">
        <f>VLOOKUP(Tabla1[[#This Row],[Cód. Atributo]],[1]!Tabla5[#Data],6,FALSE)</f>
        <v>Color</v>
      </c>
      <c r="F1706">
        <v>2</v>
      </c>
      <c r="G1706">
        <v>8</v>
      </c>
      <c r="H1706" t="s">
        <v>537</v>
      </c>
      <c r="I1706" t="str">
        <f>VLOOKUP(Tabla1[[#This Row],[Code]],'[1]Articulos Precio'!$A:$E,5,FALSE)</f>
        <v>A0000103</v>
      </c>
    </row>
    <row r="1707" spans="1:9" x14ac:dyDescent="0.25">
      <c r="A1707" t="s">
        <v>538</v>
      </c>
      <c r="B1707" t="str">
        <f>VLOOKUP(Tabla1[[#This Row],[Code]],[1]!Tabla4[#Data],2,FALSE)</f>
        <v>M2 Metamark M7 123 Gris Medio 1,22 x 50m</v>
      </c>
      <c r="C1707">
        <v>23</v>
      </c>
      <c r="D1707" t="s">
        <v>90</v>
      </c>
      <c r="E1707" t="str">
        <f>VLOOKUP(Tabla1[[#This Row],[Cód. Atributo]],[1]!Tabla5[#Data],6,FALSE)</f>
        <v>Select</v>
      </c>
      <c r="F1707">
        <v>3</v>
      </c>
      <c r="G1707">
        <v>2</v>
      </c>
      <c r="H1707" t="s">
        <v>136</v>
      </c>
      <c r="I1707" t="str">
        <f>VLOOKUP(Tabla1[[#This Row],[Code]],'[1]Articulos Precio'!$A:$E,5,FALSE)</f>
        <v>A0000103</v>
      </c>
    </row>
    <row r="1708" spans="1:9" x14ac:dyDescent="0.25">
      <c r="A1708" t="s">
        <v>538</v>
      </c>
      <c r="B1708" t="str">
        <f>VLOOKUP(Tabla1[[#This Row],[Code]],[1]!Tabla4[#Data],2,FALSE)</f>
        <v>M2 Metamark M7 123 Gris Medio 1,22 x 50m</v>
      </c>
      <c r="C1708">
        <v>28</v>
      </c>
      <c r="D1708" t="s">
        <v>92</v>
      </c>
      <c r="E1708" t="str">
        <f>VLOOKUP(Tabla1[[#This Row],[Cód. Atributo]],[1]!Tabla5[#Data],6,FALSE)</f>
        <v>Select</v>
      </c>
      <c r="F1708">
        <v>4</v>
      </c>
      <c r="G1708">
        <v>1</v>
      </c>
      <c r="H1708" t="s">
        <v>93</v>
      </c>
      <c r="I1708" t="str">
        <f>VLOOKUP(Tabla1[[#This Row],[Code]],'[1]Articulos Precio'!$A:$E,5,FALSE)</f>
        <v>A0000103</v>
      </c>
    </row>
    <row r="1709" spans="1:9" x14ac:dyDescent="0.25">
      <c r="A1709" t="s">
        <v>538</v>
      </c>
      <c r="B1709" t="str">
        <f>VLOOKUP(Tabla1[[#This Row],[Code]],[1]!Tabla4[#Data],2,FALSE)</f>
        <v>M2 Metamark M7 123 Gris Medio 1,22 x 50m</v>
      </c>
      <c r="C1709">
        <v>25</v>
      </c>
      <c r="D1709" t="s">
        <v>94</v>
      </c>
      <c r="E1709" t="str">
        <f>VLOOKUP(Tabla1[[#This Row],[Cód. Atributo]],[1]!Tabla5[#Data],6,FALSE)</f>
        <v>Select</v>
      </c>
      <c r="F1709">
        <v>5</v>
      </c>
      <c r="G1709">
        <v>4</v>
      </c>
      <c r="H1709" t="s">
        <v>137</v>
      </c>
      <c r="I1709" t="str">
        <f>VLOOKUP(Tabla1[[#This Row],[Code]],'[1]Articulos Precio'!$A:$E,5,FALSE)</f>
        <v>A0000103</v>
      </c>
    </row>
    <row r="1710" spans="1:9" x14ac:dyDescent="0.25">
      <c r="A1710" t="s">
        <v>538</v>
      </c>
      <c r="B1710" t="str">
        <f>VLOOKUP(Tabla1[[#This Row],[Code]],[1]!Tabla4[#Data],2,FALSE)</f>
        <v>M2 Metamark M7 123 Gris Medio 1,22 x 50m</v>
      </c>
      <c r="C1710">
        <v>24</v>
      </c>
      <c r="D1710" t="s">
        <v>96</v>
      </c>
      <c r="E1710" t="str">
        <f>VLOOKUP(Tabla1[[#This Row],[Cód. Atributo]],[1]!Tabla5[#Data],6,FALSE)</f>
        <v>Select</v>
      </c>
      <c r="F1710">
        <v>6</v>
      </c>
      <c r="G1710">
        <v>2</v>
      </c>
      <c r="H1710" t="s">
        <v>266</v>
      </c>
      <c r="I1710" t="str">
        <f>VLOOKUP(Tabla1[[#This Row],[Code]],'[1]Articulos Precio'!$A:$E,5,FALSE)</f>
        <v>A0000103</v>
      </c>
    </row>
    <row r="1711" spans="1:9" x14ac:dyDescent="0.25">
      <c r="A1711" t="s">
        <v>539</v>
      </c>
      <c r="B1711" t="str">
        <f>VLOOKUP(Tabla1[[#This Row],[Code]],[1]!Tabla4[#Data],2,FALSE)</f>
        <v>M2 Metamark M7 124 Gris Oscuro 0,61 x 50m</v>
      </c>
      <c r="C1711">
        <v>8</v>
      </c>
      <c r="D1711" t="s">
        <v>86</v>
      </c>
      <c r="E1711" t="str">
        <f>VLOOKUP(Tabla1[[#This Row],[Cód. Atributo]],[1]!Tabla5[#Data],6,FALSE)</f>
        <v>Select</v>
      </c>
      <c r="F1711">
        <v>1</v>
      </c>
      <c r="G1711">
        <v>1</v>
      </c>
      <c r="H1711" t="s">
        <v>263</v>
      </c>
      <c r="I1711" t="str">
        <f>VLOOKUP(Tabla1[[#This Row],[Code]],'[1]Articulos Precio'!$A:$E,5,FALSE)</f>
        <v>A0000103</v>
      </c>
    </row>
    <row r="1712" spans="1:9" x14ac:dyDescent="0.25">
      <c r="A1712" t="s">
        <v>539</v>
      </c>
      <c r="B1712" t="str">
        <f>VLOOKUP(Tabla1[[#This Row],[Code]],[1]!Tabla4[#Data],2,FALSE)</f>
        <v>M2 Metamark M7 124 Gris Oscuro 0,61 x 50m</v>
      </c>
      <c r="C1712">
        <v>13</v>
      </c>
      <c r="D1712" t="s">
        <v>491</v>
      </c>
      <c r="E1712" t="str">
        <f>VLOOKUP(Tabla1[[#This Row],[Cód. Atributo]],[1]!Tabla5[#Data],6,FALSE)</f>
        <v>Color</v>
      </c>
      <c r="F1712">
        <v>2</v>
      </c>
      <c r="G1712">
        <v>9</v>
      </c>
      <c r="H1712" t="s">
        <v>540</v>
      </c>
      <c r="I1712" t="str">
        <f>VLOOKUP(Tabla1[[#This Row],[Code]],'[1]Articulos Precio'!$A:$E,5,FALSE)</f>
        <v>A0000103</v>
      </c>
    </row>
    <row r="1713" spans="1:9" x14ac:dyDescent="0.25">
      <c r="A1713" t="s">
        <v>539</v>
      </c>
      <c r="B1713" t="str">
        <f>VLOOKUP(Tabla1[[#This Row],[Code]],[1]!Tabla4[#Data],2,FALSE)</f>
        <v>M2 Metamark M7 124 Gris Oscuro 0,61 x 50m</v>
      </c>
      <c r="C1713">
        <v>23</v>
      </c>
      <c r="D1713" t="s">
        <v>90</v>
      </c>
      <c r="E1713" t="str">
        <f>VLOOKUP(Tabla1[[#This Row],[Cód. Atributo]],[1]!Tabla5[#Data],6,FALSE)</f>
        <v>Select</v>
      </c>
      <c r="F1713">
        <v>3</v>
      </c>
      <c r="G1713">
        <v>2</v>
      </c>
      <c r="H1713" t="s">
        <v>136</v>
      </c>
      <c r="I1713" t="str">
        <f>VLOOKUP(Tabla1[[#This Row],[Code]],'[1]Articulos Precio'!$A:$E,5,FALSE)</f>
        <v>A0000103</v>
      </c>
    </row>
    <row r="1714" spans="1:9" x14ac:dyDescent="0.25">
      <c r="A1714" t="s">
        <v>539</v>
      </c>
      <c r="B1714" t="str">
        <f>VLOOKUP(Tabla1[[#This Row],[Code]],[1]!Tabla4[#Data],2,FALSE)</f>
        <v>M2 Metamark M7 124 Gris Oscuro 0,61 x 50m</v>
      </c>
      <c r="C1714">
        <v>28</v>
      </c>
      <c r="D1714" t="s">
        <v>92</v>
      </c>
      <c r="E1714" t="str">
        <f>VLOOKUP(Tabla1[[#This Row],[Cód. Atributo]],[1]!Tabla5[#Data],6,FALSE)</f>
        <v>Select</v>
      </c>
      <c r="F1714">
        <v>4</v>
      </c>
      <c r="G1714">
        <v>1</v>
      </c>
      <c r="H1714" t="s">
        <v>93</v>
      </c>
      <c r="I1714" t="str">
        <f>VLOOKUP(Tabla1[[#This Row],[Code]],'[1]Articulos Precio'!$A:$E,5,FALSE)</f>
        <v>A0000103</v>
      </c>
    </row>
    <row r="1715" spans="1:9" x14ac:dyDescent="0.25">
      <c r="A1715" t="s">
        <v>539</v>
      </c>
      <c r="B1715" t="str">
        <f>VLOOKUP(Tabla1[[#This Row],[Code]],[1]!Tabla4[#Data],2,FALSE)</f>
        <v>M2 Metamark M7 124 Gris Oscuro 0,61 x 50m</v>
      </c>
      <c r="C1715">
        <v>25</v>
      </c>
      <c r="D1715" t="s">
        <v>94</v>
      </c>
      <c r="E1715" t="str">
        <f>VLOOKUP(Tabla1[[#This Row],[Cód. Atributo]],[1]!Tabla5[#Data],6,FALSE)</f>
        <v>Select</v>
      </c>
      <c r="F1715">
        <v>5</v>
      </c>
      <c r="G1715">
        <v>4</v>
      </c>
      <c r="H1715" t="s">
        <v>137</v>
      </c>
      <c r="I1715" t="str">
        <f>VLOOKUP(Tabla1[[#This Row],[Code]],'[1]Articulos Precio'!$A:$E,5,FALSE)</f>
        <v>A0000103</v>
      </c>
    </row>
    <row r="1716" spans="1:9" x14ac:dyDescent="0.25">
      <c r="A1716" t="s">
        <v>539</v>
      </c>
      <c r="B1716" t="str">
        <f>VLOOKUP(Tabla1[[#This Row],[Code]],[1]!Tabla4[#Data],2,FALSE)</f>
        <v>M2 Metamark M7 124 Gris Oscuro 0,61 x 50m</v>
      </c>
      <c r="C1716">
        <v>24</v>
      </c>
      <c r="D1716" t="s">
        <v>96</v>
      </c>
      <c r="E1716" t="str">
        <f>VLOOKUP(Tabla1[[#This Row],[Cód. Atributo]],[1]!Tabla5[#Data],6,FALSE)</f>
        <v>Select</v>
      </c>
      <c r="F1716">
        <v>6</v>
      </c>
      <c r="G1716">
        <v>2</v>
      </c>
      <c r="H1716" t="s">
        <v>266</v>
      </c>
      <c r="I1716" t="str">
        <f>VLOOKUP(Tabla1[[#This Row],[Code]],'[1]Articulos Precio'!$A:$E,5,FALSE)</f>
        <v>A0000103</v>
      </c>
    </row>
    <row r="1717" spans="1:9" x14ac:dyDescent="0.25">
      <c r="A1717" t="s">
        <v>541</v>
      </c>
      <c r="B1717" t="str">
        <f>VLOOKUP(Tabla1[[#This Row],[Code]],[1]!Tabla4[#Data],2,FALSE)</f>
        <v>M2 Metamark M7 124 Gris Oscuro 1,22 x 50m</v>
      </c>
      <c r="C1717">
        <v>8</v>
      </c>
      <c r="D1717" t="s">
        <v>86</v>
      </c>
      <c r="E1717" t="str">
        <f>VLOOKUP(Tabla1[[#This Row],[Cód. Atributo]],[1]!Tabla5[#Data],6,FALSE)</f>
        <v>Select</v>
      </c>
      <c r="F1717">
        <v>1</v>
      </c>
      <c r="G1717">
        <v>2</v>
      </c>
      <c r="H1717" t="s">
        <v>268</v>
      </c>
      <c r="I1717" t="str">
        <f>VLOOKUP(Tabla1[[#This Row],[Code]],'[1]Articulos Precio'!$A:$E,5,FALSE)</f>
        <v>A0000103</v>
      </c>
    </row>
    <row r="1718" spans="1:9" x14ac:dyDescent="0.25">
      <c r="A1718" t="s">
        <v>541</v>
      </c>
      <c r="B1718" t="str">
        <f>VLOOKUP(Tabla1[[#This Row],[Code]],[1]!Tabla4[#Data],2,FALSE)</f>
        <v>M2 Metamark M7 124 Gris Oscuro 1,22 x 50m</v>
      </c>
      <c r="C1718">
        <v>13</v>
      </c>
      <c r="D1718" t="s">
        <v>491</v>
      </c>
      <c r="E1718" t="str">
        <f>VLOOKUP(Tabla1[[#This Row],[Cód. Atributo]],[1]!Tabla5[#Data],6,FALSE)</f>
        <v>Color</v>
      </c>
      <c r="F1718">
        <v>2</v>
      </c>
      <c r="G1718">
        <v>9</v>
      </c>
      <c r="H1718" t="s">
        <v>540</v>
      </c>
      <c r="I1718" t="str">
        <f>VLOOKUP(Tabla1[[#This Row],[Code]],'[1]Articulos Precio'!$A:$E,5,FALSE)</f>
        <v>A0000103</v>
      </c>
    </row>
    <row r="1719" spans="1:9" x14ac:dyDescent="0.25">
      <c r="A1719" t="s">
        <v>541</v>
      </c>
      <c r="B1719" t="str">
        <f>VLOOKUP(Tabla1[[#This Row],[Code]],[1]!Tabla4[#Data],2,FALSE)</f>
        <v>M2 Metamark M7 124 Gris Oscuro 1,22 x 50m</v>
      </c>
      <c r="C1719">
        <v>23</v>
      </c>
      <c r="D1719" t="s">
        <v>90</v>
      </c>
      <c r="E1719" t="str">
        <f>VLOOKUP(Tabla1[[#This Row],[Cód. Atributo]],[1]!Tabla5[#Data],6,FALSE)</f>
        <v>Select</v>
      </c>
      <c r="F1719">
        <v>3</v>
      </c>
      <c r="G1719">
        <v>2</v>
      </c>
      <c r="H1719" t="s">
        <v>136</v>
      </c>
      <c r="I1719" t="str">
        <f>VLOOKUP(Tabla1[[#This Row],[Code]],'[1]Articulos Precio'!$A:$E,5,FALSE)</f>
        <v>A0000103</v>
      </c>
    </row>
    <row r="1720" spans="1:9" x14ac:dyDescent="0.25">
      <c r="A1720" t="s">
        <v>541</v>
      </c>
      <c r="B1720" t="str">
        <f>VLOOKUP(Tabla1[[#This Row],[Code]],[1]!Tabla4[#Data],2,FALSE)</f>
        <v>M2 Metamark M7 124 Gris Oscuro 1,22 x 50m</v>
      </c>
      <c r="C1720">
        <v>28</v>
      </c>
      <c r="D1720" t="s">
        <v>92</v>
      </c>
      <c r="E1720" t="str">
        <f>VLOOKUP(Tabla1[[#This Row],[Cód. Atributo]],[1]!Tabla5[#Data],6,FALSE)</f>
        <v>Select</v>
      </c>
      <c r="F1720">
        <v>4</v>
      </c>
      <c r="G1720">
        <v>1</v>
      </c>
      <c r="H1720" t="s">
        <v>93</v>
      </c>
      <c r="I1720" t="str">
        <f>VLOOKUP(Tabla1[[#This Row],[Code]],'[1]Articulos Precio'!$A:$E,5,FALSE)</f>
        <v>A0000103</v>
      </c>
    </row>
    <row r="1721" spans="1:9" x14ac:dyDescent="0.25">
      <c r="A1721" t="s">
        <v>541</v>
      </c>
      <c r="B1721" t="str">
        <f>VLOOKUP(Tabla1[[#This Row],[Code]],[1]!Tabla4[#Data],2,FALSE)</f>
        <v>M2 Metamark M7 124 Gris Oscuro 1,22 x 50m</v>
      </c>
      <c r="C1721">
        <v>25</v>
      </c>
      <c r="D1721" t="s">
        <v>94</v>
      </c>
      <c r="E1721" t="str">
        <f>VLOOKUP(Tabla1[[#This Row],[Cód. Atributo]],[1]!Tabla5[#Data],6,FALSE)</f>
        <v>Select</v>
      </c>
      <c r="F1721">
        <v>5</v>
      </c>
      <c r="G1721">
        <v>4</v>
      </c>
      <c r="H1721" t="s">
        <v>137</v>
      </c>
      <c r="I1721" t="str">
        <f>VLOOKUP(Tabla1[[#This Row],[Code]],'[1]Articulos Precio'!$A:$E,5,FALSE)</f>
        <v>A0000103</v>
      </c>
    </row>
    <row r="1722" spans="1:9" x14ac:dyDescent="0.25">
      <c r="A1722" t="s">
        <v>541</v>
      </c>
      <c r="B1722" t="str">
        <f>VLOOKUP(Tabla1[[#This Row],[Code]],[1]!Tabla4[#Data],2,FALSE)</f>
        <v>M2 Metamark M7 124 Gris Oscuro 1,22 x 50m</v>
      </c>
      <c r="C1722">
        <v>24</v>
      </c>
      <c r="D1722" t="s">
        <v>96</v>
      </c>
      <c r="E1722" t="str">
        <f>VLOOKUP(Tabla1[[#This Row],[Cód. Atributo]],[1]!Tabla5[#Data],6,FALSE)</f>
        <v>Select</v>
      </c>
      <c r="F1722">
        <v>6</v>
      </c>
      <c r="G1722">
        <v>2</v>
      </c>
      <c r="H1722" t="s">
        <v>266</v>
      </c>
      <c r="I1722" t="str">
        <f>VLOOKUP(Tabla1[[#This Row],[Code]],'[1]Articulos Precio'!$A:$E,5,FALSE)</f>
        <v>A0000103</v>
      </c>
    </row>
    <row r="1723" spans="1:9" x14ac:dyDescent="0.25">
      <c r="A1723" t="s">
        <v>542</v>
      </c>
      <c r="B1723" t="str">
        <f>VLOOKUP(Tabla1[[#This Row],[Code]],[1]!Tabla4[#Data],2,FALSE)</f>
        <v>M2 Metamark M7 125 Gris Nimbo 0,61 x 50m</v>
      </c>
      <c r="C1723">
        <v>8</v>
      </c>
      <c r="D1723" t="s">
        <v>86</v>
      </c>
      <c r="E1723" t="str">
        <f>VLOOKUP(Tabla1[[#This Row],[Cód. Atributo]],[1]!Tabla5[#Data],6,FALSE)</f>
        <v>Select</v>
      </c>
      <c r="F1723">
        <v>1</v>
      </c>
      <c r="G1723">
        <v>1</v>
      </c>
      <c r="H1723" t="s">
        <v>263</v>
      </c>
      <c r="I1723" t="str">
        <f>VLOOKUP(Tabla1[[#This Row],[Code]],'[1]Articulos Precio'!$A:$E,5,FALSE)</f>
        <v>A0000103</v>
      </c>
    </row>
    <row r="1724" spans="1:9" x14ac:dyDescent="0.25">
      <c r="A1724" t="s">
        <v>542</v>
      </c>
      <c r="B1724" t="str">
        <f>VLOOKUP(Tabla1[[#This Row],[Code]],[1]!Tabla4[#Data],2,FALSE)</f>
        <v>M2 Metamark M7 125 Gris Nimbo 0,61 x 50m</v>
      </c>
      <c r="C1724">
        <v>13</v>
      </c>
      <c r="D1724" t="s">
        <v>491</v>
      </c>
      <c r="E1724" t="str">
        <f>VLOOKUP(Tabla1[[#This Row],[Cód. Atributo]],[1]!Tabla5[#Data],6,FALSE)</f>
        <v>Color</v>
      </c>
      <c r="F1724">
        <v>2</v>
      </c>
      <c r="G1724">
        <v>10</v>
      </c>
      <c r="H1724" t="s">
        <v>543</v>
      </c>
      <c r="I1724" t="str">
        <f>VLOOKUP(Tabla1[[#This Row],[Code]],'[1]Articulos Precio'!$A:$E,5,FALSE)</f>
        <v>A0000103</v>
      </c>
    </row>
    <row r="1725" spans="1:9" x14ac:dyDescent="0.25">
      <c r="A1725" t="s">
        <v>542</v>
      </c>
      <c r="B1725" t="str">
        <f>VLOOKUP(Tabla1[[#This Row],[Code]],[1]!Tabla4[#Data],2,FALSE)</f>
        <v>M2 Metamark M7 125 Gris Nimbo 0,61 x 50m</v>
      </c>
      <c r="C1725">
        <v>23</v>
      </c>
      <c r="D1725" t="s">
        <v>90</v>
      </c>
      <c r="E1725" t="str">
        <f>VLOOKUP(Tabla1[[#This Row],[Cód. Atributo]],[1]!Tabla5[#Data],6,FALSE)</f>
        <v>Select</v>
      </c>
      <c r="F1725">
        <v>3</v>
      </c>
      <c r="G1725">
        <v>2</v>
      </c>
      <c r="H1725" t="s">
        <v>136</v>
      </c>
      <c r="I1725" t="str">
        <f>VLOOKUP(Tabla1[[#This Row],[Code]],'[1]Articulos Precio'!$A:$E,5,FALSE)</f>
        <v>A0000103</v>
      </c>
    </row>
    <row r="1726" spans="1:9" x14ac:dyDescent="0.25">
      <c r="A1726" t="s">
        <v>542</v>
      </c>
      <c r="B1726" t="str">
        <f>VLOOKUP(Tabla1[[#This Row],[Code]],[1]!Tabla4[#Data],2,FALSE)</f>
        <v>M2 Metamark M7 125 Gris Nimbo 0,61 x 50m</v>
      </c>
      <c r="C1726">
        <v>28</v>
      </c>
      <c r="D1726" t="s">
        <v>92</v>
      </c>
      <c r="E1726" t="str">
        <f>VLOOKUP(Tabla1[[#This Row],[Cód. Atributo]],[1]!Tabla5[#Data],6,FALSE)</f>
        <v>Select</v>
      </c>
      <c r="F1726">
        <v>4</v>
      </c>
      <c r="G1726">
        <v>1</v>
      </c>
      <c r="H1726" t="s">
        <v>93</v>
      </c>
      <c r="I1726" t="str">
        <f>VLOOKUP(Tabla1[[#This Row],[Code]],'[1]Articulos Precio'!$A:$E,5,FALSE)</f>
        <v>A0000103</v>
      </c>
    </row>
    <row r="1727" spans="1:9" x14ac:dyDescent="0.25">
      <c r="A1727" t="s">
        <v>542</v>
      </c>
      <c r="B1727" t="str">
        <f>VLOOKUP(Tabla1[[#This Row],[Code]],[1]!Tabla4[#Data],2,FALSE)</f>
        <v>M2 Metamark M7 125 Gris Nimbo 0,61 x 50m</v>
      </c>
      <c r="C1727">
        <v>25</v>
      </c>
      <c r="D1727" t="s">
        <v>94</v>
      </c>
      <c r="E1727" t="str">
        <f>VLOOKUP(Tabla1[[#This Row],[Cód. Atributo]],[1]!Tabla5[#Data],6,FALSE)</f>
        <v>Select</v>
      </c>
      <c r="F1727">
        <v>5</v>
      </c>
      <c r="G1727">
        <v>4</v>
      </c>
      <c r="H1727" t="s">
        <v>137</v>
      </c>
      <c r="I1727" t="str">
        <f>VLOOKUP(Tabla1[[#This Row],[Code]],'[1]Articulos Precio'!$A:$E,5,FALSE)</f>
        <v>A0000103</v>
      </c>
    </row>
    <row r="1728" spans="1:9" x14ac:dyDescent="0.25">
      <c r="A1728" t="s">
        <v>542</v>
      </c>
      <c r="B1728" t="str">
        <f>VLOOKUP(Tabla1[[#This Row],[Code]],[1]!Tabla4[#Data],2,FALSE)</f>
        <v>M2 Metamark M7 125 Gris Nimbo 0,61 x 50m</v>
      </c>
      <c r="C1728">
        <v>24</v>
      </c>
      <c r="D1728" t="s">
        <v>96</v>
      </c>
      <c r="E1728" t="str">
        <f>VLOOKUP(Tabla1[[#This Row],[Cód. Atributo]],[1]!Tabla5[#Data],6,FALSE)</f>
        <v>Select</v>
      </c>
      <c r="F1728">
        <v>6</v>
      </c>
      <c r="G1728">
        <v>2</v>
      </c>
      <c r="H1728" t="s">
        <v>266</v>
      </c>
      <c r="I1728" t="str">
        <f>VLOOKUP(Tabla1[[#This Row],[Code]],'[1]Articulos Precio'!$A:$E,5,FALSE)</f>
        <v>A0000103</v>
      </c>
    </row>
    <row r="1729" spans="1:9" x14ac:dyDescent="0.25">
      <c r="A1729" t="s">
        <v>544</v>
      </c>
      <c r="B1729" t="str">
        <f>VLOOKUP(Tabla1[[#This Row],[Code]],[1]!Tabla4[#Data],2,FALSE)</f>
        <v>M2 Metamark M7 125 Gris Nimbo 1,22 x 50m</v>
      </c>
      <c r="C1729">
        <v>8</v>
      </c>
      <c r="D1729" t="s">
        <v>86</v>
      </c>
      <c r="E1729" t="str">
        <f>VLOOKUP(Tabla1[[#This Row],[Cód. Atributo]],[1]!Tabla5[#Data],6,FALSE)</f>
        <v>Select</v>
      </c>
      <c r="F1729">
        <v>1</v>
      </c>
      <c r="G1729">
        <v>2</v>
      </c>
      <c r="H1729" t="s">
        <v>268</v>
      </c>
      <c r="I1729" t="str">
        <f>VLOOKUP(Tabla1[[#This Row],[Code]],'[1]Articulos Precio'!$A:$E,5,FALSE)</f>
        <v>A0000103</v>
      </c>
    </row>
    <row r="1730" spans="1:9" x14ac:dyDescent="0.25">
      <c r="A1730" t="s">
        <v>544</v>
      </c>
      <c r="B1730" t="str">
        <f>VLOOKUP(Tabla1[[#This Row],[Code]],[1]!Tabla4[#Data],2,FALSE)</f>
        <v>M2 Metamark M7 125 Gris Nimbo 1,22 x 50m</v>
      </c>
      <c r="C1730">
        <v>13</v>
      </c>
      <c r="D1730" t="s">
        <v>491</v>
      </c>
      <c r="E1730" t="str">
        <f>VLOOKUP(Tabla1[[#This Row],[Cód. Atributo]],[1]!Tabla5[#Data],6,FALSE)</f>
        <v>Color</v>
      </c>
      <c r="F1730">
        <v>2</v>
      </c>
      <c r="G1730">
        <v>10</v>
      </c>
      <c r="H1730" t="s">
        <v>543</v>
      </c>
      <c r="I1730" t="str">
        <f>VLOOKUP(Tabla1[[#This Row],[Code]],'[1]Articulos Precio'!$A:$E,5,FALSE)</f>
        <v>A0000103</v>
      </c>
    </row>
    <row r="1731" spans="1:9" x14ac:dyDescent="0.25">
      <c r="A1731" t="s">
        <v>544</v>
      </c>
      <c r="B1731" t="str">
        <f>VLOOKUP(Tabla1[[#This Row],[Code]],[1]!Tabla4[#Data],2,FALSE)</f>
        <v>M2 Metamark M7 125 Gris Nimbo 1,22 x 50m</v>
      </c>
      <c r="C1731">
        <v>23</v>
      </c>
      <c r="D1731" t="s">
        <v>90</v>
      </c>
      <c r="E1731" t="str">
        <f>VLOOKUP(Tabla1[[#This Row],[Cód. Atributo]],[1]!Tabla5[#Data],6,FALSE)</f>
        <v>Select</v>
      </c>
      <c r="F1731">
        <v>3</v>
      </c>
      <c r="G1731">
        <v>2</v>
      </c>
      <c r="H1731" t="s">
        <v>136</v>
      </c>
      <c r="I1731" t="str">
        <f>VLOOKUP(Tabla1[[#This Row],[Code]],'[1]Articulos Precio'!$A:$E,5,FALSE)</f>
        <v>A0000103</v>
      </c>
    </row>
    <row r="1732" spans="1:9" x14ac:dyDescent="0.25">
      <c r="A1732" t="s">
        <v>544</v>
      </c>
      <c r="B1732" t="str">
        <f>VLOOKUP(Tabla1[[#This Row],[Code]],[1]!Tabla4[#Data],2,FALSE)</f>
        <v>M2 Metamark M7 125 Gris Nimbo 1,22 x 50m</v>
      </c>
      <c r="C1732">
        <v>28</v>
      </c>
      <c r="D1732" t="s">
        <v>92</v>
      </c>
      <c r="E1732" t="str">
        <f>VLOOKUP(Tabla1[[#This Row],[Cód. Atributo]],[1]!Tabla5[#Data],6,FALSE)</f>
        <v>Select</v>
      </c>
      <c r="F1732">
        <v>4</v>
      </c>
      <c r="G1732">
        <v>1</v>
      </c>
      <c r="H1732" t="s">
        <v>93</v>
      </c>
      <c r="I1732" t="str">
        <f>VLOOKUP(Tabla1[[#This Row],[Code]],'[1]Articulos Precio'!$A:$E,5,FALSE)</f>
        <v>A0000103</v>
      </c>
    </row>
    <row r="1733" spans="1:9" x14ac:dyDescent="0.25">
      <c r="A1733" t="s">
        <v>544</v>
      </c>
      <c r="B1733" t="str">
        <f>VLOOKUP(Tabla1[[#This Row],[Code]],[1]!Tabla4[#Data],2,FALSE)</f>
        <v>M2 Metamark M7 125 Gris Nimbo 1,22 x 50m</v>
      </c>
      <c r="C1733">
        <v>25</v>
      </c>
      <c r="D1733" t="s">
        <v>94</v>
      </c>
      <c r="E1733" t="str">
        <f>VLOOKUP(Tabla1[[#This Row],[Cód. Atributo]],[1]!Tabla5[#Data],6,FALSE)</f>
        <v>Select</v>
      </c>
      <c r="F1733">
        <v>5</v>
      </c>
      <c r="G1733">
        <v>4</v>
      </c>
      <c r="H1733" t="s">
        <v>137</v>
      </c>
      <c r="I1733" t="str">
        <f>VLOOKUP(Tabla1[[#This Row],[Code]],'[1]Articulos Precio'!$A:$E,5,FALSE)</f>
        <v>A0000103</v>
      </c>
    </row>
    <row r="1734" spans="1:9" x14ac:dyDescent="0.25">
      <c r="A1734" t="s">
        <v>544</v>
      </c>
      <c r="B1734" t="str">
        <f>VLOOKUP(Tabla1[[#This Row],[Code]],[1]!Tabla4[#Data],2,FALSE)</f>
        <v>M2 Metamark M7 125 Gris Nimbo 1,22 x 50m</v>
      </c>
      <c r="C1734">
        <v>24</v>
      </c>
      <c r="D1734" t="s">
        <v>96</v>
      </c>
      <c r="E1734" t="str">
        <f>VLOOKUP(Tabla1[[#This Row],[Cód. Atributo]],[1]!Tabla5[#Data],6,FALSE)</f>
        <v>Select</v>
      </c>
      <c r="F1734">
        <v>6</v>
      </c>
      <c r="G1734">
        <v>2</v>
      </c>
      <c r="H1734" t="s">
        <v>266</v>
      </c>
      <c r="I1734" t="str">
        <f>VLOOKUP(Tabla1[[#This Row],[Code]],'[1]Articulos Precio'!$A:$E,5,FALSE)</f>
        <v>A0000103</v>
      </c>
    </row>
    <row r="1735" spans="1:9" x14ac:dyDescent="0.25">
      <c r="A1735" t="s">
        <v>545</v>
      </c>
      <c r="B1735" t="str">
        <f>VLOOKUP(Tabla1[[#This Row],[Code]],[1]!Tabla4[#Data],2,FALSE)</f>
        <v>M2 Metamark M7 127 Gris Ceniza 0,61 x 50m</v>
      </c>
      <c r="C1735">
        <v>8</v>
      </c>
      <c r="D1735" t="s">
        <v>86</v>
      </c>
      <c r="E1735" t="str">
        <f>VLOOKUP(Tabla1[[#This Row],[Cód. Atributo]],[1]!Tabla5[#Data],6,FALSE)</f>
        <v>Select</v>
      </c>
      <c r="F1735">
        <v>1</v>
      </c>
      <c r="G1735">
        <v>1</v>
      </c>
      <c r="H1735" t="s">
        <v>263</v>
      </c>
      <c r="I1735" t="str">
        <f>VLOOKUP(Tabla1[[#This Row],[Code]],'[1]Articulos Precio'!$A:$E,5,FALSE)</f>
        <v>A0000103</v>
      </c>
    </row>
    <row r="1736" spans="1:9" x14ac:dyDescent="0.25">
      <c r="A1736" t="s">
        <v>545</v>
      </c>
      <c r="B1736" t="str">
        <f>VLOOKUP(Tabla1[[#This Row],[Code]],[1]!Tabla4[#Data],2,FALSE)</f>
        <v>M2 Metamark M7 127 Gris Ceniza 0,61 x 50m</v>
      </c>
      <c r="C1736">
        <v>13</v>
      </c>
      <c r="D1736" t="s">
        <v>491</v>
      </c>
      <c r="E1736" t="str">
        <f>VLOOKUP(Tabla1[[#This Row],[Cód. Atributo]],[1]!Tabla5[#Data],6,FALSE)</f>
        <v>Color</v>
      </c>
      <c r="F1736">
        <v>2</v>
      </c>
      <c r="G1736">
        <v>65</v>
      </c>
      <c r="H1736" t="s">
        <v>546</v>
      </c>
      <c r="I1736" t="str">
        <f>VLOOKUP(Tabla1[[#This Row],[Code]],'[1]Articulos Precio'!$A:$E,5,FALSE)</f>
        <v>A0000103</v>
      </c>
    </row>
    <row r="1737" spans="1:9" x14ac:dyDescent="0.25">
      <c r="A1737" t="s">
        <v>545</v>
      </c>
      <c r="B1737" t="str">
        <f>VLOOKUP(Tabla1[[#This Row],[Code]],[1]!Tabla4[#Data],2,FALSE)</f>
        <v>M2 Metamark M7 127 Gris Ceniza 0,61 x 50m</v>
      </c>
      <c r="C1737">
        <v>23</v>
      </c>
      <c r="D1737" t="s">
        <v>90</v>
      </c>
      <c r="E1737" t="str">
        <f>VLOOKUP(Tabla1[[#This Row],[Cód. Atributo]],[1]!Tabla5[#Data],6,FALSE)</f>
        <v>Select</v>
      </c>
      <c r="F1737">
        <v>3</v>
      </c>
      <c r="G1737">
        <v>2</v>
      </c>
      <c r="H1737" t="s">
        <v>136</v>
      </c>
      <c r="I1737" t="str">
        <f>VLOOKUP(Tabla1[[#This Row],[Code]],'[1]Articulos Precio'!$A:$E,5,FALSE)</f>
        <v>A0000103</v>
      </c>
    </row>
    <row r="1738" spans="1:9" x14ac:dyDescent="0.25">
      <c r="A1738" t="s">
        <v>545</v>
      </c>
      <c r="B1738" t="str">
        <f>VLOOKUP(Tabla1[[#This Row],[Code]],[1]!Tabla4[#Data],2,FALSE)</f>
        <v>M2 Metamark M7 127 Gris Ceniza 0,61 x 50m</v>
      </c>
      <c r="C1738">
        <v>28</v>
      </c>
      <c r="D1738" t="s">
        <v>92</v>
      </c>
      <c r="E1738" t="str">
        <f>VLOOKUP(Tabla1[[#This Row],[Cód. Atributo]],[1]!Tabla5[#Data],6,FALSE)</f>
        <v>Select</v>
      </c>
      <c r="F1738">
        <v>4</v>
      </c>
      <c r="G1738">
        <v>1</v>
      </c>
      <c r="H1738" t="s">
        <v>93</v>
      </c>
      <c r="I1738" t="str">
        <f>VLOOKUP(Tabla1[[#This Row],[Code]],'[1]Articulos Precio'!$A:$E,5,FALSE)</f>
        <v>A0000103</v>
      </c>
    </row>
    <row r="1739" spans="1:9" x14ac:dyDescent="0.25">
      <c r="A1739" t="s">
        <v>545</v>
      </c>
      <c r="B1739" t="str">
        <f>VLOOKUP(Tabla1[[#This Row],[Code]],[1]!Tabla4[#Data],2,FALSE)</f>
        <v>M2 Metamark M7 127 Gris Ceniza 0,61 x 50m</v>
      </c>
      <c r="C1739">
        <v>25</v>
      </c>
      <c r="D1739" t="s">
        <v>94</v>
      </c>
      <c r="E1739" t="str">
        <f>VLOOKUP(Tabla1[[#This Row],[Cód. Atributo]],[1]!Tabla5[#Data],6,FALSE)</f>
        <v>Select</v>
      </c>
      <c r="F1739">
        <v>5</v>
      </c>
      <c r="G1739">
        <v>4</v>
      </c>
      <c r="H1739" t="s">
        <v>137</v>
      </c>
      <c r="I1739" t="str">
        <f>VLOOKUP(Tabla1[[#This Row],[Code]],'[1]Articulos Precio'!$A:$E,5,FALSE)</f>
        <v>A0000103</v>
      </c>
    </row>
    <row r="1740" spans="1:9" x14ac:dyDescent="0.25">
      <c r="A1740" t="s">
        <v>545</v>
      </c>
      <c r="B1740" t="str">
        <f>VLOOKUP(Tabla1[[#This Row],[Code]],[1]!Tabla4[#Data],2,FALSE)</f>
        <v>M2 Metamark M7 127 Gris Ceniza 0,61 x 50m</v>
      </c>
      <c r="C1740">
        <v>24</v>
      </c>
      <c r="D1740" t="s">
        <v>96</v>
      </c>
      <c r="E1740" t="str">
        <f>VLOOKUP(Tabla1[[#This Row],[Cód. Atributo]],[1]!Tabla5[#Data],6,FALSE)</f>
        <v>Select</v>
      </c>
      <c r="F1740">
        <v>6</v>
      </c>
      <c r="G1740">
        <v>2</v>
      </c>
      <c r="H1740" t="s">
        <v>266</v>
      </c>
      <c r="I1740" t="str">
        <f>VLOOKUP(Tabla1[[#This Row],[Code]],'[1]Articulos Precio'!$A:$E,5,FALSE)</f>
        <v>A0000103</v>
      </c>
    </row>
    <row r="1741" spans="1:9" x14ac:dyDescent="0.25">
      <c r="A1741" t="s">
        <v>547</v>
      </c>
      <c r="B1741" t="str">
        <f>VLOOKUP(Tabla1[[#This Row],[Code]],[1]!Tabla4[#Data],2,FALSE)</f>
        <v>M2 Metamark M7 127 Gris Ceniza 1,22 x 50m</v>
      </c>
      <c r="C1741">
        <v>8</v>
      </c>
      <c r="D1741" t="s">
        <v>86</v>
      </c>
      <c r="E1741" t="str">
        <f>VLOOKUP(Tabla1[[#This Row],[Cód. Atributo]],[1]!Tabla5[#Data],6,FALSE)</f>
        <v>Select</v>
      </c>
      <c r="F1741">
        <v>1</v>
      </c>
      <c r="G1741">
        <v>2</v>
      </c>
      <c r="H1741" t="s">
        <v>268</v>
      </c>
      <c r="I1741" t="str">
        <f>VLOOKUP(Tabla1[[#This Row],[Code]],'[1]Articulos Precio'!$A:$E,5,FALSE)</f>
        <v>A0000103</v>
      </c>
    </row>
    <row r="1742" spans="1:9" x14ac:dyDescent="0.25">
      <c r="A1742" t="s">
        <v>547</v>
      </c>
      <c r="B1742" t="str">
        <f>VLOOKUP(Tabla1[[#This Row],[Code]],[1]!Tabla4[#Data],2,FALSE)</f>
        <v>M2 Metamark M7 127 Gris Ceniza 1,22 x 50m</v>
      </c>
      <c r="C1742">
        <v>13</v>
      </c>
      <c r="D1742" t="s">
        <v>491</v>
      </c>
      <c r="E1742" t="str">
        <f>VLOOKUP(Tabla1[[#This Row],[Cód. Atributo]],[1]!Tabla5[#Data],6,FALSE)</f>
        <v>Color</v>
      </c>
      <c r="F1742">
        <v>2</v>
      </c>
      <c r="G1742">
        <v>65</v>
      </c>
      <c r="H1742" t="s">
        <v>546</v>
      </c>
      <c r="I1742" t="str">
        <f>VLOOKUP(Tabla1[[#This Row],[Code]],'[1]Articulos Precio'!$A:$E,5,FALSE)</f>
        <v>A0000103</v>
      </c>
    </row>
    <row r="1743" spans="1:9" x14ac:dyDescent="0.25">
      <c r="A1743" t="s">
        <v>547</v>
      </c>
      <c r="B1743" t="str">
        <f>VLOOKUP(Tabla1[[#This Row],[Code]],[1]!Tabla4[#Data],2,FALSE)</f>
        <v>M2 Metamark M7 127 Gris Ceniza 1,22 x 50m</v>
      </c>
      <c r="C1743">
        <v>23</v>
      </c>
      <c r="D1743" t="s">
        <v>90</v>
      </c>
      <c r="E1743" t="str">
        <f>VLOOKUP(Tabla1[[#This Row],[Cód. Atributo]],[1]!Tabla5[#Data],6,FALSE)</f>
        <v>Select</v>
      </c>
      <c r="F1743">
        <v>3</v>
      </c>
      <c r="G1743">
        <v>2</v>
      </c>
      <c r="H1743" t="s">
        <v>136</v>
      </c>
      <c r="I1743" t="str">
        <f>VLOOKUP(Tabla1[[#This Row],[Code]],'[1]Articulos Precio'!$A:$E,5,FALSE)</f>
        <v>A0000103</v>
      </c>
    </row>
    <row r="1744" spans="1:9" x14ac:dyDescent="0.25">
      <c r="A1744" t="s">
        <v>547</v>
      </c>
      <c r="B1744" t="str">
        <f>VLOOKUP(Tabla1[[#This Row],[Code]],[1]!Tabla4[#Data],2,FALSE)</f>
        <v>M2 Metamark M7 127 Gris Ceniza 1,22 x 50m</v>
      </c>
      <c r="C1744">
        <v>28</v>
      </c>
      <c r="D1744" t="s">
        <v>92</v>
      </c>
      <c r="E1744" t="str">
        <f>VLOOKUP(Tabla1[[#This Row],[Cód. Atributo]],[1]!Tabla5[#Data],6,FALSE)</f>
        <v>Select</v>
      </c>
      <c r="F1744">
        <v>4</v>
      </c>
      <c r="G1744">
        <v>1</v>
      </c>
      <c r="H1744" t="s">
        <v>93</v>
      </c>
      <c r="I1744" t="str">
        <f>VLOOKUP(Tabla1[[#This Row],[Code]],'[1]Articulos Precio'!$A:$E,5,FALSE)</f>
        <v>A0000103</v>
      </c>
    </row>
    <row r="1745" spans="1:9" x14ac:dyDescent="0.25">
      <c r="A1745" t="s">
        <v>547</v>
      </c>
      <c r="B1745" t="str">
        <f>VLOOKUP(Tabla1[[#This Row],[Code]],[1]!Tabla4[#Data],2,FALSE)</f>
        <v>M2 Metamark M7 127 Gris Ceniza 1,22 x 50m</v>
      </c>
      <c r="C1745">
        <v>25</v>
      </c>
      <c r="D1745" t="s">
        <v>94</v>
      </c>
      <c r="E1745" t="str">
        <f>VLOOKUP(Tabla1[[#This Row],[Cód. Atributo]],[1]!Tabla5[#Data],6,FALSE)</f>
        <v>Select</v>
      </c>
      <c r="F1745">
        <v>5</v>
      </c>
      <c r="G1745">
        <v>4</v>
      </c>
      <c r="H1745" t="s">
        <v>137</v>
      </c>
      <c r="I1745" t="str">
        <f>VLOOKUP(Tabla1[[#This Row],[Code]],'[1]Articulos Precio'!$A:$E,5,FALSE)</f>
        <v>A0000103</v>
      </c>
    </row>
    <row r="1746" spans="1:9" x14ac:dyDescent="0.25">
      <c r="A1746" t="s">
        <v>547</v>
      </c>
      <c r="B1746" t="str">
        <f>VLOOKUP(Tabla1[[#This Row],[Code]],[1]!Tabla4[#Data],2,FALSE)</f>
        <v>M2 Metamark M7 127 Gris Ceniza 1,22 x 50m</v>
      </c>
      <c r="C1746">
        <v>24</v>
      </c>
      <c r="D1746" t="s">
        <v>96</v>
      </c>
      <c r="E1746" t="str">
        <f>VLOOKUP(Tabla1[[#This Row],[Cód. Atributo]],[1]!Tabla5[#Data],6,FALSE)</f>
        <v>Select</v>
      </c>
      <c r="F1746">
        <v>6</v>
      </c>
      <c r="G1746">
        <v>2</v>
      </c>
      <c r="H1746" t="s">
        <v>266</v>
      </c>
      <c r="I1746" t="str">
        <f>VLOOKUP(Tabla1[[#This Row],[Code]],'[1]Articulos Precio'!$A:$E,5,FALSE)</f>
        <v>A0000103</v>
      </c>
    </row>
    <row r="1747" spans="1:9" x14ac:dyDescent="0.25">
      <c r="A1747" t="s">
        <v>548</v>
      </c>
      <c r="B1747" t="str">
        <f>VLOOKUP(Tabla1[[#This Row],[Code]],[1]!Tabla4[#Data],2,FALSE)</f>
        <v>M2 Metamark M7 128 Gris Sombra 0,61 x 50m</v>
      </c>
      <c r="C1747">
        <v>8</v>
      </c>
      <c r="D1747" t="s">
        <v>86</v>
      </c>
      <c r="E1747" t="str">
        <f>VLOOKUP(Tabla1[[#This Row],[Cód. Atributo]],[1]!Tabla5[#Data],6,FALSE)</f>
        <v>Select</v>
      </c>
      <c r="F1747">
        <v>1</v>
      </c>
      <c r="G1747">
        <v>1</v>
      </c>
      <c r="H1747" t="s">
        <v>263</v>
      </c>
      <c r="I1747" t="str">
        <f>VLOOKUP(Tabla1[[#This Row],[Code]],'[1]Articulos Precio'!$A:$E,5,FALSE)</f>
        <v>A0000103</v>
      </c>
    </row>
    <row r="1748" spans="1:9" x14ac:dyDescent="0.25">
      <c r="A1748" t="s">
        <v>548</v>
      </c>
      <c r="B1748" t="str">
        <f>VLOOKUP(Tabla1[[#This Row],[Code]],[1]!Tabla4[#Data],2,FALSE)</f>
        <v>M2 Metamark M7 128 Gris Sombra 0,61 x 50m</v>
      </c>
      <c r="C1748">
        <v>13</v>
      </c>
      <c r="D1748" t="s">
        <v>491</v>
      </c>
      <c r="E1748" t="str">
        <f>VLOOKUP(Tabla1[[#This Row],[Cód. Atributo]],[1]!Tabla5[#Data],6,FALSE)</f>
        <v>Color</v>
      </c>
      <c r="F1748">
        <v>2</v>
      </c>
      <c r="G1748">
        <v>66</v>
      </c>
      <c r="H1748" t="s">
        <v>549</v>
      </c>
      <c r="I1748" t="str">
        <f>VLOOKUP(Tabla1[[#This Row],[Code]],'[1]Articulos Precio'!$A:$E,5,FALSE)</f>
        <v>A0000103</v>
      </c>
    </row>
    <row r="1749" spans="1:9" x14ac:dyDescent="0.25">
      <c r="A1749" t="s">
        <v>548</v>
      </c>
      <c r="B1749" t="str">
        <f>VLOOKUP(Tabla1[[#This Row],[Code]],[1]!Tabla4[#Data],2,FALSE)</f>
        <v>M2 Metamark M7 128 Gris Sombra 0,61 x 50m</v>
      </c>
      <c r="C1749">
        <v>23</v>
      </c>
      <c r="D1749" t="s">
        <v>90</v>
      </c>
      <c r="E1749" t="str">
        <f>VLOOKUP(Tabla1[[#This Row],[Cód. Atributo]],[1]!Tabla5[#Data],6,FALSE)</f>
        <v>Select</v>
      </c>
      <c r="F1749">
        <v>3</v>
      </c>
      <c r="G1749">
        <v>2</v>
      </c>
      <c r="H1749" t="s">
        <v>136</v>
      </c>
      <c r="I1749" t="str">
        <f>VLOOKUP(Tabla1[[#This Row],[Code]],'[1]Articulos Precio'!$A:$E,5,FALSE)</f>
        <v>A0000103</v>
      </c>
    </row>
    <row r="1750" spans="1:9" x14ac:dyDescent="0.25">
      <c r="A1750" t="s">
        <v>548</v>
      </c>
      <c r="B1750" t="str">
        <f>VLOOKUP(Tabla1[[#This Row],[Code]],[1]!Tabla4[#Data],2,FALSE)</f>
        <v>M2 Metamark M7 128 Gris Sombra 0,61 x 50m</v>
      </c>
      <c r="C1750">
        <v>28</v>
      </c>
      <c r="D1750" t="s">
        <v>92</v>
      </c>
      <c r="E1750" t="str">
        <f>VLOOKUP(Tabla1[[#This Row],[Cód. Atributo]],[1]!Tabla5[#Data],6,FALSE)</f>
        <v>Select</v>
      </c>
      <c r="F1750">
        <v>4</v>
      </c>
      <c r="G1750">
        <v>1</v>
      </c>
      <c r="H1750" t="s">
        <v>93</v>
      </c>
      <c r="I1750" t="str">
        <f>VLOOKUP(Tabla1[[#This Row],[Code]],'[1]Articulos Precio'!$A:$E,5,FALSE)</f>
        <v>A0000103</v>
      </c>
    </row>
    <row r="1751" spans="1:9" x14ac:dyDescent="0.25">
      <c r="A1751" t="s">
        <v>548</v>
      </c>
      <c r="B1751" t="str">
        <f>VLOOKUP(Tabla1[[#This Row],[Code]],[1]!Tabla4[#Data],2,FALSE)</f>
        <v>M2 Metamark M7 128 Gris Sombra 0,61 x 50m</v>
      </c>
      <c r="C1751">
        <v>25</v>
      </c>
      <c r="D1751" t="s">
        <v>94</v>
      </c>
      <c r="E1751" t="str">
        <f>VLOOKUP(Tabla1[[#This Row],[Cód. Atributo]],[1]!Tabla5[#Data],6,FALSE)</f>
        <v>Select</v>
      </c>
      <c r="F1751">
        <v>5</v>
      </c>
      <c r="G1751">
        <v>4</v>
      </c>
      <c r="H1751" t="s">
        <v>137</v>
      </c>
      <c r="I1751" t="str">
        <f>VLOOKUP(Tabla1[[#This Row],[Code]],'[1]Articulos Precio'!$A:$E,5,FALSE)</f>
        <v>A0000103</v>
      </c>
    </row>
    <row r="1752" spans="1:9" x14ac:dyDescent="0.25">
      <c r="A1752" t="s">
        <v>548</v>
      </c>
      <c r="B1752" t="str">
        <f>VLOOKUP(Tabla1[[#This Row],[Code]],[1]!Tabla4[#Data],2,FALSE)</f>
        <v>M2 Metamark M7 128 Gris Sombra 0,61 x 50m</v>
      </c>
      <c r="C1752">
        <v>24</v>
      </c>
      <c r="D1752" t="s">
        <v>96</v>
      </c>
      <c r="E1752" t="str">
        <f>VLOOKUP(Tabla1[[#This Row],[Cód. Atributo]],[1]!Tabla5[#Data],6,FALSE)</f>
        <v>Select</v>
      </c>
      <c r="F1752">
        <v>6</v>
      </c>
      <c r="G1752">
        <v>2</v>
      </c>
      <c r="H1752" t="s">
        <v>266</v>
      </c>
      <c r="I1752" t="str">
        <f>VLOOKUP(Tabla1[[#This Row],[Code]],'[1]Articulos Precio'!$A:$E,5,FALSE)</f>
        <v>A0000103</v>
      </c>
    </row>
    <row r="1753" spans="1:9" x14ac:dyDescent="0.25">
      <c r="A1753" t="s">
        <v>550</v>
      </c>
      <c r="B1753" t="str">
        <f>VLOOKUP(Tabla1[[#This Row],[Code]],[1]!Tabla4[#Data],2,FALSE)</f>
        <v>M2 Metamark M7 128 Gris Sombra 1,22 x 50m</v>
      </c>
      <c r="C1753">
        <v>8</v>
      </c>
      <c r="D1753" t="s">
        <v>86</v>
      </c>
      <c r="E1753" t="str">
        <f>VLOOKUP(Tabla1[[#This Row],[Cód. Atributo]],[1]!Tabla5[#Data],6,FALSE)</f>
        <v>Select</v>
      </c>
      <c r="F1753">
        <v>1</v>
      </c>
      <c r="G1753">
        <v>2</v>
      </c>
      <c r="H1753" t="s">
        <v>268</v>
      </c>
      <c r="I1753" t="str">
        <f>VLOOKUP(Tabla1[[#This Row],[Code]],'[1]Articulos Precio'!$A:$E,5,FALSE)</f>
        <v>A0000103</v>
      </c>
    </row>
    <row r="1754" spans="1:9" x14ac:dyDescent="0.25">
      <c r="A1754" t="s">
        <v>550</v>
      </c>
      <c r="B1754" t="str">
        <f>VLOOKUP(Tabla1[[#This Row],[Code]],[1]!Tabla4[#Data],2,FALSE)</f>
        <v>M2 Metamark M7 128 Gris Sombra 1,22 x 50m</v>
      </c>
      <c r="C1754">
        <v>13</v>
      </c>
      <c r="D1754" t="s">
        <v>491</v>
      </c>
      <c r="E1754" t="str">
        <f>VLOOKUP(Tabla1[[#This Row],[Cód. Atributo]],[1]!Tabla5[#Data],6,FALSE)</f>
        <v>Color</v>
      </c>
      <c r="F1754">
        <v>2</v>
      </c>
      <c r="G1754">
        <v>66</v>
      </c>
      <c r="H1754" t="s">
        <v>549</v>
      </c>
      <c r="I1754" t="str">
        <f>VLOOKUP(Tabla1[[#This Row],[Code]],'[1]Articulos Precio'!$A:$E,5,FALSE)</f>
        <v>A0000103</v>
      </c>
    </row>
    <row r="1755" spans="1:9" x14ac:dyDescent="0.25">
      <c r="A1755" t="s">
        <v>550</v>
      </c>
      <c r="B1755" t="str">
        <f>VLOOKUP(Tabla1[[#This Row],[Code]],[1]!Tabla4[#Data],2,FALSE)</f>
        <v>M2 Metamark M7 128 Gris Sombra 1,22 x 50m</v>
      </c>
      <c r="C1755">
        <v>23</v>
      </c>
      <c r="D1755" t="s">
        <v>90</v>
      </c>
      <c r="E1755" t="str">
        <f>VLOOKUP(Tabla1[[#This Row],[Cód. Atributo]],[1]!Tabla5[#Data],6,FALSE)</f>
        <v>Select</v>
      </c>
      <c r="F1755">
        <v>3</v>
      </c>
      <c r="G1755">
        <v>2</v>
      </c>
      <c r="H1755" t="s">
        <v>136</v>
      </c>
      <c r="I1755" t="str">
        <f>VLOOKUP(Tabla1[[#This Row],[Code]],'[1]Articulos Precio'!$A:$E,5,FALSE)</f>
        <v>A0000103</v>
      </c>
    </row>
    <row r="1756" spans="1:9" x14ac:dyDescent="0.25">
      <c r="A1756" t="s">
        <v>550</v>
      </c>
      <c r="B1756" t="str">
        <f>VLOOKUP(Tabla1[[#This Row],[Code]],[1]!Tabla4[#Data],2,FALSE)</f>
        <v>M2 Metamark M7 128 Gris Sombra 1,22 x 50m</v>
      </c>
      <c r="C1756">
        <v>28</v>
      </c>
      <c r="D1756" t="s">
        <v>92</v>
      </c>
      <c r="E1756" t="str">
        <f>VLOOKUP(Tabla1[[#This Row],[Cód. Atributo]],[1]!Tabla5[#Data],6,FALSE)</f>
        <v>Select</v>
      </c>
      <c r="F1756">
        <v>4</v>
      </c>
      <c r="G1756">
        <v>1</v>
      </c>
      <c r="H1756" t="s">
        <v>93</v>
      </c>
      <c r="I1756" t="str">
        <f>VLOOKUP(Tabla1[[#This Row],[Code]],'[1]Articulos Precio'!$A:$E,5,FALSE)</f>
        <v>A0000103</v>
      </c>
    </row>
    <row r="1757" spans="1:9" x14ac:dyDescent="0.25">
      <c r="A1757" t="s">
        <v>550</v>
      </c>
      <c r="B1757" t="str">
        <f>VLOOKUP(Tabla1[[#This Row],[Code]],[1]!Tabla4[#Data],2,FALSE)</f>
        <v>M2 Metamark M7 128 Gris Sombra 1,22 x 50m</v>
      </c>
      <c r="C1757">
        <v>25</v>
      </c>
      <c r="D1757" t="s">
        <v>94</v>
      </c>
      <c r="E1757" t="str">
        <f>VLOOKUP(Tabla1[[#This Row],[Cód. Atributo]],[1]!Tabla5[#Data],6,FALSE)</f>
        <v>Select</v>
      </c>
      <c r="F1757">
        <v>5</v>
      </c>
      <c r="G1757">
        <v>4</v>
      </c>
      <c r="H1757" t="s">
        <v>137</v>
      </c>
      <c r="I1757" t="str">
        <f>VLOOKUP(Tabla1[[#This Row],[Code]],'[1]Articulos Precio'!$A:$E,5,FALSE)</f>
        <v>A0000103</v>
      </c>
    </row>
    <row r="1758" spans="1:9" x14ac:dyDescent="0.25">
      <c r="A1758" t="s">
        <v>550</v>
      </c>
      <c r="B1758" t="str">
        <f>VLOOKUP(Tabla1[[#This Row],[Code]],[1]!Tabla4[#Data],2,FALSE)</f>
        <v>M2 Metamark M7 128 Gris Sombra 1,22 x 50m</v>
      </c>
      <c r="C1758">
        <v>24</v>
      </c>
      <c r="D1758" t="s">
        <v>96</v>
      </c>
      <c r="E1758" t="str">
        <f>VLOOKUP(Tabla1[[#This Row],[Cód. Atributo]],[1]!Tabla5[#Data],6,FALSE)</f>
        <v>Select</v>
      </c>
      <c r="F1758">
        <v>6</v>
      </c>
      <c r="G1758">
        <v>2</v>
      </c>
      <c r="H1758" t="s">
        <v>266</v>
      </c>
      <c r="I1758" t="str">
        <f>VLOOKUP(Tabla1[[#This Row],[Code]],'[1]Articulos Precio'!$A:$E,5,FALSE)</f>
        <v>A0000103</v>
      </c>
    </row>
    <row r="1759" spans="1:9" x14ac:dyDescent="0.25">
      <c r="A1759" t="s">
        <v>551</v>
      </c>
      <c r="B1759" t="str">
        <f>VLOOKUP(Tabla1[[#This Row],[Code]],[1]!Tabla4[#Data],2,FALSE)</f>
        <v>M2 Metamark M7 130 Amarillo Limón 0,61 x 50m</v>
      </c>
      <c r="C1759">
        <v>8</v>
      </c>
      <c r="D1759" t="s">
        <v>86</v>
      </c>
      <c r="E1759" t="str">
        <f>VLOOKUP(Tabla1[[#This Row],[Cód. Atributo]],[1]!Tabla5[#Data],6,FALSE)</f>
        <v>Select</v>
      </c>
      <c r="F1759">
        <v>1</v>
      </c>
      <c r="G1759">
        <v>1</v>
      </c>
      <c r="H1759" t="s">
        <v>263</v>
      </c>
      <c r="I1759" t="str">
        <f>VLOOKUP(Tabla1[[#This Row],[Code]],'[1]Articulos Precio'!$A:$E,5,FALSE)</f>
        <v>A0000103</v>
      </c>
    </row>
    <row r="1760" spans="1:9" x14ac:dyDescent="0.25">
      <c r="A1760" t="s">
        <v>551</v>
      </c>
      <c r="B1760" t="str">
        <f>VLOOKUP(Tabla1[[#This Row],[Code]],[1]!Tabla4[#Data],2,FALSE)</f>
        <v>M2 Metamark M7 130 Amarillo Limón 0,61 x 50m</v>
      </c>
      <c r="C1760">
        <v>13</v>
      </c>
      <c r="D1760" t="s">
        <v>491</v>
      </c>
      <c r="E1760" t="str">
        <f>VLOOKUP(Tabla1[[#This Row],[Cód. Atributo]],[1]!Tabla5[#Data],6,FALSE)</f>
        <v>Color</v>
      </c>
      <c r="F1760">
        <v>2</v>
      </c>
      <c r="G1760">
        <v>11</v>
      </c>
      <c r="H1760" t="s">
        <v>552</v>
      </c>
      <c r="I1760" t="str">
        <f>VLOOKUP(Tabla1[[#This Row],[Code]],'[1]Articulos Precio'!$A:$E,5,FALSE)</f>
        <v>A0000103</v>
      </c>
    </row>
    <row r="1761" spans="1:9" x14ac:dyDescent="0.25">
      <c r="A1761" t="s">
        <v>551</v>
      </c>
      <c r="B1761" t="str">
        <f>VLOOKUP(Tabla1[[#This Row],[Code]],[1]!Tabla4[#Data],2,FALSE)</f>
        <v>M2 Metamark M7 130 Amarillo Limón 0,61 x 50m</v>
      </c>
      <c r="C1761">
        <v>23</v>
      </c>
      <c r="D1761" t="s">
        <v>90</v>
      </c>
      <c r="E1761" t="str">
        <f>VLOOKUP(Tabla1[[#This Row],[Cód. Atributo]],[1]!Tabla5[#Data],6,FALSE)</f>
        <v>Select</v>
      </c>
      <c r="F1761">
        <v>3</v>
      </c>
      <c r="G1761">
        <v>2</v>
      </c>
      <c r="H1761" t="s">
        <v>136</v>
      </c>
      <c r="I1761" t="str">
        <f>VLOOKUP(Tabla1[[#This Row],[Code]],'[1]Articulos Precio'!$A:$E,5,FALSE)</f>
        <v>A0000103</v>
      </c>
    </row>
    <row r="1762" spans="1:9" x14ac:dyDescent="0.25">
      <c r="A1762" t="s">
        <v>551</v>
      </c>
      <c r="B1762" t="str">
        <f>VLOOKUP(Tabla1[[#This Row],[Code]],[1]!Tabla4[#Data],2,FALSE)</f>
        <v>M2 Metamark M7 130 Amarillo Limón 0,61 x 50m</v>
      </c>
      <c r="C1762">
        <v>28</v>
      </c>
      <c r="D1762" t="s">
        <v>92</v>
      </c>
      <c r="E1762" t="str">
        <f>VLOOKUP(Tabla1[[#This Row],[Cód. Atributo]],[1]!Tabla5[#Data],6,FALSE)</f>
        <v>Select</v>
      </c>
      <c r="F1762">
        <v>4</v>
      </c>
      <c r="G1762">
        <v>1</v>
      </c>
      <c r="H1762" t="s">
        <v>93</v>
      </c>
      <c r="I1762" t="str">
        <f>VLOOKUP(Tabla1[[#This Row],[Code]],'[1]Articulos Precio'!$A:$E,5,FALSE)</f>
        <v>A0000103</v>
      </c>
    </row>
    <row r="1763" spans="1:9" x14ac:dyDescent="0.25">
      <c r="A1763" t="s">
        <v>551</v>
      </c>
      <c r="B1763" t="str">
        <f>VLOOKUP(Tabla1[[#This Row],[Code]],[1]!Tabla4[#Data],2,FALSE)</f>
        <v>M2 Metamark M7 130 Amarillo Limón 0,61 x 50m</v>
      </c>
      <c r="C1763">
        <v>25</v>
      </c>
      <c r="D1763" t="s">
        <v>94</v>
      </c>
      <c r="E1763" t="str">
        <f>VLOOKUP(Tabla1[[#This Row],[Cód. Atributo]],[1]!Tabla5[#Data],6,FALSE)</f>
        <v>Select</v>
      </c>
      <c r="F1763">
        <v>5</v>
      </c>
      <c r="G1763">
        <v>4</v>
      </c>
      <c r="H1763" t="s">
        <v>137</v>
      </c>
      <c r="I1763" t="str">
        <f>VLOOKUP(Tabla1[[#This Row],[Code]],'[1]Articulos Precio'!$A:$E,5,FALSE)</f>
        <v>A0000103</v>
      </c>
    </row>
    <row r="1764" spans="1:9" x14ac:dyDescent="0.25">
      <c r="A1764" t="s">
        <v>551</v>
      </c>
      <c r="B1764" t="str">
        <f>VLOOKUP(Tabla1[[#This Row],[Code]],[1]!Tabla4[#Data],2,FALSE)</f>
        <v>M2 Metamark M7 130 Amarillo Limón 0,61 x 50m</v>
      </c>
      <c r="C1764">
        <v>24</v>
      </c>
      <c r="D1764" t="s">
        <v>96</v>
      </c>
      <c r="E1764" t="str">
        <f>VLOOKUP(Tabla1[[#This Row],[Cód. Atributo]],[1]!Tabla5[#Data],6,FALSE)</f>
        <v>Select</v>
      </c>
      <c r="F1764">
        <v>6</v>
      </c>
      <c r="G1764">
        <v>2</v>
      </c>
      <c r="H1764" t="s">
        <v>266</v>
      </c>
      <c r="I1764" t="str">
        <f>VLOOKUP(Tabla1[[#This Row],[Code]],'[1]Articulos Precio'!$A:$E,5,FALSE)</f>
        <v>A0000103</v>
      </c>
    </row>
    <row r="1765" spans="1:9" x14ac:dyDescent="0.25">
      <c r="A1765" t="s">
        <v>553</v>
      </c>
      <c r="B1765" t="str">
        <f>VLOOKUP(Tabla1[[#This Row],[Code]],[1]!Tabla4[#Data],2,FALSE)</f>
        <v>M2 Metamark M7 130 Amarillo Limón 1,22 x 50m</v>
      </c>
      <c r="C1765">
        <v>8</v>
      </c>
      <c r="D1765" t="s">
        <v>86</v>
      </c>
      <c r="E1765" t="str">
        <f>VLOOKUP(Tabla1[[#This Row],[Cód. Atributo]],[1]!Tabla5[#Data],6,FALSE)</f>
        <v>Select</v>
      </c>
      <c r="F1765">
        <v>1</v>
      </c>
      <c r="G1765">
        <v>2</v>
      </c>
      <c r="H1765" t="s">
        <v>268</v>
      </c>
      <c r="I1765" t="str">
        <f>VLOOKUP(Tabla1[[#This Row],[Code]],'[1]Articulos Precio'!$A:$E,5,FALSE)</f>
        <v>A0000103</v>
      </c>
    </row>
    <row r="1766" spans="1:9" x14ac:dyDescent="0.25">
      <c r="A1766" t="s">
        <v>553</v>
      </c>
      <c r="B1766" t="str">
        <f>VLOOKUP(Tabla1[[#This Row],[Code]],[1]!Tabla4[#Data],2,FALSE)</f>
        <v>M2 Metamark M7 130 Amarillo Limón 1,22 x 50m</v>
      </c>
      <c r="C1766">
        <v>13</v>
      </c>
      <c r="D1766" t="s">
        <v>491</v>
      </c>
      <c r="E1766" t="str">
        <f>VLOOKUP(Tabla1[[#This Row],[Cód. Atributo]],[1]!Tabla5[#Data],6,FALSE)</f>
        <v>Color</v>
      </c>
      <c r="F1766">
        <v>2</v>
      </c>
      <c r="G1766">
        <v>11</v>
      </c>
      <c r="H1766" t="s">
        <v>552</v>
      </c>
      <c r="I1766" t="str">
        <f>VLOOKUP(Tabla1[[#This Row],[Code]],'[1]Articulos Precio'!$A:$E,5,FALSE)</f>
        <v>A0000103</v>
      </c>
    </row>
    <row r="1767" spans="1:9" x14ac:dyDescent="0.25">
      <c r="A1767" t="s">
        <v>553</v>
      </c>
      <c r="B1767" t="str">
        <f>VLOOKUP(Tabla1[[#This Row],[Code]],[1]!Tabla4[#Data],2,FALSE)</f>
        <v>M2 Metamark M7 130 Amarillo Limón 1,22 x 50m</v>
      </c>
      <c r="C1767">
        <v>23</v>
      </c>
      <c r="D1767" t="s">
        <v>90</v>
      </c>
      <c r="E1767" t="str">
        <f>VLOOKUP(Tabla1[[#This Row],[Cód. Atributo]],[1]!Tabla5[#Data],6,FALSE)</f>
        <v>Select</v>
      </c>
      <c r="F1767">
        <v>3</v>
      </c>
      <c r="G1767">
        <v>2</v>
      </c>
      <c r="H1767" t="s">
        <v>136</v>
      </c>
      <c r="I1767" t="str">
        <f>VLOOKUP(Tabla1[[#This Row],[Code]],'[1]Articulos Precio'!$A:$E,5,FALSE)</f>
        <v>A0000103</v>
      </c>
    </row>
    <row r="1768" spans="1:9" x14ac:dyDescent="0.25">
      <c r="A1768" t="s">
        <v>553</v>
      </c>
      <c r="B1768" t="str">
        <f>VLOOKUP(Tabla1[[#This Row],[Code]],[1]!Tabla4[#Data],2,FALSE)</f>
        <v>M2 Metamark M7 130 Amarillo Limón 1,22 x 50m</v>
      </c>
      <c r="C1768">
        <v>28</v>
      </c>
      <c r="D1768" t="s">
        <v>92</v>
      </c>
      <c r="E1768" t="str">
        <f>VLOOKUP(Tabla1[[#This Row],[Cód. Atributo]],[1]!Tabla5[#Data],6,FALSE)</f>
        <v>Select</v>
      </c>
      <c r="F1768">
        <v>4</v>
      </c>
      <c r="G1768">
        <v>1</v>
      </c>
      <c r="H1768" t="s">
        <v>93</v>
      </c>
      <c r="I1768" t="str">
        <f>VLOOKUP(Tabla1[[#This Row],[Code]],'[1]Articulos Precio'!$A:$E,5,FALSE)</f>
        <v>A0000103</v>
      </c>
    </row>
    <row r="1769" spans="1:9" x14ac:dyDescent="0.25">
      <c r="A1769" t="s">
        <v>553</v>
      </c>
      <c r="B1769" t="str">
        <f>VLOOKUP(Tabla1[[#This Row],[Code]],[1]!Tabla4[#Data],2,FALSE)</f>
        <v>M2 Metamark M7 130 Amarillo Limón 1,22 x 50m</v>
      </c>
      <c r="C1769">
        <v>25</v>
      </c>
      <c r="D1769" t="s">
        <v>94</v>
      </c>
      <c r="E1769" t="str">
        <f>VLOOKUP(Tabla1[[#This Row],[Cód. Atributo]],[1]!Tabla5[#Data],6,FALSE)</f>
        <v>Select</v>
      </c>
      <c r="F1769">
        <v>5</v>
      </c>
      <c r="G1769">
        <v>4</v>
      </c>
      <c r="H1769" t="s">
        <v>137</v>
      </c>
      <c r="I1769" t="str">
        <f>VLOOKUP(Tabla1[[#This Row],[Code]],'[1]Articulos Precio'!$A:$E,5,FALSE)</f>
        <v>A0000103</v>
      </c>
    </row>
    <row r="1770" spans="1:9" x14ac:dyDescent="0.25">
      <c r="A1770" t="s">
        <v>553</v>
      </c>
      <c r="B1770" t="str">
        <f>VLOOKUP(Tabla1[[#This Row],[Code]],[1]!Tabla4[#Data],2,FALSE)</f>
        <v>M2 Metamark M7 130 Amarillo Limón 1,22 x 50m</v>
      </c>
      <c r="C1770">
        <v>24</v>
      </c>
      <c r="D1770" t="s">
        <v>96</v>
      </c>
      <c r="E1770" t="str">
        <f>VLOOKUP(Tabla1[[#This Row],[Cód. Atributo]],[1]!Tabla5[#Data],6,FALSE)</f>
        <v>Select</v>
      </c>
      <c r="F1770">
        <v>6</v>
      </c>
      <c r="G1770">
        <v>2</v>
      </c>
      <c r="H1770" t="s">
        <v>266</v>
      </c>
      <c r="I1770" t="str">
        <f>VLOOKUP(Tabla1[[#This Row],[Code]],'[1]Articulos Precio'!$A:$E,5,FALSE)</f>
        <v>A0000103</v>
      </c>
    </row>
    <row r="1771" spans="1:9" x14ac:dyDescent="0.25">
      <c r="A1771" t="s">
        <v>554</v>
      </c>
      <c r="B1771" t="str">
        <f>VLOOKUP(Tabla1[[#This Row],[Code]],[1]!Tabla4[#Data],2,FALSE)</f>
        <v>M2 Metamark M7 131 Amarillo Girasol 0,61 x 50m</v>
      </c>
      <c r="C1771">
        <v>8</v>
      </c>
      <c r="D1771" t="s">
        <v>86</v>
      </c>
      <c r="E1771" t="str">
        <f>VLOOKUP(Tabla1[[#This Row],[Cód. Atributo]],[1]!Tabla5[#Data],6,FALSE)</f>
        <v>Select</v>
      </c>
      <c r="F1771">
        <v>1</v>
      </c>
      <c r="G1771">
        <v>1</v>
      </c>
      <c r="H1771" t="s">
        <v>263</v>
      </c>
      <c r="I1771" t="str">
        <f>VLOOKUP(Tabla1[[#This Row],[Code]],'[1]Articulos Precio'!$A:$E,5,FALSE)</f>
        <v>A0000103</v>
      </c>
    </row>
    <row r="1772" spans="1:9" x14ac:dyDescent="0.25">
      <c r="A1772" t="s">
        <v>554</v>
      </c>
      <c r="B1772" t="str">
        <f>VLOOKUP(Tabla1[[#This Row],[Code]],[1]!Tabla4[#Data],2,FALSE)</f>
        <v>M2 Metamark M7 131 Amarillo Girasol 0,61 x 50m</v>
      </c>
      <c r="C1772">
        <v>13</v>
      </c>
      <c r="D1772" t="s">
        <v>491</v>
      </c>
      <c r="E1772" t="str">
        <f>VLOOKUP(Tabla1[[#This Row],[Cód. Atributo]],[1]!Tabla5[#Data],6,FALSE)</f>
        <v>Color</v>
      </c>
      <c r="F1772">
        <v>2</v>
      </c>
      <c r="G1772">
        <v>12</v>
      </c>
      <c r="H1772" t="s">
        <v>555</v>
      </c>
      <c r="I1772" t="str">
        <f>VLOOKUP(Tabla1[[#This Row],[Code]],'[1]Articulos Precio'!$A:$E,5,FALSE)</f>
        <v>A0000103</v>
      </c>
    </row>
    <row r="1773" spans="1:9" x14ac:dyDescent="0.25">
      <c r="A1773" t="s">
        <v>554</v>
      </c>
      <c r="B1773" t="str">
        <f>VLOOKUP(Tabla1[[#This Row],[Code]],[1]!Tabla4[#Data],2,FALSE)</f>
        <v>M2 Metamark M7 131 Amarillo Girasol 0,61 x 50m</v>
      </c>
      <c r="C1773">
        <v>23</v>
      </c>
      <c r="D1773" t="s">
        <v>90</v>
      </c>
      <c r="E1773" t="str">
        <f>VLOOKUP(Tabla1[[#This Row],[Cód. Atributo]],[1]!Tabla5[#Data],6,FALSE)</f>
        <v>Select</v>
      </c>
      <c r="F1773">
        <v>3</v>
      </c>
      <c r="G1773">
        <v>2</v>
      </c>
      <c r="H1773" t="s">
        <v>136</v>
      </c>
      <c r="I1773" t="str">
        <f>VLOOKUP(Tabla1[[#This Row],[Code]],'[1]Articulos Precio'!$A:$E,5,FALSE)</f>
        <v>A0000103</v>
      </c>
    </row>
    <row r="1774" spans="1:9" x14ac:dyDescent="0.25">
      <c r="A1774" t="s">
        <v>554</v>
      </c>
      <c r="B1774" t="str">
        <f>VLOOKUP(Tabla1[[#This Row],[Code]],[1]!Tabla4[#Data],2,FALSE)</f>
        <v>M2 Metamark M7 131 Amarillo Girasol 0,61 x 50m</v>
      </c>
      <c r="C1774">
        <v>28</v>
      </c>
      <c r="D1774" t="s">
        <v>92</v>
      </c>
      <c r="E1774" t="str">
        <f>VLOOKUP(Tabla1[[#This Row],[Cód. Atributo]],[1]!Tabla5[#Data],6,FALSE)</f>
        <v>Select</v>
      </c>
      <c r="F1774">
        <v>4</v>
      </c>
      <c r="G1774">
        <v>1</v>
      </c>
      <c r="H1774" t="s">
        <v>93</v>
      </c>
      <c r="I1774" t="str">
        <f>VLOOKUP(Tabla1[[#This Row],[Code]],'[1]Articulos Precio'!$A:$E,5,FALSE)</f>
        <v>A0000103</v>
      </c>
    </row>
    <row r="1775" spans="1:9" x14ac:dyDescent="0.25">
      <c r="A1775" t="s">
        <v>554</v>
      </c>
      <c r="B1775" t="str">
        <f>VLOOKUP(Tabla1[[#This Row],[Code]],[1]!Tabla4[#Data],2,FALSE)</f>
        <v>M2 Metamark M7 131 Amarillo Girasol 0,61 x 50m</v>
      </c>
      <c r="C1775">
        <v>25</v>
      </c>
      <c r="D1775" t="s">
        <v>94</v>
      </c>
      <c r="E1775" t="str">
        <f>VLOOKUP(Tabla1[[#This Row],[Cód. Atributo]],[1]!Tabla5[#Data],6,FALSE)</f>
        <v>Select</v>
      </c>
      <c r="F1775">
        <v>5</v>
      </c>
      <c r="G1775">
        <v>4</v>
      </c>
      <c r="H1775" t="s">
        <v>137</v>
      </c>
      <c r="I1775" t="str">
        <f>VLOOKUP(Tabla1[[#This Row],[Code]],'[1]Articulos Precio'!$A:$E,5,FALSE)</f>
        <v>A0000103</v>
      </c>
    </row>
    <row r="1776" spans="1:9" x14ac:dyDescent="0.25">
      <c r="A1776" t="s">
        <v>554</v>
      </c>
      <c r="B1776" t="str">
        <f>VLOOKUP(Tabla1[[#This Row],[Code]],[1]!Tabla4[#Data],2,FALSE)</f>
        <v>M2 Metamark M7 131 Amarillo Girasol 0,61 x 50m</v>
      </c>
      <c r="C1776">
        <v>24</v>
      </c>
      <c r="D1776" t="s">
        <v>96</v>
      </c>
      <c r="E1776" t="str">
        <f>VLOOKUP(Tabla1[[#This Row],[Cód. Atributo]],[1]!Tabla5[#Data],6,FALSE)</f>
        <v>Select</v>
      </c>
      <c r="F1776">
        <v>6</v>
      </c>
      <c r="G1776">
        <v>2</v>
      </c>
      <c r="H1776" t="s">
        <v>266</v>
      </c>
      <c r="I1776" t="str">
        <f>VLOOKUP(Tabla1[[#This Row],[Code]],'[1]Articulos Precio'!$A:$E,5,FALSE)</f>
        <v>A0000103</v>
      </c>
    </row>
    <row r="1777" spans="1:9" x14ac:dyDescent="0.25">
      <c r="A1777" t="s">
        <v>556</v>
      </c>
      <c r="B1777" t="str">
        <f>VLOOKUP(Tabla1[[#This Row],[Code]],[1]!Tabla4[#Data],2,FALSE)</f>
        <v>M2 Metamark M7 131 Amarillo Girasol 1,22 x 50m</v>
      </c>
      <c r="C1777">
        <v>8</v>
      </c>
      <c r="D1777" t="s">
        <v>86</v>
      </c>
      <c r="E1777" t="str">
        <f>VLOOKUP(Tabla1[[#This Row],[Cód. Atributo]],[1]!Tabla5[#Data],6,FALSE)</f>
        <v>Select</v>
      </c>
      <c r="F1777">
        <v>1</v>
      </c>
      <c r="G1777">
        <v>2</v>
      </c>
      <c r="H1777" t="s">
        <v>268</v>
      </c>
      <c r="I1777" t="str">
        <f>VLOOKUP(Tabla1[[#This Row],[Code]],'[1]Articulos Precio'!$A:$E,5,FALSE)</f>
        <v>A0000103</v>
      </c>
    </row>
    <row r="1778" spans="1:9" x14ac:dyDescent="0.25">
      <c r="A1778" t="s">
        <v>556</v>
      </c>
      <c r="B1778" t="str">
        <f>VLOOKUP(Tabla1[[#This Row],[Code]],[1]!Tabla4[#Data],2,FALSE)</f>
        <v>M2 Metamark M7 131 Amarillo Girasol 1,22 x 50m</v>
      </c>
      <c r="C1778">
        <v>13</v>
      </c>
      <c r="D1778" t="s">
        <v>491</v>
      </c>
      <c r="E1778" t="str">
        <f>VLOOKUP(Tabla1[[#This Row],[Cód. Atributo]],[1]!Tabla5[#Data],6,FALSE)</f>
        <v>Color</v>
      </c>
      <c r="F1778">
        <v>2</v>
      </c>
      <c r="G1778">
        <v>12</v>
      </c>
      <c r="H1778" t="s">
        <v>555</v>
      </c>
      <c r="I1778" t="str">
        <f>VLOOKUP(Tabla1[[#This Row],[Code]],'[1]Articulos Precio'!$A:$E,5,FALSE)</f>
        <v>A0000103</v>
      </c>
    </row>
    <row r="1779" spans="1:9" x14ac:dyDescent="0.25">
      <c r="A1779" t="s">
        <v>556</v>
      </c>
      <c r="B1779" t="str">
        <f>VLOOKUP(Tabla1[[#This Row],[Code]],[1]!Tabla4[#Data],2,FALSE)</f>
        <v>M2 Metamark M7 131 Amarillo Girasol 1,22 x 50m</v>
      </c>
      <c r="C1779">
        <v>23</v>
      </c>
      <c r="D1779" t="s">
        <v>90</v>
      </c>
      <c r="E1779" t="str">
        <f>VLOOKUP(Tabla1[[#This Row],[Cód. Atributo]],[1]!Tabla5[#Data],6,FALSE)</f>
        <v>Select</v>
      </c>
      <c r="F1779">
        <v>3</v>
      </c>
      <c r="G1779">
        <v>2</v>
      </c>
      <c r="H1779" t="s">
        <v>136</v>
      </c>
      <c r="I1779" t="str">
        <f>VLOOKUP(Tabla1[[#This Row],[Code]],'[1]Articulos Precio'!$A:$E,5,FALSE)</f>
        <v>A0000103</v>
      </c>
    </row>
    <row r="1780" spans="1:9" x14ac:dyDescent="0.25">
      <c r="A1780" t="s">
        <v>556</v>
      </c>
      <c r="B1780" t="str">
        <f>VLOOKUP(Tabla1[[#This Row],[Code]],[1]!Tabla4[#Data],2,FALSE)</f>
        <v>M2 Metamark M7 131 Amarillo Girasol 1,22 x 50m</v>
      </c>
      <c r="C1780">
        <v>28</v>
      </c>
      <c r="D1780" t="s">
        <v>92</v>
      </c>
      <c r="E1780" t="str">
        <f>VLOOKUP(Tabla1[[#This Row],[Cód. Atributo]],[1]!Tabla5[#Data],6,FALSE)</f>
        <v>Select</v>
      </c>
      <c r="F1780">
        <v>4</v>
      </c>
      <c r="G1780">
        <v>1</v>
      </c>
      <c r="H1780" t="s">
        <v>93</v>
      </c>
      <c r="I1780" t="str">
        <f>VLOOKUP(Tabla1[[#This Row],[Code]],'[1]Articulos Precio'!$A:$E,5,FALSE)</f>
        <v>A0000103</v>
      </c>
    </row>
    <row r="1781" spans="1:9" x14ac:dyDescent="0.25">
      <c r="A1781" t="s">
        <v>556</v>
      </c>
      <c r="B1781" t="str">
        <f>VLOOKUP(Tabla1[[#This Row],[Code]],[1]!Tabla4[#Data],2,FALSE)</f>
        <v>M2 Metamark M7 131 Amarillo Girasol 1,22 x 50m</v>
      </c>
      <c r="C1781">
        <v>25</v>
      </c>
      <c r="D1781" t="s">
        <v>94</v>
      </c>
      <c r="E1781" t="str">
        <f>VLOOKUP(Tabla1[[#This Row],[Cód. Atributo]],[1]!Tabla5[#Data],6,FALSE)</f>
        <v>Select</v>
      </c>
      <c r="F1781">
        <v>5</v>
      </c>
      <c r="G1781">
        <v>4</v>
      </c>
      <c r="H1781" t="s">
        <v>137</v>
      </c>
      <c r="I1781" t="str">
        <f>VLOOKUP(Tabla1[[#This Row],[Code]],'[1]Articulos Precio'!$A:$E,5,FALSE)</f>
        <v>A0000103</v>
      </c>
    </row>
    <row r="1782" spans="1:9" x14ac:dyDescent="0.25">
      <c r="A1782" t="s">
        <v>556</v>
      </c>
      <c r="B1782" t="str">
        <f>VLOOKUP(Tabla1[[#This Row],[Code]],[1]!Tabla4[#Data],2,FALSE)</f>
        <v>M2 Metamark M7 131 Amarillo Girasol 1,22 x 50m</v>
      </c>
      <c r="C1782">
        <v>24</v>
      </c>
      <c r="D1782" t="s">
        <v>96</v>
      </c>
      <c r="E1782" t="str">
        <f>VLOOKUP(Tabla1[[#This Row],[Cód. Atributo]],[1]!Tabla5[#Data],6,FALSE)</f>
        <v>Select</v>
      </c>
      <c r="F1782">
        <v>6</v>
      </c>
      <c r="G1782">
        <v>2</v>
      </c>
      <c r="H1782" t="s">
        <v>266</v>
      </c>
      <c r="I1782" t="str">
        <f>VLOOKUP(Tabla1[[#This Row],[Code]],'[1]Articulos Precio'!$A:$E,5,FALSE)</f>
        <v>A0000103</v>
      </c>
    </row>
    <row r="1783" spans="1:9" x14ac:dyDescent="0.25">
      <c r="A1783" t="s">
        <v>557</v>
      </c>
      <c r="B1783" t="str">
        <f>VLOOKUP(Tabla1[[#This Row],[Code]],[1]!Tabla4[#Data],2,FALSE)</f>
        <v>M2 Metamark M7 132 Amarillo Medio 0,61 x 50m</v>
      </c>
      <c r="C1783">
        <v>8</v>
      </c>
      <c r="D1783" t="s">
        <v>86</v>
      </c>
      <c r="E1783" t="str">
        <f>VLOOKUP(Tabla1[[#This Row],[Cód. Atributo]],[1]!Tabla5[#Data],6,FALSE)</f>
        <v>Select</v>
      </c>
      <c r="F1783">
        <v>1</v>
      </c>
      <c r="G1783">
        <v>1</v>
      </c>
      <c r="H1783" t="s">
        <v>263</v>
      </c>
      <c r="I1783" t="str">
        <f>VLOOKUP(Tabla1[[#This Row],[Code]],'[1]Articulos Precio'!$A:$E,5,FALSE)</f>
        <v>A0000103</v>
      </c>
    </row>
    <row r="1784" spans="1:9" x14ac:dyDescent="0.25">
      <c r="A1784" t="s">
        <v>557</v>
      </c>
      <c r="B1784" t="str">
        <f>VLOOKUP(Tabla1[[#This Row],[Code]],[1]!Tabla4[#Data],2,FALSE)</f>
        <v>M2 Metamark M7 132 Amarillo Medio 0,61 x 50m</v>
      </c>
      <c r="C1784">
        <v>13</v>
      </c>
      <c r="D1784" t="s">
        <v>491</v>
      </c>
      <c r="E1784" t="str">
        <f>VLOOKUP(Tabla1[[#This Row],[Cód. Atributo]],[1]!Tabla5[#Data],6,FALSE)</f>
        <v>Color</v>
      </c>
      <c r="F1784">
        <v>2</v>
      </c>
      <c r="G1784">
        <v>13</v>
      </c>
      <c r="H1784" t="s">
        <v>558</v>
      </c>
      <c r="I1784" t="str">
        <f>VLOOKUP(Tabla1[[#This Row],[Code]],'[1]Articulos Precio'!$A:$E,5,FALSE)</f>
        <v>A0000103</v>
      </c>
    </row>
    <row r="1785" spans="1:9" x14ac:dyDescent="0.25">
      <c r="A1785" t="s">
        <v>557</v>
      </c>
      <c r="B1785" t="str">
        <f>VLOOKUP(Tabla1[[#This Row],[Code]],[1]!Tabla4[#Data],2,FALSE)</f>
        <v>M2 Metamark M7 132 Amarillo Medio 0,61 x 50m</v>
      </c>
      <c r="C1785">
        <v>23</v>
      </c>
      <c r="D1785" t="s">
        <v>90</v>
      </c>
      <c r="E1785" t="str">
        <f>VLOOKUP(Tabla1[[#This Row],[Cód. Atributo]],[1]!Tabla5[#Data],6,FALSE)</f>
        <v>Select</v>
      </c>
      <c r="F1785">
        <v>3</v>
      </c>
      <c r="G1785">
        <v>2</v>
      </c>
      <c r="H1785" t="s">
        <v>136</v>
      </c>
      <c r="I1785" t="str">
        <f>VLOOKUP(Tabla1[[#This Row],[Code]],'[1]Articulos Precio'!$A:$E,5,FALSE)</f>
        <v>A0000103</v>
      </c>
    </row>
    <row r="1786" spans="1:9" x14ac:dyDescent="0.25">
      <c r="A1786" t="s">
        <v>557</v>
      </c>
      <c r="B1786" t="str">
        <f>VLOOKUP(Tabla1[[#This Row],[Code]],[1]!Tabla4[#Data],2,FALSE)</f>
        <v>M2 Metamark M7 132 Amarillo Medio 0,61 x 50m</v>
      </c>
      <c r="C1786">
        <v>28</v>
      </c>
      <c r="D1786" t="s">
        <v>92</v>
      </c>
      <c r="E1786" t="str">
        <f>VLOOKUP(Tabla1[[#This Row],[Cód. Atributo]],[1]!Tabla5[#Data],6,FALSE)</f>
        <v>Select</v>
      </c>
      <c r="F1786">
        <v>4</v>
      </c>
      <c r="G1786">
        <v>1</v>
      </c>
      <c r="H1786" t="s">
        <v>93</v>
      </c>
      <c r="I1786" t="str">
        <f>VLOOKUP(Tabla1[[#This Row],[Code]],'[1]Articulos Precio'!$A:$E,5,FALSE)</f>
        <v>A0000103</v>
      </c>
    </row>
    <row r="1787" spans="1:9" x14ac:dyDescent="0.25">
      <c r="A1787" t="s">
        <v>557</v>
      </c>
      <c r="B1787" t="str">
        <f>VLOOKUP(Tabla1[[#This Row],[Code]],[1]!Tabla4[#Data],2,FALSE)</f>
        <v>M2 Metamark M7 132 Amarillo Medio 0,61 x 50m</v>
      </c>
      <c r="C1787">
        <v>25</v>
      </c>
      <c r="D1787" t="s">
        <v>94</v>
      </c>
      <c r="E1787" t="str">
        <f>VLOOKUP(Tabla1[[#This Row],[Cód. Atributo]],[1]!Tabla5[#Data],6,FALSE)</f>
        <v>Select</v>
      </c>
      <c r="F1787">
        <v>5</v>
      </c>
      <c r="G1787">
        <v>4</v>
      </c>
      <c r="H1787" t="s">
        <v>137</v>
      </c>
      <c r="I1787" t="str">
        <f>VLOOKUP(Tabla1[[#This Row],[Code]],'[1]Articulos Precio'!$A:$E,5,FALSE)</f>
        <v>A0000103</v>
      </c>
    </row>
    <row r="1788" spans="1:9" x14ac:dyDescent="0.25">
      <c r="A1788" t="s">
        <v>557</v>
      </c>
      <c r="B1788" t="str">
        <f>VLOOKUP(Tabla1[[#This Row],[Code]],[1]!Tabla4[#Data],2,FALSE)</f>
        <v>M2 Metamark M7 132 Amarillo Medio 0,61 x 50m</v>
      </c>
      <c r="C1788">
        <v>24</v>
      </c>
      <c r="D1788" t="s">
        <v>96</v>
      </c>
      <c r="E1788" t="str">
        <f>VLOOKUP(Tabla1[[#This Row],[Cód. Atributo]],[1]!Tabla5[#Data],6,FALSE)</f>
        <v>Select</v>
      </c>
      <c r="F1788">
        <v>6</v>
      </c>
      <c r="G1788">
        <v>2</v>
      </c>
      <c r="H1788" t="s">
        <v>266</v>
      </c>
      <c r="I1788" t="str">
        <f>VLOOKUP(Tabla1[[#This Row],[Code]],'[1]Articulos Precio'!$A:$E,5,FALSE)</f>
        <v>A0000103</v>
      </c>
    </row>
    <row r="1789" spans="1:9" x14ac:dyDescent="0.25">
      <c r="A1789" t="s">
        <v>559</v>
      </c>
      <c r="B1789" t="str">
        <f>VLOOKUP(Tabla1[[#This Row],[Code]],[1]!Tabla4[#Data],2,FALSE)</f>
        <v>M2 Metamark M7 132 Amarillo Medio 1,22 x 50m</v>
      </c>
      <c r="C1789">
        <v>8</v>
      </c>
      <c r="D1789" t="s">
        <v>86</v>
      </c>
      <c r="E1789" t="str">
        <f>VLOOKUP(Tabla1[[#This Row],[Cód. Atributo]],[1]!Tabla5[#Data],6,FALSE)</f>
        <v>Select</v>
      </c>
      <c r="F1789">
        <v>1</v>
      </c>
      <c r="G1789">
        <v>2</v>
      </c>
      <c r="H1789" t="s">
        <v>268</v>
      </c>
      <c r="I1789" t="str">
        <f>VLOOKUP(Tabla1[[#This Row],[Code]],'[1]Articulos Precio'!$A:$E,5,FALSE)</f>
        <v>A0000103</v>
      </c>
    </row>
    <row r="1790" spans="1:9" x14ac:dyDescent="0.25">
      <c r="A1790" t="s">
        <v>559</v>
      </c>
      <c r="B1790" t="str">
        <f>VLOOKUP(Tabla1[[#This Row],[Code]],[1]!Tabla4[#Data],2,FALSE)</f>
        <v>M2 Metamark M7 132 Amarillo Medio 1,22 x 50m</v>
      </c>
      <c r="C1790">
        <v>13</v>
      </c>
      <c r="D1790" t="s">
        <v>491</v>
      </c>
      <c r="E1790" t="str">
        <f>VLOOKUP(Tabla1[[#This Row],[Cód. Atributo]],[1]!Tabla5[#Data],6,FALSE)</f>
        <v>Color</v>
      </c>
      <c r="F1790">
        <v>2</v>
      </c>
      <c r="G1790">
        <v>13</v>
      </c>
      <c r="H1790" t="s">
        <v>558</v>
      </c>
      <c r="I1790" t="str">
        <f>VLOOKUP(Tabla1[[#This Row],[Code]],'[1]Articulos Precio'!$A:$E,5,FALSE)</f>
        <v>A0000103</v>
      </c>
    </row>
    <row r="1791" spans="1:9" x14ac:dyDescent="0.25">
      <c r="A1791" t="s">
        <v>559</v>
      </c>
      <c r="B1791" t="str">
        <f>VLOOKUP(Tabla1[[#This Row],[Code]],[1]!Tabla4[#Data],2,FALSE)</f>
        <v>M2 Metamark M7 132 Amarillo Medio 1,22 x 50m</v>
      </c>
      <c r="C1791">
        <v>23</v>
      </c>
      <c r="D1791" t="s">
        <v>90</v>
      </c>
      <c r="E1791" t="str">
        <f>VLOOKUP(Tabla1[[#This Row],[Cód. Atributo]],[1]!Tabla5[#Data],6,FALSE)</f>
        <v>Select</v>
      </c>
      <c r="F1791">
        <v>3</v>
      </c>
      <c r="G1791">
        <v>2</v>
      </c>
      <c r="H1791" t="s">
        <v>136</v>
      </c>
      <c r="I1791" t="str">
        <f>VLOOKUP(Tabla1[[#This Row],[Code]],'[1]Articulos Precio'!$A:$E,5,FALSE)</f>
        <v>A0000103</v>
      </c>
    </row>
    <row r="1792" spans="1:9" x14ac:dyDescent="0.25">
      <c r="A1792" t="s">
        <v>559</v>
      </c>
      <c r="B1792" t="str">
        <f>VLOOKUP(Tabla1[[#This Row],[Code]],[1]!Tabla4[#Data],2,FALSE)</f>
        <v>M2 Metamark M7 132 Amarillo Medio 1,22 x 50m</v>
      </c>
      <c r="C1792">
        <v>28</v>
      </c>
      <c r="D1792" t="s">
        <v>92</v>
      </c>
      <c r="E1792" t="str">
        <f>VLOOKUP(Tabla1[[#This Row],[Cód. Atributo]],[1]!Tabla5[#Data],6,FALSE)</f>
        <v>Select</v>
      </c>
      <c r="F1792">
        <v>4</v>
      </c>
      <c r="G1792">
        <v>1</v>
      </c>
      <c r="H1792" t="s">
        <v>93</v>
      </c>
      <c r="I1792" t="str">
        <f>VLOOKUP(Tabla1[[#This Row],[Code]],'[1]Articulos Precio'!$A:$E,5,FALSE)</f>
        <v>A0000103</v>
      </c>
    </row>
    <row r="1793" spans="1:9" x14ac:dyDescent="0.25">
      <c r="A1793" t="s">
        <v>559</v>
      </c>
      <c r="B1793" t="str">
        <f>VLOOKUP(Tabla1[[#This Row],[Code]],[1]!Tabla4[#Data],2,FALSE)</f>
        <v>M2 Metamark M7 132 Amarillo Medio 1,22 x 50m</v>
      </c>
      <c r="C1793">
        <v>25</v>
      </c>
      <c r="D1793" t="s">
        <v>94</v>
      </c>
      <c r="E1793" t="str">
        <f>VLOOKUP(Tabla1[[#This Row],[Cód. Atributo]],[1]!Tabla5[#Data],6,FALSE)</f>
        <v>Select</v>
      </c>
      <c r="F1793">
        <v>5</v>
      </c>
      <c r="G1793">
        <v>4</v>
      </c>
      <c r="H1793" t="s">
        <v>137</v>
      </c>
      <c r="I1793" t="str">
        <f>VLOOKUP(Tabla1[[#This Row],[Code]],'[1]Articulos Precio'!$A:$E,5,FALSE)</f>
        <v>A0000103</v>
      </c>
    </row>
    <row r="1794" spans="1:9" x14ac:dyDescent="0.25">
      <c r="A1794" t="s">
        <v>559</v>
      </c>
      <c r="B1794" t="str">
        <f>VLOOKUP(Tabla1[[#This Row],[Code]],[1]!Tabla4[#Data],2,FALSE)</f>
        <v>M2 Metamark M7 132 Amarillo Medio 1,22 x 50m</v>
      </c>
      <c r="C1794">
        <v>24</v>
      </c>
      <c r="D1794" t="s">
        <v>96</v>
      </c>
      <c r="E1794" t="str">
        <f>VLOOKUP(Tabla1[[#This Row],[Cód. Atributo]],[1]!Tabla5[#Data],6,FALSE)</f>
        <v>Select</v>
      </c>
      <c r="F1794">
        <v>6</v>
      </c>
      <c r="G1794">
        <v>2</v>
      </c>
      <c r="H1794" t="s">
        <v>266</v>
      </c>
      <c r="I1794" t="str">
        <f>VLOOKUP(Tabla1[[#This Row],[Code]],'[1]Articulos Precio'!$A:$E,5,FALSE)</f>
        <v>A0000103</v>
      </c>
    </row>
    <row r="1795" spans="1:9" x14ac:dyDescent="0.25">
      <c r="A1795" t="s">
        <v>560</v>
      </c>
      <c r="B1795" t="str">
        <f>VLOOKUP(Tabla1[[#This Row],[Code]],[1]!Tabla4[#Data],2,FALSE)</f>
        <v>M2 Metamark M7 133 Naranja 0,61 x 50m</v>
      </c>
      <c r="C1795">
        <v>8</v>
      </c>
      <c r="D1795" t="s">
        <v>86</v>
      </c>
      <c r="E1795" t="str">
        <f>VLOOKUP(Tabla1[[#This Row],[Cód. Atributo]],[1]!Tabla5[#Data],6,FALSE)</f>
        <v>Select</v>
      </c>
      <c r="F1795">
        <v>1</v>
      </c>
      <c r="G1795">
        <v>1</v>
      </c>
      <c r="H1795" t="s">
        <v>263</v>
      </c>
      <c r="I1795" t="str">
        <f>VLOOKUP(Tabla1[[#This Row],[Code]],'[1]Articulos Precio'!$A:$E,5,FALSE)</f>
        <v>A0000103</v>
      </c>
    </row>
    <row r="1796" spans="1:9" x14ac:dyDescent="0.25">
      <c r="A1796" t="s">
        <v>560</v>
      </c>
      <c r="B1796" t="str">
        <f>VLOOKUP(Tabla1[[#This Row],[Code]],[1]!Tabla4[#Data],2,FALSE)</f>
        <v>M2 Metamark M7 133 Naranja 0,61 x 50m</v>
      </c>
      <c r="C1796">
        <v>13</v>
      </c>
      <c r="D1796" t="s">
        <v>491</v>
      </c>
      <c r="E1796" t="str">
        <f>VLOOKUP(Tabla1[[#This Row],[Cód. Atributo]],[1]!Tabla5[#Data],6,FALSE)</f>
        <v>Color</v>
      </c>
      <c r="F1796">
        <v>2</v>
      </c>
      <c r="G1796">
        <v>14</v>
      </c>
      <c r="H1796" t="s">
        <v>561</v>
      </c>
      <c r="I1796" t="str">
        <f>VLOOKUP(Tabla1[[#This Row],[Code]],'[1]Articulos Precio'!$A:$E,5,FALSE)</f>
        <v>A0000103</v>
      </c>
    </row>
    <row r="1797" spans="1:9" x14ac:dyDescent="0.25">
      <c r="A1797" t="s">
        <v>560</v>
      </c>
      <c r="B1797" t="str">
        <f>VLOOKUP(Tabla1[[#This Row],[Code]],[1]!Tabla4[#Data],2,FALSE)</f>
        <v>M2 Metamark M7 133 Naranja 0,61 x 50m</v>
      </c>
      <c r="C1797">
        <v>23</v>
      </c>
      <c r="D1797" t="s">
        <v>90</v>
      </c>
      <c r="E1797" t="str">
        <f>VLOOKUP(Tabla1[[#This Row],[Cód. Atributo]],[1]!Tabla5[#Data],6,FALSE)</f>
        <v>Select</v>
      </c>
      <c r="F1797">
        <v>3</v>
      </c>
      <c r="G1797">
        <v>2</v>
      </c>
      <c r="H1797" t="s">
        <v>136</v>
      </c>
      <c r="I1797" t="str">
        <f>VLOOKUP(Tabla1[[#This Row],[Code]],'[1]Articulos Precio'!$A:$E,5,FALSE)</f>
        <v>A0000103</v>
      </c>
    </row>
    <row r="1798" spans="1:9" x14ac:dyDescent="0.25">
      <c r="A1798" t="s">
        <v>560</v>
      </c>
      <c r="B1798" t="str">
        <f>VLOOKUP(Tabla1[[#This Row],[Code]],[1]!Tabla4[#Data],2,FALSE)</f>
        <v>M2 Metamark M7 133 Naranja 0,61 x 50m</v>
      </c>
      <c r="C1798">
        <v>28</v>
      </c>
      <c r="D1798" t="s">
        <v>92</v>
      </c>
      <c r="E1798" t="str">
        <f>VLOOKUP(Tabla1[[#This Row],[Cód. Atributo]],[1]!Tabla5[#Data],6,FALSE)</f>
        <v>Select</v>
      </c>
      <c r="F1798">
        <v>4</v>
      </c>
      <c r="G1798">
        <v>1</v>
      </c>
      <c r="H1798" t="s">
        <v>93</v>
      </c>
      <c r="I1798" t="str">
        <f>VLOOKUP(Tabla1[[#This Row],[Code]],'[1]Articulos Precio'!$A:$E,5,FALSE)</f>
        <v>A0000103</v>
      </c>
    </row>
    <row r="1799" spans="1:9" x14ac:dyDescent="0.25">
      <c r="A1799" t="s">
        <v>560</v>
      </c>
      <c r="B1799" t="str">
        <f>VLOOKUP(Tabla1[[#This Row],[Code]],[1]!Tabla4[#Data],2,FALSE)</f>
        <v>M2 Metamark M7 133 Naranja 0,61 x 50m</v>
      </c>
      <c r="C1799">
        <v>25</v>
      </c>
      <c r="D1799" t="s">
        <v>94</v>
      </c>
      <c r="E1799" t="str">
        <f>VLOOKUP(Tabla1[[#This Row],[Cód. Atributo]],[1]!Tabla5[#Data],6,FALSE)</f>
        <v>Select</v>
      </c>
      <c r="F1799">
        <v>5</v>
      </c>
      <c r="G1799">
        <v>4</v>
      </c>
      <c r="H1799" t="s">
        <v>137</v>
      </c>
      <c r="I1799" t="str">
        <f>VLOOKUP(Tabla1[[#This Row],[Code]],'[1]Articulos Precio'!$A:$E,5,FALSE)</f>
        <v>A0000103</v>
      </c>
    </row>
    <row r="1800" spans="1:9" x14ac:dyDescent="0.25">
      <c r="A1800" t="s">
        <v>560</v>
      </c>
      <c r="B1800" t="str">
        <f>VLOOKUP(Tabla1[[#This Row],[Code]],[1]!Tabla4[#Data],2,FALSE)</f>
        <v>M2 Metamark M7 133 Naranja 0,61 x 50m</v>
      </c>
      <c r="C1800">
        <v>24</v>
      </c>
      <c r="D1800" t="s">
        <v>96</v>
      </c>
      <c r="E1800" t="str">
        <f>VLOOKUP(Tabla1[[#This Row],[Cód. Atributo]],[1]!Tabla5[#Data],6,FALSE)</f>
        <v>Select</v>
      </c>
      <c r="F1800">
        <v>6</v>
      </c>
      <c r="G1800">
        <v>2</v>
      </c>
      <c r="H1800" t="s">
        <v>266</v>
      </c>
      <c r="I1800" t="str">
        <f>VLOOKUP(Tabla1[[#This Row],[Code]],'[1]Articulos Precio'!$A:$E,5,FALSE)</f>
        <v>A0000103</v>
      </c>
    </row>
    <row r="1801" spans="1:9" x14ac:dyDescent="0.25">
      <c r="A1801" t="s">
        <v>562</v>
      </c>
      <c r="B1801" t="str">
        <f>VLOOKUP(Tabla1[[#This Row],[Code]],[1]!Tabla4[#Data],2,FALSE)</f>
        <v>M2 Metamark M7 133 Naranja 1,22 x 50m</v>
      </c>
      <c r="C1801">
        <v>8</v>
      </c>
      <c r="D1801" t="s">
        <v>86</v>
      </c>
      <c r="E1801" t="str">
        <f>VLOOKUP(Tabla1[[#This Row],[Cód. Atributo]],[1]!Tabla5[#Data],6,FALSE)</f>
        <v>Select</v>
      </c>
      <c r="F1801">
        <v>1</v>
      </c>
      <c r="G1801">
        <v>2</v>
      </c>
      <c r="H1801" t="s">
        <v>268</v>
      </c>
      <c r="I1801" t="str">
        <f>VLOOKUP(Tabla1[[#This Row],[Code]],'[1]Articulos Precio'!$A:$E,5,FALSE)</f>
        <v>A0000103</v>
      </c>
    </row>
    <row r="1802" spans="1:9" x14ac:dyDescent="0.25">
      <c r="A1802" t="s">
        <v>562</v>
      </c>
      <c r="B1802" t="str">
        <f>VLOOKUP(Tabla1[[#This Row],[Code]],[1]!Tabla4[#Data],2,FALSE)</f>
        <v>M2 Metamark M7 133 Naranja 1,22 x 50m</v>
      </c>
      <c r="C1802">
        <v>13</v>
      </c>
      <c r="D1802" t="s">
        <v>491</v>
      </c>
      <c r="E1802" t="str">
        <f>VLOOKUP(Tabla1[[#This Row],[Cód. Atributo]],[1]!Tabla5[#Data],6,FALSE)</f>
        <v>Color</v>
      </c>
      <c r="F1802">
        <v>2</v>
      </c>
      <c r="G1802">
        <v>14</v>
      </c>
      <c r="H1802" t="s">
        <v>561</v>
      </c>
      <c r="I1802" t="str">
        <f>VLOOKUP(Tabla1[[#This Row],[Code]],'[1]Articulos Precio'!$A:$E,5,FALSE)</f>
        <v>A0000103</v>
      </c>
    </row>
    <row r="1803" spans="1:9" x14ac:dyDescent="0.25">
      <c r="A1803" t="s">
        <v>562</v>
      </c>
      <c r="B1803" t="str">
        <f>VLOOKUP(Tabla1[[#This Row],[Code]],[1]!Tabla4[#Data],2,FALSE)</f>
        <v>M2 Metamark M7 133 Naranja 1,22 x 50m</v>
      </c>
      <c r="C1803">
        <v>23</v>
      </c>
      <c r="D1803" t="s">
        <v>90</v>
      </c>
      <c r="E1803" t="str">
        <f>VLOOKUP(Tabla1[[#This Row],[Cód. Atributo]],[1]!Tabla5[#Data],6,FALSE)</f>
        <v>Select</v>
      </c>
      <c r="F1803">
        <v>3</v>
      </c>
      <c r="G1803">
        <v>2</v>
      </c>
      <c r="H1803" t="s">
        <v>136</v>
      </c>
      <c r="I1803" t="str">
        <f>VLOOKUP(Tabla1[[#This Row],[Code]],'[1]Articulos Precio'!$A:$E,5,FALSE)</f>
        <v>A0000103</v>
      </c>
    </row>
    <row r="1804" spans="1:9" x14ac:dyDescent="0.25">
      <c r="A1804" t="s">
        <v>562</v>
      </c>
      <c r="B1804" t="str">
        <f>VLOOKUP(Tabla1[[#This Row],[Code]],[1]!Tabla4[#Data],2,FALSE)</f>
        <v>M2 Metamark M7 133 Naranja 1,22 x 50m</v>
      </c>
      <c r="C1804">
        <v>28</v>
      </c>
      <c r="D1804" t="s">
        <v>92</v>
      </c>
      <c r="E1804" t="str">
        <f>VLOOKUP(Tabla1[[#This Row],[Cód. Atributo]],[1]!Tabla5[#Data],6,FALSE)</f>
        <v>Select</v>
      </c>
      <c r="F1804">
        <v>4</v>
      </c>
      <c r="G1804">
        <v>1</v>
      </c>
      <c r="H1804" t="s">
        <v>93</v>
      </c>
      <c r="I1804" t="str">
        <f>VLOOKUP(Tabla1[[#This Row],[Code]],'[1]Articulos Precio'!$A:$E,5,FALSE)</f>
        <v>A0000103</v>
      </c>
    </row>
    <row r="1805" spans="1:9" x14ac:dyDescent="0.25">
      <c r="A1805" t="s">
        <v>562</v>
      </c>
      <c r="B1805" t="str">
        <f>VLOOKUP(Tabla1[[#This Row],[Code]],[1]!Tabla4[#Data],2,FALSE)</f>
        <v>M2 Metamark M7 133 Naranja 1,22 x 50m</v>
      </c>
      <c r="C1805">
        <v>25</v>
      </c>
      <c r="D1805" t="s">
        <v>94</v>
      </c>
      <c r="E1805" t="str">
        <f>VLOOKUP(Tabla1[[#This Row],[Cód. Atributo]],[1]!Tabla5[#Data],6,FALSE)</f>
        <v>Select</v>
      </c>
      <c r="F1805">
        <v>5</v>
      </c>
      <c r="G1805">
        <v>4</v>
      </c>
      <c r="H1805" t="s">
        <v>137</v>
      </c>
      <c r="I1805" t="str">
        <f>VLOOKUP(Tabla1[[#This Row],[Code]],'[1]Articulos Precio'!$A:$E,5,FALSE)</f>
        <v>A0000103</v>
      </c>
    </row>
    <row r="1806" spans="1:9" x14ac:dyDescent="0.25">
      <c r="A1806" t="s">
        <v>562</v>
      </c>
      <c r="B1806" t="str">
        <f>VLOOKUP(Tabla1[[#This Row],[Code]],[1]!Tabla4[#Data],2,FALSE)</f>
        <v>M2 Metamark M7 133 Naranja 1,22 x 50m</v>
      </c>
      <c r="C1806">
        <v>24</v>
      </c>
      <c r="D1806" t="s">
        <v>96</v>
      </c>
      <c r="E1806" t="str">
        <f>VLOOKUP(Tabla1[[#This Row],[Cód. Atributo]],[1]!Tabla5[#Data],6,FALSE)</f>
        <v>Select</v>
      </c>
      <c r="F1806">
        <v>6</v>
      </c>
      <c r="G1806">
        <v>2</v>
      </c>
      <c r="H1806" t="s">
        <v>266</v>
      </c>
      <c r="I1806" t="str">
        <f>VLOOKUP(Tabla1[[#This Row],[Code]],'[1]Articulos Precio'!$A:$E,5,FALSE)</f>
        <v>A0000103</v>
      </c>
    </row>
    <row r="1807" spans="1:9" x14ac:dyDescent="0.25">
      <c r="A1807" t="s">
        <v>563</v>
      </c>
      <c r="B1807" t="str">
        <f>VLOOKUP(Tabla1[[#This Row],[Code]],[1]!Tabla4[#Data],2,FALSE)</f>
        <v>M2 Metamark M7 134 Naranja Mandarina 0,61 x 50m</v>
      </c>
      <c r="C1807">
        <v>8</v>
      </c>
      <c r="D1807" t="s">
        <v>86</v>
      </c>
      <c r="E1807" t="str">
        <f>VLOOKUP(Tabla1[[#This Row],[Cód. Atributo]],[1]!Tabla5[#Data],6,FALSE)</f>
        <v>Select</v>
      </c>
      <c r="F1807">
        <v>1</v>
      </c>
      <c r="G1807">
        <v>1</v>
      </c>
      <c r="H1807" t="s">
        <v>263</v>
      </c>
      <c r="I1807" t="str">
        <f>VLOOKUP(Tabla1[[#This Row],[Code]],'[1]Articulos Precio'!$A:$E,5,FALSE)</f>
        <v>A0000103</v>
      </c>
    </row>
    <row r="1808" spans="1:9" x14ac:dyDescent="0.25">
      <c r="A1808" t="s">
        <v>563</v>
      </c>
      <c r="B1808" t="str">
        <f>VLOOKUP(Tabla1[[#This Row],[Code]],[1]!Tabla4[#Data],2,FALSE)</f>
        <v>M2 Metamark M7 134 Naranja Mandarina 0,61 x 50m</v>
      </c>
      <c r="C1808">
        <v>13</v>
      </c>
      <c r="D1808" t="s">
        <v>491</v>
      </c>
      <c r="E1808" t="str">
        <f>VLOOKUP(Tabla1[[#This Row],[Cód. Atributo]],[1]!Tabla5[#Data],6,FALSE)</f>
        <v>Color</v>
      </c>
      <c r="F1808">
        <v>2</v>
      </c>
      <c r="G1808">
        <v>15</v>
      </c>
      <c r="H1808" t="s">
        <v>564</v>
      </c>
      <c r="I1808" t="str">
        <f>VLOOKUP(Tabla1[[#This Row],[Code]],'[1]Articulos Precio'!$A:$E,5,FALSE)</f>
        <v>A0000103</v>
      </c>
    </row>
    <row r="1809" spans="1:9" x14ac:dyDescent="0.25">
      <c r="A1809" t="s">
        <v>563</v>
      </c>
      <c r="B1809" t="str">
        <f>VLOOKUP(Tabla1[[#This Row],[Code]],[1]!Tabla4[#Data],2,FALSE)</f>
        <v>M2 Metamark M7 134 Naranja Mandarina 0,61 x 50m</v>
      </c>
      <c r="C1809">
        <v>23</v>
      </c>
      <c r="D1809" t="s">
        <v>90</v>
      </c>
      <c r="E1809" t="str">
        <f>VLOOKUP(Tabla1[[#This Row],[Cód. Atributo]],[1]!Tabla5[#Data],6,FALSE)</f>
        <v>Select</v>
      </c>
      <c r="F1809">
        <v>3</v>
      </c>
      <c r="G1809">
        <v>2</v>
      </c>
      <c r="H1809" t="s">
        <v>136</v>
      </c>
      <c r="I1809" t="str">
        <f>VLOOKUP(Tabla1[[#This Row],[Code]],'[1]Articulos Precio'!$A:$E,5,FALSE)</f>
        <v>A0000103</v>
      </c>
    </row>
    <row r="1810" spans="1:9" x14ac:dyDescent="0.25">
      <c r="A1810" t="s">
        <v>563</v>
      </c>
      <c r="B1810" t="str">
        <f>VLOOKUP(Tabla1[[#This Row],[Code]],[1]!Tabla4[#Data],2,FALSE)</f>
        <v>M2 Metamark M7 134 Naranja Mandarina 0,61 x 50m</v>
      </c>
      <c r="C1810">
        <v>28</v>
      </c>
      <c r="D1810" t="s">
        <v>92</v>
      </c>
      <c r="E1810" t="str">
        <f>VLOOKUP(Tabla1[[#This Row],[Cód. Atributo]],[1]!Tabla5[#Data],6,FALSE)</f>
        <v>Select</v>
      </c>
      <c r="F1810">
        <v>4</v>
      </c>
      <c r="G1810">
        <v>1</v>
      </c>
      <c r="H1810" t="s">
        <v>93</v>
      </c>
      <c r="I1810" t="str">
        <f>VLOOKUP(Tabla1[[#This Row],[Code]],'[1]Articulos Precio'!$A:$E,5,FALSE)</f>
        <v>A0000103</v>
      </c>
    </row>
    <row r="1811" spans="1:9" x14ac:dyDescent="0.25">
      <c r="A1811" t="s">
        <v>563</v>
      </c>
      <c r="B1811" t="str">
        <f>VLOOKUP(Tabla1[[#This Row],[Code]],[1]!Tabla4[#Data],2,FALSE)</f>
        <v>M2 Metamark M7 134 Naranja Mandarina 0,61 x 50m</v>
      </c>
      <c r="C1811">
        <v>25</v>
      </c>
      <c r="D1811" t="s">
        <v>94</v>
      </c>
      <c r="E1811" t="str">
        <f>VLOOKUP(Tabla1[[#This Row],[Cód. Atributo]],[1]!Tabla5[#Data],6,FALSE)</f>
        <v>Select</v>
      </c>
      <c r="F1811">
        <v>5</v>
      </c>
      <c r="G1811">
        <v>4</v>
      </c>
      <c r="H1811" t="s">
        <v>137</v>
      </c>
      <c r="I1811" t="str">
        <f>VLOOKUP(Tabla1[[#This Row],[Code]],'[1]Articulos Precio'!$A:$E,5,FALSE)</f>
        <v>A0000103</v>
      </c>
    </row>
    <row r="1812" spans="1:9" x14ac:dyDescent="0.25">
      <c r="A1812" t="s">
        <v>563</v>
      </c>
      <c r="B1812" t="str">
        <f>VLOOKUP(Tabla1[[#This Row],[Code]],[1]!Tabla4[#Data],2,FALSE)</f>
        <v>M2 Metamark M7 134 Naranja Mandarina 0,61 x 50m</v>
      </c>
      <c r="C1812">
        <v>24</v>
      </c>
      <c r="D1812" t="s">
        <v>96</v>
      </c>
      <c r="E1812" t="str">
        <f>VLOOKUP(Tabla1[[#This Row],[Cód. Atributo]],[1]!Tabla5[#Data],6,FALSE)</f>
        <v>Select</v>
      </c>
      <c r="F1812">
        <v>6</v>
      </c>
      <c r="G1812">
        <v>2</v>
      </c>
      <c r="H1812" t="s">
        <v>266</v>
      </c>
      <c r="I1812" t="str">
        <f>VLOOKUP(Tabla1[[#This Row],[Code]],'[1]Articulos Precio'!$A:$E,5,FALSE)</f>
        <v>A0000103</v>
      </c>
    </row>
    <row r="1813" spans="1:9" x14ac:dyDescent="0.25">
      <c r="A1813" t="s">
        <v>565</v>
      </c>
      <c r="B1813" t="str">
        <f>VLOOKUP(Tabla1[[#This Row],[Code]],[1]!Tabla4[#Data],2,FALSE)</f>
        <v>M2 Metamark M7 134 Naranja Mandarina 1,22 x 50m</v>
      </c>
      <c r="C1813">
        <v>8</v>
      </c>
      <c r="D1813" t="s">
        <v>86</v>
      </c>
      <c r="E1813" t="str">
        <f>VLOOKUP(Tabla1[[#This Row],[Cód. Atributo]],[1]!Tabla5[#Data],6,FALSE)</f>
        <v>Select</v>
      </c>
      <c r="F1813">
        <v>1</v>
      </c>
      <c r="G1813">
        <v>2</v>
      </c>
      <c r="H1813" t="s">
        <v>268</v>
      </c>
      <c r="I1813" t="str">
        <f>VLOOKUP(Tabla1[[#This Row],[Code]],'[1]Articulos Precio'!$A:$E,5,FALSE)</f>
        <v>A0000103</v>
      </c>
    </row>
    <row r="1814" spans="1:9" x14ac:dyDescent="0.25">
      <c r="A1814" t="s">
        <v>565</v>
      </c>
      <c r="B1814" t="str">
        <f>VLOOKUP(Tabla1[[#This Row],[Code]],[1]!Tabla4[#Data],2,FALSE)</f>
        <v>M2 Metamark M7 134 Naranja Mandarina 1,22 x 50m</v>
      </c>
      <c r="C1814">
        <v>13</v>
      </c>
      <c r="D1814" t="s">
        <v>491</v>
      </c>
      <c r="E1814" t="str">
        <f>VLOOKUP(Tabla1[[#This Row],[Cód. Atributo]],[1]!Tabla5[#Data],6,FALSE)</f>
        <v>Color</v>
      </c>
      <c r="F1814">
        <v>2</v>
      </c>
      <c r="G1814">
        <v>15</v>
      </c>
      <c r="H1814" t="s">
        <v>564</v>
      </c>
      <c r="I1814" t="str">
        <f>VLOOKUP(Tabla1[[#This Row],[Code]],'[1]Articulos Precio'!$A:$E,5,FALSE)</f>
        <v>A0000103</v>
      </c>
    </row>
    <row r="1815" spans="1:9" x14ac:dyDescent="0.25">
      <c r="A1815" t="s">
        <v>565</v>
      </c>
      <c r="B1815" t="str">
        <f>VLOOKUP(Tabla1[[#This Row],[Code]],[1]!Tabla4[#Data],2,FALSE)</f>
        <v>M2 Metamark M7 134 Naranja Mandarina 1,22 x 50m</v>
      </c>
      <c r="C1815">
        <v>23</v>
      </c>
      <c r="D1815" t="s">
        <v>90</v>
      </c>
      <c r="E1815" t="str">
        <f>VLOOKUP(Tabla1[[#This Row],[Cód. Atributo]],[1]!Tabla5[#Data],6,FALSE)</f>
        <v>Select</v>
      </c>
      <c r="F1815">
        <v>3</v>
      </c>
      <c r="G1815">
        <v>2</v>
      </c>
      <c r="H1815" t="s">
        <v>136</v>
      </c>
      <c r="I1815" t="str">
        <f>VLOOKUP(Tabla1[[#This Row],[Code]],'[1]Articulos Precio'!$A:$E,5,FALSE)</f>
        <v>A0000103</v>
      </c>
    </row>
    <row r="1816" spans="1:9" x14ac:dyDescent="0.25">
      <c r="A1816" t="s">
        <v>565</v>
      </c>
      <c r="B1816" t="str">
        <f>VLOOKUP(Tabla1[[#This Row],[Code]],[1]!Tabla4[#Data],2,FALSE)</f>
        <v>M2 Metamark M7 134 Naranja Mandarina 1,22 x 50m</v>
      </c>
      <c r="C1816">
        <v>28</v>
      </c>
      <c r="D1816" t="s">
        <v>92</v>
      </c>
      <c r="E1816" t="str">
        <f>VLOOKUP(Tabla1[[#This Row],[Cód. Atributo]],[1]!Tabla5[#Data],6,FALSE)</f>
        <v>Select</v>
      </c>
      <c r="F1816">
        <v>4</v>
      </c>
      <c r="G1816">
        <v>1</v>
      </c>
      <c r="H1816" t="s">
        <v>93</v>
      </c>
      <c r="I1816" t="str">
        <f>VLOOKUP(Tabla1[[#This Row],[Code]],'[1]Articulos Precio'!$A:$E,5,FALSE)</f>
        <v>A0000103</v>
      </c>
    </row>
    <row r="1817" spans="1:9" x14ac:dyDescent="0.25">
      <c r="A1817" t="s">
        <v>565</v>
      </c>
      <c r="B1817" t="str">
        <f>VLOOKUP(Tabla1[[#This Row],[Code]],[1]!Tabla4[#Data],2,FALSE)</f>
        <v>M2 Metamark M7 134 Naranja Mandarina 1,22 x 50m</v>
      </c>
      <c r="C1817">
        <v>25</v>
      </c>
      <c r="D1817" t="s">
        <v>94</v>
      </c>
      <c r="E1817" t="str">
        <f>VLOOKUP(Tabla1[[#This Row],[Cód. Atributo]],[1]!Tabla5[#Data],6,FALSE)</f>
        <v>Select</v>
      </c>
      <c r="F1817">
        <v>5</v>
      </c>
      <c r="G1817">
        <v>4</v>
      </c>
      <c r="H1817" t="s">
        <v>137</v>
      </c>
      <c r="I1817" t="str">
        <f>VLOOKUP(Tabla1[[#This Row],[Code]],'[1]Articulos Precio'!$A:$E,5,FALSE)</f>
        <v>A0000103</v>
      </c>
    </row>
    <row r="1818" spans="1:9" x14ac:dyDescent="0.25">
      <c r="A1818" t="s">
        <v>565</v>
      </c>
      <c r="B1818" t="str">
        <f>VLOOKUP(Tabla1[[#This Row],[Code]],[1]!Tabla4[#Data],2,FALSE)</f>
        <v>M2 Metamark M7 134 Naranja Mandarina 1,22 x 50m</v>
      </c>
      <c r="C1818">
        <v>24</v>
      </c>
      <c r="D1818" t="s">
        <v>96</v>
      </c>
      <c r="E1818" t="str">
        <f>VLOOKUP(Tabla1[[#This Row],[Cód. Atributo]],[1]!Tabla5[#Data],6,FALSE)</f>
        <v>Select</v>
      </c>
      <c r="F1818">
        <v>6</v>
      </c>
      <c r="G1818">
        <v>2</v>
      </c>
      <c r="H1818" t="s">
        <v>266</v>
      </c>
      <c r="I1818" t="str">
        <f>VLOOKUP(Tabla1[[#This Row],[Code]],'[1]Articulos Precio'!$A:$E,5,FALSE)</f>
        <v>A0000103</v>
      </c>
    </row>
    <row r="1819" spans="1:9" x14ac:dyDescent="0.25">
      <c r="A1819" t="s">
        <v>566</v>
      </c>
      <c r="B1819" t="str">
        <f>VLOOKUP(Tabla1[[#This Row],[Code]],[1]!Tabla4[#Data],2,FALSE)</f>
        <v>M2 Metamark M7 135 Albaricoque 0,61 x 50m</v>
      </c>
      <c r="C1819">
        <v>8</v>
      </c>
      <c r="D1819" t="s">
        <v>86</v>
      </c>
      <c r="E1819" t="str">
        <f>VLOOKUP(Tabla1[[#This Row],[Cód. Atributo]],[1]!Tabla5[#Data],6,FALSE)</f>
        <v>Select</v>
      </c>
      <c r="F1819">
        <v>1</v>
      </c>
      <c r="G1819">
        <v>1</v>
      </c>
      <c r="H1819" t="s">
        <v>263</v>
      </c>
      <c r="I1819" t="str">
        <f>VLOOKUP(Tabla1[[#This Row],[Code]],'[1]Articulos Precio'!$A:$E,5,FALSE)</f>
        <v>A0000103</v>
      </c>
    </row>
    <row r="1820" spans="1:9" x14ac:dyDescent="0.25">
      <c r="A1820" t="s">
        <v>566</v>
      </c>
      <c r="B1820" t="str">
        <f>VLOOKUP(Tabla1[[#This Row],[Code]],[1]!Tabla4[#Data],2,FALSE)</f>
        <v>M2 Metamark M7 135 Albaricoque 0,61 x 50m</v>
      </c>
      <c r="C1820">
        <v>13</v>
      </c>
      <c r="D1820" t="s">
        <v>491</v>
      </c>
      <c r="E1820" t="str">
        <f>VLOOKUP(Tabla1[[#This Row],[Cód. Atributo]],[1]!Tabla5[#Data],6,FALSE)</f>
        <v>Color</v>
      </c>
      <c r="F1820">
        <v>2</v>
      </c>
      <c r="G1820">
        <v>67</v>
      </c>
      <c r="H1820" t="s">
        <v>567</v>
      </c>
      <c r="I1820" t="str">
        <f>VLOOKUP(Tabla1[[#This Row],[Code]],'[1]Articulos Precio'!$A:$E,5,FALSE)</f>
        <v>A0000103</v>
      </c>
    </row>
    <row r="1821" spans="1:9" x14ac:dyDescent="0.25">
      <c r="A1821" t="s">
        <v>566</v>
      </c>
      <c r="B1821" t="str">
        <f>VLOOKUP(Tabla1[[#This Row],[Code]],[1]!Tabla4[#Data],2,FALSE)</f>
        <v>M2 Metamark M7 135 Albaricoque 0,61 x 50m</v>
      </c>
      <c r="C1821">
        <v>23</v>
      </c>
      <c r="D1821" t="s">
        <v>90</v>
      </c>
      <c r="E1821" t="str">
        <f>VLOOKUP(Tabla1[[#This Row],[Cód. Atributo]],[1]!Tabla5[#Data],6,FALSE)</f>
        <v>Select</v>
      </c>
      <c r="F1821">
        <v>3</v>
      </c>
      <c r="G1821">
        <v>2</v>
      </c>
      <c r="H1821" t="s">
        <v>136</v>
      </c>
      <c r="I1821" t="str">
        <f>VLOOKUP(Tabla1[[#This Row],[Code]],'[1]Articulos Precio'!$A:$E,5,FALSE)</f>
        <v>A0000103</v>
      </c>
    </row>
    <row r="1822" spans="1:9" x14ac:dyDescent="0.25">
      <c r="A1822" t="s">
        <v>566</v>
      </c>
      <c r="B1822" t="str">
        <f>VLOOKUP(Tabla1[[#This Row],[Code]],[1]!Tabla4[#Data],2,FALSE)</f>
        <v>M2 Metamark M7 135 Albaricoque 0,61 x 50m</v>
      </c>
      <c r="C1822">
        <v>28</v>
      </c>
      <c r="D1822" t="s">
        <v>92</v>
      </c>
      <c r="E1822" t="str">
        <f>VLOOKUP(Tabla1[[#This Row],[Cód. Atributo]],[1]!Tabla5[#Data],6,FALSE)</f>
        <v>Select</v>
      </c>
      <c r="F1822">
        <v>4</v>
      </c>
      <c r="G1822">
        <v>1</v>
      </c>
      <c r="H1822" t="s">
        <v>93</v>
      </c>
      <c r="I1822" t="str">
        <f>VLOOKUP(Tabla1[[#This Row],[Code]],'[1]Articulos Precio'!$A:$E,5,FALSE)</f>
        <v>A0000103</v>
      </c>
    </row>
    <row r="1823" spans="1:9" x14ac:dyDescent="0.25">
      <c r="A1823" t="s">
        <v>566</v>
      </c>
      <c r="B1823" t="str">
        <f>VLOOKUP(Tabla1[[#This Row],[Code]],[1]!Tabla4[#Data],2,FALSE)</f>
        <v>M2 Metamark M7 135 Albaricoque 0,61 x 50m</v>
      </c>
      <c r="C1823">
        <v>25</v>
      </c>
      <c r="D1823" t="s">
        <v>94</v>
      </c>
      <c r="E1823" t="str">
        <f>VLOOKUP(Tabla1[[#This Row],[Cód. Atributo]],[1]!Tabla5[#Data],6,FALSE)</f>
        <v>Select</v>
      </c>
      <c r="F1823">
        <v>5</v>
      </c>
      <c r="G1823">
        <v>4</v>
      </c>
      <c r="H1823" t="s">
        <v>137</v>
      </c>
      <c r="I1823" t="str">
        <f>VLOOKUP(Tabla1[[#This Row],[Code]],'[1]Articulos Precio'!$A:$E,5,FALSE)</f>
        <v>A0000103</v>
      </c>
    </row>
    <row r="1824" spans="1:9" x14ac:dyDescent="0.25">
      <c r="A1824" t="s">
        <v>566</v>
      </c>
      <c r="B1824" t="str">
        <f>VLOOKUP(Tabla1[[#This Row],[Code]],[1]!Tabla4[#Data],2,FALSE)</f>
        <v>M2 Metamark M7 135 Albaricoque 0,61 x 50m</v>
      </c>
      <c r="C1824">
        <v>24</v>
      </c>
      <c r="D1824" t="s">
        <v>96</v>
      </c>
      <c r="E1824" t="str">
        <f>VLOOKUP(Tabla1[[#This Row],[Cód. Atributo]],[1]!Tabla5[#Data],6,FALSE)</f>
        <v>Select</v>
      </c>
      <c r="F1824">
        <v>6</v>
      </c>
      <c r="G1824">
        <v>2</v>
      </c>
      <c r="H1824" t="s">
        <v>266</v>
      </c>
      <c r="I1824" t="str">
        <f>VLOOKUP(Tabla1[[#This Row],[Code]],'[1]Articulos Precio'!$A:$E,5,FALSE)</f>
        <v>A0000103</v>
      </c>
    </row>
    <row r="1825" spans="1:9" x14ac:dyDescent="0.25">
      <c r="A1825" t="s">
        <v>568</v>
      </c>
      <c r="B1825" t="str">
        <f>VLOOKUP(Tabla1[[#This Row],[Code]],[1]!Tabla4[#Data],2,FALSE)</f>
        <v>M2 Metamark M7 135 Albaricoque 1,22 x 50m</v>
      </c>
      <c r="C1825">
        <v>8</v>
      </c>
      <c r="D1825" t="s">
        <v>86</v>
      </c>
      <c r="E1825" t="str">
        <f>VLOOKUP(Tabla1[[#This Row],[Cód. Atributo]],[1]!Tabla5[#Data],6,FALSE)</f>
        <v>Select</v>
      </c>
      <c r="F1825">
        <v>1</v>
      </c>
      <c r="G1825">
        <v>2</v>
      </c>
      <c r="H1825" t="s">
        <v>268</v>
      </c>
      <c r="I1825" t="str">
        <f>VLOOKUP(Tabla1[[#This Row],[Code]],'[1]Articulos Precio'!$A:$E,5,FALSE)</f>
        <v>A0000103</v>
      </c>
    </row>
    <row r="1826" spans="1:9" x14ac:dyDescent="0.25">
      <c r="A1826" t="s">
        <v>568</v>
      </c>
      <c r="B1826" t="str">
        <f>VLOOKUP(Tabla1[[#This Row],[Code]],[1]!Tabla4[#Data],2,FALSE)</f>
        <v>M2 Metamark M7 135 Albaricoque 1,22 x 50m</v>
      </c>
      <c r="C1826">
        <v>13</v>
      </c>
      <c r="D1826" t="s">
        <v>491</v>
      </c>
      <c r="E1826" t="str">
        <f>VLOOKUP(Tabla1[[#This Row],[Cód. Atributo]],[1]!Tabla5[#Data],6,FALSE)</f>
        <v>Color</v>
      </c>
      <c r="F1826">
        <v>2</v>
      </c>
      <c r="G1826">
        <v>67</v>
      </c>
      <c r="H1826" t="s">
        <v>567</v>
      </c>
      <c r="I1826" t="str">
        <f>VLOOKUP(Tabla1[[#This Row],[Code]],'[1]Articulos Precio'!$A:$E,5,FALSE)</f>
        <v>A0000103</v>
      </c>
    </row>
    <row r="1827" spans="1:9" x14ac:dyDescent="0.25">
      <c r="A1827" t="s">
        <v>568</v>
      </c>
      <c r="B1827" t="str">
        <f>VLOOKUP(Tabla1[[#This Row],[Code]],[1]!Tabla4[#Data],2,FALSE)</f>
        <v>M2 Metamark M7 135 Albaricoque 1,22 x 50m</v>
      </c>
      <c r="C1827">
        <v>23</v>
      </c>
      <c r="D1827" t="s">
        <v>90</v>
      </c>
      <c r="E1827" t="str">
        <f>VLOOKUP(Tabla1[[#This Row],[Cód. Atributo]],[1]!Tabla5[#Data],6,FALSE)</f>
        <v>Select</v>
      </c>
      <c r="F1827">
        <v>3</v>
      </c>
      <c r="G1827">
        <v>2</v>
      </c>
      <c r="H1827" t="s">
        <v>136</v>
      </c>
      <c r="I1827" t="str">
        <f>VLOOKUP(Tabla1[[#This Row],[Code]],'[1]Articulos Precio'!$A:$E,5,FALSE)</f>
        <v>A0000103</v>
      </c>
    </row>
    <row r="1828" spans="1:9" x14ac:dyDescent="0.25">
      <c r="A1828" t="s">
        <v>568</v>
      </c>
      <c r="B1828" t="str">
        <f>VLOOKUP(Tabla1[[#This Row],[Code]],[1]!Tabla4[#Data],2,FALSE)</f>
        <v>M2 Metamark M7 135 Albaricoque 1,22 x 50m</v>
      </c>
      <c r="C1828">
        <v>28</v>
      </c>
      <c r="D1828" t="s">
        <v>92</v>
      </c>
      <c r="E1828" t="str">
        <f>VLOOKUP(Tabla1[[#This Row],[Cód. Atributo]],[1]!Tabla5[#Data],6,FALSE)</f>
        <v>Select</v>
      </c>
      <c r="F1828">
        <v>4</v>
      </c>
      <c r="G1828">
        <v>1</v>
      </c>
      <c r="H1828" t="s">
        <v>93</v>
      </c>
      <c r="I1828" t="str">
        <f>VLOOKUP(Tabla1[[#This Row],[Code]],'[1]Articulos Precio'!$A:$E,5,FALSE)</f>
        <v>A0000103</v>
      </c>
    </row>
    <row r="1829" spans="1:9" x14ac:dyDescent="0.25">
      <c r="A1829" t="s">
        <v>568</v>
      </c>
      <c r="B1829" t="str">
        <f>VLOOKUP(Tabla1[[#This Row],[Code]],[1]!Tabla4[#Data],2,FALSE)</f>
        <v>M2 Metamark M7 135 Albaricoque 1,22 x 50m</v>
      </c>
      <c r="C1829">
        <v>25</v>
      </c>
      <c r="D1829" t="s">
        <v>94</v>
      </c>
      <c r="E1829" t="str">
        <f>VLOOKUP(Tabla1[[#This Row],[Cód. Atributo]],[1]!Tabla5[#Data],6,FALSE)</f>
        <v>Select</v>
      </c>
      <c r="F1829">
        <v>5</v>
      </c>
      <c r="G1829">
        <v>4</v>
      </c>
      <c r="H1829" t="s">
        <v>137</v>
      </c>
      <c r="I1829" t="str">
        <f>VLOOKUP(Tabla1[[#This Row],[Code]],'[1]Articulos Precio'!$A:$E,5,FALSE)</f>
        <v>A0000103</v>
      </c>
    </row>
    <row r="1830" spans="1:9" x14ac:dyDescent="0.25">
      <c r="A1830" t="s">
        <v>568</v>
      </c>
      <c r="B1830" t="str">
        <f>VLOOKUP(Tabla1[[#This Row],[Code]],[1]!Tabla4[#Data],2,FALSE)</f>
        <v>M2 Metamark M7 135 Albaricoque 1,22 x 50m</v>
      </c>
      <c r="C1830">
        <v>24</v>
      </c>
      <c r="D1830" t="s">
        <v>96</v>
      </c>
      <c r="E1830" t="str">
        <f>VLOOKUP(Tabla1[[#This Row],[Cód. Atributo]],[1]!Tabla5[#Data],6,FALSE)</f>
        <v>Select</v>
      </c>
      <c r="F1830">
        <v>6</v>
      </c>
      <c r="G1830">
        <v>2</v>
      </c>
      <c r="H1830" t="s">
        <v>266</v>
      </c>
      <c r="I1830" t="str">
        <f>VLOOKUP(Tabla1[[#This Row],[Code]],'[1]Articulos Precio'!$A:$E,5,FALSE)</f>
        <v>A0000103</v>
      </c>
    </row>
    <row r="1831" spans="1:9" x14ac:dyDescent="0.25">
      <c r="A1831" t="s">
        <v>569</v>
      </c>
      <c r="B1831" t="str">
        <f>VLOOKUP(Tabla1[[#This Row],[Code]],[1]!Tabla4[#Data],2,FALSE)</f>
        <v>M2 Metamark M7 136 Amarillo Brillante 0,61 x 50m</v>
      </c>
      <c r="C1831">
        <v>8</v>
      </c>
      <c r="D1831" t="s">
        <v>86</v>
      </c>
      <c r="E1831" t="str">
        <f>VLOOKUP(Tabla1[[#This Row],[Cód. Atributo]],[1]!Tabla5[#Data],6,FALSE)</f>
        <v>Select</v>
      </c>
      <c r="F1831">
        <v>1</v>
      </c>
      <c r="G1831">
        <v>1</v>
      </c>
      <c r="H1831" t="s">
        <v>263</v>
      </c>
      <c r="I1831" t="str">
        <f>VLOOKUP(Tabla1[[#This Row],[Code]],'[1]Articulos Precio'!$A:$E,5,FALSE)</f>
        <v>A0000103</v>
      </c>
    </row>
    <row r="1832" spans="1:9" x14ac:dyDescent="0.25">
      <c r="A1832" t="s">
        <v>569</v>
      </c>
      <c r="B1832" t="str">
        <f>VLOOKUP(Tabla1[[#This Row],[Code]],[1]!Tabla4[#Data],2,FALSE)</f>
        <v>M2 Metamark M7 136 Amarillo Brillante 0,61 x 50m</v>
      </c>
      <c r="C1832">
        <v>13</v>
      </c>
      <c r="D1832" t="s">
        <v>491</v>
      </c>
      <c r="E1832" t="str">
        <f>VLOOKUP(Tabla1[[#This Row],[Cód. Atributo]],[1]!Tabla5[#Data],6,FALSE)</f>
        <v>Color</v>
      </c>
      <c r="F1832">
        <v>2</v>
      </c>
      <c r="G1832">
        <v>16</v>
      </c>
      <c r="H1832" t="s">
        <v>570</v>
      </c>
      <c r="I1832" t="str">
        <f>VLOOKUP(Tabla1[[#This Row],[Code]],'[1]Articulos Precio'!$A:$E,5,FALSE)</f>
        <v>A0000103</v>
      </c>
    </row>
    <row r="1833" spans="1:9" x14ac:dyDescent="0.25">
      <c r="A1833" t="s">
        <v>569</v>
      </c>
      <c r="B1833" t="str">
        <f>VLOOKUP(Tabla1[[#This Row],[Code]],[1]!Tabla4[#Data],2,FALSE)</f>
        <v>M2 Metamark M7 136 Amarillo Brillante 0,61 x 50m</v>
      </c>
      <c r="C1833">
        <v>23</v>
      </c>
      <c r="D1833" t="s">
        <v>90</v>
      </c>
      <c r="E1833" t="str">
        <f>VLOOKUP(Tabla1[[#This Row],[Cód. Atributo]],[1]!Tabla5[#Data],6,FALSE)</f>
        <v>Select</v>
      </c>
      <c r="F1833">
        <v>3</v>
      </c>
      <c r="G1833">
        <v>2</v>
      </c>
      <c r="H1833" t="s">
        <v>136</v>
      </c>
      <c r="I1833" t="str">
        <f>VLOOKUP(Tabla1[[#This Row],[Code]],'[1]Articulos Precio'!$A:$E,5,FALSE)</f>
        <v>A0000103</v>
      </c>
    </row>
    <row r="1834" spans="1:9" x14ac:dyDescent="0.25">
      <c r="A1834" t="s">
        <v>569</v>
      </c>
      <c r="B1834" t="str">
        <f>VLOOKUP(Tabla1[[#This Row],[Code]],[1]!Tabla4[#Data],2,FALSE)</f>
        <v>M2 Metamark M7 136 Amarillo Brillante 0,61 x 50m</v>
      </c>
      <c r="C1834">
        <v>28</v>
      </c>
      <c r="D1834" t="s">
        <v>92</v>
      </c>
      <c r="E1834" t="str">
        <f>VLOOKUP(Tabla1[[#This Row],[Cód. Atributo]],[1]!Tabla5[#Data],6,FALSE)</f>
        <v>Select</v>
      </c>
      <c r="F1834">
        <v>4</v>
      </c>
      <c r="G1834">
        <v>1</v>
      </c>
      <c r="H1834" t="s">
        <v>93</v>
      </c>
      <c r="I1834" t="str">
        <f>VLOOKUP(Tabla1[[#This Row],[Code]],'[1]Articulos Precio'!$A:$E,5,FALSE)</f>
        <v>A0000103</v>
      </c>
    </row>
    <row r="1835" spans="1:9" x14ac:dyDescent="0.25">
      <c r="A1835" t="s">
        <v>569</v>
      </c>
      <c r="B1835" t="str">
        <f>VLOOKUP(Tabla1[[#This Row],[Code]],[1]!Tabla4[#Data],2,FALSE)</f>
        <v>M2 Metamark M7 136 Amarillo Brillante 0,61 x 50m</v>
      </c>
      <c r="C1835">
        <v>25</v>
      </c>
      <c r="D1835" t="s">
        <v>94</v>
      </c>
      <c r="E1835" t="str">
        <f>VLOOKUP(Tabla1[[#This Row],[Cód. Atributo]],[1]!Tabla5[#Data],6,FALSE)</f>
        <v>Select</v>
      </c>
      <c r="F1835">
        <v>5</v>
      </c>
      <c r="G1835">
        <v>4</v>
      </c>
      <c r="H1835" t="s">
        <v>137</v>
      </c>
      <c r="I1835" t="str">
        <f>VLOOKUP(Tabla1[[#This Row],[Code]],'[1]Articulos Precio'!$A:$E,5,FALSE)</f>
        <v>A0000103</v>
      </c>
    </row>
    <row r="1836" spans="1:9" x14ac:dyDescent="0.25">
      <c r="A1836" t="s">
        <v>569</v>
      </c>
      <c r="B1836" t="str">
        <f>VLOOKUP(Tabla1[[#This Row],[Code]],[1]!Tabla4[#Data],2,FALSE)</f>
        <v>M2 Metamark M7 136 Amarillo Brillante 0,61 x 50m</v>
      </c>
      <c r="C1836">
        <v>24</v>
      </c>
      <c r="D1836" t="s">
        <v>96</v>
      </c>
      <c r="E1836" t="str">
        <f>VLOOKUP(Tabla1[[#This Row],[Cód. Atributo]],[1]!Tabla5[#Data],6,FALSE)</f>
        <v>Select</v>
      </c>
      <c r="F1836">
        <v>6</v>
      </c>
      <c r="G1836">
        <v>2</v>
      </c>
      <c r="H1836" t="s">
        <v>266</v>
      </c>
      <c r="I1836" t="str">
        <f>VLOOKUP(Tabla1[[#This Row],[Code]],'[1]Articulos Precio'!$A:$E,5,FALSE)</f>
        <v>A0000103</v>
      </c>
    </row>
    <row r="1837" spans="1:9" x14ac:dyDescent="0.25">
      <c r="A1837" t="s">
        <v>571</v>
      </c>
      <c r="B1837" t="str">
        <f>VLOOKUP(Tabla1[[#This Row],[Code]],[1]!Tabla4[#Data],2,FALSE)</f>
        <v>M2 Metamark M7 136 Amarillo Brillante 1,22 x 50m</v>
      </c>
      <c r="C1837">
        <v>8</v>
      </c>
      <c r="D1837" t="s">
        <v>86</v>
      </c>
      <c r="E1837" t="str">
        <f>VLOOKUP(Tabla1[[#This Row],[Cód. Atributo]],[1]!Tabla5[#Data],6,FALSE)</f>
        <v>Select</v>
      </c>
      <c r="F1837">
        <v>1</v>
      </c>
      <c r="G1837">
        <v>2</v>
      </c>
      <c r="H1837" t="s">
        <v>268</v>
      </c>
      <c r="I1837" t="str">
        <f>VLOOKUP(Tabla1[[#This Row],[Code]],'[1]Articulos Precio'!$A:$E,5,FALSE)</f>
        <v>A0000103</v>
      </c>
    </row>
    <row r="1838" spans="1:9" x14ac:dyDescent="0.25">
      <c r="A1838" t="s">
        <v>571</v>
      </c>
      <c r="B1838" t="str">
        <f>VLOOKUP(Tabla1[[#This Row],[Code]],[1]!Tabla4[#Data],2,FALSE)</f>
        <v>M2 Metamark M7 136 Amarillo Brillante 1,22 x 50m</v>
      </c>
      <c r="C1838">
        <v>13</v>
      </c>
      <c r="D1838" t="s">
        <v>491</v>
      </c>
      <c r="E1838" t="str">
        <f>VLOOKUP(Tabla1[[#This Row],[Cód. Atributo]],[1]!Tabla5[#Data],6,FALSE)</f>
        <v>Color</v>
      </c>
      <c r="F1838">
        <v>2</v>
      </c>
      <c r="G1838">
        <v>16</v>
      </c>
      <c r="H1838" t="s">
        <v>570</v>
      </c>
      <c r="I1838" t="str">
        <f>VLOOKUP(Tabla1[[#This Row],[Code]],'[1]Articulos Precio'!$A:$E,5,FALSE)</f>
        <v>A0000103</v>
      </c>
    </row>
    <row r="1839" spans="1:9" x14ac:dyDescent="0.25">
      <c r="A1839" t="s">
        <v>571</v>
      </c>
      <c r="B1839" t="str">
        <f>VLOOKUP(Tabla1[[#This Row],[Code]],[1]!Tabla4[#Data],2,FALSE)</f>
        <v>M2 Metamark M7 136 Amarillo Brillante 1,22 x 50m</v>
      </c>
      <c r="C1839">
        <v>23</v>
      </c>
      <c r="D1839" t="s">
        <v>90</v>
      </c>
      <c r="E1839" t="str">
        <f>VLOOKUP(Tabla1[[#This Row],[Cód. Atributo]],[1]!Tabla5[#Data],6,FALSE)</f>
        <v>Select</v>
      </c>
      <c r="F1839">
        <v>3</v>
      </c>
      <c r="G1839">
        <v>2</v>
      </c>
      <c r="H1839" t="s">
        <v>136</v>
      </c>
      <c r="I1839" t="str">
        <f>VLOOKUP(Tabla1[[#This Row],[Code]],'[1]Articulos Precio'!$A:$E,5,FALSE)</f>
        <v>A0000103</v>
      </c>
    </row>
    <row r="1840" spans="1:9" x14ac:dyDescent="0.25">
      <c r="A1840" t="s">
        <v>571</v>
      </c>
      <c r="B1840" t="str">
        <f>VLOOKUP(Tabla1[[#This Row],[Code]],[1]!Tabla4[#Data],2,FALSE)</f>
        <v>M2 Metamark M7 136 Amarillo Brillante 1,22 x 50m</v>
      </c>
      <c r="C1840">
        <v>28</v>
      </c>
      <c r="D1840" t="s">
        <v>92</v>
      </c>
      <c r="E1840" t="str">
        <f>VLOOKUP(Tabla1[[#This Row],[Cód. Atributo]],[1]!Tabla5[#Data],6,FALSE)</f>
        <v>Select</v>
      </c>
      <c r="F1840">
        <v>4</v>
      </c>
      <c r="G1840">
        <v>1</v>
      </c>
      <c r="H1840" t="s">
        <v>93</v>
      </c>
      <c r="I1840" t="str">
        <f>VLOOKUP(Tabla1[[#This Row],[Code]],'[1]Articulos Precio'!$A:$E,5,FALSE)</f>
        <v>A0000103</v>
      </c>
    </row>
    <row r="1841" spans="1:9" x14ac:dyDescent="0.25">
      <c r="A1841" t="s">
        <v>571</v>
      </c>
      <c r="B1841" t="str">
        <f>VLOOKUP(Tabla1[[#This Row],[Code]],[1]!Tabla4[#Data],2,FALSE)</f>
        <v>M2 Metamark M7 136 Amarillo Brillante 1,22 x 50m</v>
      </c>
      <c r="C1841">
        <v>25</v>
      </c>
      <c r="D1841" t="s">
        <v>94</v>
      </c>
      <c r="E1841" t="str">
        <f>VLOOKUP(Tabla1[[#This Row],[Cód. Atributo]],[1]!Tabla5[#Data],6,FALSE)</f>
        <v>Select</v>
      </c>
      <c r="F1841">
        <v>5</v>
      </c>
      <c r="G1841">
        <v>4</v>
      </c>
      <c r="H1841" t="s">
        <v>137</v>
      </c>
      <c r="I1841" t="str">
        <f>VLOOKUP(Tabla1[[#This Row],[Code]],'[1]Articulos Precio'!$A:$E,5,FALSE)</f>
        <v>A0000103</v>
      </c>
    </row>
    <row r="1842" spans="1:9" x14ac:dyDescent="0.25">
      <c r="A1842" t="s">
        <v>571</v>
      </c>
      <c r="B1842" t="str">
        <f>VLOOKUP(Tabla1[[#This Row],[Code]],[1]!Tabla4[#Data],2,FALSE)</f>
        <v>M2 Metamark M7 136 Amarillo Brillante 1,22 x 50m</v>
      </c>
      <c r="C1842">
        <v>24</v>
      </c>
      <c r="D1842" t="s">
        <v>96</v>
      </c>
      <c r="E1842" t="str">
        <f>VLOOKUP(Tabla1[[#This Row],[Cód. Atributo]],[1]!Tabla5[#Data],6,FALSE)</f>
        <v>Select</v>
      </c>
      <c r="F1842">
        <v>6</v>
      </c>
      <c r="G1842">
        <v>2</v>
      </c>
      <c r="H1842" t="s">
        <v>266</v>
      </c>
      <c r="I1842" t="str">
        <f>VLOOKUP(Tabla1[[#This Row],[Code]],'[1]Articulos Precio'!$A:$E,5,FALSE)</f>
        <v>A0000103</v>
      </c>
    </row>
    <row r="1843" spans="1:9" x14ac:dyDescent="0.25">
      <c r="A1843" t="s">
        <v>572</v>
      </c>
      <c r="B1843" t="str">
        <f>VLOOKUP(Tabla1[[#This Row],[Code]],[1]!Tabla4[#Data],2,FALSE)</f>
        <v>M2 Metamark M7 137 Amarillo Melón 0,61 x 50m</v>
      </c>
      <c r="C1843">
        <v>8</v>
      </c>
      <c r="D1843" t="s">
        <v>86</v>
      </c>
      <c r="E1843" t="str">
        <f>VLOOKUP(Tabla1[[#This Row],[Cód. Atributo]],[1]!Tabla5[#Data],6,FALSE)</f>
        <v>Select</v>
      </c>
      <c r="F1843">
        <v>1</v>
      </c>
      <c r="G1843">
        <v>1</v>
      </c>
      <c r="H1843" t="s">
        <v>263</v>
      </c>
      <c r="I1843" t="str">
        <f>VLOOKUP(Tabla1[[#This Row],[Code]],'[1]Articulos Precio'!$A:$E,5,FALSE)</f>
        <v>A0000103</v>
      </c>
    </row>
    <row r="1844" spans="1:9" x14ac:dyDescent="0.25">
      <c r="A1844" t="s">
        <v>572</v>
      </c>
      <c r="B1844" t="str">
        <f>VLOOKUP(Tabla1[[#This Row],[Code]],[1]!Tabla4[#Data],2,FALSE)</f>
        <v>M2 Metamark M7 137 Amarillo Melón 0,61 x 50m</v>
      </c>
      <c r="C1844">
        <v>13</v>
      </c>
      <c r="D1844" t="s">
        <v>491</v>
      </c>
      <c r="E1844" t="str">
        <f>VLOOKUP(Tabla1[[#This Row],[Cód. Atributo]],[1]!Tabla5[#Data],6,FALSE)</f>
        <v>Color</v>
      </c>
      <c r="F1844">
        <v>2</v>
      </c>
      <c r="G1844">
        <v>17</v>
      </c>
      <c r="H1844" t="s">
        <v>573</v>
      </c>
      <c r="I1844" t="str">
        <f>VLOOKUP(Tabla1[[#This Row],[Code]],'[1]Articulos Precio'!$A:$E,5,FALSE)</f>
        <v>A0000103</v>
      </c>
    </row>
    <row r="1845" spans="1:9" x14ac:dyDescent="0.25">
      <c r="A1845" t="s">
        <v>572</v>
      </c>
      <c r="B1845" t="str">
        <f>VLOOKUP(Tabla1[[#This Row],[Code]],[1]!Tabla4[#Data],2,FALSE)</f>
        <v>M2 Metamark M7 137 Amarillo Melón 0,61 x 50m</v>
      </c>
      <c r="C1845">
        <v>23</v>
      </c>
      <c r="D1845" t="s">
        <v>90</v>
      </c>
      <c r="E1845" t="str">
        <f>VLOOKUP(Tabla1[[#This Row],[Cód. Atributo]],[1]!Tabla5[#Data],6,FALSE)</f>
        <v>Select</v>
      </c>
      <c r="F1845">
        <v>3</v>
      </c>
      <c r="G1845">
        <v>2</v>
      </c>
      <c r="H1845" t="s">
        <v>136</v>
      </c>
      <c r="I1845" t="str">
        <f>VLOOKUP(Tabla1[[#This Row],[Code]],'[1]Articulos Precio'!$A:$E,5,FALSE)</f>
        <v>A0000103</v>
      </c>
    </row>
    <row r="1846" spans="1:9" x14ac:dyDescent="0.25">
      <c r="A1846" t="s">
        <v>572</v>
      </c>
      <c r="B1846" t="str">
        <f>VLOOKUP(Tabla1[[#This Row],[Code]],[1]!Tabla4[#Data],2,FALSE)</f>
        <v>M2 Metamark M7 137 Amarillo Melón 0,61 x 50m</v>
      </c>
      <c r="C1846">
        <v>28</v>
      </c>
      <c r="D1846" t="s">
        <v>92</v>
      </c>
      <c r="E1846" t="str">
        <f>VLOOKUP(Tabla1[[#This Row],[Cód. Atributo]],[1]!Tabla5[#Data],6,FALSE)</f>
        <v>Select</v>
      </c>
      <c r="F1846">
        <v>4</v>
      </c>
      <c r="G1846">
        <v>1</v>
      </c>
      <c r="H1846" t="s">
        <v>93</v>
      </c>
      <c r="I1846" t="str">
        <f>VLOOKUP(Tabla1[[#This Row],[Code]],'[1]Articulos Precio'!$A:$E,5,FALSE)</f>
        <v>A0000103</v>
      </c>
    </row>
    <row r="1847" spans="1:9" x14ac:dyDescent="0.25">
      <c r="A1847" t="s">
        <v>572</v>
      </c>
      <c r="B1847" t="str">
        <f>VLOOKUP(Tabla1[[#This Row],[Code]],[1]!Tabla4[#Data],2,FALSE)</f>
        <v>M2 Metamark M7 137 Amarillo Melón 0,61 x 50m</v>
      </c>
      <c r="C1847">
        <v>25</v>
      </c>
      <c r="D1847" t="s">
        <v>94</v>
      </c>
      <c r="E1847" t="str">
        <f>VLOOKUP(Tabla1[[#This Row],[Cód. Atributo]],[1]!Tabla5[#Data],6,FALSE)</f>
        <v>Select</v>
      </c>
      <c r="F1847">
        <v>5</v>
      </c>
      <c r="G1847">
        <v>4</v>
      </c>
      <c r="H1847" t="s">
        <v>137</v>
      </c>
      <c r="I1847" t="str">
        <f>VLOOKUP(Tabla1[[#This Row],[Code]],'[1]Articulos Precio'!$A:$E,5,FALSE)</f>
        <v>A0000103</v>
      </c>
    </row>
    <row r="1848" spans="1:9" x14ac:dyDescent="0.25">
      <c r="A1848" t="s">
        <v>572</v>
      </c>
      <c r="B1848" t="str">
        <f>VLOOKUP(Tabla1[[#This Row],[Code]],[1]!Tabla4[#Data],2,FALSE)</f>
        <v>M2 Metamark M7 137 Amarillo Melón 0,61 x 50m</v>
      </c>
      <c r="C1848">
        <v>24</v>
      </c>
      <c r="D1848" t="s">
        <v>96</v>
      </c>
      <c r="E1848" t="str">
        <f>VLOOKUP(Tabla1[[#This Row],[Cód. Atributo]],[1]!Tabla5[#Data],6,FALSE)</f>
        <v>Select</v>
      </c>
      <c r="F1848">
        <v>6</v>
      </c>
      <c r="G1848">
        <v>2</v>
      </c>
      <c r="H1848" t="s">
        <v>266</v>
      </c>
      <c r="I1848" t="str">
        <f>VLOOKUP(Tabla1[[#This Row],[Code]],'[1]Articulos Precio'!$A:$E,5,FALSE)</f>
        <v>A0000103</v>
      </c>
    </row>
    <row r="1849" spans="1:9" x14ac:dyDescent="0.25">
      <c r="A1849" t="s">
        <v>574</v>
      </c>
      <c r="B1849" t="str">
        <f>VLOOKUP(Tabla1[[#This Row],[Code]],[1]!Tabla4[#Data],2,FALSE)</f>
        <v>M2 Metamark M7 137 Amarillo Melón 1,22 x 50m</v>
      </c>
      <c r="C1849">
        <v>8</v>
      </c>
      <c r="D1849" t="s">
        <v>86</v>
      </c>
      <c r="E1849" t="str">
        <f>VLOOKUP(Tabla1[[#This Row],[Cód. Atributo]],[1]!Tabla5[#Data],6,FALSE)</f>
        <v>Select</v>
      </c>
      <c r="F1849">
        <v>1</v>
      </c>
      <c r="G1849">
        <v>2</v>
      </c>
      <c r="H1849" t="s">
        <v>268</v>
      </c>
      <c r="I1849" t="str">
        <f>VLOOKUP(Tabla1[[#This Row],[Code]],'[1]Articulos Precio'!$A:$E,5,FALSE)</f>
        <v>A0000103</v>
      </c>
    </row>
    <row r="1850" spans="1:9" x14ac:dyDescent="0.25">
      <c r="A1850" t="s">
        <v>574</v>
      </c>
      <c r="B1850" t="str">
        <f>VLOOKUP(Tabla1[[#This Row],[Code]],[1]!Tabla4[#Data],2,FALSE)</f>
        <v>M2 Metamark M7 137 Amarillo Melón 1,22 x 50m</v>
      </c>
      <c r="C1850">
        <v>13</v>
      </c>
      <c r="D1850" t="s">
        <v>491</v>
      </c>
      <c r="E1850" t="str">
        <f>VLOOKUP(Tabla1[[#This Row],[Cód. Atributo]],[1]!Tabla5[#Data],6,FALSE)</f>
        <v>Color</v>
      </c>
      <c r="F1850">
        <v>2</v>
      </c>
      <c r="G1850">
        <v>17</v>
      </c>
      <c r="H1850" t="s">
        <v>573</v>
      </c>
      <c r="I1850" t="str">
        <f>VLOOKUP(Tabla1[[#This Row],[Code]],'[1]Articulos Precio'!$A:$E,5,FALSE)</f>
        <v>A0000103</v>
      </c>
    </row>
    <row r="1851" spans="1:9" x14ac:dyDescent="0.25">
      <c r="A1851" t="s">
        <v>574</v>
      </c>
      <c r="B1851" t="str">
        <f>VLOOKUP(Tabla1[[#This Row],[Code]],[1]!Tabla4[#Data],2,FALSE)</f>
        <v>M2 Metamark M7 137 Amarillo Melón 1,22 x 50m</v>
      </c>
      <c r="C1851">
        <v>23</v>
      </c>
      <c r="D1851" t="s">
        <v>90</v>
      </c>
      <c r="E1851" t="str">
        <f>VLOOKUP(Tabla1[[#This Row],[Cód. Atributo]],[1]!Tabla5[#Data],6,FALSE)</f>
        <v>Select</v>
      </c>
      <c r="F1851">
        <v>3</v>
      </c>
      <c r="G1851">
        <v>2</v>
      </c>
      <c r="H1851" t="s">
        <v>136</v>
      </c>
      <c r="I1851" t="str">
        <f>VLOOKUP(Tabla1[[#This Row],[Code]],'[1]Articulos Precio'!$A:$E,5,FALSE)</f>
        <v>A0000103</v>
      </c>
    </row>
    <row r="1852" spans="1:9" x14ac:dyDescent="0.25">
      <c r="A1852" t="s">
        <v>574</v>
      </c>
      <c r="B1852" t="str">
        <f>VLOOKUP(Tabla1[[#This Row],[Code]],[1]!Tabla4[#Data],2,FALSE)</f>
        <v>M2 Metamark M7 137 Amarillo Melón 1,22 x 50m</v>
      </c>
      <c r="C1852">
        <v>28</v>
      </c>
      <c r="D1852" t="s">
        <v>92</v>
      </c>
      <c r="E1852" t="str">
        <f>VLOOKUP(Tabla1[[#This Row],[Cód. Atributo]],[1]!Tabla5[#Data],6,FALSE)</f>
        <v>Select</v>
      </c>
      <c r="F1852">
        <v>4</v>
      </c>
      <c r="G1852">
        <v>1</v>
      </c>
      <c r="H1852" t="s">
        <v>93</v>
      </c>
      <c r="I1852" t="str">
        <f>VLOOKUP(Tabla1[[#This Row],[Code]],'[1]Articulos Precio'!$A:$E,5,FALSE)</f>
        <v>A0000103</v>
      </c>
    </row>
    <row r="1853" spans="1:9" x14ac:dyDescent="0.25">
      <c r="A1853" t="s">
        <v>574</v>
      </c>
      <c r="B1853" t="str">
        <f>VLOOKUP(Tabla1[[#This Row],[Code]],[1]!Tabla4[#Data],2,FALSE)</f>
        <v>M2 Metamark M7 137 Amarillo Melón 1,22 x 50m</v>
      </c>
      <c r="C1853">
        <v>25</v>
      </c>
      <c r="D1853" t="s">
        <v>94</v>
      </c>
      <c r="E1853" t="str">
        <f>VLOOKUP(Tabla1[[#This Row],[Cód. Atributo]],[1]!Tabla5[#Data],6,FALSE)</f>
        <v>Select</v>
      </c>
      <c r="F1853">
        <v>5</v>
      </c>
      <c r="G1853">
        <v>4</v>
      </c>
      <c r="H1853" t="s">
        <v>137</v>
      </c>
      <c r="I1853" t="str">
        <f>VLOOKUP(Tabla1[[#This Row],[Code]],'[1]Articulos Precio'!$A:$E,5,FALSE)</f>
        <v>A0000103</v>
      </c>
    </row>
    <row r="1854" spans="1:9" x14ac:dyDescent="0.25">
      <c r="A1854" t="s">
        <v>574</v>
      </c>
      <c r="B1854" t="str">
        <f>VLOOKUP(Tabla1[[#This Row],[Code]],[1]!Tabla4[#Data],2,FALSE)</f>
        <v>M2 Metamark M7 137 Amarillo Melón 1,22 x 50m</v>
      </c>
      <c r="C1854">
        <v>24</v>
      </c>
      <c r="D1854" t="s">
        <v>96</v>
      </c>
      <c r="E1854" t="str">
        <f>VLOOKUP(Tabla1[[#This Row],[Cód. Atributo]],[1]!Tabla5[#Data],6,FALSE)</f>
        <v>Select</v>
      </c>
      <c r="F1854">
        <v>6</v>
      </c>
      <c r="G1854">
        <v>2</v>
      </c>
      <c r="H1854" t="s">
        <v>266</v>
      </c>
      <c r="I1854" t="str">
        <f>VLOOKUP(Tabla1[[#This Row],[Code]],'[1]Articulos Precio'!$A:$E,5,FALSE)</f>
        <v>A0000103</v>
      </c>
    </row>
    <row r="1855" spans="1:9" x14ac:dyDescent="0.25">
      <c r="A1855" t="s">
        <v>575</v>
      </c>
      <c r="B1855" t="str">
        <f>VLOOKUP(Tabla1[[#This Row],[Code]],[1]!Tabla4[#Data],2,FALSE)</f>
        <v>M2 Metamark M7 138 Azafrán 0,61 x 50m</v>
      </c>
      <c r="C1855">
        <v>8</v>
      </c>
      <c r="D1855" t="s">
        <v>86</v>
      </c>
      <c r="E1855" t="str">
        <f>VLOOKUP(Tabla1[[#This Row],[Cód. Atributo]],[1]!Tabla5[#Data],6,FALSE)</f>
        <v>Select</v>
      </c>
      <c r="F1855">
        <v>1</v>
      </c>
      <c r="G1855">
        <v>1</v>
      </c>
      <c r="H1855" t="s">
        <v>263</v>
      </c>
      <c r="I1855" t="str">
        <f>VLOOKUP(Tabla1[[#This Row],[Code]],'[1]Articulos Precio'!$A:$E,5,FALSE)</f>
        <v>A0000103</v>
      </c>
    </row>
    <row r="1856" spans="1:9" x14ac:dyDescent="0.25">
      <c r="A1856" t="s">
        <v>575</v>
      </c>
      <c r="B1856" t="str">
        <f>VLOOKUP(Tabla1[[#This Row],[Code]],[1]!Tabla4[#Data],2,FALSE)</f>
        <v>M2 Metamark M7 138 Azafrán 0,61 x 50m</v>
      </c>
      <c r="C1856">
        <v>13</v>
      </c>
      <c r="D1856" t="s">
        <v>491</v>
      </c>
      <c r="E1856" t="str">
        <f>VLOOKUP(Tabla1[[#This Row],[Cód. Atributo]],[1]!Tabla5[#Data],6,FALSE)</f>
        <v>Color</v>
      </c>
      <c r="F1856">
        <v>2</v>
      </c>
      <c r="G1856">
        <v>68</v>
      </c>
      <c r="H1856" t="s">
        <v>576</v>
      </c>
      <c r="I1856" t="str">
        <f>VLOOKUP(Tabla1[[#This Row],[Code]],'[1]Articulos Precio'!$A:$E,5,FALSE)</f>
        <v>A0000103</v>
      </c>
    </row>
    <row r="1857" spans="1:9" x14ac:dyDescent="0.25">
      <c r="A1857" t="s">
        <v>575</v>
      </c>
      <c r="B1857" t="str">
        <f>VLOOKUP(Tabla1[[#This Row],[Code]],[1]!Tabla4[#Data],2,FALSE)</f>
        <v>M2 Metamark M7 138 Azafrán 0,61 x 50m</v>
      </c>
      <c r="C1857">
        <v>23</v>
      </c>
      <c r="D1857" t="s">
        <v>90</v>
      </c>
      <c r="E1857" t="str">
        <f>VLOOKUP(Tabla1[[#This Row],[Cód. Atributo]],[1]!Tabla5[#Data],6,FALSE)</f>
        <v>Select</v>
      </c>
      <c r="F1857">
        <v>3</v>
      </c>
      <c r="G1857">
        <v>2</v>
      </c>
      <c r="H1857" t="s">
        <v>136</v>
      </c>
      <c r="I1857" t="str">
        <f>VLOOKUP(Tabla1[[#This Row],[Code]],'[1]Articulos Precio'!$A:$E,5,FALSE)</f>
        <v>A0000103</v>
      </c>
    </row>
    <row r="1858" spans="1:9" x14ac:dyDescent="0.25">
      <c r="A1858" t="s">
        <v>575</v>
      </c>
      <c r="B1858" t="str">
        <f>VLOOKUP(Tabla1[[#This Row],[Code]],[1]!Tabla4[#Data],2,FALSE)</f>
        <v>M2 Metamark M7 138 Azafrán 0,61 x 50m</v>
      </c>
      <c r="C1858">
        <v>28</v>
      </c>
      <c r="D1858" t="s">
        <v>92</v>
      </c>
      <c r="E1858" t="str">
        <f>VLOOKUP(Tabla1[[#This Row],[Cód. Atributo]],[1]!Tabla5[#Data],6,FALSE)</f>
        <v>Select</v>
      </c>
      <c r="F1858">
        <v>4</v>
      </c>
      <c r="G1858">
        <v>1</v>
      </c>
      <c r="H1858" t="s">
        <v>93</v>
      </c>
      <c r="I1858" t="str">
        <f>VLOOKUP(Tabla1[[#This Row],[Code]],'[1]Articulos Precio'!$A:$E,5,FALSE)</f>
        <v>A0000103</v>
      </c>
    </row>
    <row r="1859" spans="1:9" x14ac:dyDescent="0.25">
      <c r="A1859" t="s">
        <v>575</v>
      </c>
      <c r="B1859" t="str">
        <f>VLOOKUP(Tabla1[[#This Row],[Code]],[1]!Tabla4[#Data],2,FALSE)</f>
        <v>M2 Metamark M7 138 Azafrán 0,61 x 50m</v>
      </c>
      <c r="C1859">
        <v>25</v>
      </c>
      <c r="D1859" t="s">
        <v>94</v>
      </c>
      <c r="E1859" t="str">
        <f>VLOOKUP(Tabla1[[#This Row],[Cód. Atributo]],[1]!Tabla5[#Data],6,FALSE)</f>
        <v>Select</v>
      </c>
      <c r="F1859">
        <v>5</v>
      </c>
      <c r="G1859">
        <v>4</v>
      </c>
      <c r="H1859" t="s">
        <v>137</v>
      </c>
      <c r="I1859" t="str">
        <f>VLOOKUP(Tabla1[[#This Row],[Code]],'[1]Articulos Precio'!$A:$E,5,FALSE)</f>
        <v>A0000103</v>
      </c>
    </row>
    <row r="1860" spans="1:9" x14ac:dyDescent="0.25">
      <c r="A1860" t="s">
        <v>575</v>
      </c>
      <c r="B1860" t="str">
        <f>VLOOKUP(Tabla1[[#This Row],[Code]],[1]!Tabla4[#Data],2,FALSE)</f>
        <v>M2 Metamark M7 138 Azafrán 0,61 x 50m</v>
      </c>
      <c r="C1860">
        <v>24</v>
      </c>
      <c r="D1860" t="s">
        <v>96</v>
      </c>
      <c r="E1860" t="str">
        <f>VLOOKUP(Tabla1[[#This Row],[Cód. Atributo]],[1]!Tabla5[#Data],6,FALSE)</f>
        <v>Select</v>
      </c>
      <c r="F1860">
        <v>6</v>
      </c>
      <c r="G1860">
        <v>2</v>
      </c>
      <c r="H1860" t="s">
        <v>266</v>
      </c>
      <c r="I1860" t="str">
        <f>VLOOKUP(Tabla1[[#This Row],[Code]],'[1]Articulos Precio'!$A:$E,5,FALSE)</f>
        <v>A0000103</v>
      </c>
    </row>
    <row r="1861" spans="1:9" x14ac:dyDescent="0.25">
      <c r="A1861" t="s">
        <v>577</v>
      </c>
      <c r="B1861" t="str">
        <f>VLOOKUP(Tabla1[[#This Row],[Code]],[1]!Tabla4[#Data],2,FALSE)</f>
        <v>M2 Metamark M7 138 Azafrán 1,22 x 50m</v>
      </c>
      <c r="C1861">
        <v>8</v>
      </c>
      <c r="D1861" t="s">
        <v>86</v>
      </c>
      <c r="E1861" t="str">
        <f>VLOOKUP(Tabla1[[#This Row],[Cód. Atributo]],[1]!Tabla5[#Data],6,FALSE)</f>
        <v>Select</v>
      </c>
      <c r="F1861">
        <v>1</v>
      </c>
      <c r="G1861">
        <v>2</v>
      </c>
      <c r="H1861" t="s">
        <v>268</v>
      </c>
      <c r="I1861" t="str">
        <f>VLOOKUP(Tabla1[[#This Row],[Code]],'[1]Articulos Precio'!$A:$E,5,FALSE)</f>
        <v>A0000103</v>
      </c>
    </row>
    <row r="1862" spans="1:9" x14ac:dyDescent="0.25">
      <c r="A1862" t="s">
        <v>577</v>
      </c>
      <c r="B1862" t="str">
        <f>VLOOKUP(Tabla1[[#This Row],[Code]],[1]!Tabla4[#Data],2,FALSE)</f>
        <v>M2 Metamark M7 138 Azafrán 1,22 x 50m</v>
      </c>
      <c r="C1862">
        <v>13</v>
      </c>
      <c r="D1862" t="s">
        <v>491</v>
      </c>
      <c r="E1862" t="str">
        <f>VLOOKUP(Tabla1[[#This Row],[Cód. Atributo]],[1]!Tabla5[#Data],6,FALSE)</f>
        <v>Color</v>
      </c>
      <c r="F1862">
        <v>2</v>
      </c>
      <c r="G1862">
        <v>68</v>
      </c>
      <c r="H1862" t="s">
        <v>576</v>
      </c>
      <c r="I1862" t="str">
        <f>VLOOKUP(Tabla1[[#This Row],[Code]],'[1]Articulos Precio'!$A:$E,5,FALSE)</f>
        <v>A0000103</v>
      </c>
    </row>
    <row r="1863" spans="1:9" x14ac:dyDescent="0.25">
      <c r="A1863" t="s">
        <v>577</v>
      </c>
      <c r="B1863" t="str">
        <f>VLOOKUP(Tabla1[[#This Row],[Code]],[1]!Tabla4[#Data],2,FALSE)</f>
        <v>M2 Metamark M7 138 Azafrán 1,22 x 50m</v>
      </c>
      <c r="C1863">
        <v>23</v>
      </c>
      <c r="D1863" t="s">
        <v>90</v>
      </c>
      <c r="E1863" t="str">
        <f>VLOOKUP(Tabla1[[#This Row],[Cód. Atributo]],[1]!Tabla5[#Data],6,FALSE)</f>
        <v>Select</v>
      </c>
      <c r="F1863">
        <v>3</v>
      </c>
      <c r="G1863">
        <v>2</v>
      </c>
      <c r="H1863" t="s">
        <v>136</v>
      </c>
      <c r="I1863" t="str">
        <f>VLOOKUP(Tabla1[[#This Row],[Code]],'[1]Articulos Precio'!$A:$E,5,FALSE)</f>
        <v>A0000103</v>
      </c>
    </row>
    <row r="1864" spans="1:9" x14ac:dyDescent="0.25">
      <c r="A1864" t="s">
        <v>577</v>
      </c>
      <c r="B1864" t="str">
        <f>VLOOKUP(Tabla1[[#This Row],[Code]],[1]!Tabla4[#Data],2,FALSE)</f>
        <v>M2 Metamark M7 138 Azafrán 1,22 x 50m</v>
      </c>
      <c r="C1864">
        <v>28</v>
      </c>
      <c r="D1864" t="s">
        <v>92</v>
      </c>
      <c r="E1864" t="str">
        <f>VLOOKUP(Tabla1[[#This Row],[Cód. Atributo]],[1]!Tabla5[#Data],6,FALSE)</f>
        <v>Select</v>
      </c>
      <c r="F1864">
        <v>4</v>
      </c>
      <c r="G1864">
        <v>1</v>
      </c>
      <c r="H1864" t="s">
        <v>93</v>
      </c>
      <c r="I1864" t="str">
        <f>VLOOKUP(Tabla1[[#This Row],[Code]],'[1]Articulos Precio'!$A:$E,5,FALSE)</f>
        <v>A0000103</v>
      </c>
    </row>
    <row r="1865" spans="1:9" x14ac:dyDescent="0.25">
      <c r="A1865" t="s">
        <v>577</v>
      </c>
      <c r="B1865" t="str">
        <f>VLOOKUP(Tabla1[[#This Row],[Code]],[1]!Tabla4[#Data],2,FALSE)</f>
        <v>M2 Metamark M7 138 Azafrán 1,22 x 50m</v>
      </c>
      <c r="C1865">
        <v>25</v>
      </c>
      <c r="D1865" t="s">
        <v>94</v>
      </c>
      <c r="E1865" t="str">
        <f>VLOOKUP(Tabla1[[#This Row],[Cód. Atributo]],[1]!Tabla5[#Data],6,FALSE)</f>
        <v>Select</v>
      </c>
      <c r="F1865">
        <v>5</v>
      </c>
      <c r="G1865">
        <v>4</v>
      </c>
      <c r="H1865" t="s">
        <v>137</v>
      </c>
      <c r="I1865" t="str">
        <f>VLOOKUP(Tabla1[[#This Row],[Code]],'[1]Articulos Precio'!$A:$E,5,FALSE)</f>
        <v>A0000103</v>
      </c>
    </row>
    <row r="1866" spans="1:9" x14ac:dyDescent="0.25">
      <c r="A1866" t="s">
        <v>577</v>
      </c>
      <c r="B1866" t="str">
        <f>VLOOKUP(Tabla1[[#This Row],[Code]],[1]!Tabla4[#Data],2,FALSE)</f>
        <v>M2 Metamark M7 138 Azafrán 1,22 x 50m</v>
      </c>
      <c r="C1866">
        <v>24</v>
      </c>
      <c r="D1866" t="s">
        <v>96</v>
      </c>
      <c r="E1866" t="str">
        <f>VLOOKUP(Tabla1[[#This Row],[Cód. Atributo]],[1]!Tabla5[#Data],6,FALSE)</f>
        <v>Select</v>
      </c>
      <c r="F1866">
        <v>6</v>
      </c>
      <c r="G1866">
        <v>2</v>
      </c>
      <c r="H1866" t="s">
        <v>266</v>
      </c>
      <c r="I1866" t="str">
        <f>VLOOKUP(Tabla1[[#This Row],[Code]],'[1]Articulos Precio'!$A:$E,5,FALSE)</f>
        <v>A0000103</v>
      </c>
    </row>
    <row r="1867" spans="1:9" x14ac:dyDescent="0.25">
      <c r="A1867" t="s">
        <v>578</v>
      </c>
      <c r="B1867" t="str">
        <f>VLOOKUP(Tabla1[[#This Row],[Code]],[1]!Tabla4[#Data],2,FALSE)</f>
        <v>M2 Metamark M7 139 Calabaza 0,61 x 50m</v>
      </c>
      <c r="C1867">
        <v>8</v>
      </c>
      <c r="D1867" t="s">
        <v>86</v>
      </c>
      <c r="E1867" t="str">
        <f>VLOOKUP(Tabla1[[#This Row],[Cód. Atributo]],[1]!Tabla5[#Data],6,FALSE)</f>
        <v>Select</v>
      </c>
      <c r="F1867">
        <v>1</v>
      </c>
      <c r="G1867">
        <v>1</v>
      </c>
      <c r="H1867" t="s">
        <v>263</v>
      </c>
      <c r="I1867" t="str">
        <f>VLOOKUP(Tabla1[[#This Row],[Code]],'[1]Articulos Precio'!$A:$E,5,FALSE)</f>
        <v>A0000103</v>
      </c>
    </row>
    <row r="1868" spans="1:9" x14ac:dyDescent="0.25">
      <c r="A1868" t="s">
        <v>578</v>
      </c>
      <c r="B1868" t="str">
        <f>VLOOKUP(Tabla1[[#This Row],[Code]],[1]!Tabla4[#Data],2,FALSE)</f>
        <v>M2 Metamark M7 139 Calabaza 0,61 x 50m</v>
      </c>
      <c r="C1868">
        <v>13</v>
      </c>
      <c r="D1868" t="s">
        <v>491</v>
      </c>
      <c r="E1868" t="str">
        <f>VLOOKUP(Tabla1[[#This Row],[Cód. Atributo]],[1]!Tabla5[#Data],6,FALSE)</f>
        <v>Color</v>
      </c>
      <c r="F1868">
        <v>2</v>
      </c>
      <c r="G1868">
        <v>69</v>
      </c>
      <c r="H1868" t="s">
        <v>579</v>
      </c>
      <c r="I1868" t="str">
        <f>VLOOKUP(Tabla1[[#This Row],[Code]],'[1]Articulos Precio'!$A:$E,5,FALSE)</f>
        <v>A0000103</v>
      </c>
    </row>
    <row r="1869" spans="1:9" x14ac:dyDescent="0.25">
      <c r="A1869" t="s">
        <v>578</v>
      </c>
      <c r="B1869" t="str">
        <f>VLOOKUP(Tabla1[[#This Row],[Code]],[1]!Tabla4[#Data],2,FALSE)</f>
        <v>M2 Metamark M7 139 Calabaza 0,61 x 50m</v>
      </c>
      <c r="C1869">
        <v>23</v>
      </c>
      <c r="D1869" t="s">
        <v>90</v>
      </c>
      <c r="E1869" t="str">
        <f>VLOOKUP(Tabla1[[#This Row],[Cód. Atributo]],[1]!Tabla5[#Data],6,FALSE)</f>
        <v>Select</v>
      </c>
      <c r="F1869">
        <v>3</v>
      </c>
      <c r="G1869">
        <v>2</v>
      </c>
      <c r="H1869" t="s">
        <v>136</v>
      </c>
      <c r="I1869" t="str">
        <f>VLOOKUP(Tabla1[[#This Row],[Code]],'[1]Articulos Precio'!$A:$E,5,FALSE)</f>
        <v>A0000103</v>
      </c>
    </row>
    <row r="1870" spans="1:9" x14ac:dyDescent="0.25">
      <c r="A1870" t="s">
        <v>578</v>
      </c>
      <c r="B1870" t="str">
        <f>VLOOKUP(Tabla1[[#This Row],[Code]],[1]!Tabla4[#Data],2,FALSE)</f>
        <v>M2 Metamark M7 139 Calabaza 0,61 x 50m</v>
      </c>
      <c r="C1870">
        <v>28</v>
      </c>
      <c r="D1870" t="s">
        <v>92</v>
      </c>
      <c r="E1870" t="str">
        <f>VLOOKUP(Tabla1[[#This Row],[Cód. Atributo]],[1]!Tabla5[#Data],6,FALSE)</f>
        <v>Select</v>
      </c>
      <c r="F1870">
        <v>4</v>
      </c>
      <c r="G1870">
        <v>1</v>
      </c>
      <c r="H1870" t="s">
        <v>93</v>
      </c>
      <c r="I1870" t="str">
        <f>VLOOKUP(Tabla1[[#This Row],[Code]],'[1]Articulos Precio'!$A:$E,5,FALSE)</f>
        <v>A0000103</v>
      </c>
    </row>
    <row r="1871" spans="1:9" x14ac:dyDescent="0.25">
      <c r="A1871" t="s">
        <v>578</v>
      </c>
      <c r="B1871" t="str">
        <f>VLOOKUP(Tabla1[[#This Row],[Code]],[1]!Tabla4[#Data],2,FALSE)</f>
        <v>M2 Metamark M7 139 Calabaza 0,61 x 50m</v>
      </c>
      <c r="C1871">
        <v>25</v>
      </c>
      <c r="D1871" t="s">
        <v>94</v>
      </c>
      <c r="E1871" t="str">
        <f>VLOOKUP(Tabla1[[#This Row],[Cód. Atributo]],[1]!Tabla5[#Data],6,FALSE)</f>
        <v>Select</v>
      </c>
      <c r="F1871">
        <v>5</v>
      </c>
      <c r="G1871">
        <v>4</v>
      </c>
      <c r="H1871" t="s">
        <v>137</v>
      </c>
      <c r="I1871" t="str">
        <f>VLOOKUP(Tabla1[[#This Row],[Code]],'[1]Articulos Precio'!$A:$E,5,FALSE)</f>
        <v>A0000103</v>
      </c>
    </row>
    <row r="1872" spans="1:9" x14ac:dyDescent="0.25">
      <c r="A1872" t="s">
        <v>578</v>
      </c>
      <c r="B1872" t="str">
        <f>VLOOKUP(Tabla1[[#This Row],[Code]],[1]!Tabla4[#Data],2,FALSE)</f>
        <v>M2 Metamark M7 139 Calabaza 0,61 x 50m</v>
      </c>
      <c r="C1872">
        <v>24</v>
      </c>
      <c r="D1872" t="s">
        <v>96</v>
      </c>
      <c r="E1872" t="str">
        <f>VLOOKUP(Tabla1[[#This Row],[Cód. Atributo]],[1]!Tabla5[#Data],6,FALSE)</f>
        <v>Select</v>
      </c>
      <c r="F1872">
        <v>6</v>
      </c>
      <c r="G1872">
        <v>2</v>
      </c>
      <c r="H1872" t="s">
        <v>266</v>
      </c>
      <c r="I1872" t="str">
        <f>VLOOKUP(Tabla1[[#This Row],[Code]],'[1]Articulos Precio'!$A:$E,5,FALSE)</f>
        <v>A0000103</v>
      </c>
    </row>
    <row r="1873" spans="1:9" x14ac:dyDescent="0.25">
      <c r="A1873" t="s">
        <v>580</v>
      </c>
      <c r="B1873" t="str">
        <f>VLOOKUP(Tabla1[[#This Row],[Code]],[1]!Tabla4[#Data],2,FALSE)</f>
        <v>M2 Metamark M7 139 Calabaza 1,22 x 50m</v>
      </c>
      <c r="C1873">
        <v>8</v>
      </c>
      <c r="D1873" t="s">
        <v>86</v>
      </c>
      <c r="E1873" t="str">
        <f>VLOOKUP(Tabla1[[#This Row],[Cód. Atributo]],[1]!Tabla5[#Data],6,FALSE)</f>
        <v>Select</v>
      </c>
      <c r="F1873">
        <v>1</v>
      </c>
      <c r="G1873">
        <v>2</v>
      </c>
      <c r="H1873" t="s">
        <v>268</v>
      </c>
      <c r="I1873" t="str">
        <f>VLOOKUP(Tabla1[[#This Row],[Code]],'[1]Articulos Precio'!$A:$E,5,FALSE)</f>
        <v>A0000103</v>
      </c>
    </row>
    <row r="1874" spans="1:9" x14ac:dyDescent="0.25">
      <c r="A1874" t="s">
        <v>580</v>
      </c>
      <c r="B1874" t="str">
        <f>VLOOKUP(Tabla1[[#This Row],[Code]],[1]!Tabla4[#Data],2,FALSE)</f>
        <v>M2 Metamark M7 139 Calabaza 1,22 x 50m</v>
      </c>
      <c r="C1874">
        <v>13</v>
      </c>
      <c r="D1874" t="s">
        <v>491</v>
      </c>
      <c r="E1874" t="str">
        <f>VLOOKUP(Tabla1[[#This Row],[Cód. Atributo]],[1]!Tabla5[#Data],6,FALSE)</f>
        <v>Color</v>
      </c>
      <c r="F1874">
        <v>2</v>
      </c>
      <c r="G1874">
        <v>69</v>
      </c>
      <c r="H1874" t="s">
        <v>579</v>
      </c>
      <c r="I1874" t="str">
        <f>VLOOKUP(Tabla1[[#This Row],[Code]],'[1]Articulos Precio'!$A:$E,5,FALSE)</f>
        <v>A0000103</v>
      </c>
    </row>
    <row r="1875" spans="1:9" x14ac:dyDescent="0.25">
      <c r="A1875" t="s">
        <v>580</v>
      </c>
      <c r="B1875" t="str">
        <f>VLOOKUP(Tabla1[[#This Row],[Code]],[1]!Tabla4[#Data],2,FALSE)</f>
        <v>M2 Metamark M7 139 Calabaza 1,22 x 50m</v>
      </c>
      <c r="C1875">
        <v>23</v>
      </c>
      <c r="D1875" t="s">
        <v>90</v>
      </c>
      <c r="E1875" t="str">
        <f>VLOOKUP(Tabla1[[#This Row],[Cód. Atributo]],[1]!Tabla5[#Data],6,FALSE)</f>
        <v>Select</v>
      </c>
      <c r="F1875">
        <v>3</v>
      </c>
      <c r="G1875">
        <v>2</v>
      </c>
      <c r="H1875" t="s">
        <v>136</v>
      </c>
      <c r="I1875" t="str">
        <f>VLOOKUP(Tabla1[[#This Row],[Code]],'[1]Articulos Precio'!$A:$E,5,FALSE)</f>
        <v>A0000103</v>
      </c>
    </row>
    <row r="1876" spans="1:9" x14ac:dyDescent="0.25">
      <c r="A1876" t="s">
        <v>580</v>
      </c>
      <c r="B1876" t="str">
        <f>VLOOKUP(Tabla1[[#This Row],[Code]],[1]!Tabla4[#Data],2,FALSE)</f>
        <v>M2 Metamark M7 139 Calabaza 1,22 x 50m</v>
      </c>
      <c r="C1876">
        <v>28</v>
      </c>
      <c r="D1876" t="s">
        <v>92</v>
      </c>
      <c r="E1876" t="str">
        <f>VLOOKUP(Tabla1[[#This Row],[Cód. Atributo]],[1]!Tabla5[#Data],6,FALSE)</f>
        <v>Select</v>
      </c>
      <c r="F1876">
        <v>4</v>
      </c>
      <c r="G1876">
        <v>1</v>
      </c>
      <c r="H1876" t="s">
        <v>93</v>
      </c>
      <c r="I1876" t="str">
        <f>VLOOKUP(Tabla1[[#This Row],[Code]],'[1]Articulos Precio'!$A:$E,5,FALSE)</f>
        <v>A0000103</v>
      </c>
    </row>
    <row r="1877" spans="1:9" x14ac:dyDescent="0.25">
      <c r="A1877" t="s">
        <v>580</v>
      </c>
      <c r="B1877" t="str">
        <f>VLOOKUP(Tabla1[[#This Row],[Code]],[1]!Tabla4[#Data],2,FALSE)</f>
        <v>M2 Metamark M7 139 Calabaza 1,22 x 50m</v>
      </c>
      <c r="C1877">
        <v>25</v>
      </c>
      <c r="D1877" t="s">
        <v>94</v>
      </c>
      <c r="E1877" t="str">
        <f>VLOOKUP(Tabla1[[#This Row],[Cód. Atributo]],[1]!Tabla5[#Data],6,FALSE)</f>
        <v>Select</v>
      </c>
      <c r="F1877">
        <v>5</v>
      </c>
      <c r="G1877">
        <v>4</v>
      </c>
      <c r="H1877" t="s">
        <v>137</v>
      </c>
      <c r="I1877" t="str">
        <f>VLOOKUP(Tabla1[[#This Row],[Code]],'[1]Articulos Precio'!$A:$E,5,FALSE)</f>
        <v>A0000103</v>
      </c>
    </row>
    <row r="1878" spans="1:9" x14ac:dyDescent="0.25">
      <c r="A1878" t="s">
        <v>580</v>
      </c>
      <c r="B1878" t="str">
        <f>VLOOKUP(Tabla1[[#This Row],[Code]],[1]!Tabla4[#Data],2,FALSE)</f>
        <v>M2 Metamark M7 139 Calabaza 1,22 x 50m</v>
      </c>
      <c r="C1878">
        <v>24</v>
      </c>
      <c r="D1878" t="s">
        <v>96</v>
      </c>
      <c r="E1878" t="str">
        <f>VLOOKUP(Tabla1[[#This Row],[Cód. Atributo]],[1]!Tabla5[#Data],6,FALSE)</f>
        <v>Select</v>
      </c>
      <c r="F1878">
        <v>6</v>
      </c>
      <c r="G1878">
        <v>2</v>
      </c>
      <c r="H1878" t="s">
        <v>266</v>
      </c>
      <c r="I1878" t="str">
        <f>VLOOKUP(Tabla1[[#This Row],[Code]],'[1]Articulos Precio'!$A:$E,5,FALSE)</f>
        <v>A0000103</v>
      </c>
    </row>
    <row r="1879" spans="1:9" x14ac:dyDescent="0.25">
      <c r="A1879" t="s">
        <v>581</v>
      </c>
      <c r="B1879" t="str">
        <f>VLOOKUP(Tabla1[[#This Row],[Code]],[1]!Tabla4[#Data],2,FALSE)</f>
        <v>M2 Metamark M7 140 Amapola 0,61 x 50m</v>
      </c>
      <c r="C1879">
        <v>8</v>
      </c>
      <c r="D1879" t="s">
        <v>86</v>
      </c>
      <c r="E1879" t="str">
        <f>VLOOKUP(Tabla1[[#This Row],[Cód. Atributo]],[1]!Tabla5[#Data],6,FALSE)</f>
        <v>Select</v>
      </c>
      <c r="F1879">
        <v>1</v>
      </c>
      <c r="G1879">
        <v>1</v>
      </c>
      <c r="H1879" t="s">
        <v>263</v>
      </c>
      <c r="I1879" t="str">
        <f>VLOOKUP(Tabla1[[#This Row],[Code]],'[1]Articulos Precio'!$A:$E,5,FALSE)</f>
        <v>A0000103</v>
      </c>
    </row>
    <row r="1880" spans="1:9" x14ac:dyDescent="0.25">
      <c r="A1880" t="s">
        <v>581</v>
      </c>
      <c r="B1880" t="str">
        <f>VLOOKUP(Tabla1[[#This Row],[Code]],[1]!Tabla4[#Data],2,FALSE)</f>
        <v>M2 Metamark M7 140 Amapola 0,61 x 50m</v>
      </c>
      <c r="C1880">
        <v>13</v>
      </c>
      <c r="D1880" t="s">
        <v>491</v>
      </c>
      <c r="E1880" t="str">
        <f>VLOOKUP(Tabla1[[#This Row],[Cód. Atributo]],[1]!Tabla5[#Data],6,FALSE)</f>
        <v>Color</v>
      </c>
      <c r="F1880">
        <v>2</v>
      </c>
      <c r="G1880">
        <v>18</v>
      </c>
      <c r="H1880" t="s">
        <v>582</v>
      </c>
      <c r="I1880" t="str">
        <f>VLOOKUP(Tabla1[[#This Row],[Code]],'[1]Articulos Precio'!$A:$E,5,FALSE)</f>
        <v>A0000103</v>
      </c>
    </row>
    <row r="1881" spans="1:9" x14ac:dyDescent="0.25">
      <c r="A1881" t="s">
        <v>581</v>
      </c>
      <c r="B1881" t="str">
        <f>VLOOKUP(Tabla1[[#This Row],[Code]],[1]!Tabla4[#Data],2,FALSE)</f>
        <v>M2 Metamark M7 140 Amapola 0,61 x 50m</v>
      </c>
      <c r="C1881">
        <v>23</v>
      </c>
      <c r="D1881" t="s">
        <v>90</v>
      </c>
      <c r="E1881" t="str">
        <f>VLOOKUP(Tabla1[[#This Row],[Cód. Atributo]],[1]!Tabla5[#Data],6,FALSE)</f>
        <v>Select</v>
      </c>
      <c r="F1881">
        <v>3</v>
      </c>
      <c r="G1881">
        <v>2</v>
      </c>
      <c r="H1881" t="s">
        <v>136</v>
      </c>
      <c r="I1881" t="str">
        <f>VLOOKUP(Tabla1[[#This Row],[Code]],'[1]Articulos Precio'!$A:$E,5,FALSE)</f>
        <v>A0000103</v>
      </c>
    </row>
    <row r="1882" spans="1:9" x14ac:dyDescent="0.25">
      <c r="A1882" t="s">
        <v>581</v>
      </c>
      <c r="B1882" t="str">
        <f>VLOOKUP(Tabla1[[#This Row],[Code]],[1]!Tabla4[#Data],2,FALSE)</f>
        <v>M2 Metamark M7 140 Amapola 0,61 x 50m</v>
      </c>
      <c r="C1882">
        <v>28</v>
      </c>
      <c r="D1882" t="s">
        <v>92</v>
      </c>
      <c r="E1882" t="str">
        <f>VLOOKUP(Tabla1[[#This Row],[Cód. Atributo]],[1]!Tabla5[#Data],6,FALSE)</f>
        <v>Select</v>
      </c>
      <c r="F1882">
        <v>4</v>
      </c>
      <c r="G1882">
        <v>1</v>
      </c>
      <c r="H1882" t="s">
        <v>93</v>
      </c>
      <c r="I1882" t="str">
        <f>VLOOKUP(Tabla1[[#This Row],[Code]],'[1]Articulos Precio'!$A:$E,5,FALSE)</f>
        <v>A0000103</v>
      </c>
    </row>
    <row r="1883" spans="1:9" x14ac:dyDescent="0.25">
      <c r="A1883" t="s">
        <v>581</v>
      </c>
      <c r="B1883" t="str">
        <f>VLOOKUP(Tabla1[[#This Row],[Code]],[1]!Tabla4[#Data],2,FALSE)</f>
        <v>M2 Metamark M7 140 Amapola 0,61 x 50m</v>
      </c>
      <c r="C1883">
        <v>25</v>
      </c>
      <c r="D1883" t="s">
        <v>94</v>
      </c>
      <c r="E1883" t="str">
        <f>VLOOKUP(Tabla1[[#This Row],[Cód. Atributo]],[1]!Tabla5[#Data],6,FALSE)</f>
        <v>Select</v>
      </c>
      <c r="F1883">
        <v>5</v>
      </c>
      <c r="G1883">
        <v>4</v>
      </c>
      <c r="H1883" t="s">
        <v>137</v>
      </c>
      <c r="I1883" t="str">
        <f>VLOOKUP(Tabla1[[#This Row],[Code]],'[1]Articulos Precio'!$A:$E,5,FALSE)</f>
        <v>A0000103</v>
      </c>
    </row>
    <row r="1884" spans="1:9" x14ac:dyDescent="0.25">
      <c r="A1884" t="s">
        <v>581</v>
      </c>
      <c r="B1884" t="str">
        <f>VLOOKUP(Tabla1[[#This Row],[Code]],[1]!Tabla4[#Data],2,FALSE)</f>
        <v>M2 Metamark M7 140 Amapola 0,61 x 50m</v>
      </c>
      <c r="C1884">
        <v>24</v>
      </c>
      <c r="D1884" t="s">
        <v>96</v>
      </c>
      <c r="E1884" t="str">
        <f>VLOOKUP(Tabla1[[#This Row],[Cód. Atributo]],[1]!Tabla5[#Data],6,FALSE)</f>
        <v>Select</v>
      </c>
      <c r="F1884">
        <v>6</v>
      </c>
      <c r="G1884">
        <v>2</v>
      </c>
      <c r="H1884" t="s">
        <v>266</v>
      </c>
      <c r="I1884" t="str">
        <f>VLOOKUP(Tabla1[[#This Row],[Code]],'[1]Articulos Precio'!$A:$E,5,FALSE)</f>
        <v>A0000103</v>
      </c>
    </row>
    <row r="1885" spans="1:9" x14ac:dyDescent="0.25">
      <c r="A1885" t="s">
        <v>583</v>
      </c>
      <c r="B1885" t="str">
        <f>VLOOKUP(Tabla1[[#This Row],[Code]],[1]!Tabla4[#Data],2,FALSE)</f>
        <v>M2 Metamark M7 140 Amapola 1,22 x 50m</v>
      </c>
      <c r="C1885">
        <v>8</v>
      </c>
      <c r="D1885" t="s">
        <v>86</v>
      </c>
      <c r="E1885" t="str">
        <f>VLOOKUP(Tabla1[[#This Row],[Cód. Atributo]],[1]!Tabla5[#Data],6,FALSE)</f>
        <v>Select</v>
      </c>
      <c r="F1885">
        <v>1</v>
      </c>
      <c r="G1885">
        <v>2</v>
      </c>
      <c r="H1885" t="s">
        <v>268</v>
      </c>
      <c r="I1885" t="str">
        <f>VLOOKUP(Tabla1[[#This Row],[Code]],'[1]Articulos Precio'!$A:$E,5,FALSE)</f>
        <v>A0000103</v>
      </c>
    </row>
    <row r="1886" spans="1:9" x14ac:dyDescent="0.25">
      <c r="A1886" t="s">
        <v>583</v>
      </c>
      <c r="B1886" t="str">
        <f>VLOOKUP(Tabla1[[#This Row],[Code]],[1]!Tabla4[#Data],2,FALSE)</f>
        <v>M2 Metamark M7 140 Amapola 1,22 x 50m</v>
      </c>
      <c r="C1886">
        <v>13</v>
      </c>
      <c r="D1886" t="s">
        <v>491</v>
      </c>
      <c r="E1886" t="str">
        <f>VLOOKUP(Tabla1[[#This Row],[Cód. Atributo]],[1]!Tabla5[#Data],6,FALSE)</f>
        <v>Color</v>
      </c>
      <c r="F1886">
        <v>2</v>
      </c>
      <c r="G1886">
        <v>18</v>
      </c>
      <c r="H1886" t="s">
        <v>582</v>
      </c>
      <c r="I1886" t="str">
        <f>VLOOKUP(Tabla1[[#This Row],[Code]],'[1]Articulos Precio'!$A:$E,5,FALSE)</f>
        <v>A0000103</v>
      </c>
    </row>
    <row r="1887" spans="1:9" x14ac:dyDescent="0.25">
      <c r="A1887" t="s">
        <v>583</v>
      </c>
      <c r="B1887" t="str">
        <f>VLOOKUP(Tabla1[[#This Row],[Code]],[1]!Tabla4[#Data],2,FALSE)</f>
        <v>M2 Metamark M7 140 Amapola 1,22 x 50m</v>
      </c>
      <c r="C1887">
        <v>23</v>
      </c>
      <c r="D1887" t="s">
        <v>90</v>
      </c>
      <c r="E1887" t="str">
        <f>VLOOKUP(Tabla1[[#This Row],[Cód. Atributo]],[1]!Tabla5[#Data],6,FALSE)</f>
        <v>Select</v>
      </c>
      <c r="F1887">
        <v>3</v>
      </c>
      <c r="G1887">
        <v>2</v>
      </c>
      <c r="H1887" t="s">
        <v>136</v>
      </c>
      <c r="I1887" t="str">
        <f>VLOOKUP(Tabla1[[#This Row],[Code]],'[1]Articulos Precio'!$A:$E,5,FALSE)</f>
        <v>A0000103</v>
      </c>
    </row>
    <row r="1888" spans="1:9" x14ac:dyDescent="0.25">
      <c r="A1888" t="s">
        <v>583</v>
      </c>
      <c r="B1888" t="str">
        <f>VLOOKUP(Tabla1[[#This Row],[Code]],[1]!Tabla4[#Data],2,FALSE)</f>
        <v>M2 Metamark M7 140 Amapola 1,22 x 50m</v>
      </c>
      <c r="C1888">
        <v>28</v>
      </c>
      <c r="D1888" t="s">
        <v>92</v>
      </c>
      <c r="E1888" t="str">
        <f>VLOOKUP(Tabla1[[#This Row],[Cód. Atributo]],[1]!Tabla5[#Data],6,FALSE)</f>
        <v>Select</v>
      </c>
      <c r="F1888">
        <v>4</v>
      </c>
      <c r="G1888">
        <v>1</v>
      </c>
      <c r="H1888" t="s">
        <v>93</v>
      </c>
      <c r="I1888" t="str">
        <f>VLOOKUP(Tabla1[[#This Row],[Code]],'[1]Articulos Precio'!$A:$E,5,FALSE)</f>
        <v>A0000103</v>
      </c>
    </row>
    <row r="1889" spans="1:9" x14ac:dyDescent="0.25">
      <c r="A1889" t="s">
        <v>583</v>
      </c>
      <c r="B1889" t="str">
        <f>VLOOKUP(Tabla1[[#This Row],[Code]],[1]!Tabla4[#Data],2,FALSE)</f>
        <v>M2 Metamark M7 140 Amapola 1,22 x 50m</v>
      </c>
      <c r="C1889">
        <v>25</v>
      </c>
      <c r="D1889" t="s">
        <v>94</v>
      </c>
      <c r="E1889" t="str">
        <f>VLOOKUP(Tabla1[[#This Row],[Cód. Atributo]],[1]!Tabla5[#Data],6,FALSE)</f>
        <v>Select</v>
      </c>
      <c r="F1889">
        <v>5</v>
      </c>
      <c r="G1889">
        <v>4</v>
      </c>
      <c r="H1889" t="s">
        <v>137</v>
      </c>
      <c r="I1889" t="str">
        <f>VLOOKUP(Tabla1[[#This Row],[Code]],'[1]Articulos Precio'!$A:$E,5,FALSE)</f>
        <v>A0000103</v>
      </c>
    </row>
    <row r="1890" spans="1:9" x14ac:dyDescent="0.25">
      <c r="A1890" t="s">
        <v>583</v>
      </c>
      <c r="B1890" t="str">
        <f>VLOOKUP(Tabla1[[#This Row],[Code]],[1]!Tabla4[#Data],2,FALSE)</f>
        <v>M2 Metamark M7 140 Amapola 1,22 x 50m</v>
      </c>
      <c r="C1890">
        <v>24</v>
      </c>
      <c r="D1890" t="s">
        <v>96</v>
      </c>
      <c r="E1890" t="str">
        <f>VLOOKUP(Tabla1[[#This Row],[Cód. Atributo]],[1]!Tabla5[#Data],6,FALSE)</f>
        <v>Select</v>
      </c>
      <c r="F1890">
        <v>6</v>
      </c>
      <c r="G1890">
        <v>2</v>
      </c>
      <c r="H1890" t="s">
        <v>266</v>
      </c>
      <c r="I1890" t="str">
        <f>VLOOKUP(Tabla1[[#This Row],[Code]],'[1]Articulos Precio'!$A:$E,5,FALSE)</f>
        <v>A0000103</v>
      </c>
    </row>
    <row r="1891" spans="1:9" x14ac:dyDescent="0.25">
      <c r="A1891" t="s">
        <v>584</v>
      </c>
      <c r="B1891" t="str">
        <f>VLOOKUP(Tabla1[[#This Row],[Code]],[1]!Tabla4[#Data],2,FALSE)</f>
        <v>M2 Metamark M7 141 Rojo Llama 0,61 x 50m</v>
      </c>
      <c r="C1891">
        <v>8</v>
      </c>
      <c r="D1891" t="s">
        <v>86</v>
      </c>
      <c r="E1891" t="str">
        <f>VLOOKUP(Tabla1[[#This Row],[Cód. Atributo]],[1]!Tabla5[#Data],6,FALSE)</f>
        <v>Select</v>
      </c>
      <c r="F1891">
        <v>1</v>
      </c>
      <c r="G1891">
        <v>1</v>
      </c>
      <c r="H1891" t="s">
        <v>263</v>
      </c>
      <c r="I1891" t="str">
        <f>VLOOKUP(Tabla1[[#This Row],[Code]],'[1]Articulos Precio'!$A:$E,5,FALSE)</f>
        <v>A0000103</v>
      </c>
    </row>
    <row r="1892" spans="1:9" x14ac:dyDescent="0.25">
      <c r="A1892" t="s">
        <v>584</v>
      </c>
      <c r="B1892" t="str">
        <f>VLOOKUP(Tabla1[[#This Row],[Code]],[1]!Tabla4[#Data],2,FALSE)</f>
        <v>M2 Metamark M7 141 Rojo Llama 0,61 x 50m</v>
      </c>
      <c r="C1892">
        <v>13</v>
      </c>
      <c r="D1892" t="s">
        <v>491</v>
      </c>
      <c r="E1892" t="str">
        <f>VLOOKUP(Tabla1[[#This Row],[Cód. Atributo]],[1]!Tabla5[#Data],6,FALSE)</f>
        <v>Color</v>
      </c>
      <c r="F1892">
        <v>2</v>
      </c>
      <c r="G1892">
        <v>19</v>
      </c>
      <c r="H1892" t="s">
        <v>585</v>
      </c>
      <c r="I1892" t="str">
        <f>VLOOKUP(Tabla1[[#This Row],[Code]],'[1]Articulos Precio'!$A:$E,5,FALSE)</f>
        <v>A0000103</v>
      </c>
    </row>
    <row r="1893" spans="1:9" x14ac:dyDescent="0.25">
      <c r="A1893" t="s">
        <v>584</v>
      </c>
      <c r="B1893" t="str">
        <f>VLOOKUP(Tabla1[[#This Row],[Code]],[1]!Tabla4[#Data],2,FALSE)</f>
        <v>M2 Metamark M7 141 Rojo Llama 0,61 x 50m</v>
      </c>
      <c r="C1893">
        <v>23</v>
      </c>
      <c r="D1893" t="s">
        <v>90</v>
      </c>
      <c r="E1893" t="str">
        <f>VLOOKUP(Tabla1[[#This Row],[Cód. Atributo]],[1]!Tabla5[#Data],6,FALSE)</f>
        <v>Select</v>
      </c>
      <c r="F1893">
        <v>3</v>
      </c>
      <c r="G1893">
        <v>2</v>
      </c>
      <c r="H1893" t="s">
        <v>136</v>
      </c>
      <c r="I1893" t="str">
        <f>VLOOKUP(Tabla1[[#This Row],[Code]],'[1]Articulos Precio'!$A:$E,5,FALSE)</f>
        <v>A0000103</v>
      </c>
    </row>
    <row r="1894" spans="1:9" x14ac:dyDescent="0.25">
      <c r="A1894" t="s">
        <v>584</v>
      </c>
      <c r="B1894" t="str">
        <f>VLOOKUP(Tabla1[[#This Row],[Code]],[1]!Tabla4[#Data],2,FALSE)</f>
        <v>M2 Metamark M7 141 Rojo Llama 0,61 x 50m</v>
      </c>
      <c r="C1894">
        <v>28</v>
      </c>
      <c r="D1894" t="s">
        <v>92</v>
      </c>
      <c r="E1894" t="str">
        <f>VLOOKUP(Tabla1[[#This Row],[Cód. Atributo]],[1]!Tabla5[#Data],6,FALSE)</f>
        <v>Select</v>
      </c>
      <c r="F1894">
        <v>4</v>
      </c>
      <c r="G1894">
        <v>1</v>
      </c>
      <c r="H1894" t="s">
        <v>93</v>
      </c>
      <c r="I1894" t="str">
        <f>VLOOKUP(Tabla1[[#This Row],[Code]],'[1]Articulos Precio'!$A:$E,5,FALSE)</f>
        <v>A0000103</v>
      </c>
    </row>
    <row r="1895" spans="1:9" x14ac:dyDescent="0.25">
      <c r="A1895" t="s">
        <v>584</v>
      </c>
      <c r="B1895" t="str">
        <f>VLOOKUP(Tabla1[[#This Row],[Code]],[1]!Tabla4[#Data],2,FALSE)</f>
        <v>M2 Metamark M7 141 Rojo Llama 0,61 x 50m</v>
      </c>
      <c r="C1895">
        <v>25</v>
      </c>
      <c r="D1895" t="s">
        <v>94</v>
      </c>
      <c r="E1895" t="str">
        <f>VLOOKUP(Tabla1[[#This Row],[Cód. Atributo]],[1]!Tabla5[#Data],6,FALSE)</f>
        <v>Select</v>
      </c>
      <c r="F1895">
        <v>5</v>
      </c>
      <c r="G1895">
        <v>4</v>
      </c>
      <c r="H1895" t="s">
        <v>137</v>
      </c>
      <c r="I1895" t="str">
        <f>VLOOKUP(Tabla1[[#This Row],[Code]],'[1]Articulos Precio'!$A:$E,5,FALSE)</f>
        <v>A0000103</v>
      </c>
    </row>
    <row r="1896" spans="1:9" x14ac:dyDescent="0.25">
      <c r="A1896" t="s">
        <v>584</v>
      </c>
      <c r="B1896" t="str">
        <f>VLOOKUP(Tabla1[[#This Row],[Code]],[1]!Tabla4[#Data],2,FALSE)</f>
        <v>M2 Metamark M7 141 Rojo Llama 0,61 x 50m</v>
      </c>
      <c r="C1896">
        <v>24</v>
      </c>
      <c r="D1896" t="s">
        <v>96</v>
      </c>
      <c r="E1896" t="str">
        <f>VLOOKUP(Tabla1[[#This Row],[Cód. Atributo]],[1]!Tabla5[#Data],6,FALSE)</f>
        <v>Select</v>
      </c>
      <c r="F1896">
        <v>6</v>
      </c>
      <c r="G1896">
        <v>2</v>
      </c>
      <c r="H1896" t="s">
        <v>266</v>
      </c>
      <c r="I1896" t="str">
        <f>VLOOKUP(Tabla1[[#This Row],[Code]],'[1]Articulos Precio'!$A:$E,5,FALSE)</f>
        <v>A0000103</v>
      </c>
    </row>
    <row r="1897" spans="1:9" x14ac:dyDescent="0.25">
      <c r="A1897" t="s">
        <v>586</v>
      </c>
      <c r="B1897" t="str">
        <f>VLOOKUP(Tabla1[[#This Row],[Code]],[1]!Tabla4[#Data],2,FALSE)</f>
        <v>M2 Metamark M7 141 Rojo Llama 1,22 x 50m</v>
      </c>
      <c r="C1897">
        <v>8</v>
      </c>
      <c r="D1897" t="s">
        <v>86</v>
      </c>
      <c r="E1897" t="str">
        <f>VLOOKUP(Tabla1[[#This Row],[Cód. Atributo]],[1]!Tabla5[#Data],6,FALSE)</f>
        <v>Select</v>
      </c>
      <c r="F1897">
        <v>1</v>
      </c>
      <c r="G1897">
        <v>2</v>
      </c>
      <c r="H1897" t="s">
        <v>268</v>
      </c>
      <c r="I1897" t="str">
        <f>VLOOKUP(Tabla1[[#This Row],[Code]],'[1]Articulos Precio'!$A:$E,5,FALSE)</f>
        <v>A0000103</v>
      </c>
    </row>
    <row r="1898" spans="1:9" x14ac:dyDescent="0.25">
      <c r="A1898" t="s">
        <v>586</v>
      </c>
      <c r="B1898" t="str">
        <f>VLOOKUP(Tabla1[[#This Row],[Code]],[1]!Tabla4[#Data],2,FALSE)</f>
        <v>M2 Metamark M7 141 Rojo Llama 1,22 x 50m</v>
      </c>
      <c r="C1898">
        <v>13</v>
      </c>
      <c r="D1898" t="s">
        <v>491</v>
      </c>
      <c r="E1898" t="str">
        <f>VLOOKUP(Tabla1[[#This Row],[Cód. Atributo]],[1]!Tabla5[#Data],6,FALSE)</f>
        <v>Color</v>
      </c>
      <c r="F1898">
        <v>2</v>
      </c>
      <c r="G1898">
        <v>19</v>
      </c>
      <c r="H1898" t="s">
        <v>585</v>
      </c>
      <c r="I1898" t="str">
        <f>VLOOKUP(Tabla1[[#This Row],[Code]],'[1]Articulos Precio'!$A:$E,5,FALSE)</f>
        <v>A0000103</v>
      </c>
    </row>
    <row r="1899" spans="1:9" x14ac:dyDescent="0.25">
      <c r="A1899" t="s">
        <v>586</v>
      </c>
      <c r="B1899" t="str">
        <f>VLOOKUP(Tabla1[[#This Row],[Code]],[1]!Tabla4[#Data],2,FALSE)</f>
        <v>M2 Metamark M7 141 Rojo Llama 1,22 x 50m</v>
      </c>
      <c r="C1899">
        <v>23</v>
      </c>
      <c r="D1899" t="s">
        <v>90</v>
      </c>
      <c r="E1899" t="str">
        <f>VLOOKUP(Tabla1[[#This Row],[Cód. Atributo]],[1]!Tabla5[#Data],6,FALSE)</f>
        <v>Select</v>
      </c>
      <c r="F1899">
        <v>3</v>
      </c>
      <c r="G1899">
        <v>2</v>
      </c>
      <c r="H1899" t="s">
        <v>136</v>
      </c>
      <c r="I1899" t="str">
        <f>VLOOKUP(Tabla1[[#This Row],[Code]],'[1]Articulos Precio'!$A:$E,5,FALSE)</f>
        <v>A0000103</v>
      </c>
    </row>
    <row r="1900" spans="1:9" x14ac:dyDescent="0.25">
      <c r="A1900" t="s">
        <v>586</v>
      </c>
      <c r="B1900" t="str">
        <f>VLOOKUP(Tabla1[[#This Row],[Code]],[1]!Tabla4[#Data],2,FALSE)</f>
        <v>M2 Metamark M7 141 Rojo Llama 1,22 x 50m</v>
      </c>
      <c r="C1900">
        <v>28</v>
      </c>
      <c r="D1900" t="s">
        <v>92</v>
      </c>
      <c r="E1900" t="str">
        <f>VLOOKUP(Tabla1[[#This Row],[Cód. Atributo]],[1]!Tabla5[#Data],6,FALSE)</f>
        <v>Select</v>
      </c>
      <c r="F1900">
        <v>4</v>
      </c>
      <c r="G1900">
        <v>1</v>
      </c>
      <c r="H1900" t="s">
        <v>93</v>
      </c>
      <c r="I1900" t="str">
        <f>VLOOKUP(Tabla1[[#This Row],[Code]],'[1]Articulos Precio'!$A:$E,5,FALSE)</f>
        <v>A0000103</v>
      </c>
    </row>
    <row r="1901" spans="1:9" x14ac:dyDescent="0.25">
      <c r="A1901" t="s">
        <v>586</v>
      </c>
      <c r="B1901" t="str">
        <f>VLOOKUP(Tabla1[[#This Row],[Code]],[1]!Tabla4[#Data],2,FALSE)</f>
        <v>M2 Metamark M7 141 Rojo Llama 1,22 x 50m</v>
      </c>
      <c r="C1901">
        <v>25</v>
      </c>
      <c r="D1901" t="s">
        <v>94</v>
      </c>
      <c r="E1901" t="str">
        <f>VLOOKUP(Tabla1[[#This Row],[Cód. Atributo]],[1]!Tabla5[#Data],6,FALSE)</f>
        <v>Select</v>
      </c>
      <c r="F1901">
        <v>5</v>
      </c>
      <c r="G1901">
        <v>4</v>
      </c>
      <c r="H1901" t="s">
        <v>137</v>
      </c>
      <c r="I1901" t="str">
        <f>VLOOKUP(Tabla1[[#This Row],[Code]],'[1]Articulos Precio'!$A:$E,5,FALSE)</f>
        <v>A0000103</v>
      </c>
    </row>
    <row r="1902" spans="1:9" x14ac:dyDescent="0.25">
      <c r="A1902" t="s">
        <v>586</v>
      </c>
      <c r="B1902" t="str">
        <f>VLOOKUP(Tabla1[[#This Row],[Code]],[1]!Tabla4[#Data],2,FALSE)</f>
        <v>M2 Metamark M7 141 Rojo Llama 1,22 x 50m</v>
      </c>
      <c r="C1902">
        <v>24</v>
      </c>
      <c r="D1902" t="s">
        <v>96</v>
      </c>
      <c r="E1902" t="str">
        <f>VLOOKUP(Tabla1[[#This Row],[Cód. Atributo]],[1]!Tabla5[#Data],6,FALSE)</f>
        <v>Select</v>
      </c>
      <c r="F1902">
        <v>6</v>
      </c>
      <c r="G1902">
        <v>2</v>
      </c>
      <c r="H1902" t="s">
        <v>266</v>
      </c>
      <c r="I1902" t="str">
        <f>VLOOKUP(Tabla1[[#This Row],[Code]],'[1]Articulos Precio'!$A:$E,5,FALSE)</f>
        <v>A0000103</v>
      </c>
    </row>
    <row r="1903" spans="1:9" x14ac:dyDescent="0.25">
      <c r="A1903" t="s">
        <v>587</v>
      </c>
      <c r="B1903" t="str">
        <f>VLOOKUP(Tabla1[[#This Row],[Code]],[1]!Tabla4[#Data],2,FALSE)</f>
        <v>M2 Metamark M7 142 Rojo Tomate 0,61 x 50m</v>
      </c>
      <c r="C1903">
        <v>8</v>
      </c>
      <c r="D1903" t="s">
        <v>86</v>
      </c>
      <c r="E1903" t="str">
        <f>VLOOKUP(Tabla1[[#This Row],[Cód. Atributo]],[1]!Tabla5[#Data],6,FALSE)</f>
        <v>Select</v>
      </c>
      <c r="F1903">
        <v>1</v>
      </c>
      <c r="G1903">
        <v>1</v>
      </c>
      <c r="H1903" t="s">
        <v>263</v>
      </c>
      <c r="I1903" t="str">
        <f>VLOOKUP(Tabla1[[#This Row],[Code]],'[1]Articulos Precio'!$A:$E,5,FALSE)</f>
        <v>A0000103</v>
      </c>
    </row>
    <row r="1904" spans="1:9" x14ac:dyDescent="0.25">
      <c r="A1904" t="s">
        <v>587</v>
      </c>
      <c r="B1904" t="str">
        <f>VLOOKUP(Tabla1[[#This Row],[Code]],[1]!Tabla4[#Data],2,FALSE)</f>
        <v>M2 Metamark M7 142 Rojo Tomate 0,61 x 50m</v>
      </c>
      <c r="C1904">
        <v>13</v>
      </c>
      <c r="D1904" t="s">
        <v>491</v>
      </c>
      <c r="E1904" t="str">
        <f>VLOOKUP(Tabla1[[#This Row],[Cód. Atributo]],[1]!Tabla5[#Data],6,FALSE)</f>
        <v>Color</v>
      </c>
      <c r="F1904">
        <v>2</v>
      </c>
      <c r="G1904">
        <v>20</v>
      </c>
      <c r="H1904" t="s">
        <v>588</v>
      </c>
      <c r="I1904" t="str">
        <f>VLOOKUP(Tabla1[[#This Row],[Code]],'[1]Articulos Precio'!$A:$E,5,FALSE)</f>
        <v>A0000103</v>
      </c>
    </row>
    <row r="1905" spans="1:9" x14ac:dyDescent="0.25">
      <c r="A1905" t="s">
        <v>587</v>
      </c>
      <c r="B1905" t="str">
        <f>VLOOKUP(Tabla1[[#This Row],[Code]],[1]!Tabla4[#Data],2,FALSE)</f>
        <v>M2 Metamark M7 142 Rojo Tomate 0,61 x 50m</v>
      </c>
      <c r="C1905">
        <v>23</v>
      </c>
      <c r="D1905" t="s">
        <v>90</v>
      </c>
      <c r="E1905" t="str">
        <f>VLOOKUP(Tabla1[[#This Row],[Cód. Atributo]],[1]!Tabla5[#Data],6,FALSE)</f>
        <v>Select</v>
      </c>
      <c r="F1905">
        <v>3</v>
      </c>
      <c r="G1905">
        <v>2</v>
      </c>
      <c r="H1905" t="s">
        <v>136</v>
      </c>
      <c r="I1905" t="str">
        <f>VLOOKUP(Tabla1[[#This Row],[Code]],'[1]Articulos Precio'!$A:$E,5,FALSE)</f>
        <v>A0000103</v>
      </c>
    </row>
    <row r="1906" spans="1:9" x14ac:dyDescent="0.25">
      <c r="A1906" t="s">
        <v>587</v>
      </c>
      <c r="B1906" t="str">
        <f>VLOOKUP(Tabla1[[#This Row],[Code]],[1]!Tabla4[#Data],2,FALSE)</f>
        <v>M2 Metamark M7 142 Rojo Tomate 0,61 x 50m</v>
      </c>
      <c r="C1906">
        <v>28</v>
      </c>
      <c r="D1906" t="s">
        <v>92</v>
      </c>
      <c r="E1906" t="str">
        <f>VLOOKUP(Tabla1[[#This Row],[Cód. Atributo]],[1]!Tabla5[#Data],6,FALSE)</f>
        <v>Select</v>
      </c>
      <c r="F1906">
        <v>4</v>
      </c>
      <c r="G1906">
        <v>1</v>
      </c>
      <c r="H1906" t="s">
        <v>93</v>
      </c>
      <c r="I1906" t="str">
        <f>VLOOKUP(Tabla1[[#This Row],[Code]],'[1]Articulos Precio'!$A:$E,5,FALSE)</f>
        <v>A0000103</v>
      </c>
    </row>
    <row r="1907" spans="1:9" x14ac:dyDescent="0.25">
      <c r="A1907" t="s">
        <v>587</v>
      </c>
      <c r="B1907" t="str">
        <f>VLOOKUP(Tabla1[[#This Row],[Code]],[1]!Tabla4[#Data],2,FALSE)</f>
        <v>M2 Metamark M7 142 Rojo Tomate 0,61 x 50m</v>
      </c>
      <c r="C1907">
        <v>25</v>
      </c>
      <c r="D1907" t="s">
        <v>94</v>
      </c>
      <c r="E1907" t="str">
        <f>VLOOKUP(Tabla1[[#This Row],[Cód. Atributo]],[1]!Tabla5[#Data],6,FALSE)</f>
        <v>Select</v>
      </c>
      <c r="F1907">
        <v>5</v>
      </c>
      <c r="G1907">
        <v>4</v>
      </c>
      <c r="H1907" t="s">
        <v>137</v>
      </c>
      <c r="I1907" t="str">
        <f>VLOOKUP(Tabla1[[#This Row],[Code]],'[1]Articulos Precio'!$A:$E,5,FALSE)</f>
        <v>A0000103</v>
      </c>
    </row>
    <row r="1908" spans="1:9" x14ac:dyDescent="0.25">
      <c r="A1908" t="s">
        <v>587</v>
      </c>
      <c r="B1908" t="str">
        <f>VLOOKUP(Tabla1[[#This Row],[Code]],[1]!Tabla4[#Data],2,FALSE)</f>
        <v>M2 Metamark M7 142 Rojo Tomate 0,61 x 50m</v>
      </c>
      <c r="C1908">
        <v>24</v>
      </c>
      <c r="D1908" t="s">
        <v>96</v>
      </c>
      <c r="E1908" t="str">
        <f>VLOOKUP(Tabla1[[#This Row],[Cód. Atributo]],[1]!Tabla5[#Data],6,FALSE)</f>
        <v>Select</v>
      </c>
      <c r="F1908">
        <v>6</v>
      </c>
      <c r="G1908">
        <v>2</v>
      </c>
      <c r="H1908" t="s">
        <v>266</v>
      </c>
      <c r="I1908" t="str">
        <f>VLOOKUP(Tabla1[[#This Row],[Code]],'[1]Articulos Precio'!$A:$E,5,FALSE)</f>
        <v>A0000103</v>
      </c>
    </row>
    <row r="1909" spans="1:9" x14ac:dyDescent="0.25">
      <c r="A1909" t="s">
        <v>589</v>
      </c>
      <c r="B1909" t="str">
        <f>VLOOKUP(Tabla1[[#This Row],[Code]],[1]!Tabla4[#Data],2,FALSE)</f>
        <v>M2 Metamark M7 142 Rojo Tomate 1,22 x 50m</v>
      </c>
      <c r="C1909">
        <v>8</v>
      </c>
      <c r="D1909" t="s">
        <v>86</v>
      </c>
      <c r="E1909" t="str">
        <f>VLOOKUP(Tabla1[[#This Row],[Cód. Atributo]],[1]!Tabla5[#Data],6,FALSE)</f>
        <v>Select</v>
      </c>
      <c r="F1909">
        <v>1</v>
      </c>
      <c r="G1909">
        <v>2</v>
      </c>
      <c r="H1909" t="s">
        <v>268</v>
      </c>
      <c r="I1909" t="str">
        <f>VLOOKUP(Tabla1[[#This Row],[Code]],'[1]Articulos Precio'!$A:$E,5,FALSE)</f>
        <v>A0000103</v>
      </c>
    </row>
    <row r="1910" spans="1:9" x14ac:dyDescent="0.25">
      <c r="A1910" t="s">
        <v>589</v>
      </c>
      <c r="B1910" t="str">
        <f>VLOOKUP(Tabla1[[#This Row],[Code]],[1]!Tabla4[#Data],2,FALSE)</f>
        <v>M2 Metamark M7 142 Rojo Tomate 1,22 x 50m</v>
      </c>
      <c r="C1910">
        <v>13</v>
      </c>
      <c r="D1910" t="s">
        <v>491</v>
      </c>
      <c r="E1910" t="str">
        <f>VLOOKUP(Tabla1[[#This Row],[Cód. Atributo]],[1]!Tabla5[#Data],6,FALSE)</f>
        <v>Color</v>
      </c>
      <c r="F1910">
        <v>2</v>
      </c>
      <c r="G1910">
        <v>20</v>
      </c>
      <c r="H1910" t="s">
        <v>588</v>
      </c>
      <c r="I1910" t="str">
        <f>VLOOKUP(Tabla1[[#This Row],[Code]],'[1]Articulos Precio'!$A:$E,5,FALSE)</f>
        <v>A0000103</v>
      </c>
    </row>
    <row r="1911" spans="1:9" x14ac:dyDescent="0.25">
      <c r="A1911" t="s">
        <v>589</v>
      </c>
      <c r="B1911" t="str">
        <f>VLOOKUP(Tabla1[[#This Row],[Code]],[1]!Tabla4[#Data],2,FALSE)</f>
        <v>M2 Metamark M7 142 Rojo Tomate 1,22 x 50m</v>
      </c>
      <c r="C1911">
        <v>23</v>
      </c>
      <c r="D1911" t="s">
        <v>90</v>
      </c>
      <c r="E1911" t="str">
        <f>VLOOKUP(Tabla1[[#This Row],[Cód. Atributo]],[1]!Tabla5[#Data],6,FALSE)</f>
        <v>Select</v>
      </c>
      <c r="F1911">
        <v>3</v>
      </c>
      <c r="G1911">
        <v>2</v>
      </c>
      <c r="H1911" t="s">
        <v>136</v>
      </c>
      <c r="I1911" t="str">
        <f>VLOOKUP(Tabla1[[#This Row],[Code]],'[1]Articulos Precio'!$A:$E,5,FALSE)</f>
        <v>A0000103</v>
      </c>
    </row>
    <row r="1912" spans="1:9" x14ac:dyDescent="0.25">
      <c r="A1912" t="s">
        <v>589</v>
      </c>
      <c r="B1912" t="str">
        <f>VLOOKUP(Tabla1[[#This Row],[Code]],[1]!Tabla4[#Data],2,FALSE)</f>
        <v>M2 Metamark M7 142 Rojo Tomate 1,22 x 50m</v>
      </c>
      <c r="C1912">
        <v>28</v>
      </c>
      <c r="D1912" t="s">
        <v>92</v>
      </c>
      <c r="E1912" t="str">
        <f>VLOOKUP(Tabla1[[#This Row],[Cód. Atributo]],[1]!Tabla5[#Data],6,FALSE)</f>
        <v>Select</v>
      </c>
      <c r="F1912">
        <v>4</v>
      </c>
      <c r="G1912">
        <v>1</v>
      </c>
      <c r="H1912" t="s">
        <v>93</v>
      </c>
      <c r="I1912" t="str">
        <f>VLOOKUP(Tabla1[[#This Row],[Code]],'[1]Articulos Precio'!$A:$E,5,FALSE)</f>
        <v>A0000103</v>
      </c>
    </row>
    <row r="1913" spans="1:9" x14ac:dyDescent="0.25">
      <c r="A1913" t="s">
        <v>589</v>
      </c>
      <c r="B1913" t="str">
        <f>VLOOKUP(Tabla1[[#This Row],[Code]],[1]!Tabla4[#Data],2,FALSE)</f>
        <v>M2 Metamark M7 142 Rojo Tomate 1,22 x 50m</v>
      </c>
      <c r="C1913">
        <v>25</v>
      </c>
      <c r="D1913" t="s">
        <v>94</v>
      </c>
      <c r="E1913" t="str">
        <f>VLOOKUP(Tabla1[[#This Row],[Cód. Atributo]],[1]!Tabla5[#Data],6,FALSE)</f>
        <v>Select</v>
      </c>
      <c r="F1913">
        <v>5</v>
      </c>
      <c r="G1913">
        <v>4</v>
      </c>
      <c r="H1913" t="s">
        <v>137</v>
      </c>
      <c r="I1913" t="str">
        <f>VLOOKUP(Tabla1[[#This Row],[Code]],'[1]Articulos Precio'!$A:$E,5,FALSE)</f>
        <v>A0000103</v>
      </c>
    </row>
    <row r="1914" spans="1:9" x14ac:dyDescent="0.25">
      <c r="A1914" t="s">
        <v>589</v>
      </c>
      <c r="B1914" t="str">
        <f>VLOOKUP(Tabla1[[#This Row],[Code]],[1]!Tabla4[#Data],2,FALSE)</f>
        <v>M2 Metamark M7 142 Rojo Tomate 1,22 x 50m</v>
      </c>
      <c r="C1914">
        <v>24</v>
      </c>
      <c r="D1914" t="s">
        <v>96</v>
      </c>
      <c r="E1914" t="str">
        <f>VLOOKUP(Tabla1[[#This Row],[Cód. Atributo]],[1]!Tabla5[#Data],6,FALSE)</f>
        <v>Select</v>
      </c>
      <c r="F1914">
        <v>6</v>
      </c>
      <c r="G1914">
        <v>2</v>
      </c>
      <c r="H1914" t="s">
        <v>266</v>
      </c>
      <c r="I1914" t="str">
        <f>VLOOKUP(Tabla1[[#This Row],[Code]],'[1]Articulos Precio'!$A:$E,5,FALSE)</f>
        <v>A0000103</v>
      </c>
    </row>
    <row r="1915" spans="1:9" x14ac:dyDescent="0.25">
      <c r="A1915" t="s">
        <v>590</v>
      </c>
      <c r="B1915" t="str">
        <f>VLOOKUP(Tabla1[[#This Row],[Code]],[1]!Tabla4[#Data],2,FALSE)</f>
        <v>M2 Metamark M7 143 Rojo Cereza 0,61 x 50m</v>
      </c>
      <c r="C1915">
        <v>8</v>
      </c>
      <c r="D1915" t="s">
        <v>86</v>
      </c>
      <c r="E1915" t="str">
        <f>VLOOKUP(Tabla1[[#This Row],[Cód. Atributo]],[1]!Tabla5[#Data],6,FALSE)</f>
        <v>Select</v>
      </c>
      <c r="F1915">
        <v>1</v>
      </c>
      <c r="G1915">
        <v>1</v>
      </c>
      <c r="H1915" t="s">
        <v>263</v>
      </c>
      <c r="I1915" t="str">
        <f>VLOOKUP(Tabla1[[#This Row],[Code]],'[1]Articulos Precio'!$A:$E,5,FALSE)</f>
        <v>A0000103</v>
      </c>
    </row>
    <row r="1916" spans="1:9" x14ac:dyDescent="0.25">
      <c r="A1916" t="s">
        <v>590</v>
      </c>
      <c r="B1916" t="str">
        <f>VLOOKUP(Tabla1[[#This Row],[Code]],[1]!Tabla4[#Data],2,FALSE)</f>
        <v>M2 Metamark M7 143 Rojo Cereza 0,61 x 50m</v>
      </c>
      <c r="C1916">
        <v>13</v>
      </c>
      <c r="D1916" t="s">
        <v>491</v>
      </c>
      <c r="E1916" t="str">
        <f>VLOOKUP(Tabla1[[#This Row],[Cód. Atributo]],[1]!Tabla5[#Data],6,FALSE)</f>
        <v>Color</v>
      </c>
      <c r="F1916">
        <v>2</v>
      </c>
      <c r="G1916">
        <v>21</v>
      </c>
      <c r="H1916" t="s">
        <v>591</v>
      </c>
      <c r="I1916" t="str">
        <f>VLOOKUP(Tabla1[[#This Row],[Code]],'[1]Articulos Precio'!$A:$E,5,FALSE)</f>
        <v>A0000103</v>
      </c>
    </row>
    <row r="1917" spans="1:9" x14ac:dyDescent="0.25">
      <c r="A1917" t="s">
        <v>590</v>
      </c>
      <c r="B1917" t="str">
        <f>VLOOKUP(Tabla1[[#This Row],[Code]],[1]!Tabla4[#Data],2,FALSE)</f>
        <v>M2 Metamark M7 143 Rojo Cereza 0,61 x 50m</v>
      </c>
      <c r="C1917">
        <v>23</v>
      </c>
      <c r="D1917" t="s">
        <v>90</v>
      </c>
      <c r="E1917" t="str">
        <f>VLOOKUP(Tabla1[[#This Row],[Cód. Atributo]],[1]!Tabla5[#Data],6,FALSE)</f>
        <v>Select</v>
      </c>
      <c r="F1917">
        <v>3</v>
      </c>
      <c r="G1917">
        <v>2</v>
      </c>
      <c r="H1917" t="s">
        <v>136</v>
      </c>
      <c r="I1917" t="str">
        <f>VLOOKUP(Tabla1[[#This Row],[Code]],'[1]Articulos Precio'!$A:$E,5,FALSE)</f>
        <v>A0000103</v>
      </c>
    </row>
    <row r="1918" spans="1:9" x14ac:dyDescent="0.25">
      <c r="A1918" t="s">
        <v>590</v>
      </c>
      <c r="B1918" t="str">
        <f>VLOOKUP(Tabla1[[#This Row],[Code]],[1]!Tabla4[#Data],2,FALSE)</f>
        <v>M2 Metamark M7 143 Rojo Cereza 0,61 x 50m</v>
      </c>
      <c r="C1918">
        <v>28</v>
      </c>
      <c r="D1918" t="s">
        <v>92</v>
      </c>
      <c r="E1918" t="str">
        <f>VLOOKUP(Tabla1[[#This Row],[Cód. Atributo]],[1]!Tabla5[#Data],6,FALSE)</f>
        <v>Select</v>
      </c>
      <c r="F1918">
        <v>4</v>
      </c>
      <c r="G1918">
        <v>1</v>
      </c>
      <c r="H1918" t="s">
        <v>93</v>
      </c>
      <c r="I1918" t="str">
        <f>VLOOKUP(Tabla1[[#This Row],[Code]],'[1]Articulos Precio'!$A:$E,5,FALSE)</f>
        <v>A0000103</v>
      </c>
    </row>
    <row r="1919" spans="1:9" x14ac:dyDescent="0.25">
      <c r="A1919" t="s">
        <v>590</v>
      </c>
      <c r="B1919" t="str">
        <f>VLOOKUP(Tabla1[[#This Row],[Code]],[1]!Tabla4[#Data],2,FALSE)</f>
        <v>M2 Metamark M7 143 Rojo Cereza 0,61 x 50m</v>
      </c>
      <c r="C1919">
        <v>25</v>
      </c>
      <c r="D1919" t="s">
        <v>94</v>
      </c>
      <c r="E1919" t="str">
        <f>VLOOKUP(Tabla1[[#This Row],[Cód. Atributo]],[1]!Tabla5[#Data],6,FALSE)</f>
        <v>Select</v>
      </c>
      <c r="F1919">
        <v>5</v>
      </c>
      <c r="G1919">
        <v>4</v>
      </c>
      <c r="H1919" t="s">
        <v>137</v>
      </c>
      <c r="I1919" t="str">
        <f>VLOOKUP(Tabla1[[#This Row],[Code]],'[1]Articulos Precio'!$A:$E,5,FALSE)</f>
        <v>A0000103</v>
      </c>
    </row>
    <row r="1920" spans="1:9" x14ac:dyDescent="0.25">
      <c r="A1920" t="s">
        <v>590</v>
      </c>
      <c r="B1920" t="str">
        <f>VLOOKUP(Tabla1[[#This Row],[Code]],[1]!Tabla4[#Data],2,FALSE)</f>
        <v>M2 Metamark M7 143 Rojo Cereza 0,61 x 50m</v>
      </c>
      <c r="C1920">
        <v>24</v>
      </c>
      <c r="D1920" t="s">
        <v>96</v>
      </c>
      <c r="E1920" t="str">
        <f>VLOOKUP(Tabla1[[#This Row],[Cód. Atributo]],[1]!Tabla5[#Data],6,FALSE)</f>
        <v>Select</v>
      </c>
      <c r="F1920">
        <v>6</v>
      </c>
      <c r="G1920">
        <v>2</v>
      </c>
      <c r="H1920" t="s">
        <v>266</v>
      </c>
      <c r="I1920" t="str">
        <f>VLOOKUP(Tabla1[[#This Row],[Code]],'[1]Articulos Precio'!$A:$E,5,FALSE)</f>
        <v>A0000103</v>
      </c>
    </row>
    <row r="1921" spans="1:9" x14ac:dyDescent="0.25">
      <c r="A1921" t="s">
        <v>592</v>
      </c>
      <c r="B1921" t="str">
        <f>VLOOKUP(Tabla1[[#This Row],[Code]],[1]!Tabla4[#Data],2,FALSE)</f>
        <v>M2 Metamark M7 143 Rojo Cereza 1,22 x 50m</v>
      </c>
      <c r="C1921">
        <v>8</v>
      </c>
      <c r="D1921" t="s">
        <v>86</v>
      </c>
      <c r="E1921" t="str">
        <f>VLOOKUP(Tabla1[[#This Row],[Cód. Atributo]],[1]!Tabla5[#Data],6,FALSE)</f>
        <v>Select</v>
      </c>
      <c r="F1921">
        <v>1</v>
      </c>
      <c r="G1921">
        <v>2</v>
      </c>
      <c r="H1921" t="s">
        <v>268</v>
      </c>
      <c r="I1921" t="str">
        <f>VLOOKUP(Tabla1[[#This Row],[Code]],'[1]Articulos Precio'!$A:$E,5,FALSE)</f>
        <v>A0000103</v>
      </c>
    </row>
    <row r="1922" spans="1:9" x14ac:dyDescent="0.25">
      <c r="A1922" t="s">
        <v>592</v>
      </c>
      <c r="B1922" t="str">
        <f>VLOOKUP(Tabla1[[#This Row],[Code]],[1]!Tabla4[#Data],2,FALSE)</f>
        <v>M2 Metamark M7 143 Rojo Cereza 1,22 x 50m</v>
      </c>
      <c r="C1922">
        <v>13</v>
      </c>
      <c r="D1922" t="s">
        <v>491</v>
      </c>
      <c r="E1922" t="str">
        <f>VLOOKUP(Tabla1[[#This Row],[Cód. Atributo]],[1]!Tabla5[#Data],6,FALSE)</f>
        <v>Color</v>
      </c>
      <c r="F1922">
        <v>2</v>
      </c>
      <c r="G1922">
        <v>21</v>
      </c>
      <c r="H1922" t="s">
        <v>591</v>
      </c>
      <c r="I1922" t="str">
        <f>VLOOKUP(Tabla1[[#This Row],[Code]],'[1]Articulos Precio'!$A:$E,5,FALSE)</f>
        <v>A0000103</v>
      </c>
    </row>
    <row r="1923" spans="1:9" x14ac:dyDescent="0.25">
      <c r="A1923" t="s">
        <v>592</v>
      </c>
      <c r="B1923" t="str">
        <f>VLOOKUP(Tabla1[[#This Row],[Code]],[1]!Tabla4[#Data],2,FALSE)</f>
        <v>M2 Metamark M7 143 Rojo Cereza 1,22 x 50m</v>
      </c>
      <c r="C1923">
        <v>23</v>
      </c>
      <c r="D1923" t="s">
        <v>90</v>
      </c>
      <c r="E1923" t="str">
        <f>VLOOKUP(Tabla1[[#This Row],[Cód. Atributo]],[1]!Tabla5[#Data],6,FALSE)</f>
        <v>Select</v>
      </c>
      <c r="F1923">
        <v>4</v>
      </c>
      <c r="G1923">
        <v>2</v>
      </c>
      <c r="H1923" t="s">
        <v>136</v>
      </c>
      <c r="I1923" t="str">
        <f>VLOOKUP(Tabla1[[#This Row],[Code]],'[1]Articulos Precio'!$A:$E,5,FALSE)</f>
        <v>A0000103</v>
      </c>
    </row>
    <row r="1924" spans="1:9" x14ac:dyDescent="0.25">
      <c r="A1924" t="s">
        <v>592</v>
      </c>
      <c r="B1924" t="str">
        <f>VLOOKUP(Tabla1[[#This Row],[Code]],[1]!Tabla4[#Data],2,FALSE)</f>
        <v>M2 Metamark M7 143 Rojo Cereza 1,22 x 50m</v>
      </c>
      <c r="C1924">
        <v>28</v>
      </c>
      <c r="D1924" t="s">
        <v>92</v>
      </c>
      <c r="E1924" t="str">
        <f>VLOOKUP(Tabla1[[#This Row],[Cód. Atributo]],[1]!Tabla5[#Data],6,FALSE)</f>
        <v>Select</v>
      </c>
      <c r="F1924">
        <v>5</v>
      </c>
      <c r="G1924">
        <v>1</v>
      </c>
      <c r="H1924" t="s">
        <v>93</v>
      </c>
      <c r="I1924" t="str">
        <f>VLOOKUP(Tabla1[[#This Row],[Code]],'[1]Articulos Precio'!$A:$E,5,FALSE)</f>
        <v>A0000103</v>
      </c>
    </row>
    <row r="1925" spans="1:9" x14ac:dyDescent="0.25">
      <c r="A1925" t="s">
        <v>592</v>
      </c>
      <c r="B1925" t="str">
        <f>VLOOKUP(Tabla1[[#This Row],[Code]],[1]!Tabla4[#Data],2,FALSE)</f>
        <v>M2 Metamark M7 143 Rojo Cereza 1,22 x 50m</v>
      </c>
      <c r="C1925">
        <v>25</v>
      </c>
      <c r="D1925" t="s">
        <v>94</v>
      </c>
      <c r="E1925" t="str">
        <f>VLOOKUP(Tabla1[[#This Row],[Cód. Atributo]],[1]!Tabla5[#Data],6,FALSE)</f>
        <v>Select</v>
      </c>
      <c r="F1925">
        <v>6</v>
      </c>
      <c r="G1925">
        <v>4</v>
      </c>
      <c r="H1925" t="s">
        <v>137</v>
      </c>
      <c r="I1925" t="str">
        <f>VLOOKUP(Tabla1[[#This Row],[Code]],'[1]Articulos Precio'!$A:$E,5,FALSE)</f>
        <v>A0000103</v>
      </c>
    </row>
    <row r="1926" spans="1:9" x14ac:dyDescent="0.25">
      <c r="A1926" t="s">
        <v>592</v>
      </c>
      <c r="B1926" t="str">
        <f>VLOOKUP(Tabla1[[#This Row],[Code]],[1]!Tabla4[#Data],2,FALSE)</f>
        <v>M2 Metamark M7 143 Rojo Cereza 1,22 x 50m</v>
      </c>
      <c r="C1926">
        <v>24</v>
      </c>
      <c r="D1926" t="s">
        <v>96</v>
      </c>
      <c r="E1926" t="str">
        <f>VLOOKUP(Tabla1[[#This Row],[Cód. Atributo]],[1]!Tabla5[#Data],6,FALSE)</f>
        <v>Select</v>
      </c>
      <c r="F1926">
        <v>7</v>
      </c>
      <c r="G1926">
        <v>2</v>
      </c>
      <c r="H1926" t="s">
        <v>266</v>
      </c>
      <c r="I1926" t="str">
        <f>VLOOKUP(Tabla1[[#This Row],[Code]],'[1]Articulos Precio'!$A:$E,5,FALSE)</f>
        <v>A0000103</v>
      </c>
    </row>
    <row r="1927" spans="1:9" x14ac:dyDescent="0.25">
      <c r="A1927" t="s">
        <v>593</v>
      </c>
      <c r="B1927" t="str">
        <f>VLOOKUP(Tabla1[[#This Row],[Code]],[1]!Tabla4[#Data],2,FALSE)</f>
        <v>M2 Metamark M7 144 Rojo Medio 0,61 x 50m</v>
      </c>
      <c r="C1927">
        <v>8</v>
      </c>
      <c r="D1927" t="s">
        <v>86</v>
      </c>
      <c r="E1927" t="str">
        <f>VLOOKUP(Tabla1[[#This Row],[Cód. Atributo]],[1]!Tabla5[#Data],6,FALSE)</f>
        <v>Select</v>
      </c>
      <c r="F1927">
        <v>1</v>
      </c>
      <c r="G1927">
        <v>1</v>
      </c>
      <c r="H1927" t="s">
        <v>263</v>
      </c>
      <c r="I1927" t="str">
        <f>VLOOKUP(Tabla1[[#This Row],[Code]],'[1]Articulos Precio'!$A:$E,5,FALSE)</f>
        <v>A0000103</v>
      </c>
    </row>
    <row r="1928" spans="1:9" x14ac:dyDescent="0.25">
      <c r="A1928" t="s">
        <v>593</v>
      </c>
      <c r="B1928" t="str">
        <f>VLOOKUP(Tabla1[[#This Row],[Code]],[1]!Tabla4[#Data],2,FALSE)</f>
        <v>M2 Metamark M7 144 Rojo Medio 0,61 x 50m</v>
      </c>
      <c r="C1928">
        <v>13</v>
      </c>
      <c r="D1928" t="s">
        <v>491</v>
      </c>
      <c r="E1928" t="str">
        <f>VLOOKUP(Tabla1[[#This Row],[Cód. Atributo]],[1]!Tabla5[#Data],6,FALSE)</f>
        <v>Color</v>
      </c>
      <c r="F1928">
        <v>2</v>
      </c>
      <c r="G1928">
        <v>22</v>
      </c>
      <c r="H1928" t="s">
        <v>594</v>
      </c>
      <c r="I1928" t="str">
        <f>VLOOKUP(Tabla1[[#This Row],[Code]],'[1]Articulos Precio'!$A:$E,5,FALSE)</f>
        <v>A0000103</v>
      </c>
    </row>
    <row r="1929" spans="1:9" x14ac:dyDescent="0.25">
      <c r="A1929" t="s">
        <v>593</v>
      </c>
      <c r="B1929" t="str">
        <f>VLOOKUP(Tabla1[[#This Row],[Code]],[1]!Tabla4[#Data],2,FALSE)</f>
        <v>M2 Metamark M7 144 Rojo Medio 0,61 x 50m</v>
      </c>
      <c r="C1929">
        <v>23</v>
      </c>
      <c r="D1929" t="s">
        <v>90</v>
      </c>
      <c r="E1929" t="str">
        <f>VLOOKUP(Tabla1[[#This Row],[Cód. Atributo]],[1]!Tabla5[#Data],6,FALSE)</f>
        <v>Select</v>
      </c>
      <c r="F1929">
        <v>3</v>
      </c>
      <c r="G1929">
        <v>2</v>
      </c>
      <c r="H1929" t="s">
        <v>136</v>
      </c>
      <c r="I1929" t="str">
        <f>VLOOKUP(Tabla1[[#This Row],[Code]],'[1]Articulos Precio'!$A:$E,5,FALSE)</f>
        <v>A0000103</v>
      </c>
    </row>
    <row r="1930" spans="1:9" x14ac:dyDescent="0.25">
      <c r="A1930" t="s">
        <v>593</v>
      </c>
      <c r="B1930" t="str">
        <f>VLOOKUP(Tabla1[[#This Row],[Code]],[1]!Tabla4[#Data],2,FALSE)</f>
        <v>M2 Metamark M7 144 Rojo Medio 0,61 x 50m</v>
      </c>
      <c r="C1930">
        <v>28</v>
      </c>
      <c r="D1930" t="s">
        <v>92</v>
      </c>
      <c r="E1930" t="str">
        <f>VLOOKUP(Tabla1[[#This Row],[Cód. Atributo]],[1]!Tabla5[#Data],6,FALSE)</f>
        <v>Select</v>
      </c>
      <c r="F1930">
        <v>4</v>
      </c>
      <c r="G1930">
        <v>1</v>
      </c>
      <c r="H1930" t="s">
        <v>93</v>
      </c>
      <c r="I1930" t="str">
        <f>VLOOKUP(Tabla1[[#This Row],[Code]],'[1]Articulos Precio'!$A:$E,5,FALSE)</f>
        <v>A0000103</v>
      </c>
    </row>
    <row r="1931" spans="1:9" x14ac:dyDescent="0.25">
      <c r="A1931" t="s">
        <v>593</v>
      </c>
      <c r="B1931" t="str">
        <f>VLOOKUP(Tabla1[[#This Row],[Code]],[1]!Tabla4[#Data],2,FALSE)</f>
        <v>M2 Metamark M7 144 Rojo Medio 0,61 x 50m</v>
      </c>
      <c r="C1931">
        <v>25</v>
      </c>
      <c r="D1931" t="s">
        <v>94</v>
      </c>
      <c r="E1931" t="str">
        <f>VLOOKUP(Tabla1[[#This Row],[Cód. Atributo]],[1]!Tabla5[#Data],6,FALSE)</f>
        <v>Select</v>
      </c>
      <c r="F1931">
        <v>5</v>
      </c>
      <c r="G1931">
        <v>4</v>
      </c>
      <c r="H1931" t="s">
        <v>137</v>
      </c>
      <c r="I1931" t="str">
        <f>VLOOKUP(Tabla1[[#This Row],[Code]],'[1]Articulos Precio'!$A:$E,5,FALSE)</f>
        <v>A0000103</v>
      </c>
    </row>
    <row r="1932" spans="1:9" x14ac:dyDescent="0.25">
      <c r="A1932" t="s">
        <v>593</v>
      </c>
      <c r="B1932" t="str">
        <f>VLOOKUP(Tabla1[[#This Row],[Code]],[1]!Tabla4[#Data],2,FALSE)</f>
        <v>M2 Metamark M7 144 Rojo Medio 0,61 x 50m</v>
      </c>
      <c r="C1932">
        <v>24</v>
      </c>
      <c r="D1932" t="s">
        <v>96</v>
      </c>
      <c r="E1932" t="str">
        <f>VLOOKUP(Tabla1[[#This Row],[Cód. Atributo]],[1]!Tabla5[#Data],6,FALSE)</f>
        <v>Select</v>
      </c>
      <c r="F1932">
        <v>6</v>
      </c>
      <c r="G1932">
        <v>2</v>
      </c>
      <c r="H1932" t="s">
        <v>266</v>
      </c>
      <c r="I1932" t="str">
        <f>VLOOKUP(Tabla1[[#This Row],[Code]],'[1]Articulos Precio'!$A:$E,5,FALSE)</f>
        <v>A0000103</v>
      </c>
    </row>
    <row r="1933" spans="1:9" x14ac:dyDescent="0.25">
      <c r="A1933" t="s">
        <v>595</v>
      </c>
      <c r="B1933" t="str">
        <f>VLOOKUP(Tabla1[[#This Row],[Code]],[1]!Tabla4[#Data],2,FALSE)</f>
        <v>M2 Metamark M7 144 Rojo Medio 1,22 x 50m</v>
      </c>
      <c r="C1933">
        <v>8</v>
      </c>
      <c r="D1933" t="s">
        <v>86</v>
      </c>
      <c r="E1933" t="str">
        <f>VLOOKUP(Tabla1[[#This Row],[Cód. Atributo]],[1]!Tabla5[#Data],6,FALSE)</f>
        <v>Select</v>
      </c>
      <c r="F1933">
        <v>1</v>
      </c>
      <c r="G1933">
        <v>2</v>
      </c>
      <c r="H1933" t="s">
        <v>268</v>
      </c>
      <c r="I1933" t="str">
        <f>VLOOKUP(Tabla1[[#This Row],[Code]],'[1]Articulos Precio'!$A:$E,5,FALSE)</f>
        <v>A0000103</v>
      </c>
    </row>
    <row r="1934" spans="1:9" x14ac:dyDescent="0.25">
      <c r="A1934" t="s">
        <v>595</v>
      </c>
      <c r="B1934" t="str">
        <f>VLOOKUP(Tabla1[[#This Row],[Code]],[1]!Tabla4[#Data],2,FALSE)</f>
        <v>M2 Metamark M7 144 Rojo Medio 1,22 x 50m</v>
      </c>
      <c r="C1934">
        <v>13</v>
      </c>
      <c r="D1934" t="s">
        <v>491</v>
      </c>
      <c r="E1934" t="str">
        <f>VLOOKUP(Tabla1[[#This Row],[Cód. Atributo]],[1]!Tabla5[#Data],6,FALSE)</f>
        <v>Color</v>
      </c>
      <c r="F1934">
        <v>2</v>
      </c>
      <c r="G1934">
        <v>22</v>
      </c>
      <c r="H1934" t="s">
        <v>594</v>
      </c>
      <c r="I1934" t="str">
        <f>VLOOKUP(Tabla1[[#This Row],[Code]],'[1]Articulos Precio'!$A:$E,5,FALSE)</f>
        <v>A0000103</v>
      </c>
    </row>
    <row r="1935" spans="1:9" x14ac:dyDescent="0.25">
      <c r="A1935" t="s">
        <v>595</v>
      </c>
      <c r="B1935" t="str">
        <f>VLOOKUP(Tabla1[[#This Row],[Code]],[1]!Tabla4[#Data],2,FALSE)</f>
        <v>M2 Metamark M7 144 Rojo Medio 1,22 x 50m</v>
      </c>
      <c r="C1935">
        <v>23</v>
      </c>
      <c r="D1935" t="s">
        <v>90</v>
      </c>
      <c r="E1935" t="str">
        <f>VLOOKUP(Tabla1[[#This Row],[Cód. Atributo]],[1]!Tabla5[#Data],6,FALSE)</f>
        <v>Select</v>
      </c>
      <c r="F1935">
        <v>3</v>
      </c>
      <c r="G1935">
        <v>2</v>
      </c>
      <c r="H1935" t="s">
        <v>136</v>
      </c>
      <c r="I1935" t="str">
        <f>VLOOKUP(Tabla1[[#This Row],[Code]],'[1]Articulos Precio'!$A:$E,5,FALSE)</f>
        <v>A0000103</v>
      </c>
    </row>
    <row r="1936" spans="1:9" x14ac:dyDescent="0.25">
      <c r="A1936" t="s">
        <v>595</v>
      </c>
      <c r="B1936" t="str">
        <f>VLOOKUP(Tabla1[[#This Row],[Code]],[1]!Tabla4[#Data],2,FALSE)</f>
        <v>M2 Metamark M7 144 Rojo Medio 1,22 x 50m</v>
      </c>
      <c r="C1936">
        <v>28</v>
      </c>
      <c r="D1936" t="s">
        <v>92</v>
      </c>
      <c r="E1936" t="str">
        <f>VLOOKUP(Tabla1[[#This Row],[Cód. Atributo]],[1]!Tabla5[#Data],6,FALSE)</f>
        <v>Select</v>
      </c>
      <c r="F1936">
        <v>4</v>
      </c>
      <c r="G1936">
        <v>1</v>
      </c>
      <c r="H1936" t="s">
        <v>93</v>
      </c>
      <c r="I1936" t="str">
        <f>VLOOKUP(Tabla1[[#This Row],[Code]],'[1]Articulos Precio'!$A:$E,5,FALSE)</f>
        <v>A0000103</v>
      </c>
    </row>
    <row r="1937" spans="1:9" x14ac:dyDescent="0.25">
      <c r="A1937" t="s">
        <v>595</v>
      </c>
      <c r="B1937" t="str">
        <f>VLOOKUP(Tabla1[[#This Row],[Code]],[1]!Tabla4[#Data],2,FALSE)</f>
        <v>M2 Metamark M7 144 Rojo Medio 1,22 x 50m</v>
      </c>
      <c r="C1937">
        <v>25</v>
      </c>
      <c r="D1937" t="s">
        <v>94</v>
      </c>
      <c r="E1937" t="str">
        <f>VLOOKUP(Tabla1[[#This Row],[Cód. Atributo]],[1]!Tabla5[#Data],6,FALSE)</f>
        <v>Select</v>
      </c>
      <c r="F1937">
        <v>5</v>
      </c>
      <c r="G1937">
        <v>4</v>
      </c>
      <c r="H1937" t="s">
        <v>137</v>
      </c>
      <c r="I1937" t="str">
        <f>VLOOKUP(Tabla1[[#This Row],[Code]],'[1]Articulos Precio'!$A:$E,5,FALSE)</f>
        <v>A0000103</v>
      </c>
    </row>
    <row r="1938" spans="1:9" x14ac:dyDescent="0.25">
      <c r="A1938" t="s">
        <v>595</v>
      </c>
      <c r="B1938" t="str">
        <f>VLOOKUP(Tabla1[[#This Row],[Code]],[1]!Tabla4[#Data],2,FALSE)</f>
        <v>M2 Metamark M7 144 Rojo Medio 1,22 x 50m</v>
      </c>
      <c r="C1938">
        <v>24</v>
      </c>
      <c r="D1938" t="s">
        <v>96</v>
      </c>
      <c r="E1938" t="str">
        <f>VLOOKUP(Tabla1[[#This Row],[Cód. Atributo]],[1]!Tabla5[#Data],6,FALSE)</f>
        <v>Select</v>
      </c>
      <c r="F1938">
        <v>6</v>
      </c>
      <c r="G1938">
        <v>2</v>
      </c>
      <c r="H1938" t="s">
        <v>266</v>
      </c>
      <c r="I1938" t="str">
        <f>VLOOKUP(Tabla1[[#This Row],[Code]],'[1]Articulos Precio'!$A:$E,5,FALSE)</f>
        <v>A0000103</v>
      </c>
    </row>
    <row r="1939" spans="1:9" x14ac:dyDescent="0.25">
      <c r="A1939" t="s">
        <v>596</v>
      </c>
      <c r="B1939" t="str">
        <f>VLOOKUP(Tabla1[[#This Row],[Code]],[1]!Tabla4[#Data],2,FALSE)</f>
        <v>M2 Metamark M7 145 Rojo Borgoña 0,61 x 50m</v>
      </c>
      <c r="C1939">
        <v>8</v>
      </c>
      <c r="D1939" t="s">
        <v>86</v>
      </c>
      <c r="E1939" t="str">
        <f>VLOOKUP(Tabla1[[#This Row],[Cód. Atributo]],[1]!Tabla5[#Data],6,FALSE)</f>
        <v>Select</v>
      </c>
      <c r="F1939">
        <v>1</v>
      </c>
      <c r="G1939">
        <v>1</v>
      </c>
      <c r="H1939" t="s">
        <v>263</v>
      </c>
      <c r="I1939" t="str">
        <f>VLOOKUP(Tabla1[[#This Row],[Code]],'[1]Articulos Precio'!$A:$E,5,FALSE)</f>
        <v>A0000103</v>
      </c>
    </row>
    <row r="1940" spans="1:9" x14ac:dyDescent="0.25">
      <c r="A1940" t="s">
        <v>596</v>
      </c>
      <c r="B1940" t="str">
        <f>VLOOKUP(Tabla1[[#This Row],[Code]],[1]!Tabla4[#Data],2,FALSE)</f>
        <v>M2 Metamark M7 145 Rojo Borgoña 0,61 x 50m</v>
      </c>
      <c r="C1940">
        <v>13</v>
      </c>
      <c r="D1940" t="s">
        <v>491</v>
      </c>
      <c r="E1940" t="str">
        <f>VLOOKUP(Tabla1[[#This Row],[Cód. Atributo]],[1]!Tabla5[#Data],6,FALSE)</f>
        <v>Color</v>
      </c>
      <c r="F1940">
        <v>2</v>
      </c>
      <c r="G1940">
        <v>23</v>
      </c>
      <c r="H1940" t="s">
        <v>597</v>
      </c>
      <c r="I1940" t="str">
        <f>VLOOKUP(Tabla1[[#This Row],[Code]],'[1]Articulos Precio'!$A:$E,5,FALSE)</f>
        <v>A0000103</v>
      </c>
    </row>
    <row r="1941" spans="1:9" x14ac:dyDescent="0.25">
      <c r="A1941" t="s">
        <v>596</v>
      </c>
      <c r="B1941" t="str">
        <f>VLOOKUP(Tabla1[[#This Row],[Code]],[1]!Tabla4[#Data],2,FALSE)</f>
        <v>M2 Metamark M7 145 Rojo Borgoña 0,61 x 50m</v>
      </c>
      <c r="C1941">
        <v>23</v>
      </c>
      <c r="D1941" t="s">
        <v>90</v>
      </c>
      <c r="E1941" t="str">
        <f>VLOOKUP(Tabla1[[#This Row],[Cód. Atributo]],[1]!Tabla5[#Data],6,FALSE)</f>
        <v>Select</v>
      </c>
      <c r="F1941">
        <v>3</v>
      </c>
      <c r="G1941">
        <v>2</v>
      </c>
      <c r="H1941" t="s">
        <v>136</v>
      </c>
      <c r="I1941" t="str">
        <f>VLOOKUP(Tabla1[[#This Row],[Code]],'[1]Articulos Precio'!$A:$E,5,FALSE)</f>
        <v>A0000103</v>
      </c>
    </row>
    <row r="1942" spans="1:9" x14ac:dyDescent="0.25">
      <c r="A1942" t="s">
        <v>596</v>
      </c>
      <c r="B1942" t="str">
        <f>VLOOKUP(Tabla1[[#This Row],[Code]],[1]!Tabla4[#Data],2,FALSE)</f>
        <v>M2 Metamark M7 145 Rojo Borgoña 0,61 x 50m</v>
      </c>
      <c r="C1942">
        <v>28</v>
      </c>
      <c r="D1942" t="s">
        <v>92</v>
      </c>
      <c r="E1942" t="str">
        <f>VLOOKUP(Tabla1[[#This Row],[Cód. Atributo]],[1]!Tabla5[#Data],6,FALSE)</f>
        <v>Select</v>
      </c>
      <c r="F1942">
        <v>4</v>
      </c>
      <c r="G1942">
        <v>1</v>
      </c>
      <c r="H1942" t="s">
        <v>93</v>
      </c>
      <c r="I1942" t="str">
        <f>VLOOKUP(Tabla1[[#This Row],[Code]],'[1]Articulos Precio'!$A:$E,5,FALSE)</f>
        <v>A0000103</v>
      </c>
    </row>
    <row r="1943" spans="1:9" x14ac:dyDescent="0.25">
      <c r="A1943" t="s">
        <v>596</v>
      </c>
      <c r="B1943" t="str">
        <f>VLOOKUP(Tabla1[[#This Row],[Code]],[1]!Tabla4[#Data],2,FALSE)</f>
        <v>M2 Metamark M7 145 Rojo Borgoña 0,61 x 50m</v>
      </c>
      <c r="C1943">
        <v>25</v>
      </c>
      <c r="D1943" t="s">
        <v>94</v>
      </c>
      <c r="E1943" t="str">
        <f>VLOOKUP(Tabla1[[#This Row],[Cód. Atributo]],[1]!Tabla5[#Data],6,FALSE)</f>
        <v>Select</v>
      </c>
      <c r="F1943">
        <v>5</v>
      </c>
      <c r="G1943">
        <v>4</v>
      </c>
      <c r="H1943" t="s">
        <v>137</v>
      </c>
      <c r="I1943" t="str">
        <f>VLOOKUP(Tabla1[[#This Row],[Code]],'[1]Articulos Precio'!$A:$E,5,FALSE)</f>
        <v>A0000103</v>
      </c>
    </row>
    <row r="1944" spans="1:9" x14ac:dyDescent="0.25">
      <c r="A1944" t="s">
        <v>596</v>
      </c>
      <c r="B1944" t="str">
        <f>VLOOKUP(Tabla1[[#This Row],[Code]],[1]!Tabla4[#Data],2,FALSE)</f>
        <v>M2 Metamark M7 145 Rojo Borgoña 0,61 x 50m</v>
      </c>
      <c r="C1944">
        <v>24</v>
      </c>
      <c r="D1944" t="s">
        <v>96</v>
      </c>
      <c r="E1944" t="str">
        <f>VLOOKUP(Tabla1[[#This Row],[Cód. Atributo]],[1]!Tabla5[#Data],6,FALSE)</f>
        <v>Select</v>
      </c>
      <c r="F1944">
        <v>6</v>
      </c>
      <c r="G1944">
        <v>2</v>
      </c>
      <c r="H1944" t="s">
        <v>266</v>
      </c>
      <c r="I1944" t="str">
        <f>VLOOKUP(Tabla1[[#This Row],[Code]],'[1]Articulos Precio'!$A:$E,5,FALSE)</f>
        <v>A0000103</v>
      </c>
    </row>
    <row r="1945" spans="1:9" x14ac:dyDescent="0.25">
      <c r="A1945" t="s">
        <v>598</v>
      </c>
      <c r="B1945" t="str">
        <f>VLOOKUP(Tabla1[[#This Row],[Code]],[1]!Tabla4[#Data],2,FALSE)</f>
        <v>M2 Metamark M7 145 Rojo Borgoña 1,22 x 50m</v>
      </c>
      <c r="C1945">
        <v>8</v>
      </c>
      <c r="D1945" t="s">
        <v>86</v>
      </c>
      <c r="E1945" t="str">
        <f>VLOOKUP(Tabla1[[#This Row],[Cód. Atributo]],[1]!Tabla5[#Data],6,FALSE)</f>
        <v>Select</v>
      </c>
      <c r="F1945">
        <v>1</v>
      </c>
      <c r="G1945">
        <v>2</v>
      </c>
      <c r="H1945" t="s">
        <v>268</v>
      </c>
      <c r="I1945" t="str">
        <f>VLOOKUP(Tabla1[[#This Row],[Code]],'[1]Articulos Precio'!$A:$E,5,FALSE)</f>
        <v>A0000103</v>
      </c>
    </row>
    <row r="1946" spans="1:9" x14ac:dyDescent="0.25">
      <c r="A1946" t="s">
        <v>598</v>
      </c>
      <c r="B1946" t="str">
        <f>VLOOKUP(Tabla1[[#This Row],[Code]],[1]!Tabla4[#Data],2,FALSE)</f>
        <v>M2 Metamark M7 145 Rojo Borgoña 1,22 x 50m</v>
      </c>
      <c r="C1946">
        <v>13</v>
      </c>
      <c r="D1946" t="s">
        <v>491</v>
      </c>
      <c r="E1946" t="str">
        <f>VLOOKUP(Tabla1[[#This Row],[Cód. Atributo]],[1]!Tabla5[#Data],6,FALSE)</f>
        <v>Color</v>
      </c>
      <c r="F1946">
        <v>2</v>
      </c>
      <c r="G1946">
        <v>23</v>
      </c>
      <c r="H1946" t="s">
        <v>597</v>
      </c>
      <c r="I1946" t="str">
        <f>VLOOKUP(Tabla1[[#This Row],[Code]],'[1]Articulos Precio'!$A:$E,5,FALSE)</f>
        <v>A0000103</v>
      </c>
    </row>
    <row r="1947" spans="1:9" x14ac:dyDescent="0.25">
      <c r="A1947" t="s">
        <v>598</v>
      </c>
      <c r="B1947" t="str">
        <f>VLOOKUP(Tabla1[[#This Row],[Code]],[1]!Tabla4[#Data],2,FALSE)</f>
        <v>M2 Metamark M7 145 Rojo Borgoña 1,22 x 50m</v>
      </c>
      <c r="C1947">
        <v>23</v>
      </c>
      <c r="D1947" t="s">
        <v>90</v>
      </c>
      <c r="E1947" t="str">
        <f>VLOOKUP(Tabla1[[#This Row],[Cód. Atributo]],[1]!Tabla5[#Data],6,FALSE)</f>
        <v>Select</v>
      </c>
      <c r="F1947">
        <v>3</v>
      </c>
      <c r="G1947">
        <v>2</v>
      </c>
      <c r="H1947" t="s">
        <v>136</v>
      </c>
      <c r="I1947" t="str">
        <f>VLOOKUP(Tabla1[[#This Row],[Code]],'[1]Articulos Precio'!$A:$E,5,FALSE)</f>
        <v>A0000103</v>
      </c>
    </row>
    <row r="1948" spans="1:9" x14ac:dyDescent="0.25">
      <c r="A1948" t="s">
        <v>598</v>
      </c>
      <c r="B1948" t="str">
        <f>VLOOKUP(Tabla1[[#This Row],[Code]],[1]!Tabla4[#Data],2,FALSE)</f>
        <v>M2 Metamark M7 145 Rojo Borgoña 1,22 x 50m</v>
      </c>
      <c r="C1948">
        <v>28</v>
      </c>
      <c r="D1948" t="s">
        <v>92</v>
      </c>
      <c r="E1948" t="str">
        <f>VLOOKUP(Tabla1[[#This Row],[Cód. Atributo]],[1]!Tabla5[#Data],6,FALSE)</f>
        <v>Select</v>
      </c>
      <c r="F1948">
        <v>4</v>
      </c>
      <c r="G1948">
        <v>1</v>
      </c>
      <c r="H1948" t="s">
        <v>93</v>
      </c>
      <c r="I1948" t="str">
        <f>VLOOKUP(Tabla1[[#This Row],[Code]],'[1]Articulos Precio'!$A:$E,5,FALSE)</f>
        <v>A0000103</v>
      </c>
    </row>
    <row r="1949" spans="1:9" x14ac:dyDescent="0.25">
      <c r="A1949" t="s">
        <v>598</v>
      </c>
      <c r="B1949" t="str">
        <f>VLOOKUP(Tabla1[[#This Row],[Code]],[1]!Tabla4[#Data],2,FALSE)</f>
        <v>M2 Metamark M7 145 Rojo Borgoña 1,22 x 50m</v>
      </c>
      <c r="C1949">
        <v>25</v>
      </c>
      <c r="D1949" t="s">
        <v>94</v>
      </c>
      <c r="E1949" t="str">
        <f>VLOOKUP(Tabla1[[#This Row],[Cód. Atributo]],[1]!Tabla5[#Data],6,FALSE)</f>
        <v>Select</v>
      </c>
      <c r="F1949">
        <v>5</v>
      </c>
      <c r="G1949">
        <v>4</v>
      </c>
      <c r="H1949" t="s">
        <v>137</v>
      </c>
      <c r="I1949" t="str">
        <f>VLOOKUP(Tabla1[[#This Row],[Code]],'[1]Articulos Precio'!$A:$E,5,FALSE)</f>
        <v>A0000103</v>
      </c>
    </row>
    <row r="1950" spans="1:9" x14ac:dyDescent="0.25">
      <c r="A1950" t="s">
        <v>598</v>
      </c>
      <c r="B1950" t="str">
        <f>VLOOKUP(Tabla1[[#This Row],[Code]],[1]!Tabla4[#Data],2,FALSE)</f>
        <v>M2 Metamark M7 145 Rojo Borgoña 1,22 x 50m</v>
      </c>
      <c r="C1950">
        <v>24</v>
      </c>
      <c r="D1950" t="s">
        <v>96</v>
      </c>
      <c r="E1950" t="str">
        <f>VLOOKUP(Tabla1[[#This Row],[Cód. Atributo]],[1]!Tabla5[#Data],6,FALSE)</f>
        <v>Select</v>
      </c>
      <c r="F1950">
        <v>6</v>
      </c>
      <c r="G1950">
        <v>2</v>
      </c>
      <c r="H1950" t="s">
        <v>266</v>
      </c>
      <c r="I1950" t="str">
        <f>VLOOKUP(Tabla1[[#This Row],[Code]],'[1]Articulos Precio'!$A:$E,5,FALSE)</f>
        <v>A0000103</v>
      </c>
    </row>
    <row r="1951" spans="1:9" x14ac:dyDescent="0.25">
      <c r="A1951" t="s">
        <v>599</v>
      </c>
      <c r="B1951" t="str">
        <f>VLOOKUP(Tabla1[[#This Row],[Code]],[1]!Tabla4[#Data],2,FALSE)</f>
        <v>M2 Metamark M7 146 Rubí 0,61 x 50m</v>
      </c>
      <c r="C1951">
        <v>8</v>
      </c>
      <c r="D1951" t="s">
        <v>86</v>
      </c>
      <c r="E1951" t="str">
        <f>VLOOKUP(Tabla1[[#This Row],[Cód. Atributo]],[1]!Tabla5[#Data],6,FALSE)</f>
        <v>Select</v>
      </c>
      <c r="F1951">
        <v>1</v>
      </c>
      <c r="G1951">
        <v>1</v>
      </c>
      <c r="H1951" t="s">
        <v>263</v>
      </c>
      <c r="I1951" t="str">
        <f>VLOOKUP(Tabla1[[#This Row],[Code]],'[1]Articulos Precio'!$A:$E,5,FALSE)</f>
        <v>A0000103</v>
      </c>
    </row>
    <row r="1952" spans="1:9" x14ac:dyDescent="0.25">
      <c r="A1952" t="s">
        <v>599</v>
      </c>
      <c r="B1952" t="str">
        <f>VLOOKUP(Tabla1[[#This Row],[Code]],[1]!Tabla4[#Data],2,FALSE)</f>
        <v>M2 Metamark M7 146 Rubí 0,61 x 50m</v>
      </c>
      <c r="C1952">
        <v>13</v>
      </c>
      <c r="D1952" t="s">
        <v>491</v>
      </c>
      <c r="E1952" t="str">
        <f>VLOOKUP(Tabla1[[#This Row],[Cód. Atributo]],[1]!Tabla5[#Data],6,FALSE)</f>
        <v>Color</v>
      </c>
      <c r="F1952">
        <v>2</v>
      </c>
      <c r="G1952">
        <v>70</v>
      </c>
      <c r="H1952" t="s">
        <v>600</v>
      </c>
      <c r="I1952" t="str">
        <f>VLOOKUP(Tabla1[[#This Row],[Code]],'[1]Articulos Precio'!$A:$E,5,FALSE)</f>
        <v>A0000103</v>
      </c>
    </row>
    <row r="1953" spans="1:9" x14ac:dyDescent="0.25">
      <c r="A1953" t="s">
        <v>599</v>
      </c>
      <c r="B1953" t="str">
        <f>VLOOKUP(Tabla1[[#This Row],[Code]],[1]!Tabla4[#Data],2,FALSE)</f>
        <v>M2 Metamark M7 146 Rubí 0,61 x 50m</v>
      </c>
      <c r="C1953">
        <v>23</v>
      </c>
      <c r="D1953" t="s">
        <v>90</v>
      </c>
      <c r="E1953" t="str">
        <f>VLOOKUP(Tabla1[[#This Row],[Cód. Atributo]],[1]!Tabla5[#Data],6,FALSE)</f>
        <v>Select</v>
      </c>
      <c r="F1953">
        <v>3</v>
      </c>
      <c r="G1953">
        <v>2</v>
      </c>
      <c r="H1953" t="s">
        <v>136</v>
      </c>
      <c r="I1953" t="str">
        <f>VLOOKUP(Tabla1[[#This Row],[Code]],'[1]Articulos Precio'!$A:$E,5,FALSE)</f>
        <v>A0000103</v>
      </c>
    </row>
    <row r="1954" spans="1:9" x14ac:dyDescent="0.25">
      <c r="A1954" t="s">
        <v>599</v>
      </c>
      <c r="B1954" t="str">
        <f>VLOOKUP(Tabla1[[#This Row],[Code]],[1]!Tabla4[#Data],2,FALSE)</f>
        <v>M2 Metamark M7 146 Rubí 0,61 x 50m</v>
      </c>
      <c r="C1954">
        <v>28</v>
      </c>
      <c r="D1954" t="s">
        <v>92</v>
      </c>
      <c r="E1954" t="str">
        <f>VLOOKUP(Tabla1[[#This Row],[Cód. Atributo]],[1]!Tabla5[#Data],6,FALSE)</f>
        <v>Select</v>
      </c>
      <c r="F1954">
        <v>4</v>
      </c>
      <c r="G1954">
        <v>1</v>
      </c>
      <c r="H1954" t="s">
        <v>93</v>
      </c>
      <c r="I1954" t="str">
        <f>VLOOKUP(Tabla1[[#This Row],[Code]],'[1]Articulos Precio'!$A:$E,5,FALSE)</f>
        <v>A0000103</v>
      </c>
    </row>
    <row r="1955" spans="1:9" x14ac:dyDescent="0.25">
      <c r="A1955" t="s">
        <v>599</v>
      </c>
      <c r="B1955" t="str">
        <f>VLOOKUP(Tabla1[[#This Row],[Code]],[1]!Tabla4[#Data],2,FALSE)</f>
        <v>M2 Metamark M7 146 Rubí 0,61 x 50m</v>
      </c>
      <c r="C1955">
        <v>25</v>
      </c>
      <c r="D1955" t="s">
        <v>94</v>
      </c>
      <c r="E1955" t="str">
        <f>VLOOKUP(Tabla1[[#This Row],[Cód. Atributo]],[1]!Tabla5[#Data],6,FALSE)</f>
        <v>Select</v>
      </c>
      <c r="F1955">
        <v>5</v>
      </c>
      <c r="G1955">
        <v>4</v>
      </c>
      <c r="H1955" t="s">
        <v>137</v>
      </c>
      <c r="I1955" t="str">
        <f>VLOOKUP(Tabla1[[#This Row],[Code]],'[1]Articulos Precio'!$A:$E,5,FALSE)</f>
        <v>A0000103</v>
      </c>
    </row>
    <row r="1956" spans="1:9" x14ac:dyDescent="0.25">
      <c r="A1956" t="s">
        <v>599</v>
      </c>
      <c r="B1956" t="str">
        <f>VLOOKUP(Tabla1[[#This Row],[Code]],[1]!Tabla4[#Data],2,FALSE)</f>
        <v>M2 Metamark M7 146 Rubí 0,61 x 50m</v>
      </c>
      <c r="C1956">
        <v>24</v>
      </c>
      <c r="D1956" t="s">
        <v>96</v>
      </c>
      <c r="E1956" t="str">
        <f>VLOOKUP(Tabla1[[#This Row],[Cód. Atributo]],[1]!Tabla5[#Data],6,FALSE)</f>
        <v>Select</v>
      </c>
      <c r="F1956">
        <v>6</v>
      </c>
      <c r="G1956">
        <v>2</v>
      </c>
      <c r="H1956" t="s">
        <v>266</v>
      </c>
      <c r="I1956" t="str">
        <f>VLOOKUP(Tabla1[[#This Row],[Code]],'[1]Articulos Precio'!$A:$E,5,FALSE)</f>
        <v>A0000103</v>
      </c>
    </row>
    <row r="1957" spans="1:9" x14ac:dyDescent="0.25">
      <c r="A1957" t="s">
        <v>601</v>
      </c>
      <c r="B1957" t="str">
        <f>VLOOKUP(Tabla1[[#This Row],[Code]],[1]!Tabla4[#Data],2,FALSE)</f>
        <v>M2 Metamark M7 146 Rubí 1,22 x 50m</v>
      </c>
      <c r="C1957">
        <v>8</v>
      </c>
      <c r="D1957" t="s">
        <v>86</v>
      </c>
      <c r="E1957" t="str">
        <f>VLOOKUP(Tabla1[[#This Row],[Cód. Atributo]],[1]!Tabla5[#Data],6,FALSE)</f>
        <v>Select</v>
      </c>
      <c r="F1957">
        <v>1</v>
      </c>
      <c r="G1957">
        <v>2</v>
      </c>
      <c r="H1957" t="s">
        <v>268</v>
      </c>
      <c r="I1957" t="str">
        <f>VLOOKUP(Tabla1[[#This Row],[Code]],'[1]Articulos Precio'!$A:$E,5,FALSE)</f>
        <v>A0000103</v>
      </c>
    </row>
    <row r="1958" spans="1:9" x14ac:dyDescent="0.25">
      <c r="A1958" t="s">
        <v>601</v>
      </c>
      <c r="B1958" t="str">
        <f>VLOOKUP(Tabla1[[#This Row],[Code]],[1]!Tabla4[#Data],2,FALSE)</f>
        <v>M2 Metamark M7 146 Rubí 1,22 x 50m</v>
      </c>
      <c r="C1958">
        <v>13</v>
      </c>
      <c r="D1958" t="s">
        <v>491</v>
      </c>
      <c r="E1958" t="str">
        <f>VLOOKUP(Tabla1[[#This Row],[Cód. Atributo]],[1]!Tabla5[#Data],6,FALSE)</f>
        <v>Color</v>
      </c>
      <c r="F1958">
        <v>2</v>
      </c>
      <c r="G1958">
        <v>70</v>
      </c>
      <c r="H1958" t="s">
        <v>600</v>
      </c>
      <c r="I1958" t="str">
        <f>VLOOKUP(Tabla1[[#This Row],[Code]],'[1]Articulos Precio'!$A:$E,5,FALSE)</f>
        <v>A0000103</v>
      </c>
    </row>
    <row r="1959" spans="1:9" x14ac:dyDescent="0.25">
      <c r="A1959" t="s">
        <v>601</v>
      </c>
      <c r="B1959" t="str">
        <f>VLOOKUP(Tabla1[[#This Row],[Code]],[1]!Tabla4[#Data],2,FALSE)</f>
        <v>M2 Metamark M7 146 Rubí 1,22 x 50m</v>
      </c>
      <c r="C1959">
        <v>23</v>
      </c>
      <c r="D1959" t="s">
        <v>90</v>
      </c>
      <c r="E1959" t="str">
        <f>VLOOKUP(Tabla1[[#This Row],[Cód. Atributo]],[1]!Tabla5[#Data],6,FALSE)</f>
        <v>Select</v>
      </c>
      <c r="F1959">
        <v>3</v>
      </c>
      <c r="G1959">
        <v>2</v>
      </c>
      <c r="H1959" t="s">
        <v>136</v>
      </c>
      <c r="I1959" t="str">
        <f>VLOOKUP(Tabla1[[#This Row],[Code]],'[1]Articulos Precio'!$A:$E,5,FALSE)</f>
        <v>A0000103</v>
      </c>
    </row>
    <row r="1960" spans="1:9" x14ac:dyDescent="0.25">
      <c r="A1960" t="s">
        <v>601</v>
      </c>
      <c r="B1960" t="str">
        <f>VLOOKUP(Tabla1[[#This Row],[Code]],[1]!Tabla4[#Data],2,FALSE)</f>
        <v>M2 Metamark M7 146 Rubí 1,22 x 50m</v>
      </c>
      <c r="C1960">
        <v>28</v>
      </c>
      <c r="D1960" t="s">
        <v>92</v>
      </c>
      <c r="E1960" t="str">
        <f>VLOOKUP(Tabla1[[#This Row],[Cód. Atributo]],[1]!Tabla5[#Data],6,FALSE)</f>
        <v>Select</v>
      </c>
      <c r="F1960">
        <v>4</v>
      </c>
      <c r="G1960">
        <v>1</v>
      </c>
      <c r="H1960" t="s">
        <v>93</v>
      </c>
      <c r="I1960" t="str">
        <f>VLOOKUP(Tabla1[[#This Row],[Code]],'[1]Articulos Precio'!$A:$E,5,FALSE)</f>
        <v>A0000103</v>
      </c>
    </row>
    <row r="1961" spans="1:9" x14ac:dyDescent="0.25">
      <c r="A1961" t="s">
        <v>601</v>
      </c>
      <c r="B1961" t="str">
        <f>VLOOKUP(Tabla1[[#This Row],[Code]],[1]!Tabla4[#Data],2,FALSE)</f>
        <v>M2 Metamark M7 146 Rubí 1,22 x 50m</v>
      </c>
      <c r="C1961">
        <v>25</v>
      </c>
      <c r="D1961" t="s">
        <v>94</v>
      </c>
      <c r="E1961" t="str">
        <f>VLOOKUP(Tabla1[[#This Row],[Cód. Atributo]],[1]!Tabla5[#Data],6,FALSE)</f>
        <v>Select</v>
      </c>
      <c r="F1961">
        <v>5</v>
      </c>
      <c r="G1961">
        <v>4</v>
      </c>
      <c r="H1961" t="s">
        <v>137</v>
      </c>
      <c r="I1961" t="str">
        <f>VLOOKUP(Tabla1[[#This Row],[Code]],'[1]Articulos Precio'!$A:$E,5,FALSE)</f>
        <v>A0000103</v>
      </c>
    </row>
    <row r="1962" spans="1:9" x14ac:dyDescent="0.25">
      <c r="A1962" t="s">
        <v>601</v>
      </c>
      <c r="B1962" t="str">
        <f>VLOOKUP(Tabla1[[#This Row],[Code]],[1]!Tabla4[#Data],2,FALSE)</f>
        <v>M2 Metamark M7 146 Rubí 1,22 x 50m</v>
      </c>
      <c r="C1962">
        <v>24</v>
      </c>
      <c r="D1962" t="s">
        <v>96</v>
      </c>
      <c r="E1962" t="str">
        <f>VLOOKUP(Tabla1[[#This Row],[Cód. Atributo]],[1]!Tabla5[#Data],6,FALSE)</f>
        <v>Select</v>
      </c>
      <c r="F1962">
        <v>6</v>
      </c>
      <c r="G1962">
        <v>2</v>
      </c>
      <c r="H1962" t="s">
        <v>266</v>
      </c>
      <c r="I1962" t="str">
        <f>VLOOKUP(Tabla1[[#This Row],[Code]],'[1]Articulos Precio'!$A:$E,5,FALSE)</f>
        <v>A0000103</v>
      </c>
    </row>
    <row r="1963" spans="1:9" x14ac:dyDescent="0.25">
      <c r="A1963" t="s">
        <v>602</v>
      </c>
      <c r="B1963" t="str">
        <f>VLOOKUP(Tabla1[[#This Row],[Code]],[1]!Tabla4[#Data],2,FALSE)</f>
        <v>M2 Metamark M7 147 Rojo Rosa 0,61 x 50m</v>
      </c>
      <c r="C1963">
        <v>8</v>
      </c>
      <c r="D1963" t="s">
        <v>86</v>
      </c>
      <c r="E1963" t="str">
        <f>VLOOKUP(Tabla1[[#This Row],[Cód. Atributo]],[1]!Tabla5[#Data],6,FALSE)</f>
        <v>Select</v>
      </c>
      <c r="F1963">
        <v>1</v>
      </c>
      <c r="G1963">
        <v>1</v>
      </c>
      <c r="H1963" t="s">
        <v>263</v>
      </c>
      <c r="I1963" t="str">
        <f>VLOOKUP(Tabla1[[#This Row],[Code]],'[1]Articulos Precio'!$A:$E,5,FALSE)</f>
        <v>A0000103</v>
      </c>
    </row>
    <row r="1964" spans="1:9" x14ac:dyDescent="0.25">
      <c r="A1964" t="s">
        <v>602</v>
      </c>
      <c r="B1964" t="str">
        <f>VLOOKUP(Tabla1[[#This Row],[Code]],[1]!Tabla4[#Data],2,FALSE)</f>
        <v>M2 Metamark M7 147 Rojo Rosa 0,61 x 50m</v>
      </c>
      <c r="C1964">
        <v>13</v>
      </c>
      <c r="D1964" t="s">
        <v>491</v>
      </c>
      <c r="E1964" t="str">
        <f>VLOOKUP(Tabla1[[#This Row],[Cód. Atributo]],[1]!Tabla5[#Data],6,FALSE)</f>
        <v>Color</v>
      </c>
      <c r="F1964">
        <v>2</v>
      </c>
      <c r="G1964">
        <v>71</v>
      </c>
      <c r="H1964" t="s">
        <v>603</v>
      </c>
      <c r="I1964" t="str">
        <f>VLOOKUP(Tabla1[[#This Row],[Code]],'[1]Articulos Precio'!$A:$E,5,FALSE)</f>
        <v>A0000103</v>
      </c>
    </row>
    <row r="1965" spans="1:9" x14ac:dyDescent="0.25">
      <c r="A1965" t="s">
        <v>602</v>
      </c>
      <c r="B1965" t="str">
        <f>VLOOKUP(Tabla1[[#This Row],[Code]],[1]!Tabla4[#Data],2,FALSE)</f>
        <v>M2 Metamark M7 147 Rojo Rosa 0,61 x 50m</v>
      </c>
      <c r="C1965">
        <v>23</v>
      </c>
      <c r="D1965" t="s">
        <v>90</v>
      </c>
      <c r="E1965" t="str">
        <f>VLOOKUP(Tabla1[[#This Row],[Cód. Atributo]],[1]!Tabla5[#Data],6,FALSE)</f>
        <v>Select</v>
      </c>
      <c r="F1965">
        <v>3</v>
      </c>
      <c r="G1965">
        <v>2</v>
      </c>
      <c r="H1965" t="s">
        <v>136</v>
      </c>
      <c r="I1965" t="str">
        <f>VLOOKUP(Tabla1[[#This Row],[Code]],'[1]Articulos Precio'!$A:$E,5,FALSE)</f>
        <v>A0000103</v>
      </c>
    </row>
    <row r="1966" spans="1:9" x14ac:dyDescent="0.25">
      <c r="A1966" t="s">
        <v>602</v>
      </c>
      <c r="B1966" t="str">
        <f>VLOOKUP(Tabla1[[#This Row],[Code]],[1]!Tabla4[#Data],2,FALSE)</f>
        <v>M2 Metamark M7 147 Rojo Rosa 0,61 x 50m</v>
      </c>
      <c r="C1966">
        <v>28</v>
      </c>
      <c r="D1966" t="s">
        <v>92</v>
      </c>
      <c r="E1966" t="str">
        <f>VLOOKUP(Tabla1[[#This Row],[Cód. Atributo]],[1]!Tabla5[#Data],6,FALSE)</f>
        <v>Select</v>
      </c>
      <c r="F1966">
        <v>4</v>
      </c>
      <c r="G1966">
        <v>1</v>
      </c>
      <c r="H1966" t="s">
        <v>93</v>
      </c>
      <c r="I1966" t="str">
        <f>VLOOKUP(Tabla1[[#This Row],[Code]],'[1]Articulos Precio'!$A:$E,5,FALSE)</f>
        <v>A0000103</v>
      </c>
    </row>
    <row r="1967" spans="1:9" x14ac:dyDescent="0.25">
      <c r="A1967" t="s">
        <v>602</v>
      </c>
      <c r="B1967" t="str">
        <f>VLOOKUP(Tabla1[[#This Row],[Code]],[1]!Tabla4[#Data],2,FALSE)</f>
        <v>M2 Metamark M7 147 Rojo Rosa 0,61 x 50m</v>
      </c>
      <c r="C1967">
        <v>25</v>
      </c>
      <c r="D1967" t="s">
        <v>94</v>
      </c>
      <c r="E1967" t="str">
        <f>VLOOKUP(Tabla1[[#This Row],[Cód. Atributo]],[1]!Tabla5[#Data],6,FALSE)</f>
        <v>Select</v>
      </c>
      <c r="F1967">
        <v>5</v>
      </c>
      <c r="G1967">
        <v>4</v>
      </c>
      <c r="H1967" t="s">
        <v>137</v>
      </c>
      <c r="I1967" t="str">
        <f>VLOOKUP(Tabla1[[#This Row],[Code]],'[1]Articulos Precio'!$A:$E,5,FALSE)</f>
        <v>A0000103</v>
      </c>
    </row>
    <row r="1968" spans="1:9" x14ac:dyDescent="0.25">
      <c r="A1968" t="s">
        <v>602</v>
      </c>
      <c r="B1968" t="str">
        <f>VLOOKUP(Tabla1[[#This Row],[Code]],[1]!Tabla4[#Data],2,FALSE)</f>
        <v>M2 Metamark M7 147 Rojo Rosa 0,61 x 50m</v>
      </c>
      <c r="C1968">
        <v>24</v>
      </c>
      <c r="D1968" t="s">
        <v>96</v>
      </c>
      <c r="E1968" t="str">
        <f>VLOOKUP(Tabla1[[#This Row],[Cód. Atributo]],[1]!Tabla5[#Data],6,FALSE)</f>
        <v>Select</v>
      </c>
      <c r="F1968">
        <v>6</v>
      </c>
      <c r="G1968">
        <v>2</v>
      </c>
      <c r="H1968" t="s">
        <v>266</v>
      </c>
      <c r="I1968" t="str">
        <f>VLOOKUP(Tabla1[[#This Row],[Code]],'[1]Articulos Precio'!$A:$E,5,FALSE)</f>
        <v>A0000103</v>
      </c>
    </row>
    <row r="1969" spans="1:9" x14ac:dyDescent="0.25">
      <c r="A1969" t="s">
        <v>604</v>
      </c>
      <c r="B1969" t="str">
        <f>VLOOKUP(Tabla1[[#This Row],[Code]],[1]!Tabla4[#Data],2,FALSE)</f>
        <v>M2 Metamark M7 147 Rojo Rosa 1,22 x 50m</v>
      </c>
      <c r="C1969">
        <v>8</v>
      </c>
      <c r="D1969" t="s">
        <v>86</v>
      </c>
      <c r="E1969" t="str">
        <f>VLOOKUP(Tabla1[[#This Row],[Cód. Atributo]],[1]!Tabla5[#Data],6,FALSE)</f>
        <v>Select</v>
      </c>
      <c r="F1969">
        <v>1</v>
      </c>
      <c r="G1969">
        <v>2</v>
      </c>
      <c r="H1969" t="s">
        <v>268</v>
      </c>
      <c r="I1969" t="str">
        <f>VLOOKUP(Tabla1[[#This Row],[Code]],'[1]Articulos Precio'!$A:$E,5,FALSE)</f>
        <v>A0000103</v>
      </c>
    </row>
    <row r="1970" spans="1:9" x14ac:dyDescent="0.25">
      <c r="A1970" t="s">
        <v>604</v>
      </c>
      <c r="B1970" t="str">
        <f>VLOOKUP(Tabla1[[#This Row],[Code]],[1]!Tabla4[#Data],2,FALSE)</f>
        <v>M2 Metamark M7 147 Rojo Rosa 1,22 x 50m</v>
      </c>
      <c r="C1970">
        <v>13</v>
      </c>
      <c r="D1970" t="s">
        <v>491</v>
      </c>
      <c r="E1970" t="str">
        <f>VLOOKUP(Tabla1[[#This Row],[Cód. Atributo]],[1]!Tabla5[#Data],6,FALSE)</f>
        <v>Color</v>
      </c>
      <c r="F1970">
        <v>2</v>
      </c>
      <c r="G1970">
        <v>71</v>
      </c>
      <c r="H1970" t="s">
        <v>603</v>
      </c>
      <c r="I1970" t="str">
        <f>VLOOKUP(Tabla1[[#This Row],[Code]],'[1]Articulos Precio'!$A:$E,5,FALSE)</f>
        <v>A0000103</v>
      </c>
    </row>
    <row r="1971" spans="1:9" x14ac:dyDescent="0.25">
      <c r="A1971" t="s">
        <v>604</v>
      </c>
      <c r="B1971" t="str">
        <f>VLOOKUP(Tabla1[[#This Row],[Code]],[1]!Tabla4[#Data],2,FALSE)</f>
        <v>M2 Metamark M7 147 Rojo Rosa 1,22 x 50m</v>
      </c>
      <c r="C1971">
        <v>23</v>
      </c>
      <c r="D1971" t="s">
        <v>90</v>
      </c>
      <c r="E1971" t="str">
        <f>VLOOKUP(Tabla1[[#This Row],[Cód. Atributo]],[1]!Tabla5[#Data],6,FALSE)</f>
        <v>Select</v>
      </c>
      <c r="F1971">
        <v>3</v>
      </c>
      <c r="G1971">
        <v>2</v>
      </c>
      <c r="H1971" t="s">
        <v>136</v>
      </c>
      <c r="I1971" t="str">
        <f>VLOOKUP(Tabla1[[#This Row],[Code]],'[1]Articulos Precio'!$A:$E,5,FALSE)</f>
        <v>A0000103</v>
      </c>
    </row>
    <row r="1972" spans="1:9" x14ac:dyDescent="0.25">
      <c r="A1972" t="s">
        <v>604</v>
      </c>
      <c r="B1972" t="str">
        <f>VLOOKUP(Tabla1[[#This Row],[Code]],[1]!Tabla4[#Data],2,FALSE)</f>
        <v>M2 Metamark M7 147 Rojo Rosa 1,22 x 50m</v>
      </c>
      <c r="C1972">
        <v>28</v>
      </c>
      <c r="D1972" t="s">
        <v>92</v>
      </c>
      <c r="E1972" t="str">
        <f>VLOOKUP(Tabla1[[#This Row],[Cód. Atributo]],[1]!Tabla5[#Data],6,FALSE)</f>
        <v>Select</v>
      </c>
      <c r="F1972">
        <v>4</v>
      </c>
      <c r="G1972">
        <v>1</v>
      </c>
      <c r="H1972" t="s">
        <v>93</v>
      </c>
      <c r="I1972" t="str">
        <f>VLOOKUP(Tabla1[[#This Row],[Code]],'[1]Articulos Precio'!$A:$E,5,FALSE)</f>
        <v>A0000103</v>
      </c>
    </row>
    <row r="1973" spans="1:9" x14ac:dyDescent="0.25">
      <c r="A1973" t="s">
        <v>604</v>
      </c>
      <c r="B1973" t="str">
        <f>VLOOKUP(Tabla1[[#This Row],[Code]],[1]!Tabla4[#Data],2,FALSE)</f>
        <v>M2 Metamark M7 147 Rojo Rosa 1,22 x 50m</v>
      </c>
      <c r="C1973">
        <v>25</v>
      </c>
      <c r="D1973" t="s">
        <v>94</v>
      </c>
      <c r="E1973" t="str">
        <f>VLOOKUP(Tabla1[[#This Row],[Cód. Atributo]],[1]!Tabla5[#Data],6,FALSE)</f>
        <v>Select</v>
      </c>
      <c r="F1973">
        <v>5</v>
      </c>
      <c r="G1973">
        <v>4</v>
      </c>
      <c r="H1973" t="s">
        <v>137</v>
      </c>
      <c r="I1973" t="str">
        <f>VLOOKUP(Tabla1[[#This Row],[Code]],'[1]Articulos Precio'!$A:$E,5,FALSE)</f>
        <v>A0000103</v>
      </c>
    </row>
    <row r="1974" spans="1:9" x14ac:dyDescent="0.25">
      <c r="A1974" t="s">
        <v>604</v>
      </c>
      <c r="B1974" t="str">
        <f>VLOOKUP(Tabla1[[#This Row],[Code]],[1]!Tabla4[#Data],2,FALSE)</f>
        <v>M2 Metamark M7 147 Rojo Rosa 1,22 x 50m</v>
      </c>
      <c r="C1974">
        <v>24</v>
      </c>
      <c r="D1974" t="s">
        <v>96</v>
      </c>
      <c r="E1974" t="str">
        <f>VLOOKUP(Tabla1[[#This Row],[Cód. Atributo]],[1]!Tabla5[#Data],6,FALSE)</f>
        <v>Select</v>
      </c>
      <c r="F1974">
        <v>6</v>
      </c>
      <c r="G1974">
        <v>2</v>
      </c>
      <c r="H1974" t="s">
        <v>266</v>
      </c>
      <c r="I1974" t="str">
        <f>VLOOKUP(Tabla1[[#This Row],[Code]],'[1]Articulos Precio'!$A:$E,5,FALSE)</f>
        <v>A0000103</v>
      </c>
    </row>
    <row r="1975" spans="1:9" x14ac:dyDescent="0.25">
      <c r="A1975" t="s">
        <v>605</v>
      </c>
      <c r="B1975" t="str">
        <f>VLOOKUP(Tabla1[[#This Row],[Code]],[1]!Tabla4[#Data],2,FALSE)</f>
        <v>M2 Metamark M7 148 Rojo Profundo 0,61 x 50m</v>
      </c>
      <c r="C1975">
        <v>8</v>
      </c>
      <c r="D1975" t="s">
        <v>86</v>
      </c>
      <c r="E1975" t="str">
        <f>VLOOKUP(Tabla1[[#This Row],[Cód. Atributo]],[1]!Tabla5[#Data],6,FALSE)</f>
        <v>Select</v>
      </c>
      <c r="F1975">
        <v>1</v>
      </c>
      <c r="G1975">
        <v>1</v>
      </c>
      <c r="H1975" t="s">
        <v>263</v>
      </c>
      <c r="I1975" t="str">
        <f>VLOOKUP(Tabla1[[#This Row],[Code]],'[1]Articulos Precio'!$A:$E,5,FALSE)</f>
        <v>A0000103</v>
      </c>
    </row>
    <row r="1976" spans="1:9" x14ac:dyDescent="0.25">
      <c r="A1976" t="s">
        <v>605</v>
      </c>
      <c r="B1976" t="str">
        <f>VLOOKUP(Tabla1[[#This Row],[Code]],[1]!Tabla4[#Data],2,FALSE)</f>
        <v>M2 Metamark M7 148 Rojo Profundo 0,61 x 50m</v>
      </c>
      <c r="C1976">
        <v>13</v>
      </c>
      <c r="D1976" t="s">
        <v>491</v>
      </c>
      <c r="E1976" t="str">
        <f>VLOOKUP(Tabla1[[#This Row],[Cód. Atributo]],[1]!Tabla5[#Data],6,FALSE)</f>
        <v>Color</v>
      </c>
      <c r="F1976">
        <v>2</v>
      </c>
      <c r="G1976">
        <v>24</v>
      </c>
      <c r="H1976" t="s">
        <v>606</v>
      </c>
      <c r="I1976" t="str">
        <f>VLOOKUP(Tabla1[[#This Row],[Code]],'[1]Articulos Precio'!$A:$E,5,FALSE)</f>
        <v>A0000103</v>
      </c>
    </row>
    <row r="1977" spans="1:9" x14ac:dyDescent="0.25">
      <c r="A1977" t="s">
        <v>605</v>
      </c>
      <c r="B1977" t="str">
        <f>VLOOKUP(Tabla1[[#This Row],[Code]],[1]!Tabla4[#Data],2,FALSE)</f>
        <v>M2 Metamark M7 148 Rojo Profundo 0,61 x 50m</v>
      </c>
      <c r="C1977">
        <v>23</v>
      </c>
      <c r="D1977" t="s">
        <v>90</v>
      </c>
      <c r="E1977" t="str">
        <f>VLOOKUP(Tabla1[[#This Row],[Cód. Atributo]],[1]!Tabla5[#Data],6,FALSE)</f>
        <v>Select</v>
      </c>
      <c r="F1977">
        <v>3</v>
      </c>
      <c r="G1977">
        <v>2</v>
      </c>
      <c r="H1977" t="s">
        <v>136</v>
      </c>
      <c r="I1977" t="str">
        <f>VLOOKUP(Tabla1[[#This Row],[Code]],'[1]Articulos Precio'!$A:$E,5,FALSE)</f>
        <v>A0000103</v>
      </c>
    </row>
    <row r="1978" spans="1:9" x14ac:dyDescent="0.25">
      <c r="A1978" t="s">
        <v>605</v>
      </c>
      <c r="B1978" t="str">
        <f>VLOOKUP(Tabla1[[#This Row],[Code]],[1]!Tabla4[#Data],2,FALSE)</f>
        <v>M2 Metamark M7 148 Rojo Profundo 0,61 x 50m</v>
      </c>
      <c r="C1978">
        <v>28</v>
      </c>
      <c r="D1978" t="s">
        <v>92</v>
      </c>
      <c r="E1978" t="str">
        <f>VLOOKUP(Tabla1[[#This Row],[Cód. Atributo]],[1]!Tabla5[#Data],6,FALSE)</f>
        <v>Select</v>
      </c>
      <c r="F1978">
        <v>4</v>
      </c>
      <c r="G1978">
        <v>1</v>
      </c>
      <c r="H1978" t="s">
        <v>93</v>
      </c>
      <c r="I1978" t="str">
        <f>VLOOKUP(Tabla1[[#This Row],[Code]],'[1]Articulos Precio'!$A:$E,5,FALSE)</f>
        <v>A0000103</v>
      </c>
    </row>
    <row r="1979" spans="1:9" x14ac:dyDescent="0.25">
      <c r="A1979" t="s">
        <v>605</v>
      </c>
      <c r="B1979" t="str">
        <f>VLOOKUP(Tabla1[[#This Row],[Code]],[1]!Tabla4[#Data],2,FALSE)</f>
        <v>M2 Metamark M7 148 Rojo Profundo 0,61 x 50m</v>
      </c>
      <c r="C1979">
        <v>25</v>
      </c>
      <c r="D1979" t="s">
        <v>94</v>
      </c>
      <c r="E1979" t="str">
        <f>VLOOKUP(Tabla1[[#This Row],[Cód. Atributo]],[1]!Tabla5[#Data],6,FALSE)</f>
        <v>Select</v>
      </c>
      <c r="F1979">
        <v>5</v>
      </c>
      <c r="G1979">
        <v>4</v>
      </c>
      <c r="H1979" t="s">
        <v>137</v>
      </c>
      <c r="I1979" t="str">
        <f>VLOOKUP(Tabla1[[#This Row],[Code]],'[1]Articulos Precio'!$A:$E,5,FALSE)</f>
        <v>A0000103</v>
      </c>
    </row>
    <row r="1980" spans="1:9" x14ac:dyDescent="0.25">
      <c r="A1980" t="s">
        <v>605</v>
      </c>
      <c r="B1980" t="str">
        <f>VLOOKUP(Tabla1[[#This Row],[Code]],[1]!Tabla4[#Data],2,FALSE)</f>
        <v>M2 Metamark M7 148 Rojo Profundo 0,61 x 50m</v>
      </c>
      <c r="C1980">
        <v>24</v>
      </c>
      <c r="D1980" t="s">
        <v>96</v>
      </c>
      <c r="E1980" t="str">
        <f>VLOOKUP(Tabla1[[#This Row],[Cód. Atributo]],[1]!Tabla5[#Data],6,FALSE)</f>
        <v>Select</v>
      </c>
      <c r="F1980">
        <v>6</v>
      </c>
      <c r="G1980">
        <v>2</v>
      </c>
      <c r="H1980" t="s">
        <v>266</v>
      </c>
      <c r="I1980" t="str">
        <f>VLOOKUP(Tabla1[[#This Row],[Code]],'[1]Articulos Precio'!$A:$E,5,FALSE)</f>
        <v>A0000103</v>
      </c>
    </row>
    <row r="1981" spans="1:9" x14ac:dyDescent="0.25">
      <c r="A1981" t="s">
        <v>607</v>
      </c>
      <c r="B1981" t="str">
        <f>VLOOKUP(Tabla1[[#This Row],[Code]],[1]!Tabla4[#Data],2,FALSE)</f>
        <v>M2 Metamark M7 148 Rojo Profundo 1,22 x 50m</v>
      </c>
      <c r="C1981">
        <v>8</v>
      </c>
      <c r="D1981" t="s">
        <v>86</v>
      </c>
      <c r="E1981" t="str">
        <f>VLOOKUP(Tabla1[[#This Row],[Cód. Atributo]],[1]!Tabla5[#Data],6,FALSE)</f>
        <v>Select</v>
      </c>
      <c r="F1981">
        <v>1</v>
      </c>
      <c r="G1981">
        <v>2</v>
      </c>
      <c r="H1981" t="s">
        <v>268</v>
      </c>
      <c r="I1981" t="str">
        <f>VLOOKUP(Tabla1[[#This Row],[Code]],'[1]Articulos Precio'!$A:$E,5,FALSE)</f>
        <v>A0000103</v>
      </c>
    </row>
    <row r="1982" spans="1:9" x14ac:dyDescent="0.25">
      <c r="A1982" t="s">
        <v>607</v>
      </c>
      <c r="B1982" t="str">
        <f>VLOOKUP(Tabla1[[#This Row],[Code]],[1]!Tabla4[#Data],2,FALSE)</f>
        <v>M2 Metamark M7 148 Rojo Profundo 1,22 x 50m</v>
      </c>
      <c r="C1982">
        <v>13</v>
      </c>
      <c r="D1982" t="s">
        <v>491</v>
      </c>
      <c r="E1982" t="str">
        <f>VLOOKUP(Tabla1[[#This Row],[Cód. Atributo]],[1]!Tabla5[#Data],6,FALSE)</f>
        <v>Color</v>
      </c>
      <c r="F1982">
        <v>2</v>
      </c>
      <c r="G1982">
        <v>24</v>
      </c>
      <c r="H1982" t="s">
        <v>606</v>
      </c>
      <c r="I1982" t="str">
        <f>VLOOKUP(Tabla1[[#This Row],[Code]],'[1]Articulos Precio'!$A:$E,5,FALSE)</f>
        <v>A0000103</v>
      </c>
    </row>
    <row r="1983" spans="1:9" x14ac:dyDescent="0.25">
      <c r="A1983" t="s">
        <v>607</v>
      </c>
      <c r="B1983" t="str">
        <f>VLOOKUP(Tabla1[[#This Row],[Code]],[1]!Tabla4[#Data],2,FALSE)</f>
        <v>M2 Metamark M7 148 Rojo Profundo 1,22 x 50m</v>
      </c>
      <c r="C1983">
        <v>23</v>
      </c>
      <c r="D1983" t="s">
        <v>90</v>
      </c>
      <c r="E1983" t="str">
        <f>VLOOKUP(Tabla1[[#This Row],[Cód. Atributo]],[1]!Tabla5[#Data],6,FALSE)</f>
        <v>Select</v>
      </c>
      <c r="F1983">
        <v>3</v>
      </c>
      <c r="G1983">
        <v>2</v>
      </c>
      <c r="H1983" t="s">
        <v>136</v>
      </c>
      <c r="I1983" t="str">
        <f>VLOOKUP(Tabla1[[#This Row],[Code]],'[1]Articulos Precio'!$A:$E,5,FALSE)</f>
        <v>A0000103</v>
      </c>
    </row>
    <row r="1984" spans="1:9" x14ac:dyDescent="0.25">
      <c r="A1984" t="s">
        <v>607</v>
      </c>
      <c r="B1984" t="str">
        <f>VLOOKUP(Tabla1[[#This Row],[Code]],[1]!Tabla4[#Data],2,FALSE)</f>
        <v>M2 Metamark M7 148 Rojo Profundo 1,22 x 50m</v>
      </c>
      <c r="C1984">
        <v>28</v>
      </c>
      <c r="D1984" t="s">
        <v>92</v>
      </c>
      <c r="E1984" t="str">
        <f>VLOOKUP(Tabla1[[#This Row],[Cód. Atributo]],[1]!Tabla5[#Data],6,FALSE)</f>
        <v>Select</v>
      </c>
      <c r="F1984">
        <v>4</v>
      </c>
      <c r="G1984">
        <v>1</v>
      </c>
      <c r="H1984" t="s">
        <v>93</v>
      </c>
      <c r="I1984" t="str">
        <f>VLOOKUP(Tabla1[[#This Row],[Code]],'[1]Articulos Precio'!$A:$E,5,FALSE)</f>
        <v>A0000103</v>
      </c>
    </row>
    <row r="1985" spans="1:9" x14ac:dyDescent="0.25">
      <c r="A1985" t="s">
        <v>607</v>
      </c>
      <c r="B1985" t="str">
        <f>VLOOKUP(Tabla1[[#This Row],[Code]],[1]!Tabla4[#Data],2,FALSE)</f>
        <v>M2 Metamark M7 148 Rojo Profundo 1,22 x 50m</v>
      </c>
      <c r="C1985">
        <v>25</v>
      </c>
      <c r="D1985" t="s">
        <v>94</v>
      </c>
      <c r="E1985" t="str">
        <f>VLOOKUP(Tabla1[[#This Row],[Cód. Atributo]],[1]!Tabla5[#Data],6,FALSE)</f>
        <v>Select</v>
      </c>
      <c r="F1985">
        <v>5</v>
      </c>
      <c r="G1985">
        <v>4</v>
      </c>
      <c r="H1985" t="s">
        <v>137</v>
      </c>
      <c r="I1985" t="str">
        <f>VLOOKUP(Tabla1[[#This Row],[Code]],'[1]Articulos Precio'!$A:$E,5,FALSE)</f>
        <v>A0000103</v>
      </c>
    </row>
    <row r="1986" spans="1:9" x14ac:dyDescent="0.25">
      <c r="A1986" t="s">
        <v>607</v>
      </c>
      <c r="B1986" t="str">
        <f>VLOOKUP(Tabla1[[#This Row],[Code]],[1]!Tabla4[#Data],2,FALSE)</f>
        <v>M2 Metamark M7 148 Rojo Profundo 1,22 x 50m</v>
      </c>
      <c r="C1986">
        <v>24</v>
      </c>
      <c r="D1986" t="s">
        <v>96</v>
      </c>
      <c r="E1986" t="str">
        <f>VLOOKUP(Tabla1[[#This Row],[Cód. Atributo]],[1]!Tabla5[#Data],6,FALSE)</f>
        <v>Select</v>
      </c>
      <c r="F1986">
        <v>6</v>
      </c>
      <c r="G1986">
        <v>2</v>
      </c>
      <c r="H1986" t="s">
        <v>266</v>
      </c>
      <c r="I1986" t="str">
        <f>VLOOKUP(Tabla1[[#This Row],[Code]],'[1]Articulos Precio'!$A:$E,5,FALSE)</f>
        <v>A0000103</v>
      </c>
    </row>
    <row r="1987" spans="1:9" x14ac:dyDescent="0.25">
      <c r="A1987" t="s">
        <v>608</v>
      </c>
      <c r="B1987" t="str">
        <f>VLOOKUP(Tabla1[[#This Row],[Code]],[1]!Tabla4[#Data],2,FALSE)</f>
        <v>M2 Metamark M7 149 Rojo Carmesí 0,61 x 50m</v>
      </c>
      <c r="C1987">
        <v>8</v>
      </c>
      <c r="D1987" t="s">
        <v>86</v>
      </c>
      <c r="E1987" t="str">
        <f>VLOOKUP(Tabla1[[#This Row],[Cód. Atributo]],[1]!Tabla5[#Data],6,FALSE)</f>
        <v>Select</v>
      </c>
      <c r="F1987">
        <v>1</v>
      </c>
      <c r="G1987">
        <v>1</v>
      </c>
      <c r="H1987" t="s">
        <v>263</v>
      </c>
      <c r="I1987" t="str">
        <f>VLOOKUP(Tabla1[[#This Row],[Code]],'[1]Articulos Precio'!$A:$E,5,FALSE)</f>
        <v>A0000103</v>
      </c>
    </row>
    <row r="1988" spans="1:9" x14ac:dyDescent="0.25">
      <c r="A1988" t="s">
        <v>608</v>
      </c>
      <c r="B1988" t="str">
        <f>VLOOKUP(Tabla1[[#This Row],[Code]],[1]!Tabla4[#Data],2,FALSE)</f>
        <v>M2 Metamark M7 149 Rojo Carmesí 0,61 x 50m</v>
      </c>
      <c r="C1988">
        <v>13</v>
      </c>
      <c r="D1988" t="s">
        <v>491</v>
      </c>
      <c r="E1988" t="str">
        <f>VLOOKUP(Tabla1[[#This Row],[Cód. Atributo]],[1]!Tabla5[#Data],6,FALSE)</f>
        <v>Color</v>
      </c>
      <c r="F1988">
        <v>2</v>
      </c>
      <c r="G1988">
        <v>72</v>
      </c>
      <c r="H1988" t="s">
        <v>609</v>
      </c>
      <c r="I1988" t="str">
        <f>VLOOKUP(Tabla1[[#This Row],[Code]],'[1]Articulos Precio'!$A:$E,5,FALSE)</f>
        <v>A0000103</v>
      </c>
    </row>
    <row r="1989" spans="1:9" x14ac:dyDescent="0.25">
      <c r="A1989" t="s">
        <v>608</v>
      </c>
      <c r="B1989" t="str">
        <f>VLOOKUP(Tabla1[[#This Row],[Code]],[1]!Tabla4[#Data],2,FALSE)</f>
        <v>M2 Metamark M7 149 Rojo Carmesí 0,61 x 50m</v>
      </c>
      <c r="C1989">
        <v>23</v>
      </c>
      <c r="D1989" t="s">
        <v>90</v>
      </c>
      <c r="E1989" t="str">
        <f>VLOOKUP(Tabla1[[#This Row],[Cód. Atributo]],[1]!Tabla5[#Data],6,FALSE)</f>
        <v>Select</v>
      </c>
      <c r="F1989">
        <v>3</v>
      </c>
      <c r="G1989">
        <v>2</v>
      </c>
      <c r="H1989" t="s">
        <v>136</v>
      </c>
      <c r="I1989" t="str">
        <f>VLOOKUP(Tabla1[[#This Row],[Code]],'[1]Articulos Precio'!$A:$E,5,FALSE)</f>
        <v>A0000103</v>
      </c>
    </row>
    <row r="1990" spans="1:9" x14ac:dyDescent="0.25">
      <c r="A1990" t="s">
        <v>608</v>
      </c>
      <c r="B1990" t="str">
        <f>VLOOKUP(Tabla1[[#This Row],[Code]],[1]!Tabla4[#Data],2,FALSE)</f>
        <v>M2 Metamark M7 149 Rojo Carmesí 0,61 x 50m</v>
      </c>
      <c r="C1990">
        <v>28</v>
      </c>
      <c r="D1990" t="s">
        <v>92</v>
      </c>
      <c r="E1990" t="str">
        <f>VLOOKUP(Tabla1[[#This Row],[Cód. Atributo]],[1]!Tabla5[#Data],6,FALSE)</f>
        <v>Select</v>
      </c>
      <c r="F1990">
        <v>4</v>
      </c>
      <c r="G1990">
        <v>1</v>
      </c>
      <c r="H1990" t="s">
        <v>93</v>
      </c>
      <c r="I1990" t="str">
        <f>VLOOKUP(Tabla1[[#This Row],[Code]],'[1]Articulos Precio'!$A:$E,5,FALSE)</f>
        <v>A0000103</v>
      </c>
    </row>
    <row r="1991" spans="1:9" x14ac:dyDescent="0.25">
      <c r="A1991" t="s">
        <v>608</v>
      </c>
      <c r="B1991" t="str">
        <f>VLOOKUP(Tabla1[[#This Row],[Code]],[1]!Tabla4[#Data],2,FALSE)</f>
        <v>M2 Metamark M7 149 Rojo Carmesí 0,61 x 50m</v>
      </c>
      <c r="C1991">
        <v>25</v>
      </c>
      <c r="D1991" t="s">
        <v>94</v>
      </c>
      <c r="E1991" t="str">
        <f>VLOOKUP(Tabla1[[#This Row],[Cód. Atributo]],[1]!Tabla5[#Data],6,FALSE)</f>
        <v>Select</v>
      </c>
      <c r="F1991">
        <v>5</v>
      </c>
      <c r="G1991">
        <v>4</v>
      </c>
      <c r="H1991" t="s">
        <v>137</v>
      </c>
      <c r="I1991" t="str">
        <f>VLOOKUP(Tabla1[[#This Row],[Code]],'[1]Articulos Precio'!$A:$E,5,FALSE)</f>
        <v>A0000103</v>
      </c>
    </row>
    <row r="1992" spans="1:9" x14ac:dyDescent="0.25">
      <c r="A1992" t="s">
        <v>608</v>
      </c>
      <c r="B1992" t="str">
        <f>VLOOKUP(Tabla1[[#This Row],[Code]],[1]!Tabla4[#Data],2,FALSE)</f>
        <v>M2 Metamark M7 149 Rojo Carmesí 0,61 x 50m</v>
      </c>
      <c r="C1992">
        <v>24</v>
      </c>
      <c r="D1992" t="s">
        <v>96</v>
      </c>
      <c r="E1992" t="str">
        <f>VLOOKUP(Tabla1[[#This Row],[Cód. Atributo]],[1]!Tabla5[#Data],6,FALSE)</f>
        <v>Select</v>
      </c>
      <c r="F1992">
        <v>6</v>
      </c>
      <c r="G1992">
        <v>2</v>
      </c>
      <c r="H1992" t="s">
        <v>266</v>
      </c>
      <c r="I1992" t="str">
        <f>VLOOKUP(Tabla1[[#This Row],[Code]],'[1]Articulos Precio'!$A:$E,5,FALSE)</f>
        <v>A0000103</v>
      </c>
    </row>
    <row r="1993" spans="1:9" x14ac:dyDescent="0.25">
      <c r="A1993" t="s">
        <v>610</v>
      </c>
      <c r="B1993" t="str">
        <f>VLOOKUP(Tabla1[[#This Row],[Code]],[1]!Tabla4[#Data],2,FALSE)</f>
        <v>M2 Metamark M7 149 Rojo Carmesí 1,22 x 50m</v>
      </c>
      <c r="C1993">
        <v>8</v>
      </c>
      <c r="D1993" t="s">
        <v>86</v>
      </c>
      <c r="E1993" t="str">
        <f>VLOOKUP(Tabla1[[#This Row],[Cód. Atributo]],[1]!Tabla5[#Data],6,FALSE)</f>
        <v>Select</v>
      </c>
      <c r="F1993">
        <v>1</v>
      </c>
      <c r="G1993">
        <v>2</v>
      </c>
      <c r="H1993" t="s">
        <v>268</v>
      </c>
      <c r="I1993" t="str">
        <f>VLOOKUP(Tabla1[[#This Row],[Code]],'[1]Articulos Precio'!$A:$E,5,FALSE)</f>
        <v>A0000103</v>
      </c>
    </row>
    <row r="1994" spans="1:9" x14ac:dyDescent="0.25">
      <c r="A1994" t="s">
        <v>610</v>
      </c>
      <c r="B1994" t="str">
        <f>VLOOKUP(Tabla1[[#This Row],[Code]],[1]!Tabla4[#Data],2,FALSE)</f>
        <v>M2 Metamark M7 149 Rojo Carmesí 1,22 x 50m</v>
      </c>
      <c r="C1994">
        <v>13</v>
      </c>
      <c r="D1994" t="s">
        <v>491</v>
      </c>
      <c r="E1994" t="str">
        <f>VLOOKUP(Tabla1[[#This Row],[Cód. Atributo]],[1]!Tabla5[#Data],6,FALSE)</f>
        <v>Color</v>
      </c>
      <c r="F1994">
        <v>2</v>
      </c>
      <c r="G1994">
        <v>72</v>
      </c>
      <c r="H1994" t="s">
        <v>609</v>
      </c>
      <c r="I1994" t="str">
        <f>VLOOKUP(Tabla1[[#This Row],[Code]],'[1]Articulos Precio'!$A:$E,5,FALSE)</f>
        <v>A0000103</v>
      </c>
    </row>
    <row r="1995" spans="1:9" x14ac:dyDescent="0.25">
      <c r="A1995" t="s">
        <v>610</v>
      </c>
      <c r="B1995" t="str">
        <f>VLOOKUP(Tabla1[[#This Row],[Code]],[1]!Tabla4[#Data],2,FALSE)</f>
        <v>M2 Metamark M7 149 Rojo Carmesí 1,22 x 50m</v>
      </c>
      <c r="C1995">
        <v>23</v>
      </c>
      <c r="D1995" t="s">
        <v>90</v>
      </c>
      <c r="E1995" t="str">
        <f>VLOOKUP(Tabla1[[#This Row],[Cód. Atributo]],[1]!Tabla5[#Data],6,FALSE)</f>
        <v>Select</v>
      </c>
      <c r="F1995">
        <v>3</v>
      </c>
      <c r="G1995">
        <v>2</v>
      </c>
      <c r="H1995" t="s">
        <v>136</v>
      </c>
      <c r="I1995" t="str">
        <f>VLOOKUP(Tabla1[[#This Row],[Code]],'[1]Articulos Precio'!$A:$E,5,FALSE)</f>
        <v>A0000103</v>
      </c>
    </row>
    <row r="1996" spans="1:9" x14ac:dyDescent="0.25">
      <c r="A1996" t="s">
        <v>610</v>
      </c>
      <c r="B1996" t="str">
        <f>VLOOKUP(Tabla1[[#This Row],[Code]],[1]!Tabla4[#Data],2,FALSE)</f>
        <v>M2 Metamark M7 149 Rojo Carmesí 1,22 x 50m</v>
      </c>
      <c r="C1996">
        <v>28</v>
      </c>
      <c r="D1996" t="s">
        <v>92</v>
      </c>
      <c r="E1996" t="str">
        <f>VLOOKUP(Tabla1[[#This Row],[Cód. Atributo]],[1]!Tabla5[#Data],6,FALSE)</f>
        <v>Select</v>
      </c>
      <c r="F1996">
        <v>4</v>
      </c>
      <c r="G1996">
        <v>1</v>
      </c>
      <c r="H1996" t="s">
        <v>93</v>
      </c>
      <c r="I1996" t="str">
        <f>VLOOKUP(Tabla1[[#This Row],[Code]],'[1]Articulos Precio'!$A:$E,5,FALSE)</f>
        <v>A0000103</v>
      </c>
    </row>
    <row r="1997" spans="1:9" x14ac:dyDescent="0.25">
      <c r="A1997" t="s">
        <v>610</v>
      </c>
      <c r="B1997" t="str">
        <f>VLOOKUP(Tabla1[[#This Row],[Code]],[1]!Tabla4[#Data],2,FALSE)</f>
        <v>M2 Metamark M7 149 Rojo Carmesí 1,22 x 50m</v>
      </c>
      <c r="C1997">
        <v>25</v>
      </c>
      <c r="D1997" t="s">
        <v>94</v>
      </c>
      <c r="E1997" t="str">
        <f>VLOOKUP(Tabla1[[#This Row],[Cód. Atributo]],[1]!Tabla5[#Data],6,FALSE)</f>
        <v>Select</v>
      </c>
      <c r="F1997">
        <v>5</v>
      </c>
      <c r="G1997">
        <v>4</v>
      </c>
      <c r="H1997" t="s">
        <v>137</v>
      </c>
      <c r="I1997" t="str">
        <f>VLOOKUP(Tabla1[[#This Row],[Code]],'[1]Articulos Precio'!$A:$E,5,FALSE)</f>
        <v>A0000103</v>
      </c>
    </row>
    <row r="1998" spans="1:9" x14ac:dyDescent="0.25">
      <c r="A1998" t="s">
        <v>610</v>
      </c>
      <c r="B1998" t="str">
        <f>VLOOKUP(Tabla1[[#This Row],[Code]],[1]!Tabla4[#Data],2,FALSE)</f>
        <v>M2 Metamark M7 149 Rojo Carmesí 1,22 x 50m</v>
      </c>
      <c r="C1998">
        <v>24</v>
      </c>
      <c r="D1998" t="s">
        <v>96</v>
      </c>
      <c r="E1998" t="str">
        <f>VLOOKUP(Tabla1[[#This Row],[Cód. Atributo]],[1]!Tabla5[#Data],6,FALSE)</f>
        <v>Select</v>
      </c>
      <c r="F1998">
        <v>6</v>
      </c>
      <c r="G1998">
        <v>2</v>
      </c>
      <c r="H1998" t="s">
        <v>266</v>
      </c>
      <c r="I1998" t="str">
        <f>VLOOKUP(Tabla1[[#This Row],[Code]],'[1]Articulos Precio'!$A:$E,5,FALSE)</f>
        <v>A0000103</v>
      </c>
    </row>
    <row r="1999" spans="1:9" x14ac:dyDescent="0.25">
      <c r="A1999" t="s">
        <v>611</v>
      </c>
      <c r="B1999" t="str">
        <f>VLOOKUP(Tabla1[[#This Row],[Code]],[1]!Tabla4[#Data],2,FALSE)</f>
        <v>M2 Metamark M7 150 Azul Pálido 0,61 x 50m</v>
      </c>
      <c r="C1999">
        <v>8</v>
      </c>
      <c r="D1999" t="s">
        <v>86</v>
      </c>
      <c r="E1999" t="str">
        <f>VLOOKUP(Tabla1[[#This Row],[Cód. Atributo]],[1]!Tabla5[#Data],6,FALSE)</f>
        <v>Select</v>
      </c>
      <c r="F1999">
        <v>1</v>
      </c>
      <c r="G1999">
        <v>1</v>
      </c>
      <c r="H1999" t="s">
        <v>263</v>
      </c>
      <c r="I1999" t="str">
        <f>VLOOKUP(Tabla1[[#This Row],[Code]],'[1]Articulos Precio'!$A:$E,5,FALSE)</f>
        <v>A0000103</v>
      </c>
    </row>
    <row r="2000" spans="1:9" x14ac:dyDescent="0.25">
      <c r="A2000" t="s">
        <v>611</v>
      </c>
      <c r="B2000" t="str">
        <f>VLOOKUP(Tabla1[[#This Row],[Code]],[1]!Tabla4[#Data],2,FALSE)</f>
        <v>M2 Metamark M7 150 Azul Pálido 0,61 x 50m</v>
      </c>
      <c r="C2000">
        <v>13</v>
      </c>
      <c r="D2000" t="s">
        <v>491</v>
      </c>
      <c r="E2000" t="str">
        <f>VLOOKUP(Tabla1[[#This Row],[Cód. Atributo]],[1]!Tabla5[#Data],6,FALSE)</f>
        <v>Color</v>
      </c>
      <c r="F2000">
        <v>2</v>
      </c>
      <c r="G2000">
        <v>25</v>
      </c>
      <c r="H2000" t="s">
        <v>612</v>
      </c>
      <c r="I2000" t="str">
        <f>VLOOKUP(Tabla1[[#This Row],[Code]],'[1]Articulos Precio'!$A:$E,5,FALSE)</f>
        <v>A0000103</v>
      </c>
    </row>
    <row r="2001" spans="1:9" x14ac:dyDescent="0.25">
      <c r="A2001" t="s">
        <v>611</v>
      </c>
      <c r="B2001" t="str">
        <f>VLOOKUP(Tabla1[[#This Row],[Code]],[1]!Tabla4[#Data],2,FALSE)</f>
        <v>M2 Metamark M7 150 Azul Pálido 0,61 x 50m</v>
      </c>
      <c r="C2001">
        <v>23</v>
      </c>
      <c r="D2001" t="s">
        <v>90</v>
      </c>
      <c r="E2001" t="str">
        <f>VLOOKUP(Tabla1[[#This Row],[Cód. Atributo]],[1]!Tabla5[#Data],6,FALSE)</f>
        <v>Select</v>
      </c>
      <c r="F2001">
        <v>3</v>
      </c>
      <c r="G2001">
        <v>2</v>
      </c>
      <c r="H2001" t="s">
        <v>136</v>
      </c>
      <c r="I2001" t="str">
        <f>VLOOKUP(Tabla1[[#This Row],[Code]],'[1]Articulos Precio'!$A:$E,5,FALSE)</f>
        <v>A0000103</v>
      </c>
    </row>
    <row r="2002" spans="1:9" x14ac:dyDescent="0.25">
      <c r="A2002" t="s">
        <v>611</v>
      </c>
      <c r="B2002" t="str">
        <f>VLOOKUP(Tabla1[[#This Row],[Code]],[1]!Tabla4[#Data],2,FALSE)</f>
        <v>M2 Metamark M7 150 Azul Pálido 0,61 x 50m</v>
      </c>
      <c r="C2002">
        <v>28</v>
      </c>
      <c r="D2002" t="s">
        <v>92</v>
      </c>
      <c r="E2002" t="str">
        <f>VLOOKUP(Tabla1[[#This Row],[Cód. Atributo]],[1]!Tabla5[#Data],6,FALSE)</f>
        <v>Select</v>
      </c>
      <c r="F2002">
        <v>4</v>
      </c>
      <c r="G2002">
        <v>1</v>
      </c>
      <c r="H2002" t="s">
        <v>93</v>
      </c>
      <c r="I2002" t="str">
        <f>VLOOKUP(Tabla1[[#This Row],[Code]],'[1]Articulos Precio'!$A:$E,5,FALSE)</f>
        <v>A0000103</v>
      </c>
    </row>
    <row r="2003" spans="1:9" x14ac:dyDescent="0.25">
      <c r="A2003" t="s">
        <v>611</v>
      </c>
      <c r="B2003" t="str">
        <f>VLOOKUP(Tabla1[[#This Row],[Code]],[1]!Tabla4[#Data],2,FALSE)</f>
        <v>M2 Metamark M7 150 Azul Pálido 0,61 x 50m</v>
      </c>
      <c r="C2003">
        <v>25</v>
      </c>
      <c r="D2003" t="s">
        <v>94</v>
      </c>
      <c r="E2003" t="str">
        <f>VLOOKUP(Tabla1[[#This Row],[Cód. Atributo]],[1]!Tabla5[#Data],6,FALSE)</f>
        <v>Select</v>
      </c>
      <c r="F2003">
        <v>5</v>
      </c>
      <c r="G2003">
        <v>4</v>
      </c>
      <c r="H2003" t="s">
        <v>137</v>
      </c>
      <c r="I2003" t="str">
        <f>VLOOKUP(Tabla1[[#This Row],[Code]],'[1]Articulos Precio'!$A:$E,5,FALSE)</f>
        <v>A0000103</v>
      </c>
    </row>
    <row r="2004" spans="1:9" x14ac:dyDescent="0.25">
      <c r="A2004" t="s">
        <v>611</v>
      </c>
      <c r="B2004" t="str">
        <f>VLOOKUP(Tabla1[[#This Row],[Code]],[1]!Tabla4[#Data],2,FALSE)</f>
        <v>M2 Metamark M7 150 Azul Pálido 0,61 x 50m</v>
      </c>
      <c r="C2004">
        <v>24</v>
      </c>
      <c r="D2004" t="s">
        <v>96</v>
      </c>
      <c r="E2004" t="str">
        <f>VLOOKUP(Tabla1[[#This Row],[Cód. Atributo]],[1]!Tabla5[#Data],6,FALSE)</f>
        <v>Select</v>
      </c>
      <c r="F2004">
        <v>6</v>
      </c>
      <c r="G2004">
        <v>2</v>
      </c>
      <c r="H2004" t="s">
        <v>266</v>
      </c>
      <c r="I2004" t="str">
        <f>VLOOKUP(Tabla1[[#This Row],[Code]],'[1]Articulos Precio'!$A:$E,5,FALSE)</f>
        <v>A0000103</v>
      </c>
    </row>
    <row r="2005" spans="1:9" x14ac:dyDescent="0.25">
      <c r="A2005" t="s">
        <v>613</v>
      </c>
      <c r="B2005" t="str">
        <f>VLOOKUP(Tabla1[[#This Row],[Code]],[1]!Tabla4[#Data],2,FALSE)</f>
        <v>M2 Metamark M7 150 Azul Pálido 1,22 x 50m</v>
      </c>
      <c r="C2005">
        <v>8</v>
      </c>
      <c r="D2005" t="s">
        <v>86</v>
      </c>
      <c r="E2005" t="str">
        <f>VLOOKUP(Tabla1[[#This Row],[Cód. Atributo]],[1]!Tabla5[#Data],6,FALSE)</f>
        <v>Select</v>
      </c>
      <c r="F2005">
        <v>1</v>
      </c>
      <c r="G2005">
        <v>2</v>
      </c>
      <c r="H2005" t="s">
        <v>268</v>
      </c>
      <c r="I2005" t="str">
        <f>VLOOKUP(Tabla1[[#This Row],[Code]],'[1]Articulos Precio'!$A:$E,5,FALSE)</f>
        <v>A0000103</v>
      </c>
    </row>
    <row r="2006" spans="1:9" x14ac:dyDescent="0.25">
      <c r="A2006" t="s">
        <v>613</v>
      </c>
      <c r="B2006" t="str">
        <f>VLOOKUP(Tabla1[[#This Row],[Code]],[1]!Tabla4[#Data],2,FALSE)</f>
        <v>M2 Metamark M7 150 Azul Pálido 1,22 x 50m</v>
      </c>
      <c r="C2006">
        <v>13</v>
      </c>
      <c r="D2006" t="s">
        <v>491</v>
      </c>
      <c r="E2006" t="str">
        <f>VLOOKUP(Tabla1[[#This Row],[Cód. Atributo]],[1]!Tabla5[#Data],6,FALSE)</f>
        <v>Color</v>
      </c>
      <c r="F2006">
        <v>2</v>
      </c>
      <c r="G2006">
        <v>25</v>
      </c>
      <c r="H2006" t="s">
        <v>612</v>
      </c>
      <c r="I2006" t="str">
        <f>VLOOKUP(Tabla1[[#This Row],[Code]],'[1]Articulos Precio'!$A:$E,5,FALSE)</f>
        <v>A0000103</v>
      </c>
    </row>
    <row r="2007" spans="1:9" x14ac:dyDescent="0.25">
      <c r="A2007" t="s">
        <v>613</v>
      </c>
      <c r="B2007" t="str">
        <f>VLOOKUP(Tabla1[[#This Row],[Code]],[1]!Tabla4[#Data],2,FALSE)</f>
        <v>M2 Metamark M7 150 Azul Pálido 1,22 x 50m</v>
      </c>
      <c r="C2007">
        <v>23</v>
      </c>
      <c r="D2007" t="s">
        <v>90</v>
      </c>
      <c r="E2007" t="str">
        <f>VLOOKUP(Tabla1[[#This Row],[Cód. Atributo]],[1]!Tabla5[#Data],6,FALSE)</f>
        <v>Select</v>
      </c>
      <c r="F2007">
        <v>3</v>
      </c>
      <c r="G2007">
        <v>2</v>
      </c>
      <c r="H2007" t="s">
        <v>136</v>
      </c>
      <c r="I2007" t="str">
        <f>VLOOKUP(Tabla1[[#This Row],[Code]],'[1]Articulos Precio'!$A:$E,5,FALSE)</f>
        <v>A0000103</v>
      </c>
    </row>
    <row r="2008" spans="1:9" x14ac:dyDescent="0.25">
      <c r="A2008" t="s">
        <v>613</v>
      </c>
      <c r="B2008" t="str">
        <f>VLOOKUP(Tabla1[[#This Row],[Code]],[1]!Tabla4[#Data],2,FALSE)</f>
        <v>M2 Metamark M7 150 Azul Pálido 1,22 x 50m</v>
      </c>
      <c r="C2008">
        <v>28</v>
      </c>
      <c r="D2008" t="s">
        <v>92</v>
      </c>
      <c r="E2008" t="str">
        <f>VLOOKUP(Tabla1[[#This Row],[Cód. Atributo]],[1]!Tabla5[#Data],6,FALSE)</f>
        <v>Select</v>
      </c>
      <c r="F2008">
        <v>4</v>
      </c>
      <c r="G2008">
        <v>1</v>
      </c>
      <c r="H2008" t="s">
        <v>93</v>
      </c>
      <c r="I2008" t="str">
        <f>VLOOKUP(Tabla1[[#This Row],[Code]],'[1]Articulos Precio'!$A:$E,5,FALSE)</f>
        <v>A0000103</v>
      </c>
    </row>
    <row r="2009" spans="1:9" x14ac:dyDescent="0.25">
      <c r="A2009" t="s">
        <v>613</v>
      </c>
      <c r="B2009" t="str">
        <f>VLOOKUP(Tabla1[[#This Row],[Code]],[1]!Tabla4[#Data],2,FALSE)</f>
        <v>M2 Metamark M7 150 Azul Pálido 1,22 x 50m</v>
      </c>
      <c r="C2009">
        <v>25</v>
      </c>
      <c r="D2009" t="s">
        <v>94</v>
      </c>
      <c r="E2009" t="str">
        <f>VLOOKUP(Tabla1[[#This Row],[Cód. Atributo]],[1]!Tabla5[#Data],6,FALSE)</f>
        <v>Select</v>
      </c>
      <c r="F2009">
        <v>5</v>
      </c>
      <c r="G2009">
        <v>4</v>
      </c>
      <c r="H2009" t="s">
        <v>137</v>
      </c>
      <c r="I2009" t="str">
        <f>VLOOKUP(Tabla1[[#This Row],[Code]],'[1]Articulos Precio'!$A:$E,5,FALSE)</f>
        <v>A0000103</v>
      </c>
    </row>
    <row r="2010" spans="1:9" x14ac:dyDescent="0.25">
      <c r="A2010" t="s">
        <v>613</v>
      </c>
      <c r="B2010" t="str">
        <f>VLOOKUP(Tabla1[[#This Row],[Code]],[1]!Tabla4[#Data],2,FALSE)</f>
        <v>M2 Metamark M7 150 Azul Pálido 1,22 x 50m</v>
      </c>
      <c r="C2010">
        <v>24</v>
      </c>
      <c r="D2010" t="s">
        <v>96</v>
      </c>
      <c r="E2010" t="str">
        <f>VLOOKUP(Tabla1[[#This Row],[Cód. Atributo]],[1]!Tabla5[#Data],6,FALSE)</f>
        <v>Select</v>
      </c>
      <c r="F2010">
        <v>6</v>
      </c>
      <c r="G2010">
        <v>2</v>
      </c>
      <c r="H2010" t="s">
        <v>266</v>
      </c>
      <c r="I2010" t="str">
        <f>VLOOKUP(Tabla1[[#This Row],[Code]],'[1]Articulos Precio'!$A:$E,5,FALSE)</f>
        <v>A0000103</v>
      </c>
    </row>
    <row r="2011" spans="1:9" x14ac:dyDescent="0.25">
      <c r="A2011" t="s">
        <v>614</v>
      </c>
      <c r="B2011" t="str">
        <f>VLOOKUP(Tabla1[[#This Row],[Code]],[1]!Tabla4[#Data],2,FALSE)</f>
        <v>M2 Metamark M7 151 Azul Olímpico 0,61 x 50m</v>
      </c>
      <c r="C2011">
        <v>8</v>
      </c>
      <c r="D2011" t="s">
        <v>86</v>
      </c>
      <c r="E2011" t="str">
        <f>VLOOKUP(Tabla1[[#This Row],[Cód. Atributo]],[1]!Tabla5[#Data],6,FALSE)</f>
        <v>Select</v>
      </c>
      <c r="F2011">
        <v>1</v>
      </c>
      <c r="G2011">
        <v>1</v>
      </c>
      <c r="H2011" t="s">
        <v>263</v>
      </c>
      <c r="I2011" t="str">
        <f>VLOOKUP(Tabla1[[#This Row],[Code]],'[1]Articulos Precio'!$A:$E,5,FALSE)</f>
        <v>A0000103</v>
      </c>
    </row>
    <row r="2012" spans="1:9" x14ac:dyDescent="0.25">
      <c r="A2012" t="s">
        <v>614</v>
      </c>
      <c r="B2012" t="str">
        <f>VLOOKUP(Tabla1[[#This Row],[Code]],[1]!Tabla4[#Data],2,FALSE)</f>
        <v>M2 Metamark M7 151 Azul Olímpico 0,61 x 50m</v>
      </c>
      <c r="C2012">
        <v>13</v>
      </c>
      <c r="D2012" t="s">
        <v>491</v>
      </c>
      <c r="E2012" t="str">
        <f>VLOOKUP(Tabla1[[#This Row],[Cód. Atributo]],[1]!Tabla5[#Data],6,FALSE)</f>
        <v>Color</v>
      </c>
      <c r="F2012">
        <v>2</v>
      </c>
      <c r="G2012">
        <v>26</v>
      </c>
      <c r="H2012" t="s">
        <v>615</v>
      </c>
      <c r="I2012" t="str">
        <f>VLOOKUP(Tabla1[[#This Row],[Code]],'[1]Articulos Precio'!$A:$E,5,FALSE)</f>
        <v>A0000103</v>
      </c>
    </row>
    <row r="2013" spans="1:9" x14ac:dyDescent="0.25">
      <c r="A2013" t="s">
        <v>614</v>
      </c>
      <c r="B2013" t="str">
        <f>VLOOKUP(Tabla1[[#This Row],[Code]],[1]!Tabla4[#Data],2,FALSE)</f>
        <v>M2 Metamark M7 151 Azul Olímpico 0,61 x 50m</v>
      </c>
      <c r="C2013">
        <v>23</v>
      </c>
      <c r="D2013" t="s">
        <v>90</v>
      </c>
      <c r="E2013" t="str">
        <f>VLOOKUP(Tabla1[[#This Row],[Cód. Atributo]],[1]!Tabla5[#Data],6,FALSE)</f>
        <v>Select</v>
      </c>
      <c r="F2013">
        <v>3</v>
      </c>
      <c r="G2013">
        <v>2</v>
      </c>
      <c r="H2013" t="s">
        <v>136</v>
      </c>
      <c r="I2013" t="str">
        <f>VLOOKUP(Tabla1[[#This Row],[Code]],'[1]Articulos Precio'!$A:$E,5,FALSE)</f>
        <v>A0000103</v>
      </c>
    </row>
    <row r="2014" spans="1:9" x14ac:dyDescent="0.25">
      <c r="A2014" t="s">
        <v>614</v>
      </c>
      <c r="B2014" t="str">
        <f>VLOOKUP(Tabla1[[#This Row],[Code]],[1]!Tabla4[#Data],2,FALSE)</f>
        <v>M2 Metamark M7 151 Azul Olímpico 0,61 x 50m</v>
      </c>
      <c r="C2014">
        <v>28</v>
      </c>
      <c r="D2014" t="s">
        <v>92</v>
      </c>
      <c r="E2014" t="str">
        <f>VLOOKUP(Tabla1[[#This Row],[Cód. Atributo]],[1]!Tabla5[#Data],6,FALSE)</f>
        <v>Select</v>
      </c>
      <c r="F2014">
        <v>4</v>
      </c>
      <c r="G2014">
        <v>1</v>
      </c>
      <c r="H2014" t="s">
        <v>93</v>
      </c>
      <c r="I2014" t="str">
        <f>VLOOKUP(Tabla1[[#This Row],[Code]],'[1]Articulos Precio'!$A:$E,5,FALSE)</f>
        <v>A0000103</v>
      </c>
    </row>
    <row r="2015" spans="1:9" x14ac:dyDescent="0.25">
      <c r="A2015" t="s">
        <v>614</v>
      </c>
      <c r="B2015" t="str">
        <f>VLOOKUP(Tabla1[[#This Row],[Code]],[1]!Tabla4[#Data],2,FALSE)</f>
        <v>M2 Metamark M7 151 Azul Olímpico 0,61 x 50m</v>
      </c>
      <c r="C2015">
        <v>25</v>
      </c>
      <c r="D2015" t="s">
        <v>94</v>
      </c>
      <c r="E2015" t="str">
        <f>VLOOKUP(Tabla1[[#This Row],[Cód. Atributo]],[1]!Tabla5[#Data],6,FALSE)</f>
        <v>Select</v>
      </c>
      <c r="F2015">
        <v>5</v>
      </c>
      <c r="G2015">
        <v>4</v>
      </c>
      <c r="H2015" t="s">
        <v>137</v>
      </c>
      <c r="I2015" t="str">
        <f>VLOOKUP(Tabla1[[#This Row],[Code]],'[1]Articulos Precio'!$A:$E,5,FALSE)</f>
        <v>A0000103</v>
      </c>
    </row>
    <row r="2016" spans="1:9" x14ac:dyDescent="0.25">
      <c r="A2016" t="s">
        <v>614</v>
      </c>
      <c r="B2016" t="str">
        <f>VLOOKUP(Tabla1[[#This Row],[Code]],[1]!Tabla4[#Data],2,FALSE)</f>
        <v>M2 Metamark M7 151 Azul Olímpico 0,61 x 50m</v>
      </c>
      <c r="C2016">
        <v>24</v>
      </c>
      <c r="D2016" t="s">
        <v>96</v>
      </c>
      <c r="E2016" t="str">
        <f>VLOOKUP(Tabla1[[#This Row],[Cód. Atributo]],[1]!Tabla5[#Data],6,FALSE)</f>
        <v>Select</v>
      </c>
      <c r="F2016">
        <v>6</v>
      </c>
      <c r="G2016">
        <v>2</v>
      </c>
      <c r="H2016" t="s">
        <v>266</v>
      </c>
      <c r="I2016" t="str">
        <f>VLOOKUP(Tabla1[[#This Row],[Code]],'[1]Articulos Precio'!$A:$E,5,FALSE)</f>
        <v>A0000103</v>
      </c>
    </row>
    <row r="2017" spans="1:9" x14ac:dyDescent="0.25">
      <c r="A2017" t="s">
        <v>616</v>
      </c>
      <c r="B2017" t="str">
        <f>VLOOKUP(Tabla1[[#This Row],[Code]],[1]!Tabla4[#Data],2,FALSE)</f>
        <v>M2 Metamark M7 151 Azul Olímpico 1,22 x 50m</v>
      </c>
      <c r="C2017">
        <v>8</v>
      </c>
      <c r="D2017" t="s">
        <v>86</v>
      </c>
      <c r="E2017" t="str">
        <f>VLOOKUP(Tabla1[[#This Row],[Cód. Atributo]],[1]!Tabla5[#Data],6,FALSE)</f>
        <v>Select</v>
      </c>
      <c r="F2017">
        <v>1</v>
      </c>
      <c r="G2017">
        <v>2</v>
      </c>
      <c r="H2017" t="s">
        <v>268</v>
      </c>
      <c r="I2017" t="str">
        <f>VLOOKUP(Tabla1[[#This Row],[Code]],'[1]Articulos Precio'!$A:$E,5,FALSE)</f>
        <v>A0000103</v>
      </c>
    </row>
    <row r="2018" spans="1:9" x14ac:dyDescent="0.25">
      <c r="A2018" t="s">
        <v>616</v>
      </c>
      <c r="B2018" t="str">
        <f>VLOOKUP(Tabla1[[#This Row],[Code]],[1]!Tabla4[#Data],2,FALSE)</f>
        <v>M2 Metamark M7 151 Azul Olímpico 1,22 x 50m</v>
      </c>
      <c r="C2018">
        <v>13</v>
      </c>
      <c r="D2018" t="s">
        <v>491</v>
      </c>
      <c r="E2018" t="str">
        <f>VLOOKUP(Tabla1[[#This Row],[Cód. Atributo]],[1]!Tabla5[#Data],6,FALSE)</f>
        <v>Color</v>
      </c>
      <c r="F2018">
        <v>2</v>
      </c>
      <c r="G2018">
        <v>26</v>
      </c>
      <c r="H2018" t="s">
        <v>615</v>
      </c>
      <c r="I2018" t="str">
        <f>VLOOKUP(Tabla1[[#This Row],[Code]],'[1]Articulos Precio'!$A:$E,5,FALSE)</f>
        <v>A0000103</v>
      </c>
    </row>
    <row r="2019" spans="1:9" x14ac:dyDescent="0.25">
      <c r="A2019" t="s">
        <v>616</v>
      </c>
      <c r="B2019" t="str">
        <f>VLOOKUP(Tabla1[[#This Row],[Code]],[1]!Tabla4[#Data],2,FALSE)</f>
        <v>M2 Metamark M7 151 Azul Olímpico 1,22 x 50m</v>
      </c>
      <c r="C2019">
        <v>23</v>
      </c>
      <c r="D2019" t="s">
        <v>90</v>
      </c>
      <c r="E2019" t="str">
        <f>VLOOKUP(Tabla1[[#This Row],[Cód. Atributo]],[1]!Tabla5[#Data],6,FALSE)</f>
        <v>Select</v>
      </c>
      <c r="F2019">
        <v>3</v>
      </c>
      <c r="G2019">
        <v>2</v>
      </c>
      <c r="H2019" t="s">
        <v>136</v>
      </c>
      <c r="I2019" t="str">
        <f>VLOOKUP(Tabla1[[#This Row],[Code]],'[1]Articulos Precio'!$A:$E,5,FALSE)</f>
        <v>A0000103</v>
      </c>
    </row>
    <row r="2020" spans="1:9" x14ac:dyDescent="0.25">
      <c r="A2020" t="s">
        <v>616</v>
      </c>
      <c r="B2020" t="str">
        <f>VLOOKUP(Tabla1[[#This Row],[Code]],[1]!Tabla4[#Data],2,FALSE)</f>
        <v>M2 Metamark M7 151 Azul Olímpico 1,22 x 50m</v>
      </c>
      <c r="C2020">
        <v>28</v>
      </c>
      <c r="D2020" t="s">
        <v>92</v>
      </c>
      <c r="E2020" t="str">
        <f>VLOOKUP(Tabla1[[#This Row],[Cód. Atributo]],[1]!Tabla5[#Data],6,FALSE)</f>
        <v>Select</v>
      </c>
      <c r="F2020">
        <v>4</v>
      </c>
      <c r="G2020">
        <v>1</v>
      </c>
      <c r="H2020" t="s">
        <v>93</v>
      </c>
      <c r="I2020" t="str">
        <f>VLOOKUP(Tabla1[[#This Row],[Code]],'[1]Articulos Precio'!$A:$E,5,FALSE)</f>
        <v>A0000103</v>
      </c>
    </row>
    <row r="2021" spans="1:9" x14ac:dyDescent="0.25">
      <c r="A2021" t="s">
        <v>616</v>
      </c>
      <c r="B2021" t="str">
        <f>VLOOKUP(Tabla1[[#This Row],[Code]],[1]!Tabla4[#Data],2,FALSE)</f>
        <v>M2 Metamark M7 151 Azul Olímpico 1,22 x 50m</v>
      </c>
      <c r="C2021">
        <v>25</v>
      </c>
      <c r="D2021" t="s">
        <v>94</v>
      </c>
      <c r="E2021" t="str">
        <f>VLOOKUP(Tabla1[[#This Row],[Cód. Atributo]],[1]!Tabla5[#Data],6,FALSE)</f>
        <v>Select</v>
      </c>
      <c r="F2021">
        <v>5</v>
      </c>
      <c r="G2021">
        <v>4</v>
      </c>
      <c r="H2021" t="s">
        <v>137</v>
      </c>
      <c r="I2021" t="str">
        <f>VLOOKUP(Tabla1[[#This Row],[Code]],'[1]Articulos Precio'!$A:$E,5,FALSE)</f>
        <v>A0000103</v>
      </c>
    </row>
    <row r="2022" spans="1:9" x14ac:dyDescent="0.25">
      <c r="A2022" t="s">
        <v>616</v>
      </c>
      <c r="B2022" t="str">
        <f>VLOOKUP(Tabla1[[#This Row],[Code]],[1]!Tabla4[#Data],2,FALSE)</f>
        <v>M2 Metamark M7 151 Azul Olímpico 1,22 x 50m</v>
      </c>
      <c r="C2022">
        <v>24</v>
      </c>
      <c r="D2022" t="s">
        <v>96</v>
      </c>
      <c r="E2022" t="str">
        <f>VLOOKUP(Tabla1[[#This Row],[Cód. Atributo]],[1]!Tabla5[#Data],6,FALSE)</f>
        <v>Select</v>
      </c>
      <c r="F2022">
        <v>6</v>
      </c>
      <c r="G2022">
        <v>2</v>
      </c>
      <c r="H2022" t="s">
        <v>266</v>
      </c>
      <c r="I2022" t="str">
        <f>VLOOKUP(Tabla1[[#This Row],[Code]],'[1]Articulos Precio'!$A:$E,5,FALSE)</f>
        <v>A0000103</v>
      </c>
    </row>
    <row r="2023" spans="1:9" x14ac:dyDescent="0.25">
      <c r="A2023" t="s">
        <v>617</v>
      </c>
      <c r="B2023" t="str">
        <f>VLOOKUP(Tabla1[[#This Row],[Code]],[1]!Tabla4[#Data],2,FALSE)</f>
        <v>M2 Metamark M7 152 Azul Oceano 0,61 x 50m</v>
      </c>
      <c r="C2023">
        <v>8</v>
      </c>
      <c r="D2023" t="s">
        <v>86</v>
      </c>
      <c r="E2023" t="str">
        <f>VLOOKUP(Tabla1[[#This Row],[Cód. Atributo]],[1]!Tabla5[#Data],6,FALSE)</f>
        <v>Select</v>
      </c>
      <c r="F2023">
        <v>1</v>
      </c>
      <c r="G2023">
        <v>1</v>
      </c>
      <c r="H2023" t="s">
        <v>263</v>
      </c>
      <c r="I2023" t="str">
        <f>VLOOKUP(Tabla1[[#This Row],[Code]],'[1]Articulos Precio'!$A:$E,5,FALSE)</f>
        <v>A0000103</v>
      </c>
    </row>
    <row r="2024" spans="1:9" x14ac:dyDescent="0.25">
      <c r="A2024" t="s">
        <v>617</v>
      </c>
      <c r="B2024" t="str">
        <f>VLOOKUP(Tabla1[[#This Row],[Code]],[1]!Tabla4[#Data],2,FALSE)</f>
        <v>M2 Metamark M7 152 Azul Oceano 0,61 x 50m</v>
      </c>
      <c r="C2024">
        <v>13</v>
      </c>
      <c r="D2024" t="s">
        <v>491</v>
      </c>
      <c r="E2024" t="str">
        <f>VLOOKUP(Tabla1[[#This Row],[Cód. Atributo]],[1]!Tabla5[#Data],6,FALSE)</f>
        <v>Color</v>
      </c>
      <c r="F2024">
        <v>2</v>
      </c>
      <c r="G2024">
        <v>27</v>
      </c>
      <c r="H2024" t="s">
        <v>618</v>
      </c>
      <c r="I2024" t="str">
        <f>VLOOKUP(Tabla1[[#This Row],[Code]],'[1]Articulos Precio'!$A:$E,5,FALSE)</f>
        <v>A0000103</v>
      </c>
    </row>
    <row r="2025" spans="1:9" x14ac:dyDescent="0.25">
      <c r="A2025" t="s">
        <v>617</v>
      </c>
      <c r="B2025" t="str">
        <f>VLOOKUP(Tabla1[[#This Row],[Code]],[1]!Tabla4[#Data],2,FALSE)</f>
        <v>M2 Metamark M7 152 Azul Oceano 0,61 x 50m</v>
      </c>
      <c r="C2025">
        <v>23</v>
      </c>
      <c r="D2025" t="s">
        <v>90</v>
      </c>
      <c r="E2025" t="str">
        <f>VLOOKUP(Tabla1[[#This Row],[Cód. Atributo]],[1]!Tabla5[#Data],6,FALSE)</f>
        <v>Select</v>
      </c>
      <c r="F2025">
        <v>3</v>
      </c>
      <c r="G2025">
        <v>2</v>
      </c>
      <c r="H2025" t="s">
        <v>136</v>
      </c>
      <c r="I2025" t="str">
        <f>VLOOKUP(Tabla1[[#This Row],[Code]],'[1]Articulos Precio'!$A:$E,5,FALSE)</f>
        <v>A0000103</v>
      </c>
    </row>
    <row r="2026" spans="1:9" x14ac:dyDescent="0.25">
      <c r="A2026" t="s">
        <v>617</v>
      </c>
      <c r="B2026" t="str">
        <f>VLOOKUP(Tabla1[[#This Row],[Code]],[1]!Tabla4[#Data],2,FALSE)</f>
        <v>M2 Metamark M7 152 Azul Oceano 0,61 x 50m</v>
      </c>
      <c r="C2026">
        <v>28</v>
      </c>
      <c r="D2026" t="s">
        <v>92</v>
      </c>
      <c r="E2026" t="str">
        <f>VLOOKUP(Tabla1[[#This Row],[Cód. Atributo]],[1]!Tabla5[#Data],6,FALSE)</f>
        <v>Select</v>
      </c>
      <c r="F2026">
        <v>4</v>
      </c>
      <c r="G2026">
        <v>1</v>
      </c>
      <c r="H2026" t="s">
        <v>93</v>
      </c>
      <c r="I2026" t="str">
        <f>VLOOKUP(Tabla1[[#This Row],[Code]],'[1]Articulos Precio'!$A:$E,5,FALSE)</f>
        <v>A0000103</v>
      </c>
    </row>
    <row r="2027" spans="1:9" x14ac:dyDescent="0.25">
      <c r="A2027" t="s">
        <v>617</v>
      </c>
      <c r="B2027" t="str">
        <f>VLOOKUP(Tabla1[[#This Row],[Code]],[1]!Tabla4[#Data],2,FALSE)</f>
        <v>M2 Metamark M7 152 Azul Oceano 0,61 x 50m</v>
      </c>
      <c r="C2027">
        <v>25</v>
      </c>
      <c r="D2027" t="s">
        <v>94</v>
      </c>
      <c r="E2027" t="str">
        <f>VLOOKUP(Tabla1[[#This Row],[Cód. Atributo]],[1]!Tabla5[#Data],6,FALSE)</f>
        <v>Select</v>
      </c>
      <c r="F2027">
        <v>5</v>
      </c>
      <c r="G2027">
        <v>4</v>
      </c>
      <c r="H2027" t="s">
        <v>137</v>
      </c>
      <c r="I2027" t="str">
        <f>VLOOKUP(Tabla1[[#This Row],[Code]],'[1]Articulos Precio'!$A:$E,5,FALSE)</f>
        <v>A0000103</v>
      </c>
    </row>
    <row r="2028" spans="1:9" x14ac:dyDescent="0.25">
      <c r="A2028" t="s">
        <v>617</v>
      </c>
      <c r="B2028" t="str">
        <f>VLOOKUP(Tabla1[[#This Row],[Code]],[1]!Tabla4[#Data],2,FALSE)</f>
        <v>M2 Metamark M7 152 Azul Oceano 0,61 x 50m</v>
      </c>
      <c r="C2028">
        <v>24</v>
      </c>
      <c r="D2028" t="s">
        <v>96</v>
      </c>
      <c r="E2028" t="str">
        <f>VLOOKUP(Tabla1[[#This Row],[Cód. Atributo]],[1]!Tabla5[#Data],6,FALSE)</f>
        <v>Select</v>
      </c>
      <c r="F2028">
        <v>6</v>
      </c>
      <c r="G2028">
        <v>2</v>
      </c>
      <c r="H2028" t="s">
        <v>266</v>
      </c>
      <c r="I2028" t="str">
        <f>VLOOKUP(Tabla1[[#This Row],[Code]],'[1]Articulos Precio'!$A:$E,5,FALSE)</f>
        <v>A0000103</v>
      </c>
    </row>
    <row r="2029" spans="1:9" x14ac:dyDescent="0.25">
      <c r="A2029" t="s">
        <v>619</v>
      </c>
      <c r="B2029" t="str">
        <f>VLOOKUP(Tabla1[[#This Row],[Code]],[1]!Tabla4[#Data],2,FALSE)</f>
        <v>M2 Metamark M7 152 Azul Oceano 1,22 x 50m</v>
      </c>
      <c r="C2029">
        <v>8</v>
      </c>
      <c r="D2029" t="s">
        <v>86</v>
      </c>
      <c r="E2029" t="str">
        <f>VLOOKUP(Tabla1[[#This Row],[Cód. Atributo]],[1]!Tabla5[#Data],6,FALSE)</f>
        <v>Select</v>
      </c>
      <c r="F2029">
        <v>1</v>
      </c>
      <c r="G2029">
        <v>2</v>
      </c>
      <c r="H2029" t="s">
        <v>268</v>
      </c>
      <c r="I2029" t="str">
        <f>VLOOKUP(Tabla1[[#This Row],[Code]],'[1]Articulos Precio'!$A:$E,5,FALSE)</f>
        <v>A0000103</v>
      </c>
    </row>
    <row r="2030" spans="1:9" x14ac:dyDescent="0.25">
      <c r="A2030" t="s">
        <v>619</v>
      </c>
      <c r="B2030" t="str">
        <f>VLOOKUP(Tabla1[[#This Row],[Code]],[1]!Tabla4[#Data],2,FALSE)</f>
        <v>M2 Metamark M7 152 Azul Oceano 1,22 x 50m</v>
      </c>
      <c r="C2030">
        <v>13</v>
      </c>
      <c r="D2030" t="s">
        <v>491</v>
      </c>
      <c r="E2030" t="str">
        <f>VLOOKUP(Tabla1[[#This Row],[Cód. Atributo]],[1]!Tabla5[#Data],6,FALSE)</f>
        <v>Color</v>
      </c>
      <c r="F2030">
        <v>2</v>
      </c>
      <c r="G2030">
        <v>27</v>
      </c>
      <c r="H2030" t="s">
        <v>618</v>
      </c>
      <c r="I2030" t="str">
        <f>VLOOKUP(Tabla1[[#This Row],[Code]],'[1]Articulos Precio'!$A:$E,5,FALSE)</f>
        <v>A0000103</v>
      </c>
    </row>
    <row r="2031" spans="1:9" x14ac:dyDescent="0.25">
      <c r="A2031" t="s">
        <v>619</v>
      </c>
      <c r="B2031" t="str">
        <f>VLOOKUP(Tabla1[[#This Row],[Code]],[1]!Tabla4[#Data],2,FALSE)</f>
        <v>M2 Metamark M7 152 Azul Oceano 1,22 x 50m</v>
      </c>
      <c r="C2031">
        <v>23</v>
      </c>
      <c r="D2031" t="s">
        <v>90</v>
      </c>
      <c r="E2031" t="str">
        <f>VLOOKUP(Tabla1[[#This Row],[Cód. Atributo]],[1]!Tabla5[#Data],6,FALSE)</f>
        <v>Select</v>
      </c>
      <c r="F2031">
        <v>3</v>
      </c>
      <c r="G2031">
        <v>2</v>
      </c>
      <c r="H2031" t="s">
        <v>136</v>
      </c>
      <c r="I2031" t="str">
        <f>VLOOKUP(Tabla1[[#This Row],[Code]],'[1]Articulos Precio'!$A:$E,5,FALSE)</f>
        <v>A0000103</v>
      </c>
    </row>
    <row r="2032" spans="1:9" x14ac:dyDescent="0.25">
      <c r="A2032" t="s">
        <v>619</v>
      </c>
      <c r="B2032" t="str">
        <f>VLOOKUP(Tabla1[[#This Row],[Code]],[1]!Tabla4[#Data],2,FALSE)</f>
        <v>M2 Metamark M7 152 Azul Oceano 1,22 x 50m</v>
      </c>
      <c r="C2032">
        <v>28</v>
      </c>
      <c r="D2032" t="s">
        <v>92</v>
      </c>
      <c r="E2032" t="str">
        <f>VLOOKUP(Tabla1[[#This Row],[Cód. Atributo]],[1]!Tabla5[#Data],6,FALSE)</f>
        <v>Select</v>
      </c>
      <c r="F2032">
        <v>4</v>
      </c>
      <c r="G2032">
        <v>1</v>
      </c>
      <c r="H2032" t="s">
        <v>93</v>
      </c>
      <c r="I2032" t="str">
        <f>VLOOKUP(Tabla1[[#This Row],[Code]],'[1]Articulos Precio'!$A:$E,5,FALSE)</f>
        <v>A0000103</v>
      </c>
    </row>
    <row r="2033" spans="1:9" x14ac:dyDescent="0.25">
      <c r="A2033" t="s">
        <v>619</v>
      </c>
      <c r="B2033" t="str">
        <f>VLOOKUP(Tabla1[[#This Row],[Code]],[1]!Tabla4[#Data],2,FALSE)</f>
        <v>M2 Metamark M7 152 Azul Oceano 1,22 x 50m</v>
      </c>
      <c r="C2033">
        <v>25</v>
      </c>
      <c r="D2033" t="s">
        <v>94</v>
      </c>
      <c r="E2033" t="str">
        <f>VLOOKUP(Tabla1[[#This Row],[Cód. Atributo]],[1]!Tabla5[#Data],6,FALSE)</f>
        <v>Select</v>
      </c>
      <c r="F2033">
        <v>5</v>
      </c>
      <c r="G2033">
        <v>4</v>
      </c>
      <c r="H2033" t="s">
        <v>137</v>
      </c>
      <c r="I2033" t="str">
        <f>VLOOKUP(Tabla1[[#This Row],[Code]],'[1]Articulos Precio'!$A:$E,5,FALSE)</f>
        <v>A0000103</v>
      </c>
    </row>
    <row r="2034" spans="1:9" x14ac:dyDescent="0.25">
      <c r="A2034" t="s">
        <v>619</v>
      </c>
      <c r="B2034" t="str">
        <f>VLOOKUP(Tabla1[[#This Row],[Code]],[1]!Tabla4[#Data],2,FALSE)</f>
        <v>M2 Metamark M7 152 Azul Oceano 1,22 x 50m</v>
      </c>
      <c r="C2034">
        <v>24</v>
      </c>
      <c r="D2034" t="s">
        <v>96</v>
      </c>
      <c r="E2034" t="str">
        <f>VLOOKUP(Tabla1[[#This Row],[Cód. Atributo]],[1]!Tabla5[#Data],6,FALSE)</f>
        <v>Select</v>
      </c>
      <c r="F2034">
        <v>6</v>
      </c>
      <c r="G2034">
        <v>2</v>
      </c>
      <c r="H2034" t="s">
        <v>266</v>
      </c>
      <c r="I2034" t="str">
        <f>VLOOKUP(Tabla1[[#This Row],[Code]],'[1]Articulos Precio'!$A:$E,5,FALSE)</f>
        <v>A0000103</v>
      </c>
    </row>
    <row r="2035" spans="1:9" x14ac:dyDescent="0.25">
      <c r="A2035" t="s">
        <v>620</v>
      </c>
      <c r="B2035" t="str">
        <f>VLOOKUP(Tabla1[[#This Row],[Code]],[1]!Tabla4[#Data],2,FALSE)</f>
        <v>M2 Metamark M7 153 Azul Marino 0,61 x 50m</v>
      </c>
      <c r="C2035">
        <v>8</v>
      </c>
      <c r="D2035" t="s">
        <v>86</v>
      </c>
      <c r="E2035" t="str">
        <f>VLOOKUP(Tabla1[[#This Row],[Cód. Atributo]],[1]!Tabla5[#Data],6,FALSE)</f>
        <v>Select</v>
      </c>
      <c r="F2035">
        <v>1</v>
      </c>
      <c r="G2035">
        <v>1</v>
      </c>
      <c r="H2035" t="s">
        <v>263</v>
      </c>
      <c r="I2035" t="str">
        <f>VLOOKUP(Tabla1[[#This Row],[Code]],'[1]Articulos Precio'!$A:$E,5,FALSE)</f>
        <v>A0000103</v>
      </c>
    </row>
    <row r="2036" spans="1:9" x14ac:dyDescent="0.25">
      <c r="A2036" t="s">
        <v>620</v>
      </c>
      <c r="B2036" t="str">
        <f>VLOOKUP(Tabla1[[#This Row],[Code]],[1]!Tabla4[#Data],2,FALSE)</f>
        <v>M2 Metamark M7 153 Azul Marino 0,61 x 50m</v>
      </c>
      <c r="C2036">
        <v>13</v>
      </c>
      <c r="D2036" t="s">
        <v>491</v>
      </c>
      <c r="E2036" t="str">
        <f>VLOOKUP(Tabla1[[#This Row],[Cód. Atributo]],[1]!Tabla5[#Data],6,FALSE)</f>
        <v>Color</v>
      </c>
      <c r="F2036">
        <v>2</v>
      </c>
      <c r="G2036">
        <v>28</v>
      </c>
      <c r="H2036" t="s">
        <v>621</v>
      </c>
      <c r="I2036" t="str">
        <f>VLOOKUP(Tabla1[[#This Row],[Code]],'[1]Articulos Precio'!$A:$E,5,FALSE)</f>
        <v>A0000103</v>
      </c>
    </row>
    <row r="2037" spans="1:9" x14ac:dyDescent="0.25">
      <c r="A2037" t="s">
        <v>620</v>
      </c>
      <c r="B2037" t="str">
        <f>VLOOKUP(Tabla1[[#This Row],[Code]],[1]!Tabla4[#Data],2,FALSE)</f>
        <v>M2 Metamark M7 153 Azul Marino 0,61 x 50m</v>
      </c>
      <c r="C2037">
        <v>23</v>
      </c>
      <c r="D2037" t="s">
        <v>90</v>
      </c>
      <c r="E2037" t="str">
        <f>VLOOKUP(Tabla1[[#This Row],[Cód. Atributo]],[1]!Tabla5[#Data],6,FALSE)</f>
        <v>Select</v>
      </c>
      <c r="F2037">
        <v>3</v>
      </c>
      <c r="G2037">
        <v>2</v>
      </c>
      <c r="H2037" t="s">
        <v>136</v>
      </c>
      <c r="I2037" t="str">
        <f>VLOOKUP(Tabla1[[#This Row],[Code]],'[1]Articulos Precio'!$A:$E,5,FALSE)</f>
        <v>A0000103</v>
      </c>
    </row>
    <row r="2038" spans="1:9" x14ac:dyDescent="0.25">
      <c r="A2038" t="s">
        <v>620</v>
      </c>
      <c r="B2038" t="str">
        <f>VLOOKUP(Tabla1[[#This Row],[Code]],[1]!Tabla4[#Data],2,FALSE)</f>
        <v>M2 Metamark M7 153 Azul Marino 0,61 x 50m</v>
      </c>
      <c r="C2038">
        <v>28</v>
      </c>
      <c r="D2038" t="s">
        <v>92</v>
      </c>
      <c r="E2038" t="str">
        <f>VLOOKUP(Tabla1[[#This Row],[Cód. Atributo]],[1]!Tabla5[#Data],6,FALSE)</f>
        <v>Select</v>
      </c>
      <c r="F2038">
        <v>4</v>
      </c>
      <c r="G2038">
        <v>1</v>
      </c>
      <c r="H2038" t="s">
        <v>93</v>
      </c>
      <c r="I2038" t="str">
        <f>VLOOKUP(Tabla1[[#This Row],[Code]],'[1]Articulos Precio'!$A:$E,5,FALSE)</f>
        <v>A0000103</v>
      </c>
    </row>
    <row r="2039" spans="1:9" x14ac:dyDescent="0.25">
      <c r="A2039" t="s">
        <v>620</v>
      </c>
      <c r="B2039" t="str">
        <f>VLOOKUP(Tabla1[[#This Row],[Code]],[1]!Tabla4[#Data],2,FALSE)</f>
        <v>M2 Metamark M7 153 Azul Marino 0,61 x 50m</v>
      </c>
      <c r="C2039">
        <v>25</v>
      </c>
      <c r="D2039" t="s">
        <v>94</v>
      </c>
      <c r="E2039" t="str">
        <f>VLOOKUP(Tabla1[[#This Row],[Cód. Atributo]],[1]!Tabla5[#Data],6,FALSE)</f>
        <v>Select</v>
      </c>
      <c r="F2039">
        <v>5</v>
      </c>
      <c r="G2039">
        <v>4</v>
      </c>
      <c r="H2039" t="s">
        <v>137</v>
      </c>
      <c r="I2039" t="str">
        <f>VLOOKUP(Tabla1[[#This Row],[Code]],'[1]Articulos Precio'!$A:$E,5,FALSE)</f>
        <v>A0000103</v>
      </c>
    </row>
    <row r="2040" spans="1:9" x14ac:dyDescent="0.25">
      <c r="A2040" t="s">
        <v>620</v>
      </c>
      <c r="B2040" t="str">
        <f>VLOOKUP(Tabla1[[#This Row],[Code]],[1]!Tabla4[#Data],2,FALSE)</f>
        <v>M2 Metamark M7 153 Azul Marino 0,61 x 50m</v>
      </c>
      <c r="C2040">
        <v>24</v>
      </c>
      <c r="D2040" t="s">
        <v>96</v>
      </c>
      <c r="E2040" t="str">
        <f>VLOOKUP(Tabla1[[#This Row],[Cód. Atributo]],[1]!Tabla5[#Data],6,FALSE)</f>
        <v>Select</v>
      </c>
      <c r="F2040">
        <v>6</v>
      </c>
      <c r="G2040">
        <v>2</v>
      </c>
      <c r="H2040" t="s">
        <v>266</v>
      </c>
      <c r="I2040" t="str">
        <f>VLOOKUP(Tabla1[[#This Row],[Code]],'[1]Articulos Precio'!$A:$E,5,FALSE)</f>
        <v>A0000103</v>
      </c>
    </row>
    <row r="2041" spans="1:9" x14ac:dyDescent="0.25">
      <c r="A2041" t="s">
        <v>622</v>
      </c>
      <c r="B2041" t="str">
        <f>VLOOKUP(Tabla1[[#This Row],[Code]],[1]!Tabla4[#Data],2,FALSE)</f>
        <v>M2 Metamark M7 153 Azul Marino 1,22 x 50m</v>
      </c>
      <c r="C2041">
        <v>8</v>
      </c>
      <c r="D2041" t="s">
        <v>86</v>
      </c>
      <c r="E2041" t="str">
        <f>VLOOKUP(Tabla1[[#This Row],[Cód. Atributo]],[1]!Tabla5[#Data],6,FALSE)</f>
        <v>Select</v>
      </c>
      <c r="F2041">
        <v>1</v>
      </c>
      <c r="G2041">
        <v>2</v>
      </c>
      <c r="H2041" t="s">
        <v>268</v>
      </c>
      <c r="I2041" t="str">
        <f>VLOOKUP(Tabla1[[#This Row],[Code]],'[1]Articulos Precio'!$A:$E,5,FALSE)</f>
        <v>A0000103</v>
      </c>
    </row>
    <row r="2042" spans="1:9" x14ac:dyDescent="0.25">
      <c r="A2042" t="s">
        <v>622</v>
      </c>
      <c r="B2042" t="str">
        <f>VLOOKUP(Tabla1[[#This Row],[Code]],[1]!Tabla4[#Data],2,FALSE)</f>
        <v>M2 Metamark M7 153 Azul Marino 1,22 x 50m</v>
      </c>
      <c r="C2042">
        <v>13</v>
      </c>
      <c r="D2042" t="s">
        <v>491</v>
      </c>
      <c r="E2042" t="str">
        <f>VLOOKUP(Tabla1[[#This Row],[Cód. Atributo]],[1]!Tabla5[#Data],6,FALSE)</f>
        <v>Color</v>
      </c>
      <c r="F2042">
        <v>2</v>
      </c>
      <c r="G2042">
        <v>28</v>
      </c>
      <c r="H2042" t="s">
        <v>621</v>
      </c>
      <c r="I2042" t="str">
        <f>VLOOKUP(Tabla1[[#This Row],[Code]],'[1]Articulos Precio'!$A:$E,5,FALSE)</f>
        <v>A0000103</v>
      </c>
    </row>
    <row r="2043" spans="1:9" x14ac:dyDescent="0.25">
      <c r="A2043" t="s">
        <v>622</v>
      </c>
      <c r="B2043" t="str">
        <f>VLOOKUP(Tabla1[[#This Row],[Code]],[1]!Tabla4[#Data],2,FALSE)</f>
        <v>M2 Metamark M7 153 Azul Marino 1,22 x 50m</v>
      </c>
      <c r="C2043">
        <v>23</v>
      </c>
      <c r="D2043" t="s">
        <v>90</v>
      </c>
      <c r="E2043" t="str">
        <f>VLOOKUP(Tabla1[[#This Row],[Cód. Atributo]],[1]!Tabla5[#Data],6,FALSE)</f>
        <v>Select</v>
      </c>
      <c r="F2043">
        <v>3</v>
      </c>
      <c r="G2043">
        <v>2</v>
      </c>
      <c r="H2043" t="s">
        <v>136</v>
      </c>
      <c r="I2043" t="str">
        <f>VLOOKUP(Tabla1[[#This Row],[Code]],'[1]Articulos Precio'!$A:$E,5,FALSE)</f>
        <v>A0000103</v>
      </c>
    </row>
    <row r="2044" spans="1:9" x14ac:dyDescent="0.25">
      <c r="A2044" t="s">
        <v>622</v>
      </c>
      <c r="B2044" t="str">
        <f>VLOOKUP(Tabla1[[#This Row],[Code]],[1]!Tabla4[#Data],2,FALSE)</f>
        <v>M2 Metamark M7 153 Azul Marino 1,22 x 50m</v>
      </c>
      <c r="C2044">
        <v>28</v>
      </c>
      <c r="D2044" t="s">
        <v>92</v>
      </c>
      <c r="E2044" t="str">
        <f>VLOOKUP(Tabla1[[#This Row],[Cód. Atributo]],[1]!Tabla5[#Data],6,FALSE)</f>
        <v>Select</v>
      </c>
      <c r="F2044">
        <v>4</v>
      </c>
      <c r="G2044">
        <v>1</v>
      </c>
      <c r="H2044" t="s">
        <v>93</v>
      </c>
      <c r="I2044" t="str">
        <f>VLOOKUP(Tabla1[[#This Row],[Code]],'[1]Articulos Precio'!$A:$E,5,FALSE)</f>
        <v>A0000103</v>
      </c>
    </row>
    <row r="2045" spans="1:9" x14ac:dyDescent="0.25">
      <c r="A2045" t="s">
        <v>622</v>
      </c>
      <c r="B2045" t="str">
        <f>VLOOKUP(Tabla1[[#This Row],[Code]],[1]!Tabla4[#Data],2,FALSE)</f>
        <v>M2 Metamark M7 153 Azul Marino 1,22 x 50m</v>
      </c>
      <c r="C2045">
        <v>25</v>
      </c>
      <c r="D2045" t="s">
        <v>94</v>
      </c>
      <c r="E2045" t="str">
        <f>VLOOKUP(Tabla1[[#This Row],[Cód. Atributo]],[1]!Tabla5[#Data],6,FALSE)</f>
        <v>Select</v>
      </c>
      <c r="F2045">
        <v>5</v>
      </c>
      <c r="G2045">
        <v>4</v>
      </c>
      <c r="H2045" t="s">
        <v>137</v>
      </c>
      <c r="I2045" t="str">
        <f>VLOOKUP(Tabla1[[#This Row],[Code]],'[1]Articulos Precio'!$A:$E,5,FALSE)</f>
        <v>A0000103</v>
      </c>
    </row>
    <row r="2046" spans="1:9" x14ac:dyDescent="0.25">
      <c r="A2046" t="s">
        <v>622</v>
      </c>
      <c r="B2046" t="str">
        <f>VLOOKUP(Tabla1[[#This Row],[Code]],[1]!Tabla4[#Data],2,FALSE)</f>
        <v>M2 Metamark M7 153 Azul Marino 1,22 x 50m</v>
      </c>
      <c r="C2046">
        <v>24</v>
      </c>
      <c r="D2046" t="s">
        <v>96</v>
      </c>
      <c r="E2046" t="str">
        <f>VLOOKUP(Tabla1[[#This Row],[Cód. Atributo]],[1]!Tabla5[#Data],6,FALSE)</f>
        <v>Select</v>
      </c>
      <c r="F2046">
        <v>6</v>
      </c>
      <c r="G2046">
        <v>2</v>
      </c>
      <c r="H2046" t="s">
        <v>266</v>
      </c>
      <c r="I2046" t="str">
        <f>VLOOKUP(Tabla1[[#This Row],[Code]],'[1]Articulos Precio'!$A:$E,5,FALSE)</f>
        <v>A0000103</v>
      </c>
    </row>
    <row r="2047" spans="1:9" x14ac:dyDescent="0.25">
      <c r="A2047" t="s">
        <v>623</v>
      </c>
      <c r="B2047" t="str">
        <f>VLOOKUP(Tabla1[[#This Row],[Code]],[1]!Tabla4[#Data],2,FALSE)</f>
        <v>M2 Metamark M7 154 Azul Medio 0,61 x 50m</v>
      </c>
      <c r="C2047">
        <v>8</v>
      </c>
      <c r="D2047" t="s">
        <v>86</v>
      </c>
      <c r="E2047" t="str">
        <f>VLOOKUP(Tabla1[[#This Row],[Cód. Atributo]],[1]!Tabla5[#Data],6,FALSE)</f>
        <v>Select</v>
      </c>
      <c r="F2047">
        <v>1</v>
      </c>
      <c r="G2047">
        <v>1</v>
      </c>
      <c r="H2047" t="s">
        <v>263</v>
      </c>
      <c r="I2047" t="str">
        <f>VLOOKUP(Tabla1[[#This Row],[Code]],'[1]Articulos Precio'!$A:$E,5,FALSE)</f>
        <v>A0000103</v>
      </c>
    </row>
    <row r="2048" spans="1:9" x14ac:dyDescent="0.25">
      <c r="A2048" t="s">
        <v>623</v>
      </c>
      <c r="B2048" t="str">
        <f>VLOOKUP(Tabla1[[#This Row],[Code]],[1]!Tabla4[#Data],2,FALSE)</f>
        <v>M2 Metamark M7 154 Azul Medio 0,61 x 50m</v>
      </c>
      <c r="C2048">
        <v>13</v>
      </c>
      <c r="D2048" t="s">
        <v>491</v>
      </c>
      <c r="E2048" t="str">
        <f>VLOOKUP(Tabla1[[#This Row],[Cód. Atributo]],[1]!Tabla5[#Data],6,FALSE)</f>
        <v>Color</v>
      </c>
      <c r="F2048">
        <v>2</v>
      </c>
      <c r="G2048">
        <v>29</v>
      </c>
      <c r="H2048" t="s">
        <v>624</v>
      </c>
      <c r="I2048" t="str">
        <f>VLOOKUP(Tabla1[[#This Row],[Code]],'[1]Articulos Precio'!$A:$E,5,FALSE)</f>
        <v>A0000103</v>
      </c>
    </row>
    <row r="2049" spans="1:9" x14ac:dyDescent="0.25">
      <c r="A2049" t="s">
        <v>623</v>
      </c>
      <c r="B2049" t="str">
        <f>VLOOKUP(Tabla1[[#This Row],[Code]],[1]!Tabla4[#Data],2,FALSE)</f>
        <v>M2 Metamark M7 154 Azul Medio 0,61 x 50m</v>
      </c>
      <c r="C2049">
        <v>23</v>
      </c>
      <c r="D2049" t="s">
        <v>90</v>
      </c>
      <c r="E2049" t="str">
        <f>VLOOKUP(Tabla1[[#This Row],[Cód. Atributo]],[1]!Tabla5[#Data],6,FALSE)</f>
        <v>Select</v>
      </c>
      <c r="F2049">
        <v>3</v>
      </c>
      <c r="G2049">
        <v>2</v>
      </c>
      <c r="H2049" t="s">
        <v>136</v>
      </c>
      <c r="I2049" t="str">
        <f>VLOOKUP(Tabla1[[#This Row],[Code]],'[1]Articulos Precio'!$A:$E,5,FALSE)</f>
        <v>A0000103</v>
      </c>
    </row>
    <row r="2050" spans="1:9" x14ac:dyDescent="0.25">
      <c r="A2050" t="s">
        <v>623</v>
      </c>
      <c r="B2050" t="str">
        <f>VLOOKUP(Tabla1[[#This Row],[Code]],[1]!Tabla4[#Data],2,FALSE)</f>
        <v>M2 Metamark M7 154 Azul Medio 0,61 x 50m</v>
      </c>
      <c r="C2050">
        <v>28</v>
      </c>
      <c r="D2050" t="s">
        <v>92</v>
      </c>
      <c r="E2050" t="str">
        <f>VLOOKUP(Tabla1[[#This Row],[Cód. Atributo]],[1]!Tabla5[#Data],6,FALSE)</f>
        <v>Select</v>
      </c>
      <c r="F2050">
        <v>4</v>
      </c>
      <c r="G2050">
        <v>1</v>
      </c>
      <c r="H2050" t="s">
        <v>93</v>
      </c>
      <c r="I2050" t="str">
        <f>VLOOKUP(Tabla1[[#This Row],[Code]],'[1]Articulos Precio'!$A:$E,5,FALSE)</f>
        <v>A0000103</v>
      </c>
    </row>
    <row r="2051" spans="1:9" x14ac:dyDescent="0.25">
      <c r="A2051" t="s">
        <v>623</v>
      </c>
      <c r="B2051" t="str">
        <f>VLOOKUP(Tabla1[[#This Row],[Code]],[1]!Tabla4[#Data],2,FALSE)</f>
        <v>M2 Metamark M7 154 Azul Medio 0,61 x 50m</v>
      </c>
      <c r="C2051">
        <v>25</v>
      </c>
      <c r="D2051" t="s">
        <v>94</v>
      </c>
      <c r="E2051" t="str">
        <f>VLOOKUP(Tabla1[[#This Row],[Cód. Atributo]],[1]!Tabla5[#Data],6,FALSE)</f>
        <v>Select</v>
      </c>
      <c r="F2051">
        <v>5</v>
      </c>
      <c r="G2051">
        <v>4</v>
      </c>
      <c r="H2051" t="s">
        <v>137</v>
      </c>
      <c r="I2051" t="str">
        <f>VLOOKUP(Tabla1[[#This Row],[Code]],'[1]Articulos Precio'!$A:$E,5,FALSE)</f>
        <v>A0000103</v>
      </c>
    </row>
    <row r="2052" spans="1:9" x14ac:dyDescent="0.25">
      <c r="A2052" t="s">
        <v>623</v>
      </c>
      <c r="B2052" t="str">
        <f>VLOOKUP(Tabla1[[#This Row],[Code]],[1]!Tabla4[#Data],2,FALSE)</f>
        <v>M2 Metamark M7 154 Azul Medio 0,61 x 50m</v>
      </c>
      <c r="C2052">
        <v>24</v>
      </c>
      <c r="D2052" t="s">
        <v>96</v>
      </c>
      <c r="E2052" t="str">
        <f>VLOOKUP(Tabla1[[#This Row],[Cód. Atributo]],[1]!Tabla5[#Data],6,FALSE)</f>
        <v>Select</v>
      </c>
      <c r="F2052">
        <v>6</v>
      </c>
      <c r="G2052">
        <v>2</v>
      </c>
      <c r="H2052" t="s">
        <v>266</v>
      </c>
      <c r="I2052" t="str">
        <f>VLOOKUP(Tabla1[[#This Row],[Code]],'[1]Articulos Precio'!$A:$E,5,FALSE)</f>
        <v>A0000103</v>
      </c>
    </row>
    <row r="2053" spans="1:9" x14ac:dyDescent="0.25">
      <c r="A2053" t="s">
        <v>625</v>
      </c>
      <c r="B2053" t="str">
        <f>VLOOKUP(Tabla1[[#This Row],[Code]],[1]!Tabla4[#Data],2,FALSE)</f>
        <v>M2 Metamark M7 154 Azul Medio 1,22 x 50m</v>
      </c>
      <c r="C2053">
        <v>8</v>
      </c>
      <c r="D2053" t="s">
        <v>86</v>
      </c>
      <c r="E2053" t="str">
        <f>VLOOKUP(Tabla1[[#This Row],[Cód. Atributo]],[1]!Tabla5[#Data],6,FALSE)</f>
        <v>Select</v>
      </c>
      <c r="F2053">
        <v>1</v>
      </c>
      <c r="G2053">
        <v>2</v>
      </c>
      <c r="H2053" t="s">
        <v>268</v>
      </c>
      <c r="I2053" t="str">
        <f>VLOOKUP(Tabla1[[#This Row],[Code]],'[1]Articulos Precio'!$A:$E,5,FALSE)</f>
        <v>A0000103</v>
      </c>
    </row>
    <row r="2054" spans="1:9" x14ac:dyDescent="0.25">
      <c r="A2054" t="s">
        <v>625</v>
      </c>
      <c r="B2054" t="str">
        <f>VLOOKUP(Tabla1[[#This Row],[Code]],[1]!Tabla4[#Data],2,FALSE)</f>
        <v>M2 Metamark M7 154 Azul Medio 1,22 x 50m</v>
      </c>
      <c r="C2054">
        <v>13</v>
      </c>
      <c r="D2054" t="s">
        <v>491</v>
      </c>
      <c r="E2054" t="str">
        <f>VLOOKUP(Tabla1[[#This Row],[Cód. Atributo]],[1]!Tabla5[#Data],6,FALSE)</f>
        <v>Color</v>
      </c>
      <c r="F2054">
        <v>2</v>
      </c>
      <c r="G2054">
        <v>29</v>
      </c>
      <c r="H2054" t="s">
        <v>624</v>
      </c>
      <c r="I2054" t="str">
        <f>VLOOKUP(Tabla1[[#This Row],[Code]],'[1]Articulos Precio'!$A:$E,5,FALSE)</f>
        <v>A0000103</v>
      </c>
    </row>
    <row r="2055" spans="1:9" x14ac:dyDescent="0.25">
      <c r="A2055" t="s">
        <v>625</v>
      </c>
      <c r="B2055" t="str">
        <f>VLOOKUP(Tabla1[[#This Row],[Code]],[1]!Tabla4[#Data],2,FALSE)</f>
        <v>M2 Metamark M7 154 Azul Medio 1,22 x 50m</v>
      </c>
      <c r="C2055">
        <v>23</v>
      </c>
      <c r="D2055" t="s">
        <v>90</v>
      </c>
      <c r="E2055" t="str">
        <f>VLOOKUP(Tabla1[[#This Row],[Cód. Atributo]],[1]!Tabla5[#Data],6,FALSE)</f>
        <v>Select</v>
      </c>
      <c r="F2055">
        <v>3</v>
      </c>
      <c r="G2055">
        <v>2</v>
      </c>
      <c r="H2055" t="s">
        <v>136</v>
      </c>
      <c r="I2055" t="str">
        <f>VLOOKUP(Tabla1[[#This Row],[Code]],'[1]Articulos Precio'!$A:$E,5,FALSE)</f>
        <v>A0000103</v>
      </c>
    </row>
    <row r="2056" spans="1:9" x14ac:dyDescent="0.25">
      <c r="A2056" t="s">
        <v>625</v>
      </c>
      <c r="B2056" t="str">
        <f>VLOOKUP(Tabla1[[#This Row],[Code]],[1]!Tabla4[#Data],2,FALSE)</f>
        <v>M2 Metamark M7 154 Azul Medio 1,22 x 50m</v>
      </c>
      <c r="C2056">
        <v>28</v>
      </c>
      <c r="D2056" t="s">
        <v>92</v>
      </c>
      <c r="E2056" t="str">
        <f>VLOOKUP(Tabla1[[#This Row],[Cód. Atributo]],[1]!Tabla5[#Data],6,FALSE)</f>
        <v>Select</v>
      </c>
      <c r="F2056">
        <v>4</v>
      </c>
      <c r="G2056">
        <v>1</v>
      </c>
      <c r="H2056" t="s">
        <v>93</v>
      </c>
      <c r="I2056" t="str">
        <f>VLOOKUP(Tabla1[[#This Row],[Code]],'[1]Articulos Precio'!$A:$E,5,FALSE)</f>
        <v>A0000103</v>
      </c>
    </row>
    <row r="2057" spans="1:9" x14ac:dyDescent="0.25">
      <c r="A2057" t="s">
        <v>625</v>
      </c>
      <c r="B2057" t="str">
        <f>VLOOKUP(Tabla1[[#This Row],[Code]],[1]!Tabla4[#Data],2,FALSE)</f>
        <v>M2 Metamark M7 154 Azul Medio 1,22 x 50m</v>
      </c>
      <c r="C2057">
        <v>25</v>
      </c>
      <c r="D2057" t="s">
        <v>94</v>
      </c>
      <c r="E2057" t="str">
        <f>VLOOKUP(Tabla1[[#This Row],[Cód. Atributo]],[1]!Tabla5[#Data],6,FALSE)</f>
        <v>Select</v>
      </c>
      <c r="F2057">
        <v>5</v>
      </c>
      <c r="G2057">
        <v>4</v>
      </c>
      <c r="H2057" t="s">
        <v>137</v>
      </c>
      <c r="I2057" t="str">
        <f>VLOOKUP(Tabla1[[#This Row],[Code]],'[1]Articulos Precio'!$A:$E,5,FALSE)</f>
        <v>A0000103</v>
      </c>
    </row>
    <row r="2058" spans="1:9" x14ac:dyDescent="0.25">
      <c r="A2058" t="s">
        <v>625</v>
      </c>
      <c r="B2058" t="str">
        <f>VLOOKUP(Tabla1[[#This Row],[Code]],[1]!Tabla4[#Data],2,FALSE)</f>
        <v>M2 Metamark M7 154 Azul Medio 1,22 x 50m</v>
      </c>
      <c r="C2058">
        <v>24</v>
      </c>
      <c r="D2058" t="s">
        <v>96</v>
      </c>
      <c r="E2058" t="str">
        <f>VLOOKUP(Tabla1[[#This Row],[Cód. Atributo]],[1]!Tabla5[#Data],6,FALSE)</f>
        <v>Select</v>
      </c>
      <c r="F2058">
        <v>6</v>
      </c>
      <c r="G2058">
        <v>2</v>
      </c>
      <c r="H2058" t="s">
        <v>266</v>
      </c>
      <c r="I2058" t="str">
        <f>VLOOKUP(Tabla1[[#This Row],[Code]],'[1]Articulos Precio'!$A:$E,5,FALSE)</f>
        <v>A0000103</v>
      </c>
    </row>
    <row r="2059" spans="1:9" x14ac:dyDescent="0.25">
      <c r="A2059" t="s">
        <v>626</v>
      </c>
      <c r="B2059" t="str">
        <f>VLOOKUP(Tabla1[[#This Row],[Code]],[1]!Tabla4[#Data],2,FALSE)</f>
        <v>M2 Metamark M7 155 Azul Ultramarino 0,61 x 50m</v>
      </c>
      <c r="C2059">
        <v>8</v>
      </c>
      <c r="D2059" t="s">
        <v>86</v>
      </c>
      <c r="E2059" t="str">
        <f>VLOOKUP(Tabla1[[#This Row],[Cód. Atributo]],[1]!Tabla5[#Data],6,FALSE)</f>
        <v>Select</v>
      </c>
      <c r="F2059">
        <v>1</v>
      </c>
      <c r="G2059">
        <v>1</v>
      </c>
      <c r="H2059" t="s">
        <v>263</v>
      </c>
      <c r="I2059" t="str">
        <f>VLOOKUP(Tabla1[[#This Row],[Code]],'[1]Articulos Precio'!$A:$E,5,FALSE)</f>
        <v>A0000103</v>
      </c>
    </row>
    <row r="2060" spans="1:9" x14ac:dyDescent="0.25">
      <c r="A2060" t="s">
        <v>626</v>
      </c>
      <c r="B2060" t="str">
        <f>VLOOKUP(Tabla1[[#This Row],[Code]],[1]!Tabla4[#Data],2,FALSE)</f>
        <v>M2 Metamark M7 155 Azul Ultramarino 0,61 x 50m</v>
      </c>
      <c r="C2060">
        <v>13</v>
      </c>
      <c r="D2060" t="s">
        <v>491</v>
      </c>
      <c r="E2060" t="str">
        <f>VLOOKUP(Tabla1[[#This Row],[Cód. Atributo]],[1]!Tabla5[#Data],6,FALSE)</f>
        <v>Color</v>
      </c>
      <c r="F2060">
        <v>2</v>
      </c>
      <c r="G2060">
        <v>30</v>
      </c>
      <c r="H2060" t="s">
        <v>627</v>
      </c>
      <c r="I2060" t="str">
        <f>VLOOKUP(Tabla1[[#This Row],[Code]],'[1]Articulos Precio'!$A:$E,5,FALSE)</f>
        <v>A0000103</v>
      </c>
    </row>
    <row r="2061" spans="1:9" x14ac:dyDescent="0.25">
      <c r="A2061" t="s">
        <v>626</v>
      </c>
      <c r="B2061" t="str">
        <f>VLOOKUP(Tabla1[[#This Row],[Code]],[1]!Tabla4[#Data],2,FALSE)</f>
        <v>M2 Metamark M7 155 Azul Ultramarino 0,61 x 50m</v>
      </c>
      <c r="C2061">
        <v>23</v>
      </c>
      <c r="D2061" t="s">
        <v>90</v>
      </c>
      <c r="E2061" t="str">
        <f>VLOOKUP(Tabla1[[#This Row],[Cód. Atributo]],[1]!Tabla5[#Data],6,FALSE)</f>
        <v>Select</v>
      </c>
      <c r="F2061">
        <v>3</v>
      </c>
      <c r="G2061">
        <v>2</v>
      </c>
      <c r="H2061" t="s">
        <v>136</v>
      </c>
      <c r="I2061" t="str">
        <f>VLOOKUP(Tabla1[[#This Row],[Code]],'[1]Articulos Precio'!$A:$E,5,FALSE)</f>
        <v>A0000103</v>
      </c>
    </row>
    <row r="2062" spans="1:9" x14ac:dyDescent="0.25">
      <c r="A2062" t="s">
        <v>626</v>
      </c>
      <c r="B2062" t="str">
        <f>VLOOKUP(Tabla1[[#This Row],[Code]],[1]!Tabla4[#Data],2,FALSE)</f>
        <v>M2 Metamark M7 155 Azul Ultramarino 0,61 x 50m</v>
      </c>
      <c r="C2062">
        <v>28</v>
      </c>
      <c r="D2062" t="s">
        <v>92</v>
      </c>
      <c r="E2062" t="str">
        <f>VLOOKUP(Tabla1[[#This Row],[Cód. Atributo]],[1]!Tabla5[#Data],6,FALSE)</f>
        <v>Select</v>
      </c>
      <c r="F2062">
        <v>4</v>
      </c>
      <c r="G2062">
        <v>1</v>
      </c>
      <c r="H2062" t="s">
        <v>93</v>
      </c>
      <c r="I2062" t="str">
        <f>VLOOKUP(Tabla1[[#This Row],[Code]],'[1]Articulos Precio'!$A:$E,5,FALSE)</f>
        <v>A0000103</v>
      </c>
    </row>
    <row r="2063" spans="1:9" x14ac:dyDescent="0.25">
      <c r="A2063" t="s">
        <v>626</v>
      </c>
      <c r="B2063" t="str">
        <f>VLOOKUP(Tabla1[[#This Row],[Code]],[1]!Tabla4[#Data],2,FALSE)</f>
        <v>M2 Metamark M7 155 Azul Ultramarino 0,61 x 50m</v>
      </c>
      <c r="C2063">
        <v>25</v>
      </c>
      <c r="D2063" t="s">
        <v>94</v>
      </c>
      <c r="E2063" t="str">
        <f>VLOOKUP(Tabla1[[#This Row],[Cód. Atributo]],[1]!Tabla5[#Data],6,FALSE)</f>
        <v>Select</v>
      </c>
      <c r="F2063">
        <v>5</v>
      </c>
      <c r="G2063">
        <v>4</v>
      </c>
      <c r="H2063" t="s">
        <v>137</v>
      </c>
      <c r="I2063" t="str">
        <f>VLOOKUP(Tabla1[[#This Row],[Code]],'[1]Articulos Precio'!$A:$E,5,FALSE)</f>
        <v>A0000103</v>
      </c>
    </row>
    <row r="2064" spans="1:9" x14ac:dyDescent="0.25">
      <c r="A2064" t="s">
        <v>626</v>
      </c>
      <c r="B2064" t="str">
        <f>VLOOKUP(Tabla1[[#This Row],[Code]],[1]!Tabla4[#Data],2,FALSE)</f>
        <v>M2 Metamark M7 155 Azul Ultramarino 0,61 x 50m</v>
      </c>
      <c r="C2064">
        <v>24</v>
      </c>
      <c r="D2064" t="s">
        <v>96</v>
      </c>
      <c r="E2064" t="str">
        <f>VLOOKUP(Tabla1[[#This Row],[Cód. Atributo]],[1]!Tabla5[#Data],6,FALSE)</f>
        <v>Select</v>
      </c>
      <c r="F2064">
        <v>6</v>
      </c>
      <c r="G2064">
        <v>2</v>
      </c>
      <c r="H2064" t="s">
        <v>266</v>
      </c>
      <c r="I2064" t="str">
        <f>VLOOKUP(Tabla1[[#This Row],[Code]],'[1]Articulos Precio'!$A:$E,5,FALSE)</f>
        <v>A0000103</v>
      </c>
    </row>
    <row r="2065" spans="1:9" x14ac:dyDescent="0.25">
      <c r="A2065" t="s">
        <v>628</v>
      </c>
      <c r="B2065" t="str">
        <f>VLOOKUP(Tabla1[[#This Row],[Code]],[1]!Tabla4[#Data],2,FALSE)</f>
        <v>M2 Metamark M7 155 Azul Ultramarino 1,22 x 50m</v>
      </c>
      <c r="C2065">
        <v>8</v>
      </c>
      <c r="D2065" t="s">
        <v>86</v>
      </c>
      <c r="E2065" t="str">
        <f>VLOOKUP(Tabla1[[#This Row],[Cód. Atributo]],[1]!Tabla5[#Data],6,FALSE)</f>
        <v>Select</v>
      </c>
      <c r="F2065">
        <v>1</v>
      </c>
      <c r="G2065">
        <v>2</v>
      </c>
      <c r="H2065" t="s">
        <v>268</v>
      </c>
      <c r="I2065" t="str">
        <f>VLOOKUP(Tabla1[[#This Row],[Code]],'[1]Articulos Precio'!$A:$E,5,FALSE)</f>
        <v>A0000103</v>
      </c>
    </row>
    <row r="2066" spans="1:9" x14ac:dyDescent="0.25">
      <c r="A2066" t="s">
        <v>628</v>
      </c>
      <c r="B2066" t="str">
        <f>VLOOKUP(Tabla1[[#This Row],[Code]],[1]!Tabla4[#Data],2,FALSE)</f>
        <v>M2 Metamark M7 155 Azul Ultramarino 1,22 x 50m</v>
      </c>
      <c r="C2066">
        <v>13</v>
      </c>
      <c r="D2066" t="s">
        <v>491</v>
      </c>
      <c r="E2066" t="str">
        <f>VLOOKUP(Tabla1[[#This Row],[Cód. Atributo]],[1]!Tabla5[#Data],6,FALSE)</f>
        <v>Color</v>
      </c>
      <c r="F2066">
        <v>2</v>
      </c>
      <c r="G2066">
        <v>30</v>
      </c>
      <c r="H2066" t="s">
        <v>627</v>
      </c>
      <c r="I2066" t="str">
        <f>VLOOKUP(Tabla1[[#This Row],[Code]],'[1]Articulos Precio'!$A:$E,5,FALSE)</f>
        <v>A0000103</v>
      </c>
    </row>
    <row r="2067" spans="1:9" x14ac:dyDescent="0.25">
      <c r="A2067" t="s">
        <v>628</v>
      </c>
      <c r="B2067" t="str">
        <f>VLOOKUP(Tabla1[[#This Row],[Code]],[1]!Tabla4[#Data],2,FALSE)</f>
        <v>M2 Metamark M7 155 Azul Ultramarino 1,22 x 50m</v>
      </c>
      <c r="C2067">
        <v>23</v>
      </c>
      <c r="D2067" t="s">
        <v>90</v>
      </c>
      <c r="E2067" t="str">
        <f>VLOOKUP(Tabla1[[#This Row],[Cód. Atributo]],[1]!Tabla5[#Data],6,FALSE)</f>
        <v>Select</v>
      </c>
      <c r="F2067">
        <v>3</v>
      </c>
      <c r="G2067">
        <v>2</v>
      </c>
      <c r="H2067" t="s">
        <v>136</v>
      </c>
      <c r="I2067" t="str">
        <f>VLOOKUP(Tabla1[[#This Row],[Code]],'[1]Articulos Precio'!$A:$E,5,FALSE)</f>
        <v>A0000103</v>
      </c>
    </row>
    <row r="2068" spans="1:9" x14ac:dyDescent="0.25">
      <c r="A2068" t="s">
        <v>628</v>
      </c>
      <c r="B2068" t="str">
        <f>VLOOKUP(Tabla1[[#This Row],[Code]],[1]!Tabla4[#Data],2,FALSE)</f>
        <v>M2 Metamark M7 155 Azul Ultramarino 1,22 x 50m</v>
      </c>
      <c r="C2068">
        <v>28</v>
      </c>
      <c r="D2068" t="s">
        <v>92</v>
      </c>
      <c r="E2068" t="str">
        <f>VLOOKUP(Tabla1[[#This Row],[Cód. Atributo]],[1]!Tabla5[#Data],6,FALSE)</f>
        <v>Select</v>
      </c>
      <c r="F2068">
        <v>4</v>
      </c>
      <c r="G2068">
        <v>1</v>
      </c>
      <c r="H2068" t="s">
        <v>93</v>
      </c>
      <c r="I2068" t="str">
        <f>VLOOKUP(Tabla1[[#This Row],[Code]],'[1]Articulos Precio'!$A:$E,5,FALSE)</f>
        <v>A0000103</v>
      </c>
    </row>
    <row r="2069" spans="1:9" x14ac:dyDescent="0.25">
      <c r="A2069" t="s">
        <v>628</v>
      </c>
      <c r="B2069" t="str">
        <f>VLOOKUP(Tabla1[[#This Row],[Code]],[1]!Tabla4[#Data],2,FALSE)</f>
        <v>M2 Metamark M7 155 Azul Ultramarino 1,22 x 50m</v>
      </c>
      <c r="C2069">
        <v>25</v>
      </c>
      <c r="D2069" t="s">
        <v>94</v>
      </c>
      <c r="E2069" t="str">
        <f>VLOOKUP(Tabla1[[#This Row],[Cód. Atributo]],[1]!Tabla5[#Data],6,FALSE)</f>
        <v>Select</v>
      </c>
      <c r="F2069">
        <v>5</v>
      </c>
      <c r="G2069">
        <v>4</v>
      </c>
      <c r="H2069" t="s">
        <v>137</v>
      </c>
      <c r="I2069" t="str">
        <f>VLOOKUP(Tabla1[[#This Row],[Code]],'[1]Articulos Precio'!$A:$E,5,FALSE)</f>
        <v>A0000103</v>
      </c>
    </row>
    <row r="2070" spans="1:9" x14ac:dyDescent="0.25">
      <c r="A2070" t="s">
        <v>628</v>
      </c>
      <c r="B2070" t="str">
        <f>VLOOKUP(Tabla1[[#This Row],[Code]],[1]!Tabla4[#Data],2,FALSE)</f>
        <v>M2 Metamark M7 155 Azul Ultramarino 1,22 x 50m</v>
      </c>
      <c r="C2070">
        <v>24</v>
      </c>
      <c r="D2070" t="s">
        <v>96</v>
      </c>
      <c r="E2070" t="str">
        <f>VLOOKUP(Tabla1[[#This Row],[Cód. Atributo]],[1]!Tabla5[#Data],6,FALSE)</f>
        <v>Select</v>
      </c>
      <c r="F2070">
        <v>6</v>
      </c>
      <c r="G2070">
        <v>2</v>
      </c>
      <c r="H2070" t="s">
        <v>266</v>
      </c>
      <c r="I2070" t="str">
        <f>VLOOKUP(Tabla1[[#This Row],[Code]],'[1]Articulos Precio'!$A:$E,5,FALSE)</f>
        <v>A0000103</v>
      </c>
    </row>
    <row r="2071" spans="1:9" x14ac:dyDescent="0.25">
      <c r="A2071" t="s">
        <v>629</v>
      </c>
      <c r="B2071" t="str">
        <f>VLOOKUP(Tabla1[[#This Row],[Code]],[1]!Tabla4[#Data],2,FALSE)</f>
        <v>M2 Metamark M7 156 Azul Naval 0,61 x 50m</v>
      </c>
      <c r="C2071">
        <v>8</v>
      </c>
      <c r="D2071" t="s">
        <v>86</v>
      </c>
      <c r="E2071" t="str">
        <f>VLOOKUP(Tabla1[[#This Row],[Cód. Atributo]],[1]!Tabla5[#Data],6,FALSE)</f>
        <v>Select</v>
      </c>
      <c r="F2071">
        <v>1</v>
      </c>
      <c r="G2071">
        <v>1</v>
      </c>
      <c r="H2071" t="s">
        <v>263</v>
      </c>
      <c r="I2071" t="str">
        <f>VLOOKUP(Tabla1[[#This Row],[Code]],'[1]Articulos Precio'!$A:$E,5,FALSE)</f>
        <v>A0000103</v>
      </c>
    </row>
    <row r="2072" spans="1:9" x14ac:dyDescent="0.25">
      <c r="A2072" t="s">
        <v>629</v>
      </c>
      <c r="B2072" t="str">
        <f>VLOOKUP(Tabla1[[#This Row],[Code]],[1]!Tabla4[#Data],2,FALSE)</f>
        <v>M2 Metamark M7 156 Azul Naval 0,61 x 50m</v>
      </c>
      <c r="C2072">
        <v>13</v>
      </c>
      <c r="D2072" t="s">
        <v>491</v>
      </c>
      <c r="E2072" t="str">
        <f>VLOOKUP(Tabla1[[#This Row],[Cód. Atributo]],[1]!Tabla5[#Data],6,FALSE)</f>
        <v>Color</v>
      </c>
      <c r="F2072">
        <v>2</v>
      </c>
      <c r="G2072">
        <v>31</v>
      </c>
      <c r="H2072" t="s">
        <v>630</v>
      </c>
      <c r="I2072" t="str">
        <f>VLOOKUP(Tabla1[[#This Row],[Code]],'[1]Articulos Precio'!$A:$E,5,FALSE)</f>
        <v>A0000103</v>
      </c>
    </row>
    <row r="2073" spans="1:9" x14ac:dyDescent="0.25">
      <c r="A2073" t="s">
        <v>629</v>
      </c>
      <c r="B2073" t="str">
        <f>VLOOKUP(Tabla1[[#This Row],[Code]],[1]!Tabla4[#Data],2,FALSE)</f>
        <v>M2 Metamark M7 156 Azul Naval 0,61 x 50m</v>
      </c>
      <c r="C2073">
        <v>23</v>
      </c>
      <c r="D2073" t="s">
        <v>90</v>
      </c>
      <c r="E2073" t="str">
        <f>VLOOKUP(Tabla1[[#This Row],[Cód. Atributo]],[1]!Tabla5[#Data],6,FALSE)</f>
        <v>Select</v>
      </c>
      <c r="F2073">
        <v>3</v>
      </c>
      <c r="G2073">
        <v>2</v>
      </c>
      <c r="H2073" t="s">
        <v>136</v>
      </c>
      <c r="I2073" t="str">
        <f>VLOOKUP(Tabla1[[#This Row],[Code]],'[1]Articulos Precio'!$A:$E,5,FALSE)</f>
        <v>A0000103</v>
      </c>
    </row>
    <row r="2074" spans="1:9" x14ac:dyDescent="0.25">
      <c r="A2074" t="s">
        <v>629</v>
      </c>
      <c r="B2074" t="str">
        <f>VLOOKUP(Tabla1[[#This Row],[Code]],[1]!Tabla4[#Data],2,FALSE)</f>
        <v>M2 Metamark M7 156 Azul Naval 0,61 x 50m</v>
      </c>
      <c r="C2074">
        <v>28</v>
      </c>
      <c r="D2074" t="s">
        <v>92</v>
      </c>
      <c r="E2074" t="str">
        <f>VLOOKUP(Tabla1[[#This Row],[Cód. Atributo]],[1]!Tabla5[#Data],6,FALSE)</f>
        <v>Select</v>
      </c>
      <c r="F2074">
        <v>4</v>
      </c>
      <c r="G2074">
        <v>1</v>
      </c>
      <c r="H2074" t="s">
        <v>93</v>
      </c>
      <c r="I2074" t="str">
        <f>VLOOKUP(Tabla1[[#This Row],[Code]],'[1]Articulos Precio'!$A:$E,5,FALSE)</f>
        <v>A0000103</v>
      </c>
    </row>
    <row r="2075" spans="1:9" x14ac:dyDescent="0.25">
      <c r="A2075" t="s">
        <v>629</v>
      </c>
      <c r="B2075" t="str">
        <f>VLOOKUP(Tabla1[[#This Row],[Code]],[1]!Tabla4[#Data],2,FALSE)</f>
        <v>M2 Metamark M7 156 Azul Naval 0,61 x 50m</v>
      </c>
      <c r="C2075">
        <v>25</v>
      </c>
      <c r="D2075" t="s">
        <v>94</v>
      </c>
      <c r="E2075" t="str">
        <f>VLOOKUP(Tabla1[[#This Row],[Cód. Atributo]],[1]!Tabla5[#Data],6,FALSE)</f>
        <v>Select</v>
      </c>
      <c r="F2075">
        <v>5</v>
      </c>
      <c r="G2075">
        <v>4</v>
      </c>
      <c r="H2075" t="s">
        <v>137</v>
      </c>
      <c r="I2075" t="str">
        <f>VLOOKUP(Tabla1[[#This Row],[Code]],'[1]Articulos Precio'!$A:$E,5,FALSE)</f>
        <v>A0000103</v>
      </c>
    </row>
    <row r="2076" spans="1:9" x14ac:dyDescent="0.25">
      <c r="A2076" t="s">
        <v>629</v>
      </c>
      <c r="B2076" t="str">
        <f>VLOOKUP(Tabla1[[#This Row],[Code]],[1]!Tabla4[#Data],2,FALSE)</f>
        <v>M2 Metamark M7 156 Azul Naval 0,61 x 50m</v>
      </c>
      <c r="C2076">
        <v>24</v>
      </c>
      <c r="D2076" t="s">
        <v>96</v>
      </c>
      <c r="E2076" t="str">
        <f>VLOOKUP(Tabla1[[#This Row],[Cód. Atributo]],[1]!Tabla5[#Data],6,FALSE)</f>
        <v>Select</v>
      </c>
      <c r="F2076">
        <v>6</v>
      </c>
      <c r="G2076">
        <v>2</v>
      </c>
      <c r="H2076" t="s">
        <v>266</v>
      </c>
      <c r="I2076" t="str">
        <f>VLOOKUP(Tabla1[[#This Row],[Code]],'[1]Articulos Precio'!$A:$E,5,FALSE)</f>
        <v>A0000103</v>
      </c>
    </row>
    <row r="2077" spans="1:9" x14ac:dyDescent="0.25">
      <c r="A2077" t="s">
        <v>631</v>
      </c>
      <c r="B2077" t="str">
        <f>VLOOKUP(Tabla1[[#This Row],[Code]],[1]!Tabla4[#Data],2,FALSE)</f>
        <v>M2 Metamark M7 156 Azul Naval 1,22 x 50m</v>
      </c>
      <c r="C2077">
        <v>8</v>
      </c>
      <c r="D2077" t="s">
        <v>86</v>
      </c>
      <c r="E2077" t="str">
        <f>VLOOKUP(Tabla1[[#This Row],[Cód. Atributo]],[1]!Tabla5[#Data],6,FALSE)</f>
        <v>Select</v>
      </c>
      <c r="F2077">
        <v>1</v>
      </c>
      <c r="G2077">
        <v>2</v>
      </c>
      <c r="H2077" t="s">
        <v>268</v>
      </c>
      <c r="I2077" t="str">
        <f>VLOOKUP(Tabla1[[#This Row],[Code]],'[1]Articulos Precio'!$A:$E,5,FALSE)</f>
        <v>A0000103</v>
      </c>
    </row>
    <row r="2078" spans="1:9" x14ac:dyDescent="0.25">
      <c r="A2078" t="s">
        <v>631</v>
      </c>
      <c r="B2078" t="str">
        <f>VLOOKUP(Tabla1[[#This Row],[Code]],[1]!Tabla4[#Data],2,FALSE)</f>
        <v>M2 Metamark M7 156 Azul Naval 1,22 x 50m</v>
      </c>
      <c r="C2078">
        <v>13</v>
      </c>
      <c r="D2078" t="s">
        <v>491</v>
      </c>
      <c r="E2078" t="str">
        <f>VLOOKUP(Tabla1[[#This Row],[Cód. Atributo]],[1]!Tabla5[#Data],6,FALSE)</f>
        <v>Color</v>
      </c>
      <c r="F2078">
        <v>2</v>
      </c>
      <c r="G2078">
        <v>31</v>
      </c>
      <c r="H2078" t="s">
        <v>630</v>
      </c>
      <c r="I2078" t="str">
        <f>VLOOKUP(Tabla1[[#This Row],[Code]],'[1]Articulos Precio'!$A:$E,5,FALSE)</f>
        <v>A0000103</v>
      </c>
    </row>
    <row r="2079" spans="1:9" x14ac:dyDescent="0.25">
      <c r="A2079" t="s">
        <v>631</v>
      </c>
      <c r="B2079" t="str">
        <f>VLOOKUP(Tabla1[[#This Row],[Code]],[1]!Tabla4[#Data],2,FALSE)</f>
        <v>M2 Metamark M7 156 Azul Naval 1,22 x 50m</v>
      </c>
      <c r="C2079">
        <v>23</v>
      </c>
      <c r="D2079" t="s">
        <v>90</v>
      </c>
      <c r="E2079" t="str">
        <f>VLOOKUP(Tabla1[[#This Row],[Cód. Atributo]],[1]!Tabla5[#Data],6,FALSE)</f>
        <v>Select</v>
      </c>
      <c r="F2079">
        <v>3</v>
      </c>
      <c r="G2079">
        <v>2</v>
      </c>
      <c r="H2079" t="s">
        <v>136</v>
      </c>
      <c r="I2079" t="str">
        <f>VLOOKUP(Tabla1[[#This Row],[Code]],'[1]Articulos Precio'!$A:$E,5,FALSE)</f>
        <v>A0000103</v>
      </c>
    </row>
    <row r="2080" spans="1:9" x14ac:dyDescent="0.25">
      <c r="A2080" t="s">
        <v>631</v>
      </c>
      <c r="B2080" t="str">
        <f>VLOOKUP(Tabla1[[#This Row],[Code]],[1]!Tabla4[#Data],2,FALSE)</f>
        <v>M2 Metamark M7 156 Azul Naval 1,22 x 50m</v>
      </c>
      <c r="C2080">
        <v>28</v>
      </c>
      <c r="D2080" t="s">
        <v>92</v>
      </c>
      <c r="E2080" t="str">
        <f>VLOOKUP(Tabla1[[#This Row],[Cód. Atributo]],[1]!Tabla5[#Data],6,FALSE)</f>
        <v>Select</v>
      </c>
      <c r="F2080">
        <v>4</v>
      </c>
      <c r="G2080">
        <v>1</v>
      </c>
      <c r="H2080" t="s">
        <v>93</v>
      </c>
      <c r="I2080" t="str">
        <f>VLOOKUP(Tabla1[[#This Row],[Code]],'[1]Articulos Precio'!$A:$E,5,FALSE)</f>
        <v>A0000103</v>
      </c>
    </row>
    <row r="2081" spans="1:9" x14ac:dyDescent="0.25">
      <c r="A2081" t="s">
        <v>631</v>
      </c>
      <c r="B2081" t="str">
        <f>VLOOKUP(Tabla1[[#This Row],[Code]],[1]!Tabla4[#Data],2,FALSE)</f>
        <v>M2 Metamark M7 156 Azul Naval 1,22 x 50m</v>
      </c>
      <c r="C2081">
        <v>25</v>
      </c>
      <c r="D2081" t="s">
        <v>94</v>
      </c>
      <c r="E2081" t="str">
        <f>VLOOKUP(Tabla1[[#This Row],[Cód. Atributo]],[1]!Tabla5[#Data],6,FALSE)</f>
        <v>Select</v>
      </c>
      <c r="F2081">
        <v>5</v>
      </c>
      <c r="G2081">
        <v>4</v>
      </c>
      <c r="H2081" t="s">
        <v>137</v>
      </c>
      <c r="I2081" t="str">
        <f>VLOOKUP(Tabla1[[#This Row],[Code]],'[1]Articulos Precio'!$A:$E,5,FALSE)</f>
        <v>A0000103</v>
      </c>
    </row>
    <row r="2082" spans="1:9" x14ac:dyDescent="0.25">
      <c r="A2082" t="s">
        <v>631</v>
      </c>
      <c r="B2082" t="str">
        <f>VLOOKUP(Tabla1[[#This Row],[Code]],[1]!Tabla4[#Data],2,FALSE)</f>
        <v>M2 Metamark M7 156 Azul Naval 1,22 x 50m</v>
      </c>
      <c r="C2082">
        <v>24</v>
      </c>
      <c r="D2082" t="s">
        <v>96</v>
      </c>
      <c r="E2082" t="str">
        <f>VLOOKUP(Tabla1[[#This Row],[Cód. Atributo]],[1]!Tabla5[#Data],6,FALSE)</f>
        <v>Select</v>
      </c>
      <c r="F2082">
        <v>6</v>
      </c>
      <c r="G2082">
        <v>2</v>
      </c>
      <c r="H2082" t="s">
        <v>266</v>
      </c>
      <c r="I2082" t="str">
        <f>VLOOKUP(Tabla1[[#This Row],[Code]],'[1]Articulos Precio'!$A:$E,5,FALSE)</f>
        <v>A0000103</v>
      </c>
    </row>
    <row r="2083" spans="1:9" x14ac:dyDescent="0.25">
      <c r="A2083" t="s">
        <v>632</v>
      </c>
      <c r="B2083" t="str">
        <f>VLOOKUP(Tabla1[[#This Row],[Code]],[1]!Tabla4[#Data],2,FALSE)</f>
        <v>M2 Metamark M7 157 Azul Medianoche 0,61 x 50m</v>
      </c>
      <c r="C2083">
        <v>8</v>
      </c>
      <c r="D2083" t="s">
        <v>86</v>
      </c>
      <c r="E2083" t="str">
        <f>VLOOKUP(Tabla1[[#This Row],[Cód. Atributo]],[1]!Tabla5[#Data],6,FALSE)</f>
        <v>Select</v>
      </c>
      <c r="F2083">
        <v>1</v>
      </c>
      <c r="G2083">
        <v>1</v>
      </c>
      <c r="H2083" t="s">
        <v>263</v>
      </c>
      <c r="I2083" t="str">
        <f>VLOOKUP(Tabla1[[#This Row],[Code]],'[1]Articulos Precio'!$A:$E,5,FALSE)</f>
        <v>A0000103</v>
      </c>
    </row>
    <row r="2084" spans="1:9" x14ac:dyDescent="0.25">
      <c r="A2084" t="s">
        <v>632</v>
      </c>
      <c r="B2084" t="str">
        <f>VLOOKUP(Tabla1[[#This Row],[Code]],[1]!Tabla4[#Data],2,FALSE)</f>
        <v>M2 Metamark M7 157 Azul Medianoche 0,61 x 50m</v>
      </c>
      <c r="C2084">
        <v>13</v>
      </c>
      <c r="D2084" t="s">
        <v>491</v>
      </c>
      <c r="E2084" t="str">
        <f>VLOOKUP(Tabla1[[#This Row],[Cód. Atributo]],[1]!Tabla5[#Data],6,FALSE)</f>
        <v>Color</v>
      </c>
      <c r="F2084">
        <v>2</v>
      </c>
      <c r="G2084">
        <v>32</v>
      </c>
      <c r="H2084" t="s">
        <v>633</v>
      </c>
      <c r="I2084" t="str">
        <f>VLOOKUP(Tabla1[[#This Row],[Code]],'[1]Articulos Precio'!$A:$E,5,FALSE)</f>
        <v>A0000103</v>
      </c>
    </row>
    <row r="2085" spans="1:9" x14ac:dyDescent="0.25">
      <c r="A2085" t="s">
        <v>632</v>
      </c>
      <c r="B2085" t="str">
        <f>VLOOKUP(Tabla1[[#This Row],[Code]],[1]!Tabla4[#Data],2,FALSE)</f>
        <v>M2 Metamark M7 157 Azul Medianoche 0,61 x 50m</v>
      </c>
      <c r="C2085">
        <v>23</v>
      </c>
      <c r="D2085" t="s">
        <v>90</v>
      </c>
      <c r="E2085" t="str">
        <f>VLOOKUP(Tabla1[[#This Row],[Cód. Atributo]],[1]!Tabla5[#Data],6,FALSE)</f>
        <v>Select</v>
      </c>
      <c r="F2085">
        <v>3</v>
      </c>
      <c r="G2085">
        <v>2</v>
      </c>
      <c r="H2085" t="s">
        <v>136</v>
      </c>
      <c r="I2085" t="str">
        <f>VLOOKUP(Tabla1[[#This Row],[Code]],'[1]Articulos Precio'!$A:$E,5,FALSE)</f>
        <v>A0000103</v>
      </c>
    </row>
    <row r="2086" spans="1:9" x14ac:dyDescent="0.25">
      <c r="A2086" t="s">
        <v>632</v>
      </c>
      <c r="B2086" t="str">
        <f>VLOOKUP(Tabla1[[#This Row],[Code]],[1]!Tabla4[#Data],2,FALSE)</f>
        <v>M2 Metamark M7 157 Azul Medianoche 0,61 x 50m</v>
      </c>
      <c r="C2086">
        <v>28</v>
      </c>
      <c r="D2086" t="s">
        <v>92</v>
      </c>
      <c r="E2086" t="str">
        <f>VLOOKUP(Tabla1[[#This Row],[Cód. Atributo]],[1]!Tabla5[#Data],6,FALSE)</f>
        <v>Select</v>
      </c>
      <c r="F2086">
        <v>4</v>
      </c>
      <c r="G2086">
        <v>1</v>
      </c>
      <c r="H2086" t="s">
        <v>93</v>
      </c>
      <c r="I2086" t="str">
        <f>VLOOKUP(Tabla1[[#This Row],[Code]],'[1]Articulos Precio'!$A:$E,5,FALSE)</f>
        <v>A0000103</v>
      </c>
    </row>
    <row r="2087" spans="1:9" x14ac:dyDescent="0.25">
      <c r="A2087" t="s">
        <v>632</v>
      </c>
      <c r="B2087" t="str">
        <f>VLOOKUP(Tabla1[[#This Row],[Code]],[1]!Tabla4[#Data],2,FALSE)</f>
        <v>M2 Metamark M7 157 Azul Medianoche 0,61 x 50m</v>
      </c>
      <c r="C2087">
        <v>25</v>
      </c>
      <c r="D2087" t="s">
        <v>94</v>
      </c>
      <c r="E2087" t="str">
        <f>VLOOKUP(Tabla1[[#This Row],[Cód. Atributo]],[1]!Tabla5[#Data],6,FALSE)</f>
        <v>Select</v>
      </c>
      <c r="F2087">
        <v>5</v>
      </c>
      <c r="G2087">
        <v>4</v>
      </c>
      <c r="H2087" t="s">
        <v>137</v>
      </c>
      <c r="I2087" t="str">
        <f>VLOOKUP(Tabla1[[#This Row],[Code]],'[1]Articulos Precio'!$A:$E,5,FALSE)</f>
        <v>A0000103</v>
      </c>
    </row>
    <row r="2088" spans="1:9" x14ac:dyDescent="0.25">
      <c r="A2088" t="s">
        <v>632</v>
      </c>
      <c r="B2088" t="str">
        <f>VLOOKUP(Tabla1[[#This Row],[Code]],[1]!Tabla4[#Data],2,FALSE)</f>
        <v>M2 Metamark M7 157 Azul Medianoche 0,61 x 50m</v>
      </c>
      <c r="C2088">
        <v>24</v>
      </c>
      <c r="D2088" t="s">
        <v>96</v>
      </c>
      <c r="E2088" t="str">
        <f>VLOOKUP(Tabla1[[#This Row],[Cód. Atributo]],[1]!Tabla5[#Data],6,FALSE)</f>
        <v>Select</v>
      </c>
      <c r="F2088">
        <v>6</v>
      </c>
      <c r="G2088">
        <v>2</v>
      </c>
      <c r="H2088" t="s">
        <v>266</v>
      </c>
      <c r="I2088" t="str">
        <f>VLOOKUP(Tabla1[[#This Row],[Code]],'[1]Articulos Precio'!$A:$E,5,FALSE)</f>
        <v>A0000103</v>
      </c>
    </row>
    <row r="2089" spans="1:9" x14ac:dyDescent="0.25">
      <c r="A2089" t="s">
        <v>634</v>
      </c>
      <c r="B2089" t="str">
        <f>VLOOKUP(Tabla1[[#This Row],[Code]],[1]!Tabla4[#Data],2,FALSE)</f>
        <v>M2 Metamark M7 157 Azul Medianoche 1,22 x 50m</v>
      </c>
      <c r="C2089">
        <v>8</v>
      </c>
      <c r="D2089" t="s">
        <v>86</v>
      </c>
      <c r="E2089" t="str">
        <f>VLOOKUP(Tabla1[[#This Row],[Cód. Atributo]],[1]!Tabla5[#Data],6,FALSE)</f>
        <v>Select</v>
      </c>
      <c r="F2089">
        <v>1</v>
      </c>
      <c r="G2089">
        <v>2</v>
      </c>
      <c r="H2089" t="s">
        <v>268</v>
      </c>
      <c r="I2089" t="str">
        <f>VLOOKUP(Tabla1[[#This Row],[Code]],'[1]Articulos Precio'!$A:$E,5,FALSE)</f>
        <v>A0000103</v>
      </c>
    </row>
    <row r="2090" spans="1:9" x14ac:dyDescent="0.25">
      <c r="A2090" t="s">
        <v>634</v>
      </c>
      <c r="B2090" t="str">
        <f>VLOOKUP(Tabla1[[#This Row],[Code]],[1]!Tabla4[#Data],2,FALSE)</f>
        <v>M2 Metamark M7 157 Azul Medianoche 1,22 x 50m</v>
      </c>
      <c r="C2090">
        <v>13</v>
      </c>
      <c r="D2090" t="s">
        <v>491</v>
      </c>
      <c r="E2090" t="str">
        <f>VLOOKUP(Tabla1[[#This Row],[Cód. Atributo]],[1]!Tabla5[#Data],6,FALSE)</f>
        <v>Color</v>
      </c>
      <c r="F2090">
        <v>2</v>
      </c>
      <c r="G2090">
        <v>32</v>
      </c>
      <c r="H2090" t="s">
        <v>633</v>
      </c>
      <c r="I2090" t="str">
        <f>VLOOKUP(Tabla1[[#This Row],[Code]],'[1]Articulos Precio'!$A:$E,5,FALSE)</f>
        <v>A0000103</v>
      </c>
    </row>
    <row r="2091" spans="1:9" x14ac:dyDescent="0.25">
      <c r="A2091" t="s">
        <v>634</v>
      </c>
      <c r="B2091" t="str">
        <f>VLOOKUP(Tabla1[[#This Row],[Code]],[1]!Tabla4[#Data],2,FALSE)</f>
        <v>M2 Metamark M7 157 Azul Medianoche 1,22 x 50m</v>
      </c>
      <c r="C2091">
        <v>23</v>
      </c>
      <c r="D2091" t="s">
        <v>90</v>
      </c>
      <c r="E2091" t="str">
        <f>VLOOKUP(Tabla1[[#This Row],[Cód. Atributo]],[1]!Tabla5[#Data],6,FALSE)</f>
        <v>Select</v>
      </c>
      <c r="F2091">
        <v>3</v>
      </c>
      <c r="G2091">
        <v>2</v>
      </c>
      <c r="H2091" t="s">
        <v>136</v>
      </c>
      <c r="I2091" t="str">
        <f>VLOOKUP(Tabla1[[#This Row],[Code]],'[1]Articulos Precio'!$A:$E,5,FALSE)</f>
        <v>A0000103</v>
      </c>
    </row>
    <row r="2092" spans="1:9" x14ac:dyDescent="0.25">
      <c r="A2092" t="s">
        <v>634</v>
      </c>
      <c r="B2092" t="str">
        <f>VLOOKUP(Tabla1[[#This Row],[Code]],[1]!Tabla4[#Data],2,FALSE)</f>
        <v>M2 Metamark M7 157 Azul Medianoche 1,22 x 50m</v>
      </c>
      <c r="C2092">
        <v>28</v>
      </c>
      <c r="D2092" t="s">
        <v>92</v>
      </c>
      <c r="E2092" t="str">
        <f>VLOOKUP(Tabla1[[#This Row],[Cód. Atributo]],[1]!Tabla5[#Data],6,FALSE)</f>
        <v>Select</v>
      </c>
      <c r="F2092">
        <v>4</v>
      </c>
      <c r="G2092">
        <v>1</v>
      </c>
      <c r="H2092" t="s">
        <v>93</v>
      </c>
      <c r="I2092" t="str">
        <f>VLOOKUP(Tabla1[[#This Row],[Code]],'[1]Articulos Precio'!$A:$E,5,FALSE)</f>
        <v>A0000103</v>
      </c>
    </row>
    <row r="2093" spans="1:9" x14ac:dyDescent="0.25">
      <c r="A2093" t="s">
        <v>634</v>
      </c>
      <c r="B2093" t="str">
        <f>VLOOKUP(Tabla1[[#This Row],[Code]],[1]!Tabla4[#Data],2,FALSE)</f>
        <v>M2 Metamark M7 157 Azul Medianoche 1,22 x 50m</v>
      </c>
      <c r="C2093">
        <v>25</v>
      </c>
      <c r="D2093" t="s">
        <v>94</v>
      </c>
      <c r="E2093" t="str">
        <f>VLOOKUP(Tabla1[[#This Row],[Cód. Atributo]],[1]!Tabla5[#Data],6,FALSE)</f>
        <v>Select</v>
      </c>
      <c r="F2093">
        <v>5</v>
      </c>
      <c r="G2093">
        <v>4</v>
      </c>
      <c r="H2093" t="s">
        <v>137</v>
      </c>
      <c r="I2093" t="str">
        <f>VLOOKUP(Tabla1[[#This Row],[Code]],'[1]Articulos Precio'!$A:$E,5,FALSE)</f>
        <v>A0000103</v>
      </c>
    </row>
    <row r="2094" spans="1:9" x14ac:dyDescent="0.25">
      <c r="A2094" t="s">
        <v>634</v>
      </c>
      <c r="B2094" t="str">
        <f>VLOOKUP(Tabla1[[#This Row],[Code]],[1]!Tabla4[#Data],2,FALSE)</f>
        <v>M2 Metamark M7 157 Azul Medianoche 1,22 x 50m</v>
      </c>
      <c r="C2094">
        <v>24</v>
      </c>
      <c r="D2094" t="s">
        <v>96</v>
      </c>
      <c r="E2094" t="str">
        <f>VLOOKUP(Tabla1[[#This Row],[Cód. Atributo]],[1]!Tabla5[#Data],6,FALSE)</f>
        <v>Select</v>
      </c>
      <c r="F2094">
        <v>6</v>
      </c>
      <c r="G2094">
        <v>2</v>
      </c>
      <c r="H2094" t="s">
        <v>266</v>
      </c>
      <c r="I2094" t="str">
        <f>VLOOKUP(Tabla1[[#This Row],[Code]],'[1]Articulos Precio'!$A:$E,5,FALSE)</f>
        <v>A0000103</v>
      </c>
    </row>
    <row r="2095" spans="1:9" x14ac:dyDescent="0.25">
      <c r="A2095" t="s">
        <v>635</v>
      </c>
      <c r="B2095" t="str">
        <f>VLOOKUP(Tabla1[[#This Row],[Code]],[1]!Tabla4[#Data],2,FALSE)</f>
        <v>M2 Metamark M7 158 Azul Brillo 0,61 x 50m</v>
      </c>
      <c r="C2095">
        <v>8</v>
      </c>
      <c r="D2095" t="s">
        <v>86</v>
      </c>
      <c r="E2095" t="str">
        <f>VLOOKUP(Tabla1[[#This Row],[Cód. Atributo]],[1]!Tabla5[#Data],6,FALSE)</f>
        <v>Select</v>
      </c>
      <c r="F2095">
        <v>1</v>
      </c>
      <c r="G2095">
        <v>1</v>
      </c>
      <c r="H2095" t="s">
        <v>263</v>
      </c>
      <c r="I2095" t="str">
        <f>VLOOKUP(Tabla1[[#This Row],[Code]],'[1]Articulos Precio'!$A:$E,5,FALSE)</f>
        <v>A0000103</v>
      </c>
    </row>
    <row r="2096" spans="1:9" x14ac:dyDescent="0.25">
      <c r="A2096" t="s">
        <v>635</v>
      </c>
      <c r="B2096" t="str">
        <f>VLOOKUP(Tabla1[[#This Row],[Code]],[1]!Tabla4[#Data],2,FALSE)</f>
        <v>M2 Metamark M7 158 Azul Brillo 0,61 x 50m</v>
      </c>
      <c r="C2096">
        <v>13</v>
      </c>
      <c r="D2096" t="s">
        <v>491</v>
      </c>
      <c r="E2096" t="str">
        <f>VLOOKUP(Tabla1[[#This Row],[Cód. Atributo]],[1]!Tabla5[#Data],6,FALSE)</f>
        <v>Color</v>
      </c>
      <c r="F2096">
        <v>2</v>
      </c>
      <c r="G2096">
        <v>33</v>
      </c>
      <c r="H2096" t="s">
        <v>636</v>
      </c>
      <c r="I2096" t="str">
        <f>VLOOKUP(Tabla1[[#This Row],[Code]],'[1]Articulos Precio'!$A:$E,5,FALSE)</f>
        <v>A0000103</v>
      </c>
    </row>
    <row r="2097" spans="1:9" x14ac:dyDescent="0.25">
      <c r="A2097" t="s">
        <v>635</v>
      </c>
      <c r="B2097" t="str">
        <f>VLOOKUP(Tabla1[[#This Row],[Code]],[1]!Tabla4[#Data],2,FALSE)</f>
        <v>M2 Metamark M7 158 Azul Brillo 0,61 x 50m</v>
      </c>
      <c r="C2097">
        <v>23</v>
      </c>
      <c r="D2097" t="s">
        <v>90</v>
      </c>
      <c r="E2097" t="str">
        <f>VLOOKUP(Tabla1[[#This Row],[Cód. Atributo]],[1]!Tabla5[#Data],6,FALSE)</f>
        <v>Select</v>
      </c>
      <c r="F2097">
        <v>3</v>
      </c>
      <c r="G2097">
        <v>2</v>
      </c>
      <c r="H2097" t="s">
        <v>136</v>
      </c>
      <c r="I2097" t="str">
        <f>VLOOKUP(Tabla1[[#This Row],[Code]],'[1]Articulos Precio'!$A:$E,5,FALSE)</f>
        <v>A0000103</v>
      </c>
    </row>
    <row r="2098" spans="1:9" x14ac:dyDescent="0.25">
      <c r="A2098" t="s">
        <v>635</v>
      </c>
      <c r="B2098" t="str">
        <f>VLOOKUP(Tabla1[[#This Row],[Code]],[1]!Tabla4[#Data],2,FALSE)</f>
        <v>M2 Metamark M7 158 Azul Brillo 0,61 x 50m</v>
      </c>
      <c r="C2098">
        <v>28</v>
      </c>
      <c r="D2098" t="s">
        <v>92</v>
      </c>
      <c r="E2098" t="str">
        <f>VLOOKUP(Tabla1[[#This Row],[Cód. Atributo]],[1]!Tabla5[#Data],6,FALSE)</f>
        <v>Select</v>
      </c>
      <c r="F2098">
        <v>4</v>
      </c>
      <c r="G2098">
        <v>1</v>
      </c>
      <c r="H2098" t="s">
        <v>93</v>
      </c>
      <c r="I2098" t="str">
        <f>VLOOKUP(Tabla1[[#This Row],[Code]],'[1]Articulos Precio'!$A:$E,5,FALSE)</f>
        <v>A0000103</v>
      </c>
    </row>
    <row r="2099" spans="1:9" x14ac:dyDescent="0.25">
      <c r="A2099" t="s">
        <v>635</v>
      </c>
      <c r="B2099" t="str">
        <f>VLOOKUP(Tabla1[[#This Row],[Code]],[1]!Tabla4[#Data],2,FALSE)</f>
        <v>M2 Metamark M7 158 Azul Brillo 0,61 x 50m</v>
      </c>
      <c r="C2099">
        <v>25</v>
      </c>
      <c r="D2099" t="s">
        <v>94</v>
      </c>
      <c r="E2099" t="str">
        <f>VLOOKUP(Tabla1[[#This Row],[Cód. Atributo]],[1]!Tabla5[#Data],6,FALSE)</f>
        <v>Select</v>
      </c>
      <c r="F2099">
        <v>5</v>
      </c>
      <c r="G2099">
        <v>4</v>
      </c>
      <c r="H2099" t="s">
        <v>137</v>
      </c>
      <c r="I2099" t="str">
        <f>VLOOKUP(Tabla1[[#This Row],[Code]],'[1]Articulos Precio'!$A:$E,5,FALSE)</f>
        <v>A0000103</v>
      </c>
    </row>
    <row r="2100" spans="1:9" x14ac:dyDescent="0.25">
      <c r="A2100" t="s">
        <v>635</v>
      </c>
      <c r="B2100" t="str">
        <f>VLOOKUP(Tabla1[[#This Row],[Code]],[1]!Tabla4[#Data],2,FALSE)</f>
        <v>M2 Metamark M7 158 Azul Brillo 0,61 x 50m</v>
      </c>
      <c r="C2100">
        <v>24</v>
      </c>
      <c r="D2100" t="s">
        <v>96</v>
      </c>
      <c r="E2100" t="str">
        <f>VLOOKUP(Tabla1[[#This Row],[Cód. Atributo]],[1]!Tabla5[#Data],6,FALSE)</f>
        <v>Select</v>
      </c>
      <c r="F2100">
        <v>6</v>
      </c>
      <c r="G2100">
        <v>2</v>
      </c>
      <c r="H2100" t="s">
        <v>266</v>
      </c>
      <c r="I2100" t="str">
        <f>VLOOKUP(Tabla1[[#This Row],[Code]],'[1]Articulos Precio'!$A:$E,5,FALSE)</f>
        <v>A0000103</v>
      </c>
    </row>
    <row r="2101" spans="1:9" x14ac:dyDescent="0.25">
      <c r="A2101" t="s">
        <v>637</v>
      </c>
      <c r="B2101" t="str">
        <f>VLOOKUP(Tabla1[[#This Row],[Code]],[1]!Tabla4[#Data],2,FALSE)</f>
        <v>M2 Metamark M7 158 Azul Brillo 1,22 x 50m</v>
      </c>
      <c r="C2101">
        <v>8</v>
      </c>
      <c r="D2101" t="s">
        <v>86</v>
      </c>
      <c r="E2101" t="str">
        <f>VLOOKUP(Tabla1[[#This Row],[Cód. Atributo]],[1]!Tabla5[#Data],6,FALSE)</f>
        <v>Select</v>
      </c>
      <c r="F2101">
        <v>1</v>
      </c>
      <c r="G2101">
        <v>2</v>
      </c>
      <c r="H2101" t="s">
        <v>268</v>
      </c>
      <c r="I2101" t="str">
        <f>VLOOKUP(Tabla1[[#This Row],[Code]],'[1]Articulos Precio'!$A:$E,5,FALSE)</f>
        <v>A0000103</v>
      </c>
    </row>
    <row r="2102" spans="1:9" x14ac:dyDescent="0.25">
      <c r="A2102" t="s">
        <v>637</v>
      </c>
      <c r="B2102" t="str">
        <f>VLOOKUP(Tabla1[[#This Row],[Code]],[1]!Tabla4[#Data],2,FALSE)</f>
        <v>M2 Metamark M7 158 Azul Brillo 1,22 x 50m</v>
      </c>
      <c r="C2102">
        <v>13</v>
      </c>
      <c r="D2102" t="s">
        <v>491</v>
      </c>
      <c r="E2102" t="str">
        <f>VLOOKUP(Tabla1[[#This Row],[Cód. Atributo]],[1]!Tabla5[#Data],6,FALSE)</f>
        <v>Color</v>
      </c>
      <c r="F2102">
        <v>2</v>
      </c>
      <c r="G2102">
        <v>33</v>
      </c>
      <c r="H2102" t="s">
        <v>636</v>
      </c>
      <c r="I2102" t="str">
        <f>VLOOKUP(Tabla1[[#This Row],[Code]],'[1]Articulos Precio'!$A:$E,5,FALSE)</f>
        <v>A0000103</v>
      </c>
    </row>
    <row r="2103" spans="1:9" x14ac:dyDescent="0.25">
      <c r="A2103" t="s">
        <v>637</v>
      </c>
      <c r="B2103" t="str">
        <f>VLOOKUP(Tabla1[[#This Row],[Code]],[1]!Tabla4[#Data],2,FALSE)</f>
        <v>M2 Metamark M7 158 Azul Brillo 1,22 x 50m</v>
      </c>
      <c r="C2103">
        <v>23</v>
      </c>
      <c r="D2103" t="s">
        <v>90</v>
      </c>
      <c r="E2103" t="str">
        <f>VLOOKUP(Tabla1[[#This Row],[Cód. Atributo]],[1]!Tabla5[#Data],6,FALSE)</f>
        <v>Select</v>
      </c>
      <c r="F2103">
        <v>3</v>
      </c>
      <c r="G2103">
        <v>2</v>
      </c>
      <c r="H2103" t="s">
        <v>136</v>
      </c>
      <c r="I2103" t="str">
        <f>VLOOKUP(Tabla1[[#This Row],[Code]],'[1]Articulos Precio'!$A:$E,5,FALSE)</f>
        <v>A0000103</v>
      </c>
    </row>
    <row r="2104" spans="1:9" x14ac:dyDescent="0.25">
      <c r="A2104" t="s">
        <v>637</v>
      </c>
      <c r="B2104" t="str">
        <f>VLOOKUP(Tabla1[[#This Row],[Code]],[1]!Tabla4[#Data],2,FALSE)</f>
        <v>M2 Metamark M7 158 Azul Brillo 1,22 x 50m</v>
      </c>
      <c r="C2104">
        <v>28</v>
      </c>
      <c r="D2104" t="s">
        <v>92</v>
      </c>
      <c r="E2104" t="str">
        <f>VLOOKUP(Tabla1[[#This Row],[Cód. Atributo]],[1]!Tabla5[#Data],6,FALSE)</f>
        <v>Select</v>
      </c>
      <c r="F2104">
        <v>4</v>
      </c>
      <c r="G2104">
        <v>1</v>
      </c>
      <c r="H2104" t="s">
        <v>93</v>
      </c>
      <c r="I2104" t="str">
        <f>VLOOKUP(Tabla1[[#This Row],[Code]],'[1]Articulos Precio'!$A:$E,5,FALSE)</f>
        <v>A0000103</v>
      </c>
    </row>
    <row r="2105" spans="1:9" x14ac:dyDescent="0.25">
      <c r="A2105" t="s">
        <v>637</v>
      </c>
      <c r="B2105" t="str">
        <f>VLOOKUP(Tabla1[[#This Row],[Code]],[1]!Tabla4[#Data],2,FALSE)</f>
        <v>M2 Metamark M7 158 Azul Brillo 1,22 x 50m</v>
      </c>
      <c r="C2105">
        <v>25</v>
      </c>
      <c r="D2105" t="s">
        <v>94</v>
      </c>
      <c r="E2105" t="str">
        <f>VLOOKUP(Tabla1[[#This Row],[Cód. Atributo]],[1]!Tabla5[#Data],6,FALSE)</f>
        <v>Select</v>
      </c>
      <c r="F2105">
        <v>5</v>
      </c>
      <c r="G2105">
        <v>4</v>
      </c>
      <c r="H2105" t="s">
        <v>137</v>
      </c>
      <c r="I2105" t="str">
        <f>VLOOKUP(Tabla1[[#This Row],[Code]],'[1]Articulos Precio'!$A:$E,5,FALSE)</f>
        <v>A0000103</v>
      </c>
    </row>
    <row r="2106" spans="1:9" x14ac:dyDescent="0.25">
      <c r="A2106" t="s">
        <v>637</v>
      </c>
      <c r="B2106" t="str">
        <f>VLOOKUP(Tabla1[[#This Row],[Code]],[1]!Tabla4[#Data],2,FALSE)</f>
        <v>M2 Metamark M7 158 Azul Brillo 1,22 x 50m</v>
      </c>
      <c r="C2106">
        <v>24</v>
      </c>
      <c r="D2106" t="s">
        <v>96</v>
      </c>
      <c r="E2106" t="str">
        <f>VLOOKUP(Tabla1[[#This Row],[Cód. Atributo]],[1]!Tabla5[#Data],6,FALSE)</f>
        <v>Select</v>
      </c>
      <c r="F2106">
        <v>6</v>
      </c>
      <c r="G2106">
        <v>2</v>
      </c>
      <c r="H2106" t="s">
        <v>266</v>
      </c>
      <c r="I2106" t="str">
        <f>VLOOKUP(Tabla1[[#This Row],[Code]],'[1]Articulos Precio'!$A:$E,5,FALSE)</f>
        <v>A0000103</v>
      </c>
    </row>
    <row r="2107" spans="1:9" x14ac:dyDescent="0.25">
      <c r="A2107" t="s">
        <v>638</v>
      </c>
      <c r="B2107" t="str">
        <f>VLOOKUP(Tabla1[[#This Row],[Code]],[1]!Tabla4[#Data],2,FALSE)</f>
        <v>M2 Metamark M7 159 Azul Cielo 0,61 x 50m</v>
      </c>
      <c r="C2107">
        <v>8</v>
      </c>
      <c r="D2107" t="s">
        <v>86</v>
      </c>
      <c r="E2107" t="str">
        <f>VLOOKUP(Tabla1[[#This Row],[Cód. Atributo]],[1]!Tabla5[#Data],6,FALSE)</f>
        <v>Select</v>
      </c>
      <c r="F2107">
        <v>1</v>
      </c>
      <c r="G2107">
        <v>1</v>
      </c>
      <c r="H2107" t="s">
        <v>263</v>
      </c>
      <c r="I2107" t="str">
        <f>VLOOKUP(Tabla1[[#This Row],[Code]],'[1]Articulos Precio'!$A:$E,5,FALSE)</f>
        <v>A0000103</v>
      </c>
    </row>
    <row r="2108" spans="1:9" x14ac:dyDescent="0.25">
      <c r="A2108" t="s">
        <v>638</v>
      </c>
      <c r="B2108" t="str">
        <f>VLOOKUP(Tabla1[[#This Row],[Code]],[1]!Tabla4[#Data],2,FALSE)</f>
        <v>M2 Metamark M7 159 Azul Cielo 0,61 x 50m</v>
      </c>
      <c r="C2108">
        <v>13</v>
      </c>
      <c r="D2108" t="s">
        <v>491</v>
      </c>
      <c r="E2108" t="str">
        <f>VLOOKUP(Tabla1[[#This Row],[Cód. Atributo]],[1]!Tabla5[#Data],6,FALSE)</f>
        <v>Color</v>
      </c>
      <c r="F2108">
        <v>2</v>
      </c>
      <c r="G2108">
        <v>73</v>
      </c>
      <c r="H2108" t="s">
        <v>639</v>
      </c>
      <c r="I2108" t="str">
        <f>VLOOKUP(Tabla1[[#This Row],[Code]],'[1]Articulos Precio'!$A:$E,5,FALSE)</f>
        <v>A0000103</v>
      </c>
    </row>
    <row r="2109" spans="1:9" x14ac:dyDescent="0.25">
      <c r="A2109" t="s">
        <v>638</v>
      </c>
      <c r="B2109" t="str">
        <f>VLOOKUP(Tabla1[[#This Row],[Code]],[1]!Tabla4[#Data],2,FALSE)</f>
        <v>M2 Metamark M7 159 Azul Cielo 0,61 x 50m</v>
      </c>
      <c r="C2109">
        <v>23</v>
      </c>
      <c r="D2109" t="s">
        <v>90</v>
      </c>
      <c r="E2109" t="str">
        <f>VLOOKUP(Tabla1[[#This Row],[Cód. Atributo]],[1]!Tabla5[#Data],6,FALSE)</f>
        <v>Select</v>
      </c>
      <c r="F2109">
        <v>3</v>
      </c>
      <c r="G2109">
        <v>2</v>
      </c>
      <c r="H2109" t="s">
        <v>136</v>
      </c>
      <c r="I2109" t="str">
        <f>VLOOKUP(Tabla1[[#This Row],[Code]],'[1]Articulos Precio'!$A:$E,5,FALSE)</f>
        <v>A0000103</v>
      </c>
    </row>
    <row r="2110" spans="1:9" x14ac:dyDescent="0.25">
      <c r="A2110" t="s">
        <v>638</v>
      </c>
      <c r="B2110" t="str">
        <f>VLOOKUP(Tabla1[[#This Row],[Code]],[1]!Tabla4[#Data],2,FALSE)</f>
        <v>M2 Metamark M7 159 Azul Cielo 0,61 x 50m</v>
      </c>
      <c r="C2110">
        <v>28</v>
      </c>
      <c r="D2110" t="s">
        <v>92</v>
      </c>
      <c r="E2110" t="str">
        <f>VLOOKUP(Tabla1[[#This Row],[Cód. Atributo]],[1]!Tabla5[#Data],6,FALSE)</f>
        <v>Select</v>
      </c>
      <c r="F2110">
        <v>4</v>
      </c>
      <c r="G2110">
        <v>1</v>
      </c>
      <c r="H2110" t="s">
        <v>93</v>
      </c>
      <c r="I2110" t="str">
        <f>VLOOKUP(Tabla1[[#This Row],[Code]],'[1]Articulos Precio'!$A:$E,5,FALSE)</f>
        <v>A0000103</v>
      </c>
    </row>
    <row r="2111" spans="1:9" x14ac:dyDescent="0.25">
      <c r="A2111" t="s">
        <v>638</v>
      </c>
      <c r="B2111" t="str">
        <f>VLOOKUP(Tabla1[[#This Row],[Code]],[1]!Tabla4[#Data],2,FALSE)</f>
        <v>M2 Metamark M7 159 Azul Cielo 0,61 x 50m</v>
      </c>
      <c r="C2111">
        <v>25</v>
      </c>
      <c r="D2111" t="s">
        <v>94</v>
      </c>
      <c r="E2111" t="str">
        <f>VLOOKUP(Tabla1[[#This Row],[Cód. Atributo]],[1]!Tabla5[#Data],6,FALSE)</f>
        <v>Select</v>
      </c>
      <c r="F2111">
        <v>5</v>
      </c>
      <c r="G2111">
        <v>4</v>
      </c>
      <c r="H2111" t="s">
        <v>137</v>
      </c>
      <c r="I2111" t="str">
        <f>VLOOKUP(Tabla1[[#This Row],[Code]],'[1]Articulos Precio'!$A:$E,5,FALSE)</f>
        <v>A0000103</v>
      </c>
    </row>
    <row r="2112" spans="1:9" x14ac:dyDescent="0.25">
      <c r="A2112" t="s">
        <v>638</v>
      </c>
      <c r="B2112" t="str">
        <f>VLOOKUP(Tabla1[[#This Row],[Code]],[1]!Tabla4[#Data],2,FALSE)</f>
        <v>M2 Metamark M7 159 Azul Cielo 0,61 x 50m</v>
      </c>
      <c r="C2112">
        <v>24</v>
      </c>
      <c r="D2112" t="s">
        <v>96</v>
      </c>
      <c r="E2112" t="str">
        <f>VLOOKUP(Tabla1[[#This Row],[Cód. Atributo]],[1]!Tabla5[#Data],6,FALSE)</f>
        <v>Select</v>
      </c>
      <c r="F2112">
        <v>6</v>
      </c>
      <c r="G2112">
        <v>2</v>
      </c>
      <c r="H2112" t="s">
        <v>266</v>
      </c>
      <c r="I2112" t="str">
        <f>VLOOKUP(Tabla1[[#This Row],[Code]],'[1]Articulos Precio'!$A:$E,5,FALSE)</f>
        <v>A0000103</v>
      </c>
    </row>
    <row r="2113" spans="1:9" x14ac:dyDescent="0.25">
      <c r="A2113" t="s">
        <v>640</v>
      </c>
      <c r="B2113" t="str">
        <f>VLOOKUP(Tabla1[[#This Row],[Code]],[1]!Tabla4[#Data],2,FALSE)</f>
        <v>M2 Metamark M7 159 Azul Cielo 1,22 x 50m</v>
      </c>
      <c r="C2113">
        <v>8</v>
      </c>
      <c r="D2113" t="s">
        <v>86</v>
      </c>
      <c r="E2113" t="str">
        <f>VLOOKUP(Tabla1[[#This Row],[Cód. Atributo]],[1]!Tabla5[#Data],6,FALSE)</f>
        <v>Select</v>
      </c>
      <c r="F2113">
        <v>1</v>
      </c>
      <c r="G2113">
        <v>2</v>
      </c>
      <c r="H2113" t="s">
        <v>268</v>
      </c>
      <c r="I2113" t="str">
        <f>VLOOKUP(Tabla1[[#This Row],[Code]],'[1]Articulos Precio'!$A:$E,5,FALSE)</f>
        <v>A0000103</v>
      </c>
    </row>
    <row r="2114" spans="1:9" x14ac:dyDescent="0.25">
      <c r="A2114" t="s">
        <v>640</v>
      </c>
      <c r="B2114" t="str">
        <f>VLOOKUP(Tabla1[[#This Row],[Code]],[1]!Tabla4[#Data],2,FALSE)</f>
        <v>M2 Metamark M7 159 Azul Cielo 1,22 x 50m</v>
      </c>
      <c r="C2114">
        <v>13</v>
      </c>
      <c r="D2114" t="s">
        <v>491</v>
      </c>
      <c r="E2114" t="str">
        <f>VLOOKUP(Tabla1[[#This Row],[Cód. Atributo]],[1]!Tabla5[#Data],6,FALSE)</f>
        <v>Color</v>
      </c>
      <c r="F2114">
        <v>2</v>
      </c>
      <c r="G2114">
        <v>73</v>
      </c>
      <c r="H2114" t="s">
        <v>639</v>
      </c>
      <c r="I2114" t="str">
        <f>VLOOKUP(Tabla1[[#This Row],[Code]],'[1]Articulos Precio'!$A:$E,5,FALSE)</f>
        <v>A0000103</v>
      </c>
    </row>
    <row r="2115" spans="1:9" x14ac:dyDescent="0.25">
      <c r="A2115" t="s">
        <v>640</v>
      </c>
      <c r="B2115" t="str">
        <f>VLOOKUP(Tabla1[[#This Row],[Code]],[1]!Tabla4[#Data],2,FALSE)</f>
        <v>M2 Metamark M7 159 Azul Cielo 1,22 x 50m</v>
      </c>
      <c r="C2115">
        <v>23</v>
      </c>
      <c r="D2115" t="s">
        <v>90</v>
      </c>
      <c r="E2115" t="str">
        <f>VLOOKUP(Tabla1[[#This Row],[Cód. Atributo]],[1]!Tabla5[#Data],6,FALSE)</f>
        <v>Select</v>
      </c>
      <c r="F2115">
        <v>3</v>
      </c>
      <c r="G2115">
        <v>2</v>
      </c>
      <c r="H2115" t="s">
        <v>136</v>
      </c>
      <c r="I2115" t="str">
        <f>VLOOKUP(Tabla1[[#This Row],[Code]],'[1]Articulos Precio'!$A:$E,5,FALSE)</f>
        <v>A0000103</v>
      </c>
    </row>
    <row r="2116" spans="1:9" x14ac:dyDescent="0.25">
      <c r="A2116" t="s">
        <v>640</v>
      </c>
      <c r="B2116" t="str">
        <f>VLOOKUP(Tabla1[[#This Row],[Code]],[1]!Tabla4[#Data],2,FALSE)</f>
        <v>M2 Metamark M7 159 Azul Cielo 1,22 x 50m</v>
      </c>
      <c r="C2116">
        <v>28</v>
      </c>
      <c r="D2116" t="s">
        <v>92</v>
      </c>
      <c r="E2116" t="str">
        <f>VLOOKUP(Tabla1[[#This Row],[Cód. Atributo]],[1]!Tabla5[#Data],6,FALSE)</f>
        <v>Select</v>
      </c>
      <c r="F2116">
        <v>4</v>
      </c>
      <c r="G2116">
        <v>1</v>
      </c>
      <c r="H2116" t="s">
        <v>93</v>
      </c>
      <c r="I2116" t="str">
        <f>VLOOKUP(Tabla1[[#This Row],[Code]],'[1]Articulos Precio'!$A:$E,5,FALSE)</f>
        <v>A0000103</v>
      </c>
    </row>
    <row r="2117" spans="1:9" x14ac:dyDescent="0.25">
      <c r="A2117" t="s">
        <v>640</v>
      </c>
      <c r="B2117" t="str">
        <f>VLOOKUP(Tabla1[[#This Row],[Code]],[1]!Tabla4[#Data],2,FALSE)</f>
        <v>M2 Metamark M7 159 Azul Cielo 1,22 x 50m</v>
      </c>
      <c r="C2117">
        <v>25</v>
      </c>
      <c r="D2117" t="s">
        <v>94</v>
      </c>
      <c r="E2117" t="str">
        <f>VLOOKUP(Tabla1[[#This Row],[Cód. Atributo]],[1]!Tabla5[#Data],6,FALSE)</f>
        <v>Select</v>
      </c>
      <c r="F2117">
        <v>5</v>
      </c>
      <c r="G2117">
        <v>4</v>
      </c>
      <c r="H2117" t="s">
        <v>137</v>
      </c>
      <c r="I2117" t="str">
        <f>VLOOKUP(Tabla1[[#This Row],[Code]],'[1]Articulos Precio'!$A:$E,5,FALSE)</f>
        <v>A0000103</v>
      </c>
    </row>
    <row r="2118" spans="1:9" x14ac:dyDescent="0.25">
      <c r="A2118" t="s">
        <v>640</v>
      </c>
      <c r="B2118" t="str">
        <f>VLOOKUP(Tabla1[[#This Row],[Code]],[1]!Tabla4[#Data],2,FALSE)</f>
        <v>M2 Metamark M7 159 Azul Cielo 1,22 x 50m</v>
      </c>
      <c r="C2118">
        <v>24</v>
      </c>
      <c r="D2118" t="s">
        <v>96</v>
      </c>
      <c r="E2118" t="str">
        <f>VLOOKUP(Tabla1[[#This Row],[Cód. Atributo]],[1]!Tabla5[#Data],6,FALSE)</f>
        <v>Select</v>
      </c>
      <c r="F2118">
        <v>6</v>
      </c>
      <c r="G2118">
        <v>2</v>
      </c>
      <c r="H2118" t="s">
        <v>266</v>
      </c>
      <c r="I2118" t="str">
        <f>VLOOKUP(Tabla1[[#This Row],[Code]],'[1]Articulos Precio'!$A:$E,5,FALSE)</f>
        <v>A0000103</v>
      </c>
    </row>
    <row r="2119" spans="1:9" x14ac:dyDescent="0.25">
      <c r="A2119" t="s">
        <v>641</v>
      </c>
      <c r="B2119" t="str">
        <f>VLOOKUP(Tabla1[[#This Row],[Code]],[1]!Tabla4[#Data],2,FALSE)</f>
        <v>M2 Metamark M7 160 Verde Lima 0,61 x 50m</v>
      </c>
      <c r="C2119">
        <v>8</v>
      </c>
      <c r="D2119" t="s">
        <v>86</v>
      </c>
      <c r="E2119" t="str">
        <f>VLOOKUP(Tabla1[[#This Row],[Cód. Atributo]],[1]!Tabla5[#Data],6,FALSE)</f>
        <v>Select</v>
      </c>
      <c r="F2119">
        <v>1</v>
      </c>
      <c r="G2119">
        <v>1</v>
      </c>
      <c r="H2119" t="s">
        <v>263</v>
      </c>
      <c r="I2119" t="str">
        <f>VLOOKUP(Tabla1[[#This Row],[Code]],'[1]Articulos Precio'!$A:$E,5,FALSE)</f>
        <v>A0000103</v>
      </c>
    </row>
    <row r="2120" spans="1:9" x14ac:dyDescent="0.25">
      <c r="A2120" t="s">
        <v>641</v>
      </c>
      <c r="B2120" t="str">
        <f>VLOOKUP(Tabla1[[#This Row],[Code]],[1]!Tabla4[#Data],2,FALSE)</f>
        <v>M2 Metamark M7 160 Verde Lima 0,61 x 50m</v>
      </c>
      <c r="C2120">
        <v>13</v>
      </c>
      <c r="D2120" t="s">
        <v>491</v>
      </c>
      <c r="E2120" t="str">
        <f>VLOOKUP(Tabla1[[#This Row],[Cód. Atributo]],[1]!Tabla5[#Data],6,FALSE)</f>
        <v>Color</v>
      </c>
      <c r="F2120">
        <v>2</v>
      </c>
      <c r="G2120">
        <v>34</v>
      </c>
      <c r="H2120" t="s">
        <v>642</v>
      </c>
      <c r="I2120" t="str">
        <f>VLOOKUP(Tabla1[[#This Row],[Code]],'[1]Articulos Precio'!$A:$E,5,FALSE)</f>
        <v>A0000103</v>
      </c>
    </row>
    <row r="2121" spans="1:9" x14ac:dyDescent="0.25">
      <c r="A2121" t="s">
        <v>641</v>
      </c>
      <c r="B2121" t="str">
        <f>VLOOKUP(Tabla1[[#This Row],[Code]],[1]!Tabla4[#Data],2,FALSE)</f>
        <v>M2 Metamark M7 160 Verde Lima 0,61 x 50m</v>
      </c>
      <c r="C2121">
        <v>23</v>
      </c>
      <c r="D2121" t="s">
        <v>90</v>
      </c>
      <c r="E2121" t="str">
        <f>VLOOKUP(Tabla1[[#This Row],[Cód. Atributo]],[1]!Tabla5[#Data],6,FALSE)</f>
        <v>Select</v>
      </c>
      <c r="F2121">
        <v>3</v>
      </c>
      <c r="G2121">
        <v>2</v>
      </c>
      <c r="H2121" t="s">
        <v>136</v>
      </c>
      <c r="I2121" t="str">
        <f>VLOOKUP(Tabla1[[#This Row],[Code]],'[1]Articulos Precio'!$A:$E,5,FALSE)</f>
        <v>A0000103</v>
      </c>
    </row>
    <row r="2122" spans="1:9" x14ac:dyDescent="0.25">
      <c r="A2122" t="s">
        <v>641</v>
      </c>
      <c r="B2122" t="str">
        <f>VLOOKUP(Tabla1[[#This Row],[Code]],[1]!Tabla4[#Data],2,FALSE)</f>
        <v>M2 Metamark M7 160 Verde Lima 0,61 x 50m</v>
      </c>
      <c r="C2122">
        <v>28</v>
      </c>
      <c r="D2122" t="s">
        <v>92</v>
      </c>
      <c r="E2122" t="str">
        <f>VLOOKUP(Tabla1[[#This Row],[Cód. Atributo]],[1]!Tabla5[#Data],6,FALSE)</f>
        <v>Select</v>
      </c>
      <c r="F2122">
        <v>4</v>
      </c>
      <c r="G2122">
        <v>1</v>
      </c>
      <c r="H2122" t="s">
        <v>93</v>
      </c>
      <c r="I2122" t="str">
        <f>VLOOKUP(Tabla1[[#This Row],[Code]],'[1]Articulos Precio'!$A:$E,5,FALSE)</f>
        <v>A0000103</v>
      </c>
    </row>
    <row r="2123" spans="1:9" x14ac:dyDescent="0.25">
      <c r="A2123" t="s">
        <v>641</v>
      </c>
      <c r="B2123" t="str">
        <f>VLOOKUP(Tabla1[[#This Row],[Code]],[1]!Tabla4[#Data],2,FALSE)</f>
        <v>M2 Metamark M7 160 Verde Lima 0,61 x 50m</v>
      </c>
      <c r="C2123">
        <v>25</v>
      </c>
      <c r="D2123" t="s">
        <v>94</v>
      </c>
      <c r="E2123" t="str">
        <f>VLOOKUP(Tabla1[[#This Row],[Cód. Atributo]],[1]!Tabla5[#Data],6,FALSE)</f>
        <v>Select</v>
      </c>
      <c r="F2123">
        <v>5</v>
      </c>
      <c r="G2123">
        <v>4</v>
      </c>
      <c r="H2123" t="s">
        <v>137</v>
      </c>
      <c r="I2123" t="str">
        <f>VLOOKUP(Tabla1[[#This Row],[Code]],'[1]Articulos Precio'!$A:$E,5,FALSE)</f>
        <v>A0000103</v>
      </c>
    </row>
    <row r="2124" spans="1:9" x14ac:dyDescent="0.25">
      <c r="A2124" t="s">
        <v>641</v>
      </c>
      <c r="B2124" t="str">
        <f>VLOOKUP(Tabla1[[#This Row],[Code]],[1]!Tabla4[#Data],2,FALSE)</f>
        <v>M2 Metamark M7 160 Verde Lima 0,61 x 50m</v>
      </c>
      <c r="C2124">
        <v>24</v>
      </c>
      <c r="D2124" t="s">
        <v>96</v>
      </c>
      <c r="E2124" t="str">
        <f>VLOOKUP(Tabla1[[#This Row],[Cód. Atributo]],[1]!Tabla5[#Data],6,FALSE)</f>
        <v>Select</v>
      </c>
      <c r="F2124">
        <v>6</v>
      </c>
      <c r="G2124">
        <v>2</v>
      </c>
      <c r="H2124" t="s">
        <v>266</v>
      </c>
      <c r="I2124" t="str">
        <f>VLOOKUP(Tabla1[[#This Row],[Code]],'[1]Articulos Precio'!$A:$E,5,FALSE)</f>
        <v>A0000103</v>
      </c>
    </row>
    <row r="2125" spans="1:9" x14ac:dyDescent="0.25">
      <c r="A2125" t="s">
        <v>643</v>
      </c>
      <c r="B2125" t="str">
        <f>VLOOKUP(Tabla1[[#This Row],[Code]],[1]!Tabla4[#Data],2,FALSE)</f>
        <v>M2 Metamark M7 160 Verde Lima 1,22 x 50m</v>
      </c>
      <c r="C2125">
        <v>8</v>
      </c>
      <c r="D2125" t="s">
        <v>86</v>
      </c>
      <c r="E2125" t="str">
        <f>VLOOKUP(Tabla1[[#This Row],[Cód. Atributo]],[1]!Tabla5[#Data],6,FALSE)</f>
        <v>Select</v>
      </c>
      <c r="F2125">
        <v>1</v>
      </c>
      <c r="G2125">
        <v>2</v>
      </c>
      <c r="H2125" t="s">
        <v>268</v>
      </c>
      <c r="I2125" t="str">
        <f>VLOOKUP(Tabla1[[#This Row],[Code]],'[1]Articulos Precio'!$A:$E,5,FALSE)</f>
        <v>A0000103</v>
      </c>
    </row>
    <row r="2126" spans="1:9" x14ac:dyDescent="0.25">
      <c r="A2126" t="s">
        <v>643</v>
      </c>
      <c r="B2126" t="str">
        <f>VLOOKUP(Tabla1[[#This Row],[Code]],[1]!Tabla4[#Data],2,FALSE)</f>
        <v>M2 Metamark M7 160 Verde Lima 1,22 x 50m</v>
      </c>
      <c r="C2126">
        <v>13</v>
      </c>
      <c r="D2126" t="s">
        <v>491</v>
      </c>
      <c r="E2126" t="str">
        <f>VLOOKUP(Tabla1[[#This Row],[Cód. Atributo]],[1]!Tabla5[#Data],6,FALSE)</f>
        <v>Color</v>
      </c>
      <c r="F2126">
        <v>2</v>
      </c>
      <c r="G2126">
        <v>34</v>
      </c>
      <c r="H2126" t="s">
        <v>642</v>
      </c>
      <c r="I2126" t="str">
        <f>VLOOKUP(Tabla1[[#This Row],[Code]],'[1]Articulos Precio'!$A:$E,5,FALSE)</f>
        <v>A0000103</v>
      </c>
    </row>
    <row r="2127" spans="1:9" x14ac:dyDescent="0.25">
      <c r="A2127" t="s">
        <v>643</v>
      </c>
      <c r="B2127" t="str">
        <f>VLOOKUP(Tabla1[[#This Row],[Code]],[1]!Tabla4[#Data],2,FALSE)</f>
        <v>M2 Metamark M7 160 Verde Lima 1,22 x 50m</v>
      </c>
      <c r="C2127">
        <v>23</v>
      </c>
      <c r="D2127" t="s">
        <v>90</v>
      </c>
      <c r="E2127" t="str">
        <f>VLOOKUP(Tabla1[[#This Row],[Cód. Atributo]],[1]!Tabla5[#Data],6,FALSE)</f>
        <v>Select</v>
      </c>
      <c r="F2127">
        <v>3</v>
      </c>
      <c r="G2127">
        <v>2</v>
      </c>
      <c r="H2127" t="s">
        <v>136</v>
      </c>
      <c r="I2127" t="str">
        <f>VLOOKUP(Tabla1[[#This Row],[Code]],'[1]Articulos Precio'!$A:$E,5,FALSE)</f>
        <v>A0000103</v>
      </c>
    </row>
    <row r="2128" spans="1:9" x14ac:dyDescent="0.25">
      <c r="A2128" t="s">
        <v>643</v>
      </c>
      <c r="B2128" t="str">
        <f>VLOOKUP(Tabla1[[#This Row],[Code]],[1]!Tabla4[#Data],2,FALSE)</f>
        <v>M2 Metamark M7 160 Verde Lima 1,22 x 50m</v>
      </c>
      <c r="C2128">
        <v>28</v>
      </c>
      <c r="D2128" t="s">
        <v>92</v>
      </c>
      <c r="E2128" t="str">
        <f>VLOOKUP(Tabla1[[#This Row],[Cód. Atributo]],[1]!Tabla5[#Data],6,FALSE)</f>
        <v>Select</v>
      </c>
      <c r="F2128">
        <v>4</v>
      </c>
      <c r="G2128">
        <v>1</v>
      </c>
      <c r="H2128" t="s">
        <v>93</v>
      </c>
      <c r="I2128" t="str">
        <f>VLOOKUP(Tabla1[[#This Row],[Code]],'[1]Articulos Precio'!$A:$E,5,FALSE)</f>
        <v>A0000103</v>
      </c>
    </row>
    <row r="2129" spans="1:9" x14ac:dyDescent="0.25">
      <c r="A2129" t="s">
        <v>643</v>
      </c>
      <c r="B2129" t="str">
        <f>VLOOKUP(Tabla1[[#This Row],[Code]],[1]!Tabla4[#Data],2,FALSE)</f>
        <v>M2 Metamark M7 160 Verde Lima 1,22 x 50m</v>
      </c>
      <c r="C2129">
        <v>25</v>
      </c>
      <c r="D2129" t="s">
        <v>94</v>
      </c>
      <c r="E2129" t="str">
        <f>VLOOKUP(Tabla1[[#This Row],[Cód. Atributo]],[1]!Tabla5[#Data],6,FALSE)</f>
        <v>Select</v>
      </c>
      <c r="F2129">
        <v>5</v>
      </c>
      <c r="G2129">
        <v>4</v>
      </c>
      <c r="H2129" t="s">
        <v>137</v>
      </c>
      <c r="I2129" t="str">
        <f>VLOOKUP(Tabla1[[#This Row],[Code]],'[1]Articulos Precio'!$A:$E,5,FALSE)</f>
        <v>A0000103</v>
      </c>
    </row>
    <row r="2130" spans="1:9" x14ac:dyDescent="0.25">
      <c r="A2130" t="s">
        <v>643</v>
      </c>
      <c r="B2130" t="str">
        <f>VLOOKUP(Tabla1[[#This Row],[Code]],[1]!Tabla4[#Data],2,FALSE)</f>
        <v>M2 Metamark M7 160 Verde Lima 1,22 x 50m</v>
      </c>
      <c r="C2130">
        <v>24</v>
      </c>
      <c r="D2130" t="s">
        <v>96</v>
      </c>
      <c r="E2130" t="str">
        <f>VLOOKUP(Tabla1[[#This Row],[Cód. Atributo]],[1]!Tabla5[#Data],6,FALSE)</f>
        <v>Select</v>
      </c>
      <c r="F2130">
        <v>6</v>
      </c>
      <c r="G2130">
        <v>2</v>
      </c>
      <c r="H2130" t="s">
        <v>266</v>
      </c>
      <c r="I2130" t="str">
        <f>VLOOKUP(Tabla1[[#This Row],[Code]],'[1]Articulos Precio'!$A:$E,5,FALSE)</f>
        <v>A0000103</v>
      </c>
    </row>
    <row r="2131" spans="1:9" x14ac:dyDescent="0.25">
      <c r="A2131" t="s">
        <v>644</v>
      </c>
      <c r="B2131" t="str">
        <f>VLOOKUP(Tabla1[[#This Row],[Code]],[1]!Tabla4[#Data],2,FALSE)</f>
        <v>M2 Metamark M7 161 Verde Cesped 0,61 x 50m</v>
      </c>
      <c r="C2131">
        <v>8</v>
      </c>
      <c r="D2131" t="s">
        <v>86</v>
      </c>
      <c r="E2131" t="str">
        <f>VLOOKUP(Tabla1[[#This Row],[Cód. Atributo]],[1]!Tabla5[#Data],6,FALSE)</f>
        <v>Select</v>
      </c>
      <c r="F2131">
        <v>1</v>
      </c>
      <c r="G2131">
        <v>1</v>
      </c>
      <c r="H2131" t="s">
        <v>263</v>
      </c>
      <c r="I2131" t="str">
        <f>VLOOKUP(Tabla1[[#This Row],[Code]],'[1]Articulos Precio'!$A:$E,5,FALSE)</f>
        <v>A0000103</v>
      </c>
    </row>
    <row r="2132" spans="1:9" x14ac:dyDescent="0.25">
      <c r="A2132" t="s">
        <v>644</v>
      </c>
      <c r="B2132" t="str">
        <f>VLOOKUP(Tabla1[[#This Row],[Code]],[1]!Tabla4[#Data],2,FALSE)</f>
        <v>M2 Metamark M7 161 Verde Cesped 0,61 x 50m</v>
      </c>
      <c r="C2132">
        <v>13</v>
      </c>
      <c r="D2132" t="s">
        <v>491</v>
      </c>
      <c r="E2132" t="str">
        <f>VLOOKUP(Tabla1[[#This Row],[Cód. Atributo]],[1]!Tabla5[#Data],6,FALSE)</f>
        <v>Color</v>
      </c>
      <c r="F2132">
        <v>2</v>
      </c>
      <c r="G2132">
        <v>35</v>
      </c>
      <c r="H2132" t="s">
        <v>645</v>
      </c>
      <c r="I2132" t="str">
        <f>VLOOKUP(Tabla1[[#This Row],[Code]],'[1]Articulos Precio'!$A:$E,5,FALSE)</f>
        <v>A0000103</v>
      </c>
    </row>
    <row r="2133" spans="1:9" x14ac:dyDescent="0.25">
      <c r="A2133" t="s">
        <v>644</v>
      </c>
      <c r="B2133" t="str">
        <f>VLOOKUP(Tabla1[[#This Row],[Code]],[1]!Tabla4[#Data],2,FALSE)</f>
        <v>M2 Metamark M7 161 Verde Cesped 0,61 x 50m</v>
      </c>
      <c r="C2133">
        <v>23</v>
      </c>
      <c r="D2133" t="s">
        <v>90</v>
      </c>
      <c r="E2133" t="str">
        <f>VLOOKUP(Tabla1[[#This Row],[Cód. Atributo]],[1]!Tabla5[#Data],6,FALSE)</f>
        <v>Select</v>
      </c>
      <c r="F2133">
        <v>3</v>
      </c>
      <c r="G2133">
        <v>2</v>
      </c>
      <c r="H2133" t="s">
        <v>136</v>
      </c>
      <c r="I2133" t="str">
        <f>VLOOKUP(Tabla1[[#This Row],[Code]],'[1]Articulos Precio'!$A:$E,5,FALSE)</f>
        <v>A0000103</v>
      </c>
    </row>
    <row r="2134" spans="1:9" x14ac:dyDescent="0.25">
      <c r="A2134" t="s">
        <v>644</v>
      </c>
      <c r="B2134" t="str">
        <f>VLOOKUP(Tabla1[[#This Row],[Code]],[1]!Tabla4[#Data],2,FALSE)</f>
        <v>M2 Metamark M7 161 Verde Cesped 0,61 x 50m</v>
      </c>
      <c r="C2134">
        <v>28</v>
      </c>
      <c r="D2134" t="s">
        <v>92</v>
      </c>
      <c r="E2134" t="str">
        <f>VLOOKUP(Tabla1[[#This Row],[Cód. Atributo]],[1]!Tabla5[#Data],6,FALSE)</f>
        <v>Select</v>
      </c>
      <c r="F2134">
        <v>4</v>
      </c>
      <c r="G2134">
        <v>1</v>
      </c>
      <c r="H2134" t="s">
        <v>93</v>
      </c>
      <c r="I2134" t="str">
        <f>VLOOKUP(Tabla1[[#This Row],[Code]],'[1]Articulos Precio'!$A:$E,5,FALSE)</f>
        <v>A0000103</v>
      </c>
    </row>
    <row r="2135" spans="1:9" x14ac:dyDescent="0.25">
      <c r="A2135" t="s">
        <v>644</v>
      </c>
      <c r="B2135" t="str">
        <f>VLOOKUP(Tabla1[[#This Row],[Code]],[1]!Tabla4[#Data],2,FALSE)</f>
        <v>M2 Metamark M7 161 Verde Cesped 0,61 x 50m</v>
      </c>
      <c r="C2135">
        <v>25</v>
      </c>
      <c r="D2135" t="s">
        <v>94</v>
      </c>
      <c r="E2135" t="str">
        <f>VLOOKUP(Tabla1[[#This Row],[Cód. Atributo]],[1]!Tabla5[#Data],6,FALSE)</f>
        <v>Select</v>
      </c>
      <c r="F2135">
        <v>5</v>
      </c>
      <c r="G2135">
        <v>4</v>
      </c>
      <c r="H2135" t="s">
        <v>137</v>
      </c>
      <c r="I2135" t="str">
        <f>VLOOKUP(Tabla1[[#This Row],[Code]],'[1]Articulos Precio'!$A:$E,5,FALSE)</f>
        <v>A0000103</v>
      </c>
    </row>
    <row r="2136" spans="1:9" x14ac:dyDescent="0.25">
      <c r="A2136" t="s">
        <v>644</v>
      </c>
      <c r="B2136" t="str">
        <f>VLOOKUP(Tabla1[[#This Row],[Code]],[1]!Tabla4[#Data],2,FALSE)</f>
        <v>M2 Metamark M7 161 Verde Cesped 0,61 x 50m</v>
      </c>
      <c r="C2136">
        <v>24</v>
      </c>
      <c r="D2136" t="s">
        <v>96</v>
      </c>
      <c r="E2136" t="str">
        <f>VLOOKUP(Tabla1[[#This Row],[Cód. Atributo]],[1]!Tabla5[#Data],6,FALSE)</f>
        <v>Select</v>
      </c>
      <c r="F2136">
        <v>6</v>
      </c>
      <c r="G2136">
        <v>2</v>
      </c>
      <c r="H2136" t="s">
        <v>266</v>
      </c>
      <c r="I2136" t="str">
        <f>VLOOKUP(Tabla1[[#This Row],[Code]],'[1]Articulos Precio'!$A:$E,5,FALSE)</f>
        <v>A0000103</v>
      </c>
    </row>
    <row r="2137" spans="1:9" x14ac:dyDescent="0.25">
      <c r="A2137" t="s">
        <v>646</v>
      </c>
      <c r="B2137" t="str">
        <f>VLOOKUP(Tabla1[[#This Row],[Code]],[1]!Tabla4[#Data],2,FALSE)</f>
        <v>M2 Metamark M7 161 Verde Cesped 1,22 x 50m</v>
      </c>
      <c r="C2137">
        <v>8</v>
      </c>
      <c r="D2137" t="s">
        <v>86</v>
      </c>
      <c r="E2137" t="str">
        <f>VLOOKUP(Tabla1[[#This Row],[Cód. Atributo]],[1]!Tabla5[#Data],6,FALSE)</f>
        <v>Select</v>
      </c>
      <c r="F2137">
        <v>1</v>
      </c>
      <c r="G2137">
        <v>2</v>
      </c>
      <c r="H2137" t="s">
        <v>268</v>
      </c>
      <c r="I2137" t="str">
        <f>VLOOKUP(Tabla1[[#This Row],[Code]],'[1]Articulos Precio'!$A:$E,5,FALSE)</f>
        <v>A0000103</v>
      </c>
    </row>
    <row r="2138" spans="1:9" x14ac:dyDescent="0.25">
      <c r="A2138" t="s">
        <v>646</v>
      </c>
      <c r="B2138" t="str">
        <f>VLOOKUP(Tabla1[[#This Row],[Code]],[1]!Tabla4[#Data],2,FALSE)</f>
        <v>M2 Metamark M7 161 Verde Cesped 1,22 x 50m</v>
      </c>
      <c r="C2138">
        <v>13</v>
      </c>
      <c r="D2138" t="s">
        <v>491</v>
      </c>
      <c r="E2138" t="str">
        <f>VLOOKUP(Tabla1[[#This Row],[Cód. Atributo]],[1]!Tabla5[#Data],6,FALSE)</f>
        <v>Color</v>
      </c>
      <c r="F2138">
        <v>2</v>
      </c>
      <c r="G2138">
        <v>35</v>
      </c>
      <c r="H2138" t="s">
        <v>645</v>
      </c>
      <c r="I2138" t="str">
        <f>VLOOKUP(Tabla1[[#This Row],[Code]],'[1]Articulos Precio'!$A:$E,5,FALSE)</f>
        <v>A0000103</v>
      </c>
    </row>
    <row r="2139" spans="1:9" x14ac:dyDescent="0.25">
      <c r="A2139" t="s">
        <v>646</v>
      </c>
      <c r="B2139" t="str">
        <f>VLOOKUP(Tabla1[[#This Row],[Code]],[1]!Tabla4[#Data],2,FALSE)</f>
        <v>M2 Metamark M7 161 Verde Cesped 1,22 x 50m</v>
      </c>
      <c r="C2139">
        <v>23</v>
      </c>
      <c r="D2139" t="s">
        <v>90</v>
      </c>
      <c r="E2139" t="str">
        <f>VLOOKUP(Tabla1[[#This Row],[Cód. Atributo]],[1]!Tabla5[#Data],6,FALSE)</f>
        <v>Select</v>
      </c>
      <c r="F2139">
        <v>3</v>
      </c>
      <c r="G2139">
        <v>2</v>
      </c>
      <c r="H2139" t="s">
        <v>136</v>
      </c>
      <c r="I2139" t="str">
        <f>VLOOKUP(Tabla1[[#This Row],[Code]],'[1]Articulos Precio'!$A:$E,5,FALSE)</f>
        <v>A0000103</v>
      </c>
    </row>
    <row r="2140" spans="1:9" x14ac:dyDescent="0.25">
      <c r="A2140" t="s">
        <v>646</v>
      </c>
      <c r="B2140" t="str">
        <f>VLOOKUP(Tabla1[[#This Row],[Code]],[1]!Tabla4[#Data],2,FALSE)</f>
        <v>M2 Metamark M7 161 Verde Cesped 1,22 x 50m</v>
      </c>
      <c r="C2140">
        <v>28</v>
      </c>
      <c r="D2140" t="s">
        <v>92</v>
      </c>
      <c r="E2140" t="str">
        <f>VLOOKUP(Tabla1[[#This Row],[Cód. Atributo]],[1]!Tabla5[#Data],6,FALSE)</f>
        <v>Select</v>
      </c>
      <c r="F2140">
        <v>4</v>
      </c>
      <c r="G2140">
        <v>1</v>
      </c>
      <c r="H2140" t="s">
        <v>93</v>
      </c>
      <c r="I2140" t="str">
        <f>VLOOKUP(Tabla1[[#This Row],[Code]],'[1]Articulos Precio'!$A:$E,5,FALSE)</f>
        <v>A0000103</v>
      </c>
    </row>
    <row r="2141" spans="1:9" x14ac:dyDescent="0.25">
      <c r="A2141" t="s">
        <v>646</v>
      </c>
      <c r="B2141" t="str">
        <f>VLOOKUP(Tabla1[[#This Row],[Code]],[1]!Tabla4[#Data],2,FALSE)</f>
        <v>M2 Metamark M7 161 Verde Cesped 1,22 x 50m</v>
      </c>
      <c r="C2141">
        <v>25</v>
      </c>
      <c r="D2141" t="s">
        <v>94</v>
      </c>
      <c r="E2141" t="str">
        <f>VLOOKUP(Tabla1[[#This Row],[Cód. Atributo]],[1]!Tabla5[#Data],6,FALSE)</f>
        <v>Select</v>
      </c>
      <c r="F2141">
        <v>5</v>
      </c>
      <c r="G2141">
        <v>4</v>
      </c>
      <c r="H2141" t="s">
        <v>137</v>
      </c>
      <c r="I2141" t="str">
        <f>VLOOKUP(Tabla1[[#This Row],[Code]],'[1]Articulos Precio'!$A:$E,5,FALSE)</f>
        <v>A0000103</v>
      </c>
    </row>
    <row r="2142" spans="1:9" x14ac:dyDescent="0.25">
      <c r="A2142" t="s">
        <v>646</v>
      </c>
      <c r="B2142" t="str">
        <f>VLOOKUP(Tabla1[[#This Row],[Code]],[1]!Tabla4[#Data],2,FALSE)</f>
        <v>M2 Metamark M7 161 Verde Cesped 1,22 x 50m</v>
      </c>
      <c r="C2142">
        <v>24</v>
      </c>
      <c r="D2142" t="s">
        <v>96</v>
      </c>
      <c r="E2142" t="str">
        <f>VLOOKUP(Tabla1[[#This Row],[Cód. Atributo]],[1]!Tabla5[#Data],6,FALSE)</f>
        <v>Select</v>
      </c>
      <c r="F2142">
        <v>6</v>
      </c>
      <c r="G2142">
        <v>2</v>
      </c>
      <c r="H2142" t="s">
        <v>266</v>
      </c>
      <c r="I2142" t="str">
        <f>VLOOKUP(Tabla1[[#This Row],[Code]],'[1]Articulos Precio'!$A:$E,5,FALSE)</f>
        <v>A0000103</v>
      </c>
    </row>
    <row r="2143" spans="1:9" x14ac:dyDescent="0.25">
      <c r="A2143" t="s">
        <v>647</v>
      </c>
      <c r="B2143" t="str">
        <f>VLOOKUP(Tabla1[[#This Row],[Code]],[1]!Tabla4[#Data],2,FALSE)</f>
        <v>M2 Metamark M7 162 Verde Esmeralda 0,61 x 50m</v>
      </c>
      <c r="C2143">
        <v>8</v>
      </c>
      <c r="D2143" t="s">
        <v>86</v>
      </c>
      <c r="E2143" t="str">
        <f>VLOOKUP(Tabla1[[#This Row],[Cód. Atributo]],[1]!Tabla5[#Data],6,FALSE)</f>
        <v>Select</v>
      </c>
      <c r="F2143">
        <v>1</v>
      </c>
      <c r="G2143">
        <v>1</v>
      </c>
      <c r="H2143" t="s">
        <v>263</v>
      </c>
      <c r="I2143" t="str">
        <f>VLOOKUP(Tabla1[[#This Row],[Code]],'[1]Articulos Precio'!$A:$E,5,FALSE)</f>
        <v>A0000103</v>
      </c>
    </row>
    <row r="2144" spans="1:9" x14ac:dyDescent="0.25">
      <c r="A2144" t="s">
        <v>647</v>
      </c>
      <c r="B2144" t="str">
        <f>VLOOKUP(Tabla1[[#This Row],[Code]],[1]!Tabla4[#Data],2,FALSE)</f>
        <v>M2 Metamark M7 162 Verde Esmeralda 0,61 x 50m</v>
      </c>
      <c r="C2144">
        <v>13</v>
      </c>
      <c r="D2144" t="s">
        <v>491</v>
      </c>
      <c r="E2144" t="str">
        <f>VLOOKUP(Tabla1[[#This Row],[Cód. Atributo]],[1]!Tabla5[#Data],6,FALSE)</f>
        <v>Color</v>
      </c>
      <c r="F2144">
        <v>2</v>
      </c>
      <c r="G2144">
        <v>36</v>
      </c>
      <c r="H2144" t="s">
        <v>648</v>
      </c>
      <c r="I2144" t="str">
        <f>VLOOKUP(Tabla1[[#This Row],[Code]],'[1]Articulos Precio'!$A:$E,5,FALSE)</f>
        <v>A0000103</v>
      </c>
    </row>
    <row r="2145" spans="1:9" x14ac:dyDescent="0.25">
      <c r="A2145" t="s">
        <v>647</v>
      </c>
      <c r="B2145" t="str">
        <f>VLOOKUP(Tabla1[[#This Row],[Code]],[1]!Tabla4[#Data],2,FALSE)</f>
        <v>M2 Metamark M7 162 Verde Esmeralda 0,61 x 50m</v>
      </c>
      <c r="C2145">
        <v>23</v>
      </c>
      <c r="D2145" t="s">
        <v>90</v>
      </c>
      <c r="E2145" t="str">
        <f>VLOOKUP(Tabla1[[#This Row],[Cód. Atributo]],[1]!Tabla5[#Data],6,FALSE)</f>
        <v>Select</v>
      </c>
      <c r="F2145">
        <v>3</v>
      </c>
      <c r="G2145">
        <v>2</v>
      </c>
      <c r="H2145" t="s">
        <v>136</v>
      </c>
      <c r="I2145" t="str">
        <f>VLOOKUP(Tabla1[[#This Row],[Code]],'[1]Articulos Precio'!$A:$E,5,FALSE)</f>
        <v>A0000103</v>
      </c>
    </row>
    <row r="2146" spans="1:9" x14ac:dyDescent="0.25">
      <c r="A2146" t="s">
        <v>647</v>
      </c>
      <c r="B2146" t="str">
        <f>VLOOKUP(Tabla1[[#This Row],[Code]],[1]!Tabla4[#Data],2,FALSE)</f>
        <v>M2 Metamark M7 162 Verde Esmeralda 0,61 x 50m</v>
      </c>
      <c r="C2146">
        <v>28</v>
      </c>
      <c r="D2146" t="s">
        <v>92</v>
      </c>
      <c r="E2146" t="str">
        <f>VLOOKUP(Tabla1[[#This Row],[Cód. Atributo]],[1]!Tabla5[#Data],6,FALSE)</f>
        <v>Select</v>
      </c>
      <c r="F2146">
        <v>4</v>
      </c>
      <c r="G2146">
        <v>1</v>
      </c>
      <c r="H2146" t="s">
        <v>93</v>
      </c>
      <c r="I2146" t="str">
        <f>VLOOKUP(Tabla1[[#This Row],[Code]],'[1]Articulos Precio'!$A:$E,5,FALSE)</f>
        <v>A0000103</v>
      </c>
    </row>
    <row r="2147" spans="1:9" x14ac:dyDescent="0.25">
      <c r="A2147" t="s">
        <v>647</v>
      </c>
      <c r="B2147" t="str">
        <f>VLOOKUP(Tabla1[[#This Row],[Code]],[1]!Tabla4[#Data],2,FALSE)</f>
        <v>M2 Metamark M7 162 Verde Esmeralda 0,61 x 50m</v>
      </c>
      <c r="C2147">
        <v>25</v>
      </c>
      <c r="D2147" t="s">
        <v>94</v>
      </c>
      <c r="E2147" t="str">
        <f>VLOOKUP(Tabla1[[#This Row],[Cód. Atributo]],[1]!Tabla5[#Data],6,FALSE)</f>
        <v>Select</v>
      </c>
      <c r="F2147">
        <v>5</v>
      </c>
      <c r="G2147">
        <v>4</v>
      </c>
      <c r="H2147" t="s">
        <v>137</v>
      </c>
      <c r="I2147" t="str">
        <f>VLOOKUP(Tabla1[[#This Row],[Code]],'[1]Articulos Precio'!$A:$E,5,FALSE)</f>
        <v>A0000103</v>
      </c>
    </row>
    <row r="2148" spans="1:9" x14ac:dyDescent="0.25">
      <c r="A2148" t="s">
        <v>647</v>
      </c>
      <c r="B2148" t="str">
        <f>VLOOKUP(Tabla1[[#This Row],[Code]],[1]!Tabla4[#Data],2,FALSE)</f>
        <v>M2 Metamark M7 162 Verde Esmeralda 0,61 x 50m</v>
      </c>
      <c r="C2148">
        <v>24</v>
      </c>
      <c r="D2148" t="s">
        <v>96</v>
      </c>
      <c r="E2148" t="str">
        <f>VLOOKUP(Tabla1[[#This Row],[Cód. Atributo]],[1]!Tabla5[#Data],6,FALSE)</f>
        <v>Select</v>
      </c>
      <c r="F2148">
        <v>6</v>
      </c>
      <c r="G2148">
        <v>2</v>
      </c>
      <c r="H2148" t="s">
        <v>266</v>
      </c>
      <c r="I2148" t="str">
        <f>VLOOKUP(Tabla1[[#This Row],[Code]],'[1]Articulos Precio'!$A:$E,5,FALSE)</f>
        <v>A0000103</v>
      </c>
    </row>
    <row r="2149" spans="1:9" x14ac:dyDescent="0.25">
      <c r="A2149" t="s">
        <v>649</v>
      </c>
      <c r="B2149" t="str">
        <f>VLOOKUP(Tabla1[[#This Row],[Code]],[1]!Tabla4[#Data],2,FALSE)</f>
        <v>M2 Metamark M7 162 Verde Esmeralda 1,22 x 50m</v>
      </c>
      <c r="C2149">
        <v>8</v>
      </c>
      <c r="D2149" t="s">
        <v>86</v>
      </c>
      <c r="E2149" t="str">
        <f>VLOOKUP(Tabla1[[#This Row],[Cód. Atributo]],[1]!Tabla5[#Data],6,FALSE)</f>
        <v>Select</v>
      </c>
      <c r="F2149">
        <v>1</v>
      </c>
      <c r="G2149">
        <v>2</v>
      </c>
      <c r="H2149" t="s">
        <v>268</v>
      </c>
      <c r="I2149" t="str">
        <f>VLOOKUP(Tabla1[[#This Row],[Code]],'[1]Articulos Precio'!$A:$E,5,FALSE)</f>
        <v>A0000103</v>
      </c>
    </row>
    <row r="2150" spans="1:9" x14ac:dyDescent="0.25">
      <c r="A2150" t="s">
        <v>649</v>
      </c>
      <c r="B2150" t="str">
        <f>VLOOKUP(Tabla1[[#This Row],[Code]],[1]!Tabla4[#Data],2,FALSE)</f>
        <v>M2 Metamark M7 162 Verde Esmeralda 1,22 x 50m</v>
      </c>
      <c r="C2150">
        <v>13</v>
      </c>
      <c r="D2150" t="s">
        <v>491</v>
      </c>
      <c r="E2150" t="str">
        <f>VLOOKUP(Tabla1[[#This Row],[Cód. Atributo]],[1]!Tabla5[#Data],6,FALSE)</f>
        <v>Color</v>
      </c>
      <c r="F2150">
        <v>2</v>
      </c>
      <c r="G2150">
        <v>36</v>
      </c>
      <c r="H2150" t="s">
        <v>648</v>
      </c>
      <c r="I2150" t="str">
        <f>VLOOKUP(Tabla1[[#This Row],[Code]],'[1]Articulos Precio'!$A:$E,5,FALSE)</f>
        <v>A0000103</v>
      </c>
    </row>
    <row r="2151" spans="1:9" x14ac:dyDescent="0.25">
      <c r="A2151" t="s">
        <v>649</v>
      </c>
      <c r="B2151" t="str">
        <f>VLOOKUP(Tabla1[[#This Row],[Code]],[1]!Tabla4[#Data],2,FALSE)</f>
        <v>M2 Metamark M7 162 Verde Esmeralda 1,22 x 50m</v>
      </c>
      <c r="C2151">
        <v>23</v>
      </c>
      <c r="D2151" t="s">
        <v>90</v>
      </c>
      <c r="E2151" t="str">
        <f>VLOOKUP(Tabla1[[#This Row],[Cód. Atributo]],[1]!Tabla5[#Data],6,FALSE)</f>
        <v>Select</v>
      </c>
      <c r="F2151">
        <v>3</v>
      </c>
      <c r="G2151">
        <v>2</v>
      </c>
      <c r="H2151" t="s">
        <v>136</v>
      </c>
      <c r="I2151" t="str">
        <f>VLOOKUP(Tabla1[[#This Row],[Code]],'[1]Articulos Precio'!$A:$E,5,FALSE)</f>
        <v>A0000103</v>
      </c>
    </row>
    <row r="2152" spans="1:9" x14ac:dyDescent="0.25">
      <c r="A2152" t="s">
        <v>649</v>
      </c>
      <c r="B2152" t="str">
        <f>VLOOKUP(Tabla1[[#This Row],[Code]],[1]!Tabla4[#Data],2,FALSE)</f>
        <v>M2 Metamark M7 162 Verde Esmeralda 1,22 x 50m</v>
      </c>
      <c r="C2152">
        <v>28</v>
      </c>
      <c r="D2152" t="s">
        <v>92</v>
      </c>
      <c r="E2152" t="str">
        <f>VLOOKUP(Tabla1[[#This Row],[Cód. Atributo]],[1]!Tabla5[#Data],6,FALSE)</f>
        <v>Select</v>
      </c>
      <c r="F2152">
        <v>4</v>
      </c>
      <c r="G2152">
        <v>1</v>
      </c>
      <c r="H2152" t="s">
        <v>93</v>
      </c>
      <c r="I2152" t="str">
        <f>VLOOKUP(Tabla1[[#This Row],[Code]],'[1]Articulos Precio'!$A:$E,5,FALSE)</f>
        <v>A0000103</v>
      </c>
    </row>
    <row r="2153" spans="1:9" x14ac:dyDescent="0.25">
      <c r="A2153" t="s">
        <v>649</v>
      </c>
      <c r="B2153" t="str">
        <f>VLOOKUP(Tabla1[[#This Row],[Code]],[1]!Tabla4[#Data],2,FALSE)</f>
        <v>M2 Metamark M7 162 Verde Esmeralda 1,22 x 50m</v>
      </c>
      <c r="C2153">
        <v>25</v>
      </c>
      <c r="D2153" t="s">
        <v>94</v>
      </c>
      <c r="E2153" t="str">
        <f>VLOOKUP(Tabla1[[#This Row],[Cód. Atributo]],[1]!Tabla5[#Data],6,FALSE)</f>
        <v>Select</v>
      </c>
      <c r="F2153">
        <v>5</v>
      </c>
      <c r="G2153">
        <v>4</v>
      </c>
      <c r="H2153" t="s">
        <v>137</v>
      </c>
      <c r="I2153" t="str">
        <f>VLOOKUP(Tabla1[[#This Row],[Code]],'[1]Articulos Precio'!$A:$E,5,FALSE)</f>
        <v>A0000103</v>
      </c>
    </row>
    <row r="2154" spans="1:9" x14ac:dyDescent="0.25">
      <c r="A2154" t="s">
        <v>649</v>
      </c>
      <c r="B2154" t="str">
        <f>VLOOKUP(Tabla1[[#This Row],[Code]],[1]!Tabla4[#Data],2,FALSE)</f>
        <v>M2 Metamark M7 162 Verde Esmeralda 1,22 x 50m</v>
      </c>
      <c r="C2154">
        <v>24</v>
      </c>
      <c r="D2154" t="s">
        <v>96</v>
      </c>
      <c r="E2154" t="str">
        <f>VLOOKUP(Tabla1[[#This Row],[Cód. Atributo]],[1]!Tabla5[#Data],6,FALSE)</f>
        <v>Select</v>
      </c>
      <c r="F2154">
        <v>6</v>
      </c>
      <c r="G2154">
        <v>2</v>
      </c>
      <c r="H2154" t="s">
        <v>266</v>
      </c>
      <c r="I2154" t="str">
        <f>VLOOKUP(Tabla1[[#This Row],[Code]],'[1]Articulos Precio'!$A:$E,5,FALSE)</f>
        <v>A0000103</v>
      </c>
    </row>
    <row r="2155" spans="1:9" x14ac:dyDescent="0.25">
      <c r="A2155" t="s">
        <v>650</v>
      </c>
      <c r="B2155" t="str">
        <f>VLOOKUP(Tabla1[[#This Row],[Code]],[1]!Tabla4[#Data],2,FALSE)</f>
        <v>M2 Metamark M7 163 Verde Medio 0,61 x 50m</v>
      </c>
      <c r="C2155">
        <v>8</v>
      </c>
      <c r="D2155" t="s">
        <v>86</v>
      </c>
      <c r="E2155" t="str">
        <f>VLOOKUP(Tabla1[[#This Row],[Cód. Atributo]],[1]!Tabla5[#Data],6,FALSE)</f>
        <v>Select</v>
      </c>
      <c r="F2155">
        <v>1</v>
      </c>
      <c r="G2155">
        <v>1</v>
      </c>
      <c r="H2155" t="s">
        <v>263</v>
      </c>
      <c r="I2155" t="str">
        <f>VLOOKUP(Tabla1[[#This Row],[Code]],'[1]Articulos Precio'!$A:$E,5,FALSE)</f>
        <v>A0000103</v>
      </c>
    </row>
    <row r="2156" spans="1:9" x14ac:dyDescent="0.25">
      <c r="A2156" t="s">
        <v>650</v>
      </c>
      <c r="B2156" t="str">
        <f>VLOOKUP(Tabla1[[#This Row],[Code]],[1]!Tabla4[#Data],2,FALSE)</f>
        <v>M2 Metamark M7 163 Verde Medio 0,61 x 50m</v>
      </c>
      <c r="C2156">
        <v>13</v>
      </c>
      <c r="D2156" t="s">
        <v>491</v>
      </c>
      <c r="E2156" t="str">
        <f>VLOOKUP(Tabla1[[#This Row],[Cód. Atributo]],[1]!Tabla5[#Data],6,FALSE)</f>
        <v>Color</v>
      </c>
      <c r="F2156">
        <v>2</v>
      </c>
      <c r="G2156">
        <v>37</v>
      </c>
      <c r="H2156" t="s">
        <v>651</v>
      </c>
      <c r="I2156" t="str">
        <f>VLOOKUP(Tabla1[[#This Row],[Code]],'[1]Articulos Precio'!$A:$E,5,FALSE)</f>
        <v>A0000103</v>
      </c>
    </row>
    <row r="2157" spans="1:9" x14ac:dyDescent="0.25">
      <c r="A2157" t="s">
        <v>650</v>
      </c>
      <c r="B2157" t="str">
        <f>VLOOKUP(Tabla1[[#This Row],[Code]],[1]!Tabla4[#Data],2,FALSE)</f>
        <v>M2 Metamark M7 163 Verde Medio 0,61 x 50m</v>
      </c>
      <c r="C2157">
        <v>23</v>
      </c>
      <c r="D2157" t="s">
        <v>90</v>
      </c>
      <c r="E2157" t="str">
        <f>VLOOKUP(Tabla1[[#This Row],[Cód. Atributo]],[1]!Tabla5[#Data],6,FALSE)</f>
        <v>Select</v>
      </c>
      <c r="F2157">
        <v>3</v>
      </c>
      <c r="G2157">
        <v>2</v>
      </c>
      <c r="H2157" t="s">
        <v>136</v>
      </c>
      <c r="I2157" t="str">
        <f>VLOOKUP(Tabla1[[#This Row],[Code]],'[1]Articulos Precio'!$A:$E,5,FALSE)</f>
        <v>A0000103</v>
      </c>
    </row>
    <row r="2158" spans="1:9" x14ac:dyDescent="0.25">
      <c r="A2158" t="s">
        <v>650</v>
      </c>
      <c r="B2158" t="str">
        <f>VLOOKUP(Tabla1[[#This Row],[Code]],[1]!Tabla4[#Data],2,FALSE)</f>
        <v>M2 Metamark M7 163 Verde Medio 0,61 x 50m</v>
      </c>
      <c r="C2158">
        <v>28</v>
      </c>
      <c r="D2158" t="s">
        <v>92</v>
      </c>
      <c r="E2158" t="str">
        <f>VLOOKUP(Tabla1[[#This Row],[Cód. Atributo]],[1]!Tabla5[#Data],6,FALSE)</f>
        <v>Select</v>
      </c>
      <c r="F2158">
        <v>4</v>
      </c>
      <c r="G2158">
        <v>1</v>
      </c>
      <c r="H2158" t="s">
        <v>93</v>
      </c>
      <c r="I2158" t="str">
        <f>VLOOKUP(Tabla1[[#This Row],[Code]],'[1]Articulos Precio'!$A:$E,5,FALSE)</f>
        <v>A0000103</v>
      </c>
    </row>
    <row r="2159" spans="1:9" x14ac:dyDescent="0.25">
      <c r="A2159" t="s">
        <v>650</v>
      </c>
      <c r="B2159" t="str">
        <f>VLOOKUP(Tabla1[[#This Row],[Code]],[1]!Tabla4[#Data],2,FALSE)</f>
        <v>M2 Metamark M7 163 Verde Medio 0,61 x 50m</v>
      </c>
      <c r="C2159">
        <v>25</v>
      </c>
      <c r="D2159" t="s">
        <v>94</v>
      </c>
      <c r="E2159" t="str">
        <f>VLOOKUP(Tabla1[[#This Row],[Cód. Atributo]],[1]!Tabla5[#Data],6,FALSE)</f>
        <v>Select</v>
      </c>
      <c r="F2159">
        <v>5</v>
      </c>
      <c r="G2159">
        <v>4</v>
      </c>
      <c r="H2159" t="s">
        <v>137</v>
      </c>
      <c r="I2159" t="str">
        <f>VLOOKUP(Tabla1[[#This Row],[Code]],'[1]Articulos Precio'!$A:$E,5,FALSE)</f>
        <v>A0000103</v>
      </c>
    </row>
    <row r="2160" spans="1:9" x14ac:dyDescent="0.25">
      <c r="A2160" t="s">
        <v>650</v>
      </c>
      <c r="B2160" t="str">
        <f>VLOOKUP(Tabla1[[#This Row],[Code]],[1]!Tabla4[#Data],2,FALSE)</f>
        <v>M2 Metamark M7 163 Verde Medio 0,61 x 50m</v>
      </c>
      <c r="C2160">
        <v>24</v>
      </c>
      <c r="D2160" t="s">
        <v>96</v>
      </c>
      <c r="E2160" t="str">
        <f>VLOOKUP(Tabla1[[#This Row],[Cód. Atributo]],[1]!Tabla5[#Data],6,FALSE)</f>
        <v>Select</v>
      </c>
      <c r="F2160">
        <v>6</v>
      </c>
      <c r="G2160">
        <v>2</v>
      </c>
      <c r="H2160" t="s">
        <v>266</v>
      </c>
      <c r="I2160" t="str">
        <f>VLOOKUP(Tabla1[[#This Row],[Code]],'[1]Articulos Precio'!$A:$E,5,FALSE)</f>
        <v>A0000103</v>
      </c>
    </row>
    <row r="2161" spans="1:9" x14ac:dyDescent="0.25">
      <c r="A2161" t="s">
        <v>652</v>
      </c>
      <c r="B2161" t="str">
        <f>VLOOKUP(Tabla1[[#This Row],[Code]],[1]!Tabla4[#Data],2,FALSE)</f>
        <v>M2 Metamark M7 163 Verde Medio 1,22 x 50m</v>
      </c>
      <c r="C2161">
        <v>8</v>
      </c>
      <c r="D2161" t="s">
        <v>86</v>
      </c>
      <c r="E2161" t="str">
        <f>VLOOKUP(Tabla1[[#This Row],[Cód. Atributo]],[1]!Tabla5[#Data],6,FALSE)</f>
        <v>Select</v>
      </c>
      <c r="F2161">
        <v>1</v>
      </c>
      <c r="G2161">
        <v>2</v>
      </c>
      <c r="H2161" t="s">
        <v>268</v>
      </c>
      <c r="I2161" t="str">
        <f>VLOOKUP(Tabla1[[#This Row],[Code]],'[1]Articulos Precio'!$A:$E,5,FALSE)</f>
        <v>A0000103</v>
      </c>
    </row>
    <row r="2162" spans="1:9" x14ac:dyDescent="0.25">
      <c r="A2162" t="s">
        <v>652</v>
      </c>
      <c r="B2162" t="str">
        <f>VLOOKUP(Tabla1[[#This Row],[Code]],[1]!Tabla4[#Data],2,FALSE)</f>
        <v>M2 Metamark M7 163 Verde Medio 1,22 x 50m</v>
      </c>
      <c r="C2162">
        <v>13</v>
      </c>
      <c r="D2162" t="s">
        <v>491</v>
      </c>
      <c r="E2162" t="str">
        <f>VLOOKUP(Tabla1[[#This Row],[Cód. Atributo]],[1]!Tabla5[#Data],6,FALSE)</f>
        <v>Color</v>
      </c>
      <c r="F2162">
        <v>2</v>
      </c>
      <c r="G2162">
        <v>37</v>
      </c>
      <c r="H2162" t="s">
        <v>651</v>
      </c>
      <c r="I2162" t="str">
        <f>VLOOKUP(Tabla1[[#This Row],[Code]],'[1]Articulos Precio'!$A:$E,5,FALSE)</f>
        <v>A0000103</v>
      </c>
    </row>
    <row r="2163" spans="1:9" x14ac:dyDescent="0.25">
      <c r="A2163" t="s">
        <v>652</v>
      </c>
      <c r="B2163" t="str">
        <f>VLOOKUP(Tabla1[[#This Row],[Code]],[1]!Tabla4[#Data],2,FALSE)</f>
        <v>M2 Metamark M7 163 Verde Medio 1,22 x 50m</v>
      </c>
      <c r="C2163">
        <v>23</v>
      </c>
      <c r="D2163" t="s">
        <v>90</v>
      </c>
      <c r="E2163" t="str">
        <f>VLOOKUP(Tabla1[[#This Row],[Cód. Atributo]],[1]!Tabla5[#Data],6,FALSE)</f>
        <v>Select</v>
      </c>
      <c r="F2163">
        <v>3</v>
      </c>
      <c r="G2163">
        <v>2</v>
      </c>
      <c r="H2163" t="s">
        <v>136</v>
      </c>
      <c r="I2163" t="str">
        <f>VLOOKUP(Tabla1[[#This Row],[Code]],'[1]Articulos Precio'!$A:$E,5,FALSE)</f>
        <v>A0000103</v>
      </c>
    </row>
    <row r="2164" spans="1:9" x14ac:dyDescent="0.25">
      <c r="A2164" t="s">
        <v>652</v>
      </c>
      <c r="B2164" t="str">
        <f>VLOOKUP(Tabla1[[#This Row],[Code]],[1]!Tabla4[#Data],2,FALSE)</f>
        <v>M2 Metamark M7 163 Verde Medio 1,22 x 50m</v>
      </c>
      <c r="C2164">
        <v>28</v>
      </c>
      <c r="D2164" t="s">
        <v>92</v>
      </c>
      <c r="E2164" t="str">
        <f>VLOOKUP(Tabla1[[#This Row],[Cód. Atributo]],[1]!Tabla5[#Data],6,FALSE)</f>
        <v>Select</v>
      </c>
      <c r="F2164">
        <v>4</v>
      </c>
      <c r="G2164">
        <v>1</v>
      </c>
      <c r="H2164" t="s">
        <v>93</v>
      </c>
      <c r="I2164" t="str">
        <f>VLOOKUP(Tabla1[[#This Row],[Code]],'[1]Articulos Precio'!$A:$E,5,FALSE)</f>
        <v>A0000103</v>
      </c>
    </row>
    <row r="2165" spans="1:9" x14ac:dyDescent="0.25">
      <c r="A2165" t="s">
        <v>652</v>
      </c>
      <c r="B2165" t="str">
        <f>VLOOKUP(Tabla1[[#This Row],[Code]],[1]!Tabla4[#Data],2,FALSE)</f>
        <v>M2 Metamark M7 163 Verde Medio 1,22 x 50m</v>
      </c>
      <c r="C2165">
        <v>25</v>
      </c>
      <c r="D2165" t="s">
        <v>94</v>
      </c>
      <c r="E2165" t="str">
        <f>VLOOKUP(Tabla1[[#This Row],[Cód. Atributo]],[1]!Tabla5[#Data],6,FALSE)</f>
        <v>Select</v>
      </c>
      <c r="F2165">
        <v>5</v>
      </c>
      <c r="G2165">
        <v>4</v>
      </c>
      <c r="H2165" t="s">
        <v>137</v>
      </c>
      <c r="I2165" t="str">
        <f>VLOOKUP(Tabla1[[#This Row],[Code]],'[1]Articulos Precio'!$A:$E,5,FALSE)</f>
        <v>A0000103</v>
      </c>
    </row>
    <row r="2166" spans="1:9" x14ac:dyDescent="0.25">
      <c r="A2166" t="s">
        <v>652</v>
      </c>
      <c r="B2166" t="str">
        <f>VLOOKUP(Tabla1[[#This Row],[Code]],[1]!Tabla4[#Data],2,FALSE)</f>
        <v>M2 Metamark M7 163 Verde Medio 1,22 x 50m</v>
      </c>
      <c r="C2166">
        <v>24</v>
      </c>
      <c r="D2166" t="s">
        <v>96</v>
      </c>
      <c r="E2166" t="str">
        <f>VLOOKUP(Tabla1[[#This Row],[Cód. Atributo]],[1]!Tabla5[#Data],6,FALSE)</f>
        <v>Select</v>
      </c>
      <c r="F2166">
        <v>6</v>
      </c>
      <c r="G2166">
        <v>2</v>
      </c>
      <c r="H2166" t="s">
        <v>266</v>
      </c>
      <c r="I2166" t="str">
        <f>VLOOKUP(Tabla1[[#This Row],[Code]],'[1]Articulos Precio'!$A:$E,5,FALSE)</f>
        <v>A0000103</v>
      </c>
    </row>
    <row r="2167" spans="1:9" x14ac:dyDescent="0.25">
      <c r="A2167" t="s">
        <v>653</v>
      </c>
      <c r="B2167" t="str">
        <f>VLOOKUP(Tabla1[[#This Row],[Code]],[1]!Tabla4[#Data],2,FALSE)</f>
        <v>M2 Metamark M7 164 Verde Bosque 0,61 x 50m</v>
      </c>
      <c r="C2167">
        <v>8</v>
      </c>
      <c r="D2167" t="s">
        <v>86</v>
      </c>
      <c r="E2167" t="str">
        <f>VLOOKUP(Tabla1[[#This Row],[Cód. Atributo]],[1]!Tabla5[#Data],6,FALSE)</f>
        <v>Select</v>
      </c>
      <c r="F2167">
        <v>1</v>
      </c>
      <c r="G2167">
        <v>1</v>
      </c>
      <c r="H2167" t="s">
        <v>263</v>
      </c>
      <c r="I2167" t="str">
        <f>VLOOKUP(Tabla1[[#This Row],[Code]],'[1]Articulos Precio'!$A:$E,5,FALSE)</f>
        <v>A0000103</v>
      </c>
    </row>
    <row r="2168" spans="1:9" x14ac:dyDescent="0.25">
      <c r="A2168" t="s">
        <v>653</v>
      </c>
      <c r="B2168" t="str">
        <f>VLOOKUP(Tabla1[[#This Row],[Code]],[1]!Tabla4[#Data],2,FALSE)</f>
        <v>M2 Metamark M7 164 Verde Bosque 0,61 x 50m</v>
      </c>
      <c r="C2168">
        <v>13</v>
      </c>
      <c r="D2168" t="s">
        <v>491</v>
      </c>
      <c r="E2168" t="str">
        <f>VLOOKUP(Tabla1[[#This Row],[Cód. Atributo]],[1]!Tabla5[#Data],6,FALSE)</f>
        <v>Color</v>
      </c>
      <c r="F2168">
        <v>2</v>
      </c>
      <c r="G2168">
        <v>38</v>
      </c>
      <c r="H2168" t="s">
        <v>654</v>
      </c>
      <c r="I2168" t="str">
        <f>VLOOKUP(Tabla1[[#This Row],[Code]],'[1]Articulos Precio'!$A:$E,5,FALSE)</f>
        <v>A0000103</v>
      </c>
    </row>
    <row r="2169" spans="1:9" x14ac:dyDescent="0.25">
      <c r="A2169" t="s">
        <v>653</v>
      </c>
      <c r="B2169" t="str">
        <f>VLOOKUP(Tabla1[[#This Row],[Code]],[1]!Tabla4[#Data],2,FALSE)</f>
        <v>M2 Metamark M7 164 Verde Bosque 0,61 x 50m</v>
      </c>
      <c r="C2169">
        <v>23</v>
      </c>
      <c r="D2169" t="s">
        <v>90</v>
      </c>
      <c r="E2169" t="str">
        <f>VLOOKUP(Tabla1[[#This Row],[Cód. Atributo]],[1]!Tabla5[#Data],6,FALSE)</f>
        <v>Select</v>
      </c>
      <c r="F2169">
        <v>3</v>
      </c>
      <c r="G2169">
        <v>2</v>
      </c>
      <c r="H2169" t="s">
        <v>136</v>
      </c>
      <c r="I2169" t="str">
        <f>VLOOKUP(Tabla1[[#This Row],[Code]],'[1]Articulos Precio'!$A:$E,5,FALSE)</f>
        <v>A0000103</v>
      </c>
    </row>
    <row r="2170" spans="1:9" x14ac:dyDescent="0.25">
      <c r="A2170" t="s">
        <v>653</v>
      </c>
      <c r="B2170" t="str">
        <f>VLOOKUP(Tabla1[[#This Row],[Code]],[1]!Tabla4[#Data],2,FALSE)</f>
        <v>M2 Metamark M7 164 Verde Bosque 0,61 x 50m</v>
      </c>
      <c r="C2170">
        <v>28</v>
      </c>
      <c r="D2170" t="s">
        <v>92</v>
      </c>
      <c r="E2170" t="str">
        <f>VLOOKUP(Tabla1[[#This Row],[Cód. Atributo]],[1]!Tabla5[#Data],6,FALSE)</f>
        <v>Select</v>
      </c>
      <c r="F2170">
        <v>4</v>
      </c>
      <c r="G2170">
        <v>1</v>
      </c>
      <c r="H2170" t="s">
        <v>93</v>
      </c>
      <c r="I2170" t="str">
        <f>VLOOKUP(Tabla1[[#This Row],[Code]],'[1]Articulos Precio'!$A:$E,5,FALSE)</f>
        <v>A0000103</v>
      </c>
    </row>
    <row r="2171" spans="1:9" x14ac:dyDescent="0.25">
      <c r="A2171" t="s">
        <v>653</v>
      </c>
      <c r="B2171" t="str">
        <f>VLOOKUP(Tabla1[[#This Row],[Code]],[1]!Tabla4[#Data],2,FALSE)</f>
        <v>M2 Metamark M7 164 Verde Bosque 0,61 x 50m</v>
      </c>
      <c r="C2171">
        <v>25</v>
      </c>
      <c r="D2171" t="s">
        <v>94</v>
      </c>
      <c r="E2171" t="str">
        <f>VLOOKUP(Tabla1[[#This Row],[Cód. Atributo]],[1]!Tabla5[#Data],6,FALSE)</f>
        <v>Select</v>
      </c>
      <c r="F2171">
        <v>5</v>
      </c>
      <c r="G2171">
        <v>4</v>
      </c>
      <c r="H2171" t="s">
        <v>137</v>
      </c>
      <c r="I2171" t="str">
        <f>VLOOKUP(Tabla1[[#This Row],[Code]],'[1]Articulos Precio'!$A:$E,5,FALSE)</f>
        <v>A0000103</v>
      </c>
    </row>
    <row r="2172" spans="1:9" x14ac:dyDescent="0.25">
      <c r="A2172" t="s">
        <v>653</v>
      </c>
      <c r="B2172" t="str">
        <f>VLOOKUP(Tabla1[[#This Row],[Code]],[1]!Tabla4[#Data],2,FALSE)</f>
        <v>M2 Metamark M7 164 Verde Bosque 0,61 x 50m</v>
      </c>
      <c r="C2172">
        <v>24</v>
      </c>
      <c r="D2172" t="s">
        <v>96</v>
      </c>
      <c r="E2172" t="str">
        <f>VLOOKUP(Tabla1[[#This Row],[Cód. Atributo]],[1]!Tabla5[#Data],6,FALSE)</f>
        <v>Select</v>
      </c>
      <c r="F2172">
        <v>6</v>
      </c>
      <c r="G2172">
        <v>2</v>
      </c>
      <c r="H2172" t="s">
        <v>266</v>
      </c>
      <c r="I2172" t="str">
        <f>VLOOKUP(Tabla1[[#This Row],[Code]],'[1]Articulos Precio'!$A:$E,5,FALSE)</f>
        <v>A0000103</v>
      </c>
    </row>
    <row r="2173" spans="1:9" x14ac:dyDescent="0.25">
      <c r="A2173" t="s">
        <v>655</v>
      </c>
      <c r="B2173" t="str">
        <f>VLOOKUP(Tabla1[[#This Row],[Code]],[1]!Tabla4[#Data],2,FALSE)</f>
        <v>M2 Metamark M7 164 Verde Bosque 1,22 x 50m</v>
      </c>
      <c r="C2173">
        <v>8</v>
      </c>
      <c r="D2173" t="s">
        <v>86</v>
      </c>
      <c r="E2173" t="str">
        <f>VLOOKUP(Tabla1[[#This Row],[Cód. Atributo]],[1]!Tabla5[#Data],6,FALSE)</f>
        <v>Select</v>
      </c>
      <c r="F2173">
        <v>1</v>
      </c>
      <c r="G2173">
        <v>2</v>
      </c>
      <c r="H2173" t="s">
        <v>268</v>
      </c>
      <c r="I2173" t="str">
        <f>VLOOKUP(Tabla1[[#This Row],[Code]],'[1]Articulos Precio'!$A:$E,5,FALSE)</f>
        <v>A0000103</v>
      </c>
    </row>
    <row r="2174" spans="1:9" x14ac:dyDescent="0.25">
      <c r="A2174" t="s">
        <v>655</v>
      </c>
      <c r="B2174" t="str">
        <f>VLOOKUP(Tabla1[[#This Row],[Code]],[1]!Tabla4[#Data],2,FALSE)</f>
        <v>M2 Metamark M7 164 Verde Bosque 1,22 x 50m</v>
      </c>
      <c r="C2174">
        <v>13</v>
      </c>
      <c r="D2174" t="s">
        <v>491</v>
      </c>
      <c r="E2174" t="str">
        <f>VLOOKUP(Tabla1[[#This Row],[Cód. Atributo]],[1]!Tabla5[#Data],6,FALSE)</f>
        <v>Color</v>
      </c>
      <c r="F2174">
        <v>2</v>
      </c>
      <c r="G2174">
        <v>38</v>
      </c>
      <c r="H2174" t="s">
        <v>654</v>
      </c>
      <c r="I2174" t="str">
        <f>VLOOKUP(Tabla1[[#This Row],[Code]],'[1]Articulos Precio'!$A:$E,5,FALSE)</f>
        <v>A0000103</v>
      </c>
    </row>
    <row r="2175" spans="1:9" x14ac:dyDescent="0.25">
      <c r="A2175" t="s">
        <v>655</v>
      </c>
      <c r="B2175" t="str">
        <f>VLOOKUP(Tabla1[[#This Row],[Code]],[1]!Tabla4[#Data],2,FALSE)</f>
        <v>M2 Metamark M7 164 Verde Bosque 1,22 x 50m</v>
      </c>
      <c r="C2175">
        <v>23</v>
      </c>
      <c r="D2175" t="s">
        <v>90</v>
      </c>
      <c r="E2175" t="str">
        <f>VLOOKUP(Tabla1[[#This Row],[Cód. Atributo]],[1]!Tabla5[#Data],6,FALSE)</f>
        <v>Select</v>
      </c>
      <c r="F2175">
        <v>3</v>
      </c>
      <c r="G2175">
        <v>2</v>
      </c>
      <c r="H2175" t="s">
        <v>136</v>
      </c>
      <c r="I2175" t="str">
        <f>VLOOKUP(Tabla1[[#This Row],[Code]],'[1]Articulos Precio'!$A:$E,5,FALSE)</f>
        <v>A0000103</v>
      </c>
    </row>
    <row r="2176" spans="1:9" x14ac:dyDescent="0.25">
      <c r="A2176" t="s">
        <v>655</v>
      </c>
      <c r="B2176" t="str">
        <f>VLOOKUP(Tabla1[[#This Row],[Code]],[1]!Tabla4[#Data],2,FALSE)</f>
        <v>M2 Metamark M7 164 Verde Bosque 1,22 x 50m</v>
      </c>
      <c r="C2176">
        <v>28</v>
      </c>
      <c r="D2176" t="s">
        <v>92</v>
      </c>
      <c r="E2176" t="str">
        <f>VLOOKUP(Tabla1[[#This Row],[Cód. Atributo]],[1]!Tabla5[#Data],6,FALSE)</f>
        <v>Select</v>
      </c>
      <c r="F2176">
        <v>4</v>
      </c>
      <c r="G2176">
        <v>1</v>
      </c>
      <c r="H2176" t="s">
        <v>93</v>
      </c>
      <c r="I2176" t="str">
        <f>VLOOKUP(Tabla1[[#This Row],[Code]],'[1]Articulos Precio'!$A:$E,5,FALSE)</f>
        <v>A0000103</v>
      </c>
    </row>
    <row r="2177" spans="1:9" x14ac:dyDescent="0.25">
      <c r="A2177" t="s">
        <v>655</v>
      </c>
      <c r="B2177" t="str">
        <f>VLOOKUP(Tabla1[[#This Row],[Code]],[1]!Tabla4[#Data],2,FALSE)</f>
        <v>M2 Metamark M7 164 Verde Bosque 1,22 x 50m</v>
      </c>
      <c r="C2177">
        <v>25</v>
      </c>
      <c r="D2177" t="s">
        <v>94</v>
      </c>
      <c r="E2177" t="str">
        <f>VLOOKUP(Tabla1[[#This Row],[Cód. Atributo]],[1]!Tabla5[#Data],6,FALSE)</f>
        <v>Select</v>
      </c>
      <c r="F2177">
        <v>5</v>
      </c>
      <c r="G2177">
        <v>4</v>
      </c>
      <c r="H2177" t="s">
        <v>137</v>
      </c>
      <c r="I2177" t="str">
        <f>VLOOKUP(Tabla1[[#This Row],[Code]],'[1]Articulos Precio'!$A:$E,5,FALSE)</f>
        <v>A0000103</v>
      </c>
    </row>
    <row r="2178" spans="1:9" x14ac:dyDescent="0.25">
      <c r="A2178" t="s">
        <v>655</v>
      </c>
      <c r="B2178" t="str">
        <f>VLOOKUP(Tabla1[[#This Row],[Code]],[1]!Tabla4[#Data],2,FALSE)</f>
        <v>M2 Metamark M7 164 Verde Bosque 1,22 x 50m</v>
      </c>
      <c r="C2178">
        <v>24</v>
      </c>
      <c r="D2178" t="s">
        <v>96</v>
      </c>
      <c r="E2178" t="str">
        <f>VLOOKUP(Tabla1[[#This Row],[Cód. Atributo]],[1]!Tabla5[#Data],6,FALSE)</f>
        <v>Select</v>
      </c>
      <c r="F2178">
        <v>6</v>
      </c>
      <c r="G2178">
        <v>2</v>
      </c>
      <c r="H2178" t="s">
        <v>266</v>
      </c>
      <c r="I2178" t="str">
        <f>VLOOKUP(Tabla1[[#This Row],[Code]],'[1]Articulos Precio'!$A:$E,5,FALSE)</f>
        <v>A0000103</v>
      </c>
    </row>
    <row r="2179" spans="1:9" x14ac:dyDescent="0.25">
      <c r="A2179" t="s">
        <v>656</v>
      </c>
      <c r="B2179" t="str">
        <f>VLOOKUP(Tabla1[[#This Row],[Code]],[1]!Tabla4[#Data],2,FALSE)</f>
        <v>M2 Metamark M7 165 Verde Azulado 0,61 x 50m</v>
      </c>
      <c r="C2179">
        <v>8</v>
      </c>
      <c r="D2179" t="s">
        <v>86</v>
      </c>
      <c r="E2179" t="str">
        <f>VLOOKUP(Tabla1[[#This Row],[Cód. Atributo]],[1]!Tabla5[#Data],6,FALSE)</f>
        <v>Select</v>
      </c>
      <c r="F2179">
        <v>1</v>
      </c>
      <c r="G2179">
        <v>1</v>
      </c>
      <c r="H2179" t="s">
        <v>263</v>
      </c>
      <c r="I2179" t="str">
        <f>VLOOKUP(Tabla1[[#This Row],[Code]],'[1]Articulos Precio'!$A:$E,5,FALSE)</f>
        <v>A0000103</v>
      </c>
    </row>
    <row r="2180" spans="1:9" x14ac:dyDescent="0.25">
      <c r="A2180" t="s">
        <v>656</v>
      </c>
      <c r="B2180" t="str">
        <f>VLOOKUP(Tabla1[[#This Row],[Code]],[1]!Tabla4[#Data],2,FALSE)</f>
        <v>M2 Metamark M7 165 Verde Azulado 0,61 x 50m</v>
      </c>
      <c r="C2180">
        <v>13</v>
      </c>
      <c r="D2180" t="s">
        <v>491</v>
      </c>
      <c r="E2180" t="str">
        <f>VLOOKUP(Tabla1[[#This Row],[Cód. Atributo]],[1]!Tabla5[#Data],6,FALSE)</f>
        <v>Color</v>
      </c>
      <c r="F2180">
        <v>2</v>
      </c>
      <c r="G2180">
        <v>39</v>
      </c>
      <c r="H2180" t="s">
        <v>657</v>
      </c>
      <c r="I2180" t="str">
        <f>VLOOKUP(Tabla1[[#This Row],[Code]],'[1]Articulos Precio'!$A:$E,5,FALSE)</f>
        <v>A0000103</v>
      </c>
    </row>
    <row r="2181" spans="1:9" x14ac:dyDescent="0.25">
      <c r="A2181" t="s">
        <v>656</v>
      </c>
      <c r="B2181" t="str">
        <f>VLOOKUP(Tabla1[[#This Row],[Code]],[1]!Tabla4[#Data],2,FALSE)</f>
        <v>M2 Metamark M7 165 Verde Azulado 0,61 x 50m</v>
      </c>
      <c r="C2181">
        <v>23</v>
      </c>
      <c r="D2181" t="s">
        <v>90</v>
      </c>
      <c r="E2181" t="str">
        <f>VLOOKUP(Tabla1[[#This Row],[Cód. Atributo]],[1]!Tabla5[#Data],6,FALSE)</f>
        <v>Select</v>
      </c>
      <c r="F2181">
        <v>3</v>
      </c>
      <c r="G2181">
        <v>2</v>
      </c>
      <c r="H2181" t="s">
        <v>136</v>
      </c>
      <c r="I2181" t="str">
        <f>VLOOKUP(Tabla1[[#This Row],[Code]],'[1]Articulos Precio'!$A:$E,5,FALSE)</f>
        <v>A0000103</v>
      </c>
    </row>
    <row r="2182" spans="1:9" x14ac:dyDescent="0.25">
      <c r="A2182" t="s">
        <v>656</v>
      </c>
      <c r="B2182" t="str">
        <f>VLOOKUP(Tabla1[[#This Row],[Code]],[1]!Tabla4[#Data],2,FALSE)</f>
        <v>M2 Metamark M7 165 Verde Azulado 0,61 x 50m</v>
      </c>
      <c r="C2182">
        <v>28</v>
      </c>
      <c r="D2182" t="s">
        <v>92</v>
      </c>
      <c r="E2182" t="str">
        <f>VLOOKUP(Tabla1[[#This Row],[Cód. Atributo]],[1]!Tabla5[#Data],6,FALSE)</f>
        <v>Select</v>
      </c>
      <c r="F2182">
        <v>4</v>
      </c>
      <c r="G2182">
        <v>1</v>
      </c>
      <c r="H2182" t="s">
        <v>93</v>
      </c>
      <c r="I2182" t="str">
        <f>VLOOKUP(Tabla1[[#This Row],[Code]],'[1]Articulos Precio'!$A:$E,5,FALSE)</f>
        <v>A0000103</v>
      </c>
    </row>
    <row r="2183" spans="1:9" x14ac:dyDescent="0.25">
      <c r="A2183" t="s">
        <v>656</v>
      </c>
      <c r="B2183" t="str">
        <f>VLOOKUP(Tabla1[[#This Row],[Code]],[1]!Tabla4[#Data],2,FALSE)</f>
        <v>M2 Metamark M7 165 Verde Azulado 0,61 x 50m</v>
      </c>
      <c r="C2183">
        <v>25</v>
      </c>
      <c r="D2183" t="s">
        <v>94</v>
      </c>
      <c r="E2183" t="str">
        <f>VLOOKUP(Tabla1[[#This Row],[Cód. Atributo]],[1]!Tabla5[#Data],6,FALSE)</f>
        <v>Select</v>
      </c>
      <c r="F2183">
        <v>5</v>
      </c>
      <c r="G2183">
        <v>4</v>
      </c>
      <c r="H2183" t="s">
        <v>137</v>
      </c>
      <c r="I2183" t="str">
        <f>VLOOKUP(Tabla1[[#This Row],[Code]],'[1]Articulos Precio'!$A:$E,5,FALSE)</f>
        <v>A0000103</v>
      </c>
    </row>
    <row r="2184" spans="1:9" x14ac:dyDescent="0.25">
      <c r="A2184" t="s">
        <v>656</v>
      </c>
      <c r="B2184" t="str">
        <f>VLOOKUP(Tabla1[[#This Row],[Code]],[1]!Tabla4[#Data],2,FALSE)</f>
        <v>M2 Metamark M7 165 Verde Azulado 0,61 x 50m</v>
      </c>
      <c r="C2184">
        <v>24</v>
      </c>
      <c r="D2184" t="s">
        <v>96</v>
      </c>
      <c r="E2184" t="str">
        <f>VLOOKUP(Tabla1[[#This Row],[Cód. Atributo]],[1]!Tabla5[#Data],6,FALSE)</f>
        <v>Select</v>
      </c>
      <c r="F2184">
        <v>6</v>
      </c>
      <c r="G2184">
        <v>2</v>
      </c>
      <c r="H2184" t="s">
        <v>266</v>
      </c>
      <c r="I2184" t="str">
        <f>VLOOKUP(Tabla1[[#This Row],[Code]],'[1]Articulos Precio'!$A:$E,5,FALSE)</f>
        <v>A0000103</v>
      </c>
    </row>
    <row r="2185" spans="1:9" x14ac:dyDescent="0.25">
      <c r="A2185" t="s">
        <v>658</v>
      </c>
      <c r="B2185" t="str">
        <f>VLOOKUP(Tabla1[[#This Row],[Code]],[1]!Tabla4[#Data],2,FALSE)</f>
        <v>M2 Metamark M7 165 Verde Azulado 1,22 x 50m</v>
      </c>
      <c r="C2185">
        <v>8</v>
      </c>
      <c r="D2185" t="s">
        <v>86</v>
      </c>
      <c r="E2185" t="str">
        <f>VLOOKUP(Tabla1[[#This Row],[Cód. Atributo]],[1]!Tabla5[#Data],6,FALSE)</f>
        <v>Select</v>
      </c>
      <c r="F2185">
        <v>1</v>
      </c>
      <c r="G2185">
        <v>2</v>
      </c>
      <c r="H2185" t="s">
        <v>268</v>
      </c>
      <c r="I2185" t="str">
        <f>VLOOKUP(Tabla1[[#This Row],[Code]],'[1]Articulos Precio'!$A:$E,5,FALSE)</f>
        <v>A0000103</v>
      </c>
    </row>
    <row r="2186" spans="1:9" x14ac:dyDescent="0.25">
      <c r="A2186" t="s">
        <v>658</v>
      </c>
      <c r="B2186" t="str">
        <f>VLOOKUP(Tabla1[[#This Row],[Code]],[1]!Tabla4[#Data],2,FALSE)</f>
        <v>M2 Metamark M7 165 Verde Azulado 1,22 x 50m</v>
      </c>
      <c r="C2186">
        <v>13</v>
      </c>
      <c r="D2186" t="s">
        <v>491</v>
      </c>
      <c r="E2186" t="str">
        <f>VLOOKUP(Tabla1[[#This Row],[Cód. Atributo]],[1]!Tabla5[#Data],6,FALSE)</f>
        <v>Color</v>
      </c>
      <c r="F2186">
        <v>2</v>
      </c>
      <c r="G2186">
        <v>39</v>
      </c>
      <c r="H2186" t="s">
        <v>657</v>
      </c>
      <c r="I2186" t="str">
        <f>VLOOKUP(Tabla1[[#This Row],[Code]],'[1]Articulos Precio'!$A:$E,5,FALSE)</f>
        <v>A0000103</v>
      </c>
    </row>
    <row r="2187" spans="1:9" x14ac:dyDescent="0.25">
      <c r="A2187" t="s">
        <v>658</v>
      </c>
      <c r="B2187" t="str">
        <f>VLOOKUP(Tabla1[[#This Row],[Code]],[1]!Tabla4[#Data],2,FALSE)</f>
        <v>M2 Metamark M7 165 Verde Azulado 1,22 x 50m</v>
      </c>
      <c r="C2187">
        <v>23</v>
      </c>
      <c r="D2187" t="s">
        <v>90</v>
      </c>
      <c r="E2187" t="str">
        <f>VLOOKUP(Tabla1[[#This Row],[Cód. Atributo]],[1]!Tabla5[#Data],6,FALSE)</f>
        <v>Select</v>
      </c>
      <c r="F2187">
        <v>3</v>
      </c>
      <c r="G2187">
        <v>2</v>
      </c>
      <c r="H2187" t="s">
        <v>136</v>
      </c>
      <c r="I2187" t="str">
        <f>VLOOKUP(Tabla1[[#This Row],[Code]],'[1]Articulos Precio'!$A:$E,5,FALSE)</f>
        <v>A0000103</v>
      </c>
    </row>
    <row r="2188" spans="1:9" x14ac:dyDescent="0.25">
      <c r="A2188" t="s">
        <v>658</v>
      </c>
      <c r="B2188" t="str">
        <f>VLOOKUP(Tabla1[[#This Row],[Code]],[1]!Tabla4[#Data],2,FALSE)</f>
        <v>M2 Metamark M7 165 Verde Azulado 1,22 x 50m</v>
      </c>
      <c r="C2188">
        <v>28</v>
      </c>
      <c r="D2188" t="s">
        <v>92</v>
      </c>
      <c r="E2188" t="str">
        <f>VLOOKUP(Tabla1[[#This Row],[Cód. Atributo]],[1]!Tabla5[#Data],6,FALSE)</f>
        <v>Select</v>
      </c>
      <c r="F2188">
        <v>4</v>
      </c>
      <c r="G2188">
        <v>1</v>
      </c>
      <c r="H2188" t="s">
        <v>93</v>
      </c>
      <c r="I2188" t="str">
        <f>VLOOKUP(Tabla1[[#This Row],[Code]],'[1]Articulos Precio'!$A:$E,5,FALSE)</f>
        <v>A0000103</v>
      </c>
    </row>
    <row r="2189" spans="1:9" x14ac:dyDescent="0.25">
      <c r="A2189" t="s">
        <v>658</v>
      </c>
      <c r="B2189" t="str">
        <f>VLOOKUP(Tabla1[[#This Row],[Code]],[1]!Tabla4[#Data],2,FALSE)</f>
        <v>M2 Metamark M7 165 Verde Azulado 1,22 x 50m</v>
      </c>
      <c r="C2189">
        <v>25</v>
      </c>
      <c r="D2189" t="s">
        <v>94</v>
      </c>
      <c r="E2189" t="str">
        <f>VLOOKUP(Tabla1[[#This Row],[Cód. Atributo]],[1]!Tabla5[#Data],6,FALSE)</f>
        <v>Select</v>
      </c>
      <c r="F2189">
        <v>5</v>
      </c>
      <c r="G2189">
        <v>4</v>
      </c>
      <c r="H2189" t="s">
        <v>137</v>
      </c>
      <c r="I2189" t="str">
        <f>VLOOKUP(Tabla1[[#This Row],[Code]],'[1]Articulos Precio'!$A:$E,5,FALSE)</f>
        <v>A0000103</v>
      </c>
    </row>
    <row r="2190" spans="1:9" x14ac:dyDescent="0.25">
      <c r="A2190" t="s">
        <v>658</v>
      </c>
      <c r="B2190" t="str">
        <f>VLOOKUP(Tabla1[[#This Row],[Code]],[1]!Tabla4[#Data],2,FALSE)</f>
        <v>M2 Metamark M7 165 Verde Azulado 1,22 x 50m</v>
      </c>
      <c r="C2190">
        <v>24</v>
      </c>
      <c r="D2190" t="s">
        <v>96</v>
      </c>
      <c r="E2190" t="str">
        <f>VLOOKUP(Tabla1[[#This Row],[Cód. Atributo]],[1]!Tabla5[#Data],6,FALSE)</f>
        <v>Select</v>
      </c>
      <c r="F2190">
        <v>6</v>
      </c>
      <c r="G2190">
        <v>2</v>
      </c>
      <c r="H2190" t="s">
        <v>266</v>
      </c>
      <c r="I2190" t="str">
        <f>VLOOKUP(Tabla1[[#This Row],[Code]],'[1]Articulos Precio'!$A:$E,5,FALSE)</f>
        <v>A0000103</v>
      </c>
    </row>
    <row r="2191" spans="1:9" x14ac:dyDescent="0.25">
      <c r="A2191" t="s">
        <v>659</v>
      </c>
      <c r="B2191" t="str">
        <f>VLOOKUP(Tabla1[[#This Row],[Code]],[1]!Tabla4[#Data],2,FALSE)</f>
        <v>M2 Metamark M7 166 Verde Turquesa 0,61 x 50m</v>
      </c>
      <c r="C2191">
        <v>8</v>
      </c>
      <c r="D2191" t="s">
        <v>86</v>
      </c>
      <c r="E2191" t="str">
        <f>VLOOKUP(Tabla1[[#This Row],[Cód. Atributo]],[1]!Tabla5[#Data],6,FALSE)</f>
        <v>Select</v>
      </c>
      <c r="F2191">
        <v>1</v>
      </c>
      <c r="G2191">
        <v>1</v>
      </c>
      <c r="H2191" t="s">
        <v>263</v>
      </c>
      <c r="I2191" t="str">
        <f>VLOOKUP(Tabla1[[#This Row],[Code]],'[1]Articulos Precio'!$A:$E,5,FALSE)</f>
        <v>A0000103</v>
      </c>
    </row>
    <row r="2192" spans="1:9" x14ac:dyDescent="0.25">
      <c r="A2192" t="s">
        <v>659</v>
      </c>
      <c r="B2192" t="str">
        <f>VLOOKUP(Tabla1[[#This Row],[Code]],[1]!Tabla4[#Data],2,FALSE)</f>
        <v>M2 Metamark M7 166 Verde Turquesa 0,61 x 50m</v>
      </c>
      <c r="C2192">
        <v>13</v>
      </c>
      <c r="D2192" t="s">
        <v>491</v>
      </c>
      <c r="E2192" t="str">
        <f>VLOOKUP(Tabla1[[#This Row],[Cód. Atributo]],[1]!Tabla5[#Data],6,FALSE)</f>
        <v>Color</v>
      </c>
      <c r="F2192">
        <v>2</v>
      </c>
      <c r="G2192">
        <v>40</v>
      </c>
      <c r="H2192" t="s">
        <v>660</v>
      </c>
      <c r="I2192" t="str">
        <f>VLOOKUP(Tabla1[[#This Row],[Code]],'[1]Articulos Precio'!$A:$E,5,FALSE)</f>
        <v>A0000103</v>
      </c>
    </row>
    <row r="2193" spans="1:9" x14ac:dyDescent="0.25">
      <c r="A2193" t="s">
        <v>659</v>
      </c>
      <c r="B2193" t="str">
        <f>VLOOKUP(Tabla1[[#This Row],[Code]],[1]!Tabla4[#Data],2,FALSE)</f>
        <v>M2 Metamark M7 166 Verde Turquesa 0,61 x 50m</v>
      </c>
      <c r="C2193">
        <v>23</v>
      </c>
      <c r="D2193" t="s">
        <v>90</v>
      </c>
      <c r="E2193" t="str">
        <f>VLOOKUP(Tabla1[[#This Row],[Cód. Atributo]],[1]!Tabla5[#Data],6,FALSE)</f>
        <v>Select</v>
      </c>
      <c r="F2193">
        <v>3</v>
      </c>
      <c r="G2193">
        <v>2</v>
      </c>
      <c r="H2193" t="s">
        <v>136</v>
      </c>
      <c r="I2193" t="str">
        <f>VLOOKUP(Tabla1[[#This Row],[Code]],'[1]Articulos Precio'!$A:$E,5,FALSE)</f>
        <v>A0000103</v>
      </c>
    </row>
    <row r="2194" spans="1:9" x14ac:dyDescent="0.25">
      <c r="A2194" t="s">
        <v>659</v>
      </c>
      <c r="B2194" t="str">
        <f>VLOOKUP(Tabla1[[#This Row],[Code]],[1]!Tabla4[#Data],2,FALSE)</f>
        <v>M2 Metamark M7 166 Verde Turquesa 0,61 x 50m</v>
      </c>
      <c r="C2194">
        <v>28</v>
      </c>
      <c r="D2194" t="s">
        <v>92</v>
      </c>
      <c r="E2194" t="str">
        <f>VLOOKUP(Tabla1[[#This Row],[Cód. Atributo]],[1]!Tabla5[#Data],6,FALSE)</f>
        <v>Select</v>
      </c>
      <c r="F2194">
        <v>4</v>
      </c>
      <c r="G2194">
        <v>1</v>
      </c>
      <c r="H2194" t="s">
        <v>93</v>
      </c>
      <c r="I2194" t="str">
        <f>VLOOKUP(Tabla1[[#This Row],[Code]],'[1]Articulos Precio'!$A:$E,5,FALSE)</f>
        <v>A0000103</v>
      </c>
    </row>
    <row r="2195" spans="1:9" x14ac:dyDescent="0.25">
      <c r="A2195" t="s">
        <v>659</v>
      </c>
      <c r="B2195" t="str">
        <f>VLOOKUP(Tabla1[[#This Row],[Code]],[1]!Tabla4[#Data],2,FALSE)</f>
        <v>M2 Metamark M7 166 Verde Turquesa 0,61 x 50m</v>
      </c>
      <c r="C2195">
        <v>25</v>
      </c>
      <c r="D2195" t="s">
        <v>94</v>
      </c>
      <c r="E2195" t="str">
        <f>VLOOKUP(Tabla1[[#This Row],[Cód. Atributo]],[1]!Tabla5[#Data],6,FALSE)</f>
        <v>Select</v>
      </c>
      <c r="F2195">
        <v>5</v>
      </c>
      <c r="G2195">
        <v>4</v>
      </c>
      <c r="H2195" t="s">
        <v>137</v>
      </c>
      <c r="I2195" t="str">
        <f>VLOOKUP(Tabla1[[#This Row],[Code]],'[1]Articulos Precio'!$A:$E,5,FALSE)</f>
        <v>A0000103</v>
      </c>
    </row>
    <row r="2196" spans="1:9" x14ac:dyDescent="0.25">
      <c r="A2196" t="s">
        <v>659</v>
      </c>
      <c r="B2196" t="str">
        <f>VLOOKUP(Tabla1[[#This Row],[Code]],[1]!Tabla4[#Data],2,FALSE)</f>
        <v>M2 Metamark M7 166 Verde Turquesa 0,61 x 50m</v>
      </c>
      <c r="C2196">
        <v>24</v>
      </c>
      <c r="D2196" t="s">
        <v>96</v>
      </c>
      <c r="E2196" t="str">
        <f>VLOOKUP(Tabla1[[#This Row],[Cód. Atributo]],[1]!Tabla5[#Data],6,FALSE)</f>
        <v>Select</v>
      </c>
      <c r="F2196">
        <v>6</v>
      </c>
      <c r="G2196">
        <v>2</v>
      </c>
      <c r="H2196" t="s">
        <v>266</v>
      </c>
      <c r="I2196" t="str">
        <f>VLOOKUP(Tabla1[[#This Row],[Code]],'[1]Articulos Precio'!$A:$E,5,FALSE)</f>
        <v>A0000103</v>
      </c>
    </row>
    <row r="2197" spans="1:9" x14ac:dyDescent="0.25">
      <c r="A2197" t="s">
        <v>661</v>
      </c>
      <c r="B2197" t="str">
        <f>VLOOKUP(Tabla1[[#This Row],[Code]],[1]!Tabla4[#Data],2,FALSE)</f>
        <v>M2 Metamark M7 166 Verde Turquesa 1,22 x 50m</v>
      </c>
      <c r="C2197">
        <v>8</v>
      </c>
      <c r="D2197" t="s">
        <v>86</v>
      </c>
      <c r="E2197" t="str">
        <f>VLOOKUP(Tabla1[[#This Row],[Cód. Atributo]],[1]!Tabla5[#Data],6,FALSE)</f>
        <v>Select</v>
      </c>
      <c r="F2197">
        <v>1</v>
      </c>
      <c r="G2197">
        <v>2</v>
      </c>
      <c r="H2197" t="s">
        <v>268</v>
      </c>
      <c r="I2197" t="str">
        <f>VLOOKUP(Tabla1[[#This Row],[Code]],'[1]Articulos Precio'!$A:$E,5,FALSE)</f>
        <v>A0000103</v>
      </c>
    </row>
    <row r="2198" spans="1:9" x14ac:dyDescent="0.25">
      <c r="A2198" t="s">
        <v>661</v>
      </c>
      <c r="B2198" t="str">
        <f>VLOOKUP(Tabla1[[#This Row],[Code]],[1]!Tabla4[#Data],2,FALSE)</f>
        <v>M2 Metamark M7 166 Verde Turquesa 1,22 x 50m</v>
      </c>
      <c r="C2198">
        <v>13</v>
      </c>
      <c r="D2198" t="s">
        <v>491</v>
      </c>
      <c r="E2198" t="str">
        <f>VLOOKUP(Tabla1[[#This Row],[Cód. Atributo]],[1]!Tabla5[#Data],6,FALSE)</f>
        <v>Color</v>
      </c>
      <c r="F2198">
        <v>2</v>
      </c>
      <c r="G2198">
        <v>40</v>
      </c>
      <c r="H2198" t="s">
        <v>660</v>
      </c>
      <c r="I2198" t="str">
        <f>VLOOKUP(Tabla1[[#This Row],[Code]],'[1]Articulos Precio'!$A:$E,5,FALSE)</f>
        <v>A0000103</v>
      </c>
    </row>
    <row r="2199" spans="1:9" x14ac:dyDescent="0.25">
      <c r="A2199" t="s">
        <v>661</v>
      </c>
      <c r="B2199" t="str">
        <f>VLOOKUP(Tabla1[[#This Row],[Code]],[1]!Tabla4[#Data],2,FALSE)</f>
        <v>M2 Metamark M7 166 Verde Turquesa 1,22 x 50m</v>
      </c>
      <c r="C2199">
        <v>23</v>
      </c>
      <c r="D2199" t="s">
        <v>90</v>
      </c>
      <c r="E2199" t="str">
        <f>VLOOKUP(Tabla1[[#This Row],[Cód. Atributo]],[1]!Tabla5[#Data],6,FALSE)</f>
        <v>Select</v>
      </c>
      <c r="F2199">
        <v>3</v>
      </c>
      <c r="G2199">
        <v>2</v>
      </c>
      <c r="H2199" t="s">
        <v>136</v>
      </c>
      <c r="I2199" t="str">
        <f>VLOOKUP(Tabla1[[#This Row],[Code]],'[1]Articulos Precio'!$A:$E,5,FALSE)</f>
        <v>A0000103</v>
      </c>
    </row>
    <row r="2200" spans="1:9" x14ac:dyDescent="0.25">
      <c r="A2200" t="s">
        <v>661</v>
      </c>
      <c r="B2200" t="str">
        <f>VLOOKUP(Tabla1[[#This Row],[Code]],[1]!Tabla4[#Data],2,FALSE)</f>
        <v>M2 Metamark M7 166 Verde Turquesa 1,22 x 50m</v>
      </c>
      <c r="C2200">
        <v>28</v>
      </c>
      <c r="D2200" t="s">
        <v>92</v>
      </c>
      <c r="E2200" t="str">
        <f>VLOOKUP(Tabla1[[#This Row],[Cód. Atributo]],[1]!Tabla5[#Data],6,FALSE)</f>
        <v>Select</v>
      </c>
      <c r="F2200">
        <v>4</v>
      </c>
      <c r="G2200">
        <v>1</v>
      </c>
      <c r="H2200" t="s">
        <v>93</v>
      </c>
      <c r="I2200" t="str">
        <f>VLOOKUP(Tabla1[[#This Row],[Code]],'[1]Articulos Precio'!$A:$E,5,FALSE)</f>
        <v>A0000103</v>
      </c>
    </row>
    <row r="2201" spans="1:9" x14ac:dyDescent="0.25">
      <c r="A2201" t="s">
        <v>661</v>
      </c>
      <c r="B2201" t="str">
        <f>VLOOKUP(Tabla1[[#This Row],[Code]],[1]!Tabla4[#Data],2,FALSE)</f>
        <v>M2 Metamark M7 166 Verde Turquesa 1,22 x 50m</v>
      </c>
      <c r="C2201">
        <v>25</v>
      </c>
      <c r="D2201" t="s">
        <v>94</v>
      </c>
      <c r="E2201" t="str">
        <f>VLOOKUP(Tabla1[[#This Row],[Cód. Atributo]],[1]!Tabla5[#Data],6,FALSE)</f>
        <v>Select</v>
      </c>
      <c r="F2201">
        <v>5</v>
      </c>
      <c r="G2201">
        <v>4</v>
      </c>
      <c r="H2201" t="s">
        <v>137</v>
      </c>
      <c r="I2201" t="str">
        <f>VLOOKUP(Tabla1[[#This Row],[Code]],'[1]Articulos Precio'!$A:$E,5,FALSE)</f>
        <v>A0000103</v>
      </c>
    </row>
    <row r="2202" spans="1:9" x14ac:dyDescent="0.25">
      <c r="A2202" t="s">
        <v>661</v>
      </c>
      <c r="B2202" t="str">
        <f>VLOOKUP(Tabla1[[#This Row],[Code]],[1]!Tabla4[#Data],2,FALSE)</f>
        <v>M2 Metamark M7 166 Verde Turquesa 1,22 x 50m</v>
      </c>
      <c r="C2202">
        <v>24</v>
      </c>
      <c r="D2202" t="s">
        <v>96</v>
      </c>
      <c r="E2202" t="str">
        <f>VLOOKUP(Tabla1[[#This Row],[Cód. Atributo]],[1]!Tabla5[#Data],6,FALSE)</f>
        <v>Select</v>
      </c>
      <c r="F2202">
        <v>6</v>
      </c>
      <c r="G2202">
        <v>2</v>
      </c>
      <c r="H2202" t="s">
        <v>266</v>
      </c>
      <c r="I2202" t="str">
        <f>VLOOKUP(Tabla1[[#This Row],[Code]],'[1]Articulos Precio'!$A:$E,5,FALSE)</f>
        <v>A0000103</v>
      </c>
    </row>
    <row r="2203" spans="1:9" x14ac:dyDescent="0.25">
      <c r="A2203" t="s">
        <v>662</v>
      </c>
      <c r="B2203" t="str">
        <f>VLOOKUP(Tabla1[[#This Row],[Code]],[1]!Tabla4[#Data],2,FALSE)</f>
        <v>M2 Metamark M7 167 Verde Poseidón 0,61 x 50m</v>
      </c>
      <c r="C2203">
        <v>8</v>
      </c>
      <c r="D2203" t="s">
        <v>86</v>
      </c>
      <c r="E2203" t="str">
        <f>VLOOKUP(Tabla1[[#This Row],[Cód. Atributo]],[1]!Tabla5[#Data],6,FALSE)</f>
        <v>Select</v>
      </c>
      <c r="F2203">
        <v>1</v>
      </c>
      <c r="G2203">
        <v>1</v>
      </c>
      <c r="H2203" t="s">
        <v>263</v>
      </c>
      <c r="I2203" t="str">
        <f>VLOOKUP(Tabla1[[#This Row],[Code]],'[1]Articulos Precio'!$A:$E,5,FALSE)</f>
        <v>A0000103</v>
      </c>
    </row>
    <row r="2204" spans="1:9" x14ac:dyDescent="0.25">
      <c r="A2204" t="s">
        <v>662</v>
      </c>
      <c r="B2204" t="str">
        <f>VLOOKUP(Tabla1[[#This Row],[Code]],[1]!Tabla4[#Data],2,FALSE)</f>
        <v>M2 Metamark M7 167 Verde Poseidón 0,61 x 50m</v>
      </c>
      <c r="C2204">
        <v>13</v>
      </c>
      <c r="D2204" t="s">
        <v>491</v>
      </c>
      <c r="E2204" t="str">
        <f>VLOOKUP(Tabla1[[#This Row],[Cód. Atributo]],[1]!Tabla5[#Data],6,FALSE)</f>
        <v>Color</v>
      </c>
      <c r="F2204">
        <v>2</v>
      </c>
      <c r="G2204">
        <v>74</v>
      </c>
      <c r="H2204" t="s">
        <v>663</v>
      </c>
      <c r="I2204" t="str">
        <f>VLOOKUP(Tabla1[[#This Row],[Code]],'[1]Articulos Precio'!$A:$E,5,FALSE)</f>
        <v>A0000103</v>
      </c>
    </row>
    <row r="2205" spans="1:9" x14ac:dyDescent="0.25">
      <c r="A2205" t="s">
        <v>662</v>
      </c>
      <c r="B2205" t="str">
        <f>VLOOKUP(Tabla1[[#This Row],[Code]],[1]!Tabla4[#Data],2,FALSE)</f>
        <v>M2 Metamark M7 167 Verde Poseidón 0,61 x 50m</v>
      </c>
      <c r="C2205">
        <v>23</v>
      </c>
      <c r="D2205" t="s">
        <v>90</v>
      </c>
      <c r="E2205" t="str">
        <f>VLOOKUP(Tabla1[[#This Row],[Cód. Atributo]],[1]!Tabla5[#Data],6,FALSE)</f>
        <v>Select</v>
      </c>
      <c r="F2205">
        <v>3</v>
      </c>
      <c r="G2205">
        <v>2</v>
      </c>
      <c r="H2205" t="s">
        <v>136</v>
      </c>
      <c r="I2205" t="str">
        <f>VLOOKUP(Tabla1[[#This Row],[Code]],'[1]Articulos Precio'!$A:$E,5,FALSE)</f>
        <v>A0000103</v>
      </c>
    </row>
    <row r="2206" spans="1:9" x14ac:dyDescent="0.25">
      <c r="A2206" t="s">
        <v>662</v>
      </c>
      <c r="B2206" t="str">
        <f>VLOOKUP(Tabla1[[#This Row],[Code]],[1]!Tabla4[#Data],2,FALSE)</f>
        <v>M2 Metamark M7 167 Verde Poseidón 0,61 x 50m</v>
      </c>
      <c r="C2206">
        <v>28</v>
      </c>
      <c r="D2206" t="s">
        <v>92</v>
      </c>
      <c r="E2206" t="str">
        <f>VLOOKUP(Tabla1[[#This Row],[Cód. Atributo]],[1]!Tabla5[#Data],6,FALSE)</f>
        <v>Select</v>
      </c>
      <c r="F2206">
        <v>4</v>
      </c>
      <c r="G2206">
        <v>1</v>
      </c>
      <c r="H2206" t="s">
        <v>93</v>
      </c>
      <c r="I2206" t="str">
        <f>VLOOKUP(Tabla1[[#This Row],[Code]],'[1]Articulos Precio'!$A:$E,5,FALSE)</f>
        <v>A0000103</v>
      </c>
    </row>
    <row r="2207" spans="1:9" x14ac:dyDescent="0.25">
      <c r="A2207" t="s">
        <v>662</v>
      </c>
      <c r="B2207" t="str">
        <f>VLOOKUP(Tabla1[[#This Row],[Code]],[1]!Tabla4[#Data],2,FALSE)</f>
        <v>M2 Metamark M7 167 Verde Poseidón 0,61 x 50m</v>
      </c>
      <c r="C2207">
        <v>25</v>
      </c>
      <c r="D2207" t="s">
        <v>94</v>
      </c>
      <c r="E2207" t="str">
        <f>VLOOKUP(Tabla1[[#This Row],[Cód. Atributo]],[1]!Tabla5[#Data],6,FALSE)</f>
        <v>Select</v>
      </c>
      <c r="F2207">
        <v>5</v>
      </c>
      <c r="G2207">
        <v>4</v>
      </c>
      <c r="H2207" t="s">
        <v>137</v>
      </c>
      <c r="I2207" t="str">
        <f>VLOOKUP(Tabla1[[#This Row],[Code]],'[1]Articulos Precio'!$A:$E,5,FALSE)</f>
        <v>A0000103</v>
      </c>
    </row>
    <row r="2208" spans="1:9" x14ac:dyDescent="0.25">
      <c r="A2208" t="s">
        <v>662</v>
      </c>
      <c r="B2208" t="str">
        <f>VLOOKUP(Tabla1[[#This Row],[Code]],[1]!Tabla4[#Data],2,FALSE)</f>
        <v>M2 Metamark M7 167 Verde Poseidón 0,61 x 50m</v>
      </c>
      <c r="C2208">
        <v>24</v>
      </c>
      <c r="D2208" t="s">
        <v>96</v>
      </c>
      <c r="E2208" t="str">
        <f>VLOOKUP(Tabla1[[#This Row],[Cód. Atributo]],[1]!Tabla5[#Data],6,FALSE)</f>
        <v>Select</v>
      </c>
      <c r="F2208">
        <v>6</v>
      </c>
      <c r="G2208">
        <v>2</v>
      </c>
      <c r="H2208" t="s">
        <v>266</v>
      </c>
      <c r="I2208" t="str">
        <f>VLOOKUP(Tabla1[[#This Row],[Code]],'[1]Articulos Precio'!$A:$E,5,FALSE)</f>
        <v>A0000103</v>
      </c>
    </row>
    <row r="2209" spans="1:9" x14ac:dyDescent="0.25">
      <c r="A2209" t="s">
        <v>664</v>
      </c>
      <c r="B2209" t="str">
        <f>VLOOKUP(Tabla1[[#This Row],[Code]],[1]!Tabla4[#Data],2,FALSE)</f>
        <v>M2 Metamark M7 167 Verde Poseidón 1,22 x 50m</v>
      </c>
      <c r="C2209">
        <v>8</v>
      </c>
      <c r="D2209" t="s">
        <v>86</v>
      </c>
      <c r="E2209" t="str">
        <f>VLOOKUP(Tabla1[[#This Row],[Cód. Atributo]],[1]!Tabla5[#Data],6,FALSE)</f>
        <v>Select</v>
      </c>
      <c r="F2209">
        <v>1</v>
      </c>
      <c r="G2209">
        <v>2</v>
      </c>
      <c r="H2209" t="s">
        <v>268</v>
      </c>
      <c r="I2209" t="str">
        <f>VLOOKUP(Tabla1[[#This Row],[Code]],'[1]Articulos Precio'!$A:$E,5,FALSE)</f>
        <v>A0000103</v>
      </c>
    </row>
    <row r="2210" spans="1:9" x14ac:dyDescent="0.25">
      <c r="A2210" t="s">
        <v>664</v>
      </c>
      <c r="B2210" t="str">
        <f>VLOOKUP(Tabla1[[#This Row],[Code]],[1]!Tabla4[#Data],2,FALSE)</f>
        <v>M2 Metamark M7 167 Verde Poseidón 1,22 x 50m</v>
      </c>
      <c r="C2210">
        <v>13</v>
      </c>
      <c r="D2210" t="s">
        <v>491</v>
      </c>
      <c r="E2210" t="str">
        <f>VLOOKUP(Tabla1[[#This Row],[Cód. Atributo]],[1]!Tabla5[#Data],6,FALSE)</f>
        <v>Color</v>
      </c>
      <c r="F2210">
        <v>2</v>
      </c>
      <c r="G2210">
        <v>74</v>
      </c>
      <c r="H2210" t="s">
        <v>663</v>
      </c>
      <c r="I2210" t="str">
        <f>VLOOKUP(Tabla1[[#This Row],[Code]],'[1]Articulos Precio'!$A:$E,5,FALSE)</f>
        <v>A0000103</v>
      </c>
    </row>
    <row r="2211" spans="1:9" x14ac:dyDescent="0.25">
      <c r="A2211" t="s">
        <v>664</v>
      </c>
      <c r="B2211" t="str">
        <f>VLOOKUP(Tabla1[[#This Row],[Code]],[1]!Tabla4[#Data],2,FALSE)</f>
        <v>M2 Metamark M7 167 Verde Poseidón 1,22 x 50m</v>
      </c>
      <c r="C2211">
        <v>23</v>
      </c>
      <c r="D2211" t="s">
        <v>90</v>
      </c>
      <c r="E2211" t="str">
        <f>VLOOKUP(Tabla1[[#This Row],[Cód. Atributo]],[1]!Tabla5[#Data],6,FALSE)</f>
        <v>Select</v>
      </c>
      <c r="F2211">
        <v>3</v>
      </c>
      <c r="G2211">
        <v>2</v>
      </c>
      <c r="H2211" t="s">
        <v>136</v>
      </c>
      <c r="I2211" t="str">
        <f>VLOOKUP(Tabla1[[#This Row],[Code]],'[1]Articulos Precio'!$A:$E,5,FALSE)</f>
        <v>A0000103</v>
      </c>
    </row>
    <row r="2212" spans="1:9" x14ac:dyDescent="0.25">
      <c r="A2212" t="s">
        <v>664</v>
      </c>
      <c r="B2212" t="str">
        <f>VLOOKUP(Tabla1[[#This Row],[Code]],[1]!Tabla4[#Data],2,FALSE)</f>
        <v>M2 Metamark M7 167 Verde Poseidón 1,22 x 50m</v>
      </c>
      <c r="C2212">
        <v>28</v>
      </c>
      <c r="D2212" t="s">
        <v>92</v>
      </c>
      <c r="E2212" t="str">
        <f>VLOOKUP(Tabla1[[#This Row],[Cód. Atributo]],[1]!Tabla5[#Data],6,FALSE)</f>
        <v>Select</v>
      </c>
      <c r="F2212">
        <v>4</v>
      </c>
      <c r="G2212">
        <v>1</v>
      </c>
      <c r="H2212" t="s">
        <v>93</v>
      </c>
      <c r="I2212" t="str">
        <f>VLOOKUP(Tabla1[[#This Row],[Code]],'[1]Articulos Precio'!$A:$E,5,FALSE)</f>
        <v>A0000103</v>
      </c>
    </row>
    <row r="2213" spans="1:9" x14ac:dyDescent="0.25">
      <c r="A2213" t="s">
        <v>664</v>
      </c>
      <c r="B2213" t="str">
        <f>VLOOKUP(Tabla1[[#This Row],[Code]],[1]!Tabla4[#Data],2,FALSE)</f>
        <v>M2 Metamark M7 167 Verde Poseidón 1,22 x 50m</v>
      </c>
      <c r="C2213">
        <v>25</v>
      </c>
      <c r="D2213" t="s">
        <v>94</v>
      </c>
      <c r="E2213" t="str">
        <f>VLOOKUP(Tabla1[[#This Row],[Cód. Atributo]],[1]!Tabla5[#Data],6,FALSE)</f>
        <v>Select</v>
      </c>
      <c r="F2213">
        <v>5</v>
      </c>
      <c r="G2213">
        <v>4</v>
      </c>
      <c r="H2213" t="s">
        <v>137</v>
      </c>
      <c r="I2213" t="str">
        <f>VLOOKUP(Tabla1[[#This Row],[Code]],'[1]Articulos Precio'!$A:$E,5,FALSE)</f>
        <v>A0000103</v>
      </c>
    </row>
    <row r="2214" spans="1:9" x14ac:dyDescent="0.25">
      <c r="A2214" t="s">
        <v>664</v>
      </c>
      <c r="B2214" t="str">
        <f>VLOOKUP(Tabla1[[#This Row],[Code]],[1]!Tabla4[#Data],2,FALSE)</f>
        <v>M2 Metamark M7 167 Verde Poseidón 1,22 x 50m</v>
      </c>
      <c r="C2214">
        <v>24</v>
      </c>
      <c r="D2214" t="s">
        <v>96</v>
      </c>
      <c r="E2214" t="str">
        <f>VLOOKUP(Tabla1[[#This Row],[Cód. Atributo]],[1]!Tabla5[#Data],6,FALSE)</f>
        <v>Select</v>
      </c>
      <c r="F2214">
        <v>6</v>
      </c>
      <c r="G2214">
        <v>2</v>
      </c>
      <c r="H2214" t="s">
        <v>266</v>
      </c>
      <c r="I2214" t="str">
        <f>VLOOKUP(Tabla1[[#This Row],[Code]],'[1]Articulos Precio'!$A:$E,5,FALSE)</f>
        <v>A0000103</v>
      </c>
    </row>
    <row r="2215" spans="1:9" x14ac:dyDescent="0.25">
      <c r="A2215" t="s">
        <v>665</v>
      </c>
      <c r="B2215" t="str">
        <f>VLOOKUP(Tabla1[[#This Row],[Code]],[1]!Tabla4[#Data],2,FALSE)</f>
        <v>M2 Metamark M7 168 Verde Laguna 0,61 x 50m</v>
      </c>
      <c r="C2215">
        <v>8</v>
      </c>
      <c r="D2215" t="s">
        <v>86</v>
      </c>
      <c r="E2215" t="str">
        <f>VLOOKUP(Tabla1[[#This Row],[Cód. Atributo]],[1]!Tabla5[#Data],6,FALSE)</f>
        <v>Select</v>
      </c>
      <c r="F2215">
        <v>1</v>
      </c>
      <c r="G2215">
        <v>1</v>
      </c>
      <c r="H2215" t="s">
        <v>263</v>
      </c>
      <c r="I2215" t="str">
        <f>VLOOKUP(Tabla1[[#This Row],[Code]],'[1]Articulos Precio'!$A:$E,5,FALSE)</f>
        <v>A0000103</v>
      </c>
    </row>
    <row r="2216" spans="1:9" x14ac:dyDescent="0.25">
      <c r="A2216" t="s">
        <v>665</v>
      </c>
      <c r="B2216" t="str">
        <f>VLOOKUP(Tabla1[[#This Row],[Code]],[1]!Tabla4[#Data],2,FALSE)</f>
        <v>M2 Metamark M7 168 Verde Laguna 0,61 x 50m</v>
      </c>
      <c r="C2216">
        <v>13</v>
      </c>
      <c r="D2216" t="s">
        <v>491</v>
      </c>
      <c r="E2216" t="str">
        <f>VLOOKUP(Tabla1[[#This Row],[Cód. Atributo]],[1]!Tabla5[#Data],6,FALSE)</f>
        <v>Color</v>
      </c>
      <c r="F2216">
        <v>2</v>
      </c>
      <c r="G2216">
        <v>75</v>
      </c>
      <c r="H2216" t="s">
        <v>666</v>
      </c>
      <c r="I2216" t="str">
        <f>VLOOKUP(Tabla1[[#This Row],[Code]],'[1]Articulos Precio'!$A:$E,5,FALSE)</f>
        <v>A0000103</v>
      </c>
    </row>
    <row r="2217" spans="1:9" x14ac:dyDescent="0.25">
      <c r="A2217" t="s">
        <v>665</v>
      </c>
      <c r="B2217" t="str">
        <f>VLOOKUP(Tabla1[[#This Row],[Code]],[1]!Tabla4[#Data],2,FALSE)</f>
        <v>M2 Metamark M7 168 Verde Laguna 0,61 x 50m</v>
      </c>
      <c r="C2217">
        <v>23</v>
      </c>
      <c r="D2217" t="s">
        <v>90</v>
      </c>
      <c r="E2217" t="str">
        <f>VLOOKUP(Tabla1[[#This Row],[Cód. Atributo]],[1]!Tabla5[#Data],6,FALSE)</f>
        <v>Select</v>
      </c>
      <c r="F2217">
        <v>3</v>
      </c>
      <c r="G2217">
        <v>2</v>
      </c>
      <c r="H2217" t="s">
        <v>136</v>
      </c>
      <c r="I2217" t="str">
        <f>VLOOKUP(Tabla1[[#This Row],[Code]],'[1]Articulos Precio'!$A:$E,5,FALSE)</f>
        <v>A0000103</v>
      </c>
    </row>
    <row r="2218" spans="1:9" x14ac:dyDescent="0.25">
      <c r="A2218" t="s">
        <v>665</v>
      </c>
      <c r="B2218" t="str">
        <f>VLOOKUP(Tabla1[[#This Row],[Code]],[1]!Tabla4[#Data],2,FALSE)</f>
        <v>M2 Metamark M7 168 Verde Laguna 0,61 x 50m</v>
      </c>
      <c r="C2218">
        <v>28</v>
      </c>
      <c r="D2218" t="s">
        <v>92</v>
      </c>
      <c r="E2218" t="str">
        <f>VLOOKUP(Tabla1[[#This Row],[Cód. Atributo]],[1]!Tabla5[#Data],6,FALSE)</f>
        <v>Select</v>
      </c>
      <c r="F2218">
        <v>4</v>
      </c>
      <c r="G2218">
        <v>1</v>
      </c>
      <c r="H2218" t="s">
        <v>93</v>
      </c>
      <c r="I2218" t="str">
        <f>VLOOKUP(Tabla1[[#This Row],[Code]],'[1]Articulos Precio'!$A:$E,5,FALSE)</f>
        <v>A0000103</v>
      </c>
    </row>
    <row r="2219" spans="1:9" x14ac:dyDescent="0.25">
      <c r="A2219" t="s">
        <v>665</v>
      </c>
      <c r="B2219" t="str">
        <f>VLOOKUP(Tabla1[[#This Row],[Code]],[1]!Tabla4[#Data],2,FALSE)</f>
        <v>M2 Metamark M7 168 Verde Laguna 0,61 x 50m</v>
      </c>
      <c r="C2219">
        <v>25</v>
      </c>
      <c r="D2219" t="s">
        <v>94</v>
      </c>
      <c r="E2219" t="str">
        <f>VLOOKUP(Tabla1[[#This Row],[Cód. Atributo]],[1]!Tabla5[#Data],6,FALSE)</f>
        <v>Select</v>
      </c>
      <c r="F2219">
        <v>5</v>
      </c>
      <c r="G2219">
        <v>4</v>
      </c>
      <c r="H2219" t="s">
        <v>137</v>
      </c>
      <c r="I2219" t="str">
        <f>VLOOKUP(Tabla1[[#This Row],[Code]],'[1]Articulos Precio'!$A:$E,5,FALSE)</f>
        <v>A0000103</v>
      </c>
    </row>
    <row r="2220" spans="1:9" x14ac:dyDescent="0.25">
      <c r="A2220" t="s">
        <v>665</v>
      </c>
      <c r="B2220" t="str">
        <f>VLOOKUP(Tabla1[[#This Row],[Code]],[1]!Tabla4[#Data],2,FALSE)</f>
        <v>M2 Metamark M7 168 Verde Laguna 0,61 x 50m</v>
      </c>
      <c r="C2220">
        <v>24</v>
      </c>
      <c r="D2220" t="s">
        <v>96</v>
      </c>
      <c r="E2220" t="str">
        <f>VLOOKUP(Tabla1[[#This Row],[Cód. Atributo]],[1]!Tabla5[#Data],6,FALSE)</f>
        <v>Select</v>
      </c>
      <c r="F2220">
        <v>6</v>
      </c>
      <c r="G2220">
        <v>2</v>
      </c>
      <c r="H2220" t="s">
        <v>266</v>
      </c>
      <c r="I2220" t="str">
        <f>VLOOKUP(Tabla1[[#This Row],[Code]],'[1]Articulos Precio'!$A:$E,5,FALSE)</f>
        <v>A0000103</v>
      </c>
    </row>
    <row r="2221" spans="1:9" x14ac:dyDescent="0.25">
      <c r="A2221" t="s">
        <v>667</v>
      </c>
      <c r="B2221" t="str">
        <f>VLOOKUP(Tabla1[[#This Row],[Code]],[1]!Tabla4[#Data],2,FALSE)</f>
        <v>M2 Metamark M7 168 Verde Laguna 1,22 x 50m</v>
      </c>
      <c r="C2221">
        <v>8</v>
      </c>
      <c r="D2221" t="s">
        <v>86</v>
      </c>
      <c r="E2221" t="str">
        <f>VLOOKUP(Tabla1[[#This Row],[Cód. Atributo]],[1]!Tabla5[#Data],6,FALSE)</f>
        <v>Select</v>
      </c>
      <c r="F2221">
        <v>1</v>
      </c>
      <c r="G2221">
        <v>2</v>
      </c>
      <c r="H2221" t="s">
        <v>268</v>
      </c>
      <c r="I2221" t="str">
        <f>VLOOKUP(Tabla1[[#This Row],[Code]],'[1]Articulos Precio'!$A:$E,5,FALSE)</f>
        <v>A0000103</v>
      </c>
    </row>
    <row r="2222" spans="1:9" x14ac:dyDescent="0.25">
      <c r="A2222" t="s">
        <v>667</v>
      </c>
      <c r="B2222" t="str">
        <f>VLOOKUP(Tabla1[[#This Row],[Code]],[1]!Tabla4[#Data],2,FALSE)</f>
        <v>M2 Metamark M7 168 Verde Laguna 1,22 x 50m</v>
      </c>
      <c r="C2222">
        <v>13</v>
      </c>
      <c r="D2222" t="s">
        <v>491</v>
      </c>
      <c r="E2222" t="str">
        <f>VLOOKUP(Tabla1[[#This Row],[Cód. Atributo]],[1]!Tabla5[#Data],6,FALSE)</f>
        <v>Color</v>
      </c>
      <c r="F2222">
        <v>2</v>
      </c>
      <c r="G2222">
        <v>75</v>
      </c>
      <c r="H2222" t="s">
        <v>666</v>
      </c>
      <c r="I2222" t="str">
        <f>VLOOKUP(Tabla1[[#This Row],[Code]],'[1]Articulos Precio'!$A:$E,5,FALSE)</f>
        <v>A0000103</v>
      </c>
    </row>
    <row r="2223" spans="1:9" x14ac:dyDescent="0.25">
      <c r="A2223" t="s">
        <v>667</v>
      </c>
      <c r="B2223" t="str">
        <f>VLOOKUP(Tabla1[[#This Row],[Code]],[1]!Tabla4[#Data],2,FALSE)</f>
        <v>M2 Metamark M7 168 Verde Laguna 1,22 x 50m</v>
      </c>
      <c r="C2223">
        <v>23</v>
      </c>
      <c r="D2223" t="s">
        <v>90</v>
      </c>
      <c r="E2223" t="str">
        <f>VLOOKUP(Tabla1[[#This Row],[Cód. Atributo]],[1]!Tabla5[#Data],6,FALSE)</f>
        <v>Select</v>
      </c>
      <c r="F2223">
        <v>3</v>
      </c>
      <c r="G2223">
        <v>2</v>
      </c>
      <c r="H2223" t="s">
        <v>136</v>
      </c>
      <c r="I2223" t="str">
        <f>VLOOKUP(Tabla1[[#This Row],[Code]],'[1]Articulos Precio'!$A:$E,5,FALSE)</f>
        <v>A0000103</v>
      </c>
    </row>
    <row r="2224" spans="1:9" x14ac:dyDescent="0.25">
      <c r="A2224" t="s">
        <v>667</v>
      </c>
      <c r="B2224" t="str">
        <f>VLOOKUP(Tabla1[[#This Row],[Code]],[1]!Tabla4[#Data],2,FALSE)</f>
        <v>M2 Metamark M7 168 Verde Laguna 1,22 x 50m</v>
      </c>
      <c r="C2224">
        <v>28</v>
      </c>
      <c r="D2224" t="s">
        <v>92</v>
      </c>
      <c r="E2224" t="str">
        <f>VLOOKUP(Tabla1[[#This Row],[Cód. Atributo]],[1]!Tabla5[#Data],6,FALSE)</f>
        <v>Select</v>
      </c>
      <c r="F2224">
        <v>4</v>
      </c>
      <c r="G2224">
        <v>1</v>
      </c>
      <c r="H2224" t="s">
        <v>93</v>
      </c>
      <c r="I2224" t="str">
        <f>VLOOKUP(Tabla1[[#This Row],[Code]],'[1]Articulos Precio'!$A:$E,5,FALSE)</f>
        <v>A0000103</v>
      </c>
    </row>
    <row r="2225" spans="1:9" x14ac:dyDescent="0.25">
      <c r="A2225" t="s">
        <v>667</v>
      </c>
      <c r="B2225" t="str">
        <f>VLOOKUP(Tabla1[[#This Row],[Code]],[1]!Tabla4[#Data],2,FALSE)</f>
        <v>M2 Metamark M7 168 Verde Laguna 1,22 x 50m</v>
      </c>
      <c r="C2225">
        <v>25</v>
      </c>
      <c r="D2225" t="s">
        <v>94</v>
      </c>
      <c r="E2225" t="str">
        <f>VLOOKUP(Tabla1[[#This Row],[Cód. Atributo]],[1]!Tabla5[#Data],6,FALSE)</f>
        <v>Select</v>
      </c>
      <c r="F2225">
        <v>5</v>
      </c>
      <c r="G2225">
        <v>4</v>
      </c>
      <c r="H2225" t="s">
        <v>137</v>
      </c>
      <c r="I2225" t="str">
        <f>VLOOKUP(Tabla1[[#This Row],[Code]],'[1]Articulos Precio'!$A:$E,5,FALSE)</f>
        <v>A0000103</v>
      </c>
    </row>
    <row r="2226" spans="1:9" x14ac:dyDescent="0.25">
      <c r="A2226" t="s">
        <v>667</v>
      </c>
      <c r="B2226" t="str">
        <f>VLOOKUP(Tabla1[[#This Row],[Code]],[1]!Tabla4[#Data],2,FALSE)</f>
        <v>M2 Metamark M7 168 Verde Laguna 1,22 x 50m</v>
      </c>
      <c r="C2226">
        <v>24</v>
      </c>
      <c r="D2226" t="s">
        <v>96</v>
      </c>
      <c r="E2226" t="str">
        <f>VLOOKUP(Tabla1[[#This Row],[Cód. Atributo]],[1]!Tabla5[#Data],6,FALSE)</f>
        <v>Select</v>
      </c>
      <c r="F2226">
        <v>6</v>
      </c>
      <c r="G2226">
        <v>2</v>
      </c>
      <c r="H2226" t="s">
        <v>266</v>
      </c>
      <c r="I2226" t="str">
        <f>VLOOKUP(Tabla1[[#This Row],[Code]],'[1]Articulos Precio'!$A:$E,5,FALSE)</f>
        <v>A0000103</v>
      </c>
    </row>
    <row r="2227" spans="1:9" x14ac:dyDescent="0.25">
      <c r="A2227" t="s">
        <v>668</v>
      </c>
      <c r="B2227" t="str">
        <f>VLOOKUP(Tabla1[[#This Row],[Code]],[1]!Tabla4[#Data],2,FALSE)</f>
        <v>M2 Metamark M7 169 Verde Cazador 0,61 x 50m</v>
      </c>
      <c r="C2227">
        <v>8</v>
      </c>
      <c r="D2227" t="s">
        <v>86</v>
      </c>
      <c r="E2227" t="str">
        <f>VLOOKUP(Tabla1[[#This Row],[Cód. Atributo]],[1]!Tabla5[#Data],6,FALSE)</f>
        <v>Select</v>
      </c>
      <c r="F2227">
        <v>1</v>
      </c>
      <c r="G2227">
        <v>1</v>
      </c>
      <c r="H2227" t="s">
        <v>263</v>
      </c>
      <c r="I2227" t="str">
        <f>VLOOKUP(Tabla1[[#This Row],[Code]],'[1]Articulos Precio'!$A:$E,5,FALSE)</f>
        <v>A0000103</v>
      </c>
    </row>
    <row r="2228" spans="1:9" x14ac:dyDescent="0.25">
      <c r="A2228" t="s">
        <v>668</v>
      </c>
      <c r="B2228" t="str">
        <f>VLOOKUP(Tabla1[[#This Row],[Code]],[1]!Tabla4[#Data],2,FALSE)</f>
        <v>M2 Metamark M7 169 Verde Cazador 0,61 x 50m</v>
      </c>
      <c r="C2228">
        <v>13</v>
      </c>
      <c r="D2228" t="s">
        <v>491</v>
      </c>
      <c r="E2228" t="str">
        <f>VLOOKUP(Tabla1[[#This Row],[Cód. Atributo]],[1]!Tabla5[#Data],6,FALSE)</f>
        <v>Color</v>
      </c>
      <c r="F2228">
        <v>2</v>
      </c>
      <c r="G2228">
        <v>76</v>
      </c>
      <c r="H2228" t="s">
        <v>669</v>
      </c>
      <c r="I2228" t="str">
        <f>VLOOKUP(Tabla1[[#This Row],[Code]],'[1]Articulos Precio'!$A:$E,5,FALSE)</f>
        <v>A0000103</v>
      </c>
    </row>
    <row r="2229" spans="1:9" x14ac:dyDescent="0.25">
      <c r="A2229" t="s">
        <v>668</v>
      </c>
      <c r="B2229" t="str">
        <f>VLOOKUP(Tabla1[[#This Row],[Code]],[1]!Tabla4[#Data],2,FALSE)</f>
        <v>M2 Metamark M7 169 Verde Cazador 0,61 x 50m</v>
      </c>
      <c r="C2229">
        <v>23</v>
      </c>
      <c r="D2229" t="s">
        <v>90</v>
      </c>
      <c r="E2229" t="str">
        <f>VLOOKUP(Tabla1[[#This Row],[Cód. Atributo]],[1]!Tabla5[#Data],6,FALSE)</f>
        <v>Select</v>
      </c>
      <c r="F2229">
        <v>3</v>
      </c>
      <c r="G2229">
        <v>2</v>
      </c>
      <c r="H2229" t="s">
        <v>136</v>
      </c>
      <c r="I2229" t="str">
        <f>VLOOKUP(Tabla1[[#This Row],[Code]],'[1]Articulos Precio'!$A:$E,5,FALSE)</f>
        <v>A0000103</v>
      </c>
    </row>
    <row r="2230" spans="1:9" x14ac:dyDescent="0.25">
      <c r="A2230" t="s">
        <v>668</v>
      </c>
      <c r="B2230" t="str">
        <f>VLOOKUP(Tabla1[[#This Row],[Code]],[1]!Tabla4[#Data],2,FALSE)</f>
        <v>M2 Metamark M7 169 Verde Cazador 0,61 x 50m</v>
      </c>
      <c r="C2230">
        <v>28</v>
      </c>
      <c r="D2230" t="s">
        <v>92</v>
      </c>
      <c r="E2230" t="str">
        <f>VLOOKUP(Tabla1[[#This Row],[Cód. Atributo]],[1]!Tabla5[#Data],6,FALSE)</f>
        <v>Select</v>
      </c>
      <c r="F2230">
        <v>4</v>
      </c>
      <c r="G2230">
        <v>1</v>
      </c>
      <c r="H2230" t="s">
        <v>93</v>
      </c>
      <c r="I2230" t="str">
        <f>VLOOKUP(Tabla1[[#This Row],[Code]],'[1]Articulos Precio'!$A:$E,5,FALSE)</f>
        <v>A0000103</v>
      </c>
    </row>
    <row r="2231" spans="1:9" x14ac:dyDescent="0.25">
      <c r="A2231" t="s">
        <v>668</v>
      </c>
      <c r="B2231" t="str">
        <f>VLOOKUP(Tabla1[[#This Row],[Code]],[1]!Tabla4[#Data],2,FALSE)</f>
        <v>M2 Metamark M7 169 Verde Cazador 0,61 x 50m</v>
      </c>
      <c r="C2231">
        <v>25</v>
      </c>
      <c r="D2231" t="s">
        <v>94</v>
      </c>
      <c r="E2231" t="str">
        <f>VLOOKUP(Tabla1[[#This Row],[Cód. Atributo]],[1]!Tabla5[#Data],6,FALSE)</f>
        <v>Select</v>
      </c>
      <c r="F2231">
        <v>5</v>
      </c>
      <c r="G2231">
        <v>4</v>
      </c>
      <c r="H2231" t="s">
        <v>137</v>
      </c>
      <c r="I2231" t="str">
        <f>VLOOKUP(Tabla1[[#This Row],[Code]],'[1]Articulos Precio'!$A:$E,5,FALSE)</f>
        <v>A0000103</v>
      </c>
    </row>
    <row r="2232" spans="1:9" x14ac:dyDescent="0.25">
      <c r="A2232" t="s">
        <v>668</v>
      </c>
      <c r="B2232" t="str">
        <f>VLOOKUP(Tabla1[[#This Row],[Code]],[1]!Tabla4[#Data],2,FALSE)</f>
        <v>M2 Metamark M7 169 Verde Cazador 0,61 x 50m</v>
      </c>
      <c r="C2232">
        <v>24</v>
      </c>
      <c r="D2232" t="s">
        <v>96</v>
      </c>
      <c r="E2232" t="str">
        <f>VLOOKUP(Tabla1[[#This Row],[Cód. Atributo]],[1]!Tabla5[#Data],6,FALSE)</f>
        <v>Select</v>
      </c>
      <c r="F2232">
        <v>6</v>
      </c>
      <c r="G2232">
        <v>2</v>
      </c>
      <c r="H2232" t="s">
        <v>266</v>
      </c>
      <c r="I2232" t="str">
        <f>VLOOKUP(Tabla1[[#This Row],[Code]],'[1]Articulos Precio'!$A:$E,5,FALSE)</f>
        <v>A0000103</v>
      </c>
    </row>
    <row r="2233" spans="1:9" x14ac:dyDescent="0.25">
      <c r="A2233" t="s">
        <v>670</v>
      </c>
      <c r="B2233" t="str">
        <f>VLOOKUP(Tabla1[[#This Row],[Code]],[1]!Tabla4[#Data],2,FALSE)</f>
        <v>M2 Metamark M7 169 Verde Cazador 1,22 x 50m</v>
      </c>
      <c r="C2233">
        <v>8</v>
      </c>
      <c r="D2233" t="s">
        <v>86</v>
      </c>
      <c r="E2233" t="str">
        <f>VLOOKUP(Tabla1[[#This Row],[Cód. Atributo]],[1]!Tabla5[#Data],6,FALSE)</f>
        <v>Select</v>
      </c>
      <c r="F2233">
        <v>1</v>
      </c>
      <c r="G2233">
        <v>2</v>
      </c>
      <c r="H2233" t="s">
        <v>268</v>
      </c>
      <c r="I2233" t="str">
        <f>VLOOKUP(Tabla1[[#This Row],[Code]],'[1]Articulos Precio'!$A:$E,5,FALSE)</f>
        <v>A0000103</v>
      </c>
    </row>
    <row r="2234" spans="1:9" x14ac:dyDescent="0.25">
      <c r="A2234" t="s">
        <v>670</v>
      </c>
      <c r="B2234" t="str">
        <f>VLOOKUP(Tabla1[[#This Row],[Code]],[1]!Tabla4[#Data],2,FALSE)</f>
        <v>M2 Metamark M7 169 Verde Cazador 1,22 x 50m</v>
      </c>
      <c r="C2234">
        <v>13</v>
      </c>
      <c r="D2234" t="s">
        <v>491</v>
      </c>
      <c r="E2234" t="str">
        <f>VLOOKUP(Tabla1[[#This Row],[Cód. Atributo]],[1]!Tabla5[#Data],6,FALSE)</f>
        <v>Color</v>
      </c>
      <c r="F2234">
        <v>2</v>
      </c>
      <c r="G2234">
        <v>76</v>
      </c>
      <c r="H2234" t="s">
        <v>669</v>
      </c>
      <c r="I2234" t="str">
        <f>VLOOKUP(Tabla1[[#This Row],[Code]],'[1]Articulos Precio'!$A:$E,5,FALSE)</f>
        <v>A0000103</v>
      </c>
    </row>
    <row r="2235" spans="1:9" x14ac:dyDescent="0.25">
      <c r="A2235" t="s">
        <v>670</v>
      </c>
      <c r="B2235" t="str">
        <f>VLOOKUP(Tabla1[[#This Row],[Code]],[1]!Tabla4[#Data],2,FALSE)</f>
        <v>M2 Metamark M7 169 Verde Cazador 1,22 x 50m</v>
      </c>
      <c r="C2235">
        <v>23</v>
      </c>
      <c r="D2235" t="s">
        <v>90</v>
      </c>
      <c r="E2235" t="str">
        <f>VLOOKUP(Tabla1[[#This Row],[Cód. Atributo]],[1]!Tabla5[#Data],6,FALSE)</f>
        <v>Select</v>
      </c>
      <c r="F2235">
        <v>3</v>
      </c>
      <c r="G2235">
        <v>2</v>
      </c>
      <c r="H2235" t="s">
        <v>136</v>
      </c>
      <c r="I2235" t="str">
        <f>VLOOKUP(Tabla1[[#This Row],[Code]],'[1]Articulos Precio'!$A:$E,5,FALSE)</f>
        <v>A0000103</v>
      </c>
    </row>
    <row r="2236" spans="1:9" x14ac:dyDescent="0.25">
      <c r="A2236" t="s">
        <v>670</v>
      </c>
      <c r="B2236" t="str">
        <f>VLOOKUP(Tabla1[[#This Row],[Code]],[1]!Tabla4[#Data],2,FALSE)</f>
        <v>M2 Metamark M7 169 Verde Cazador 1,22 x 50m</v>
      </c>
      <c r="C2236">
        <v>28</v>
      </c>
      <c r="D2236" t="s">
        <v>92</v>
      </c>
      <c r="E2236" t="str">
        <f>VLOOKUP(Tabla1[[#This Row],[Cód. Atributo]],[1]!Tabla5[#Data],6,FALSE)</f>
        <v>Select</v>
      </c>
      <c r="F2236">
        <v>4</v>
      </c>
      <c r="G2236">
        <v>1</v>
      </c>
      <c r="H2236" t="s">
        <v>93</v>
      </c>
      <c r="I2236" t="str">
        <f>VLOOKUP(Tabla1[[#This Row],[Code]],'[1]Articulos Precio'!$A:$E,5,FALSE)</f>
        <v>A0000103</v>
      </c>
    </row>
    <row r="2237" spans="1:9" x14ac:dyDescent="0.25">
      <c r="A2237" t="s">
        <v>670</v>
      </c>
      <c r="B2237" t="str">
        <f>VLOOKUP(Tabla1[[#This Row],[Code]],[1]!Tabla4[#Data],2,FALSE)</f>
        <v>M2 Metamark M7 169 Verde Cazador 1,22 x 50m</v>
      </c>
      <c r="C2237">
        <v>25</v>
      </c>
      <c r="D2237" t="s">
        <v>94</v>
      </c>
      <c r="E2237" t="str">
        <f>VLOOKUP(Tabla1[[#This Row],[Cód. Atributo]],[1]!Tabla5[#Data],6,FALSE)</f>
        <v>Select</v>
      </c>
      <c r="F2237">
        <v>5</v>
      </c>
      <c r="G2237">
        <v>4</v>
      </c>
      <c r="H2237" t="s">
        <v>137</v>
      </c>
      <c r="I2237" t="str">
        <f>VLOOKUP(Tabla1[[#This Row],[Code]],'[1]Articulos Precio'!$A:$E,5,FALSE)</f>
        <v>A0000103</v>
      </c>
    </row>
    <row r="2238" spans="1:9" x14ac:dyDescent="0.25">
      <c r="A2238" t="s">
        <v>670</v>
      </c>
      <c r="B2238" t="str">
        <f>VLOOKUP(Tabla1[[#This Row],[Code]],[1]!Tabla4[#Data],2,FALSE)</f>
        <v>M2 Metamark M7 169 Verde Cazador 1,22 x 50m</v>
      </c>
      <c r="C2238">
        <v>24</v>
      </c>
      <c r="D2238" t="s">
        <v>96</v>
      </c>
      <c r="E2238" t="str">
        <f>VLOOKUP(Tabla1[[#This Row],[Cód. Atributo]],[1]!Tabla5[#Data],6,FALSE)</f>
        <v>Select</v>
      </c>
      <c r="F2238">
        <v>6</v>
      </c>
      <c r="G2238">
        <v>2</v>
      </c>
      <c r="H2238" t="s">
        <v>266</v>
      </c>
      <c r="I2238" t="str">
        <f>VLOOKUP(Tabla1[[#This Row],[Code]],'[1]Articulos Precio'!$A:$E,5,FALSE)</f>
        <v>A0000103</v>
      </c>
    </row>
    <row r="2239" spans="1:9" x14ac:dyDescent="0.25">
      <c r="A2239" t="s">
        <v>671</v>
      </c>
      <c r="B2239" t="str">
        <f>VLOOKUP(Tabla1[[#This Row],[Code]],[1]!Tabla4[#Data],2,FALSE)</f>
        <v>M2 Metamark M7 170 Crema 0,61 x 50m</v>
      </c>
      <c r="C2239">
        <v>8</v>
      </c>
      <c r="D2239" t="s">
        <v>86</v>
      </c>
      <c r="E2239" t="str">
        <f>VLOOKUP(Tabla1[[#This Row],[Cód. Atributo]],[1]!Tabla5[#Data],6,FALSE)</f>
        <v>Select</v>
      </c>
      <c r="F2239">
        <v>1</v>
      </c>
      <c r="G2239">
        <v>1</v>
      </c>
      <c r="H2239" t="s">
        <v>263</v>
      </c>
      <c r="I2239" t="str">
        <f>VLOOKUP(Tabla1[[#This Row],[Code]],'[1]Articulos Precio'!$A:$E,5,FALSE)</f>
        <v>A0000103</v>
      </c>
    </row>
    <row r="2240" spans="1:9" x14ac:dyDescent="0.25">
      <c r="A2240" t="s">
        <v>671</v>
      </c>
      <c r="B2240" t="str">
        <f>VLOOKUP(Tabla1[[#This Row],[Code]],[1]!Tabla4[#Data],2,FALSE)</f>
        <v>M2 Metamark M7 170 Crema 0,61 x 50m</v>
      </c>
      <c r="C2240">
        <v>13</v>
      </c>
      <c r="D2240" t="s">
        <v>491</v>
      </c>
      <c r="E2240" t="str">
        <f>VLOOKUP(Tabla1[[#This Row],[Cód. Atributo]],[1]!Tabla5[#Data],6,FALSE)</f>
        <v>Color</v>
      </c>
      <c r="F2240">
        <v>2</v>
      </c>
      <c r="G2240">
        <v>41</v>
      </c>
      <c r="H2240" t="s">
        <v>672</v>
      </c>
      <c r="I2240" t="str">
        <f>VLOOKUP(Tabla1[[#This Row],[Code]],'[1]Articulos Precio'!$A:$E,5,FALSE)</f>
        <v>A0000103</v>
      </c>
    </row>
    <row r="2241" spans="1:9" x14ac:dyDescent="0.25">
      <c r="A2241" t="s">
        <v>671</v>
      </c>
      <c r="B2241" t="str">
        <f>VLOOKUP(Tabla1[[#This Row],[Code]],[1]!Tabla4[#Data],2,FALSE)</f>
        <v>M2 Metamark M7 170 Crema 0,61 x 50m</v>
      </c>
      <c r="C2241">
        <v>23</v>
      </c>
      <c r="D2241" t="s">
        <v>90</v>
      </c>
      <c r="E2241" t="str">
        <f>VLOOKUP(Tabla1[[#This Row],[Cód. Atributo]],[1]!Tabla5[#Data],6,FALSE)</f>
        <v>Select</v>
      </c>
      <c r="F2241">
        <v>3</v>
      </c>
      <c r="G2241">
        <v>2</v>
      </c>
      <c r="H2241" t="s">
        <v>136</v>
      </c>
      <c r="I2241" t="str">
        <f>VLOOKUP(Tabla1[[#This Row],[Code]],'[1]Articulos Precio'!$A:$E,5,FALSE)</f>
        <v>A0000103</v>
      </c>
    </row>
    <row r="2242" spans="1:9" x14ac:dyDescent="0.25">
      <c r="A2242" t="s">
        <v>671</v>
      </c>
      <c r="B2242" t="str">
        <f>VLOOKUP(Tabla1[[#This Row],[Code]],[1]!Tabla4[#Data],2,FALSE)</f>
        <v>M2 Metamark M7 170 Crema 0,61 x 50m</v>
      </c>
      <c r="C2242">
        <v>28</v>
      </c>
      <c r="D2242" t="s">
        <v>92</v>
      </c>
      <c r="E2242" t="str">
        <f>VLOOKUP(Tabla1[[#This Row],[Cód. Atributo]],[1]!Tabla5[#Data],6,FALSE)</f>
        <v>Select</v>
      </c>
      <c r="F2242">
        <v>4</v>
      </c>
      <c r="G2242">
        <v>1</v>
      </c>
      <c r="H2242" t="s">
        <v>93</v>
      </c>
      <c r="I2242" t="str">
        <f>VLOOKUP(Tabla1[[#This Row],[Code]],'[1]Articulos Precio'!$A:$E,5,FALSE)</f>
        <v>A0000103</v>
      </c>
    </row>
    <row r="2243" spans="1:9" x14ac:dyDescent="0.25">
      <c r="A2243" t="s">
        <v>671</v>
      </c>
      <c r="B2243" t="str">
        <f>VLOOKUP(Tabla1[[#This Row],[Code]],[1]!Tabla4[#Data],2,FALSE)</f>
        <v>M2 Metamark M7 170 Crema 0,61 x 50m</v>
      </c>
      <c r="C2243">
        <v>25</v>
      </c>
      <c r="D2243" t="s">
        <v>94</v>
      </c>
      <c r="E2243" t="str">
        <f>VLOOKUP(Tabla1[[#This Row],[Cód. Atributo]],[1]!Tabla5[#Data],6,FALSE)</f>
        <v>Select</v>
      </c>
      <c r="F2243">
        <v>5</v>
      </c>
      <c r="G2243">
        <v>4</v>
      </c>
      <c r="H2243" t="s">
        <v>137</v>
      </c>
      <c r="I2243" t="str">
        <f>VLOOKUP(Tabla1[[#This Row],[Code]],'[1]Articulos Precio'!$A:$E,5,FALSE)</f>
        <v>A0000103</v>
      </c>
    </row>
    <row r="2244" spans="1:9" x14ac:dyDescent="0.25">
      <c r="A2244" t="s">
        <v>671</v>
      </c>
      <c r="B2244" t="str">
        <f>VLOOKUP(Tabla1[[#This Row],[Code]],[1]!Tabla4[#Data],2,FALSE)</f>
        <v>M2 Metamark M7 170 Crema 0,61 x 50m</v>
      </c>
      <c r="C2244">
        <v>24</v>
      </c>
      <c r="D2244" t="s">
        <v>96</v>
      </c>
      <c r="E2244" t="str">
        <f>VLOOKUP(Tabla1[[#This Row],[Cód. Atributo]],[1]!Tabla5[#Data],6,FALSE)</f>
        <v>Select</v>
      </c>
      <c r="F2244">
        <v>6</v>
      </c>
      <c r="G2244">
        <v>2</v>
      </c>
      <c r="H2244" t="s">
        <v>266</v>
      </c>
      <c r="I2244" t="str">
        <f>VLOOKUP(Tabla1[[#This Row],[Code]],'[1]Articulos Precio'!$A:$E,5,FALSE)</f>
        <v>A0000103</v>
      </c>
    </row>
    <row r="2245" spans="1:9" x14ac:dyDescent="0.25">
      <c r="A2245" t="s">
        <v>673</v>
      </c>
      <c r="B2245" t="str">
        <f>VLOOKUP(Tabla1[[#This Row],[Code]],[1]!Tabla4[#Data],2,FALSE)</f>
        <v>M2 Metamark M7 170 Crema 1,22 x 50m</v>
      </c>
      <c r="C2245">
        <v>8</v>
      </c>
      <c r="D2245" t="s">
        <v>86</v>
      </c>
      <c r="E2245" t="str">
        <f>VLOOKUP(Tabla1[[#This Row],[Cód. Atributo]],[1]!Tabla5[#Data],6,FALSE)</f>
        <v>Select</v>
      </c>
      <c r="F2245">
        <v>1</v>
      </c>
      <c r="G2245">
        <v>2</v>
      </c>
      <c r="H2245" t="s">
        <v>268</v>
      </c>
      <c r="I2245" t="str">
        <f>VLOOKUP(Tabla1[[#This Row],[Code]],'[1]Articulos Precio'!$A:$E,5,FALSE)</f>
        <v>A0000103</v>
      </c>
    </row>
    <row r="2246" spans="1:9" x14ac:dyDescent="0.25">
      <c r="A2246" t="s">
        <v>673</v>
      </c>
      <c r="B2246" t="str">
        <f>VLOOKUP(Tabla1[[#This Row],[Code]],[1]!Tabla4[#Data],2,FALSE)</f>
        <v>M2 Metamark M7 170 Crema 1,22 x 50m</v>
      </c>
      <c r="C2246">
        <v>13</v>
      </c>
      <c r="D2246" t="s">
        <v>491</v>
      </c>
      <c r="E2246" t="str">
        <f>VLOOKUP(Tabla1[[#This Row],[Cód. Atributo]],[1]!Tabla5[#Data],6,FALSE)</f>
        <v>Color</v>
      </c>
      <c r="F2246">
        <v>2</v>
      </c>
      <c r="G2246">
        <v>41</v>
      </c>
      <c r="H2246" t="s">
        <v>672</v>
      </c>
      <c r="I2246" t="str">
        <f>VLOOKUP(Tabla1[[#This Row],[Code]],'[1]Articulos Precio'!$A:$E,5,FALSE)</f>
        <v>A0000103</v>
      </c>
    </row>
    <row r="2247" spans="1:9" x14ac:dyDescent="0.25">
      <c r="A2247" t="s">
        <v>673</v>
      </c>
      <c r="B2247" t="str">
        <f>VLOOKUP(Tabla1[[#This Row],[Code]],[1]!Tabla4[#Data],2,FALSE)</f>
        <v>M2 Metamark M7 170 Crema 1,22 x 50m</v>
      </c>
      <c r="C2247">
        <v>23</v>
      </c>
      <c r="D2247" t="s">
        <v>90</v>
      </c>
      <c r="E2247" t="str">
        <f>VLOOKUP(Tabla1[[#This Row],[Cód. Atributo]],[1]!Tabla5[#Data],6,FALSE)</f>
        <v>Select</v>
      </c>
      <c r="F2247">
        <v>3</v>
      </c>
      <c r="G2247">
        <v>2</v>
      </c>
      <c r="H2247" t="s">
        <v>136</v>
      </c>
      <c r="I2247" t="str">
        <f>VLOOKUP(Tabla1[[#This Row],[Code]],'[1]Articulos Precio'!$A:$E,5,FALSE)</f>
        <v>A0000103</v>
      </c>
    </row>
    <row r="2248" spans="1:9" x14ac:dyDescent="0.25">
      <c r="A2248" t="s">
        <v>673</v>
      </c>
      <c r="B2248" t="str">
        <f>VLOOKUP(Tabla1[[#This Row],[Code]],[1]!Tabla4[#Data],2,FALSE)</f>
        <v>M2 Metamark M7 170 Crema 1,22 x 50m</v>
      </c>
      <c r="C2248">
        <v>28</v>
      </c>
      <c r="D2248" t="s">
        <v>92</v>
      </c>
      <c r="E2248" t="str">
        <f>VLOOKUP(Tabla1[[#This Row],[Cód. Atributo]],[1]!Tabla5[#Data],6,FALSE)</f>
        <v>Select</v>
      </c>
      <c r="F2248">
        <v>4</v>
      </c>
      <c r="G2248">
        <v>1</v>
      </c>
      <c r="H2248" t="s">
        <v>93</v>
      </c>
      <c r="I2248" t="str">
        <f>VLOOKUP(Tabla1[[#This Row],[Code]],'[1]Articulos Precio'!$A:$E,5,FALSE)</f>
        <v>A0000103</v>
      </c>
    </row>
    <row r="2249" spans="1:9" x14ac:dyDescent="0.25">
      <c r="A2249" t="s">
        <v>673</v>
      </c>
      <c r="B2249" t="str">
        <f>VLOOKUP(Tabla1[[#This Row],[Code]],[1]!Tabla4[#Data],2,FALSE)</f>
        <v>M2 Metamark M7 170 Crema 1,22 x 50m</v>
      </c>
      <c r="C2249">
        <v>25</v>
      </c>
      <c r="D2249" t="s">
        <v>94</v>
      </c>
      <c r="E2249" t="str">
        <f>VLOOKUP(Tabla1[[#This Row],[Cód. Atributo]],[1]!Tabla5[#Data],6,FALSE)</f>
        <v>Select</v>
      </c>
      <c r="F2249">
        <v>5</v>
      </c>
      <c r="G2249">
        <v>4</v>
      </c>
      <c r="H2249" t="s">
        <v>137</v>
      </c>
      <c r="I2249" t="str">
        <f>VLOOKUP(Tabla1[[#This Row],[Code]],'[1]Articulos Precio'!$A:$E,5,FALSE)</f>
        <v>A0000103</v>
      </c>
    </row>
    <row r="2250" spans="1:9" x14ac:dyDescent="0.25">
      <c r="A2250" t="s">
        <v>673</v>
      </c>
      <c r="B2250" t="str">
        <f>VLOOKUP(Tabla1[[#This Row],[Code]],[1]!Tabla4[#Data],2,FALSE)</f>
        <v>M2 Metamark M7 170 Crema 1,22 x 50m</v>
      </c>
      <c r="C2250">
        <v>24</v>
      </c>
      <c r="D2250" t="s">
        <v>96</v>
      </c>
      <c r="E2250" t="str">
        <f>VLOOKUP(Tabla1[[#This Row],[Cód. Atributo]],[1]!Tabla5[#Data],6,FALSE)</f>
        <v>Select</v>
      </c>
      <c r="F2250">
        <v>6</v>
      </c>
      <c r="G2250">
        <v>2</v>
      </c>
      <c r="H2250" t="s">
        <v>266</v>
      </c>
      <c r="I2250" t="str">
        <f>VLOOKUP(Tabla1[[#This Row],[Code]],'[1]Articulos Precio'!$A:$E,5,FALSE)</f>
        <v>A0000103</v>
      </c>
    </row>
    <row r="2251" spans="1:9" x14ac:dyDescent="0.25">
      <c r="A2251" t="s">
        <v>674</v>
      </c>
      <c r="B2251" t="str">
        <f>VLOOKUP(Tabla1[[#This Row],[Code]],[1]!Tabla4[#Data],2,FALSE)</f>
        <v>M2 Metamark M7 171 Marrón 0,61 x 50m</v>
      </c>
      <c r="C2251">
        <v>8</v>
      </c>
      <c r="D2251" t="s">
        <v>86</v>
      </c>
      <c r="E2251" t="str">
        <f>VLOOKUP(Tabla1[[#This Row],[Cód. Atributo]],[1]!Tabla5[#Data],6,FALSE)</f>
        <v>Select</v>
      </c>
      <c r="F2251">
        <v>1</v>
      </c>
      <c r="G2251">
        <v>1</v>
      </c>
      <c r="H2251" t="s">
        <v>263</v>
      </c>
      <c r="I2251" t="str">
        <f>VLOOKUP(Tabla1[[#This Row],[Code]],'[1]Articulos Precio'!$A:$E,5,FALSE)</f>
        <v>A0000103</v>
      </c>
    </row>
    <row r="2252" spans="1:9" x14ac:dyDescent="0.25">
      <c r="A2252" t="s">
        <v>674</v>
      </c>
      <c r="B2252" t="str">
        <f>VLOOKUP(Tabla1[[#This Row],[Code]],[1]!Tabla4[#Data],2,FALSE)</f>
        <v>M2 Metamark M7 171 Marrón 0,61 x 50m</v>
      </c>
      <c r="C2252">
        <v>13</v>
      </c>
      <c r="D2252" t="s">
        <v>491</v>
      </c>
      <c r="E2252" t="str">
        <f>VLOOKUP(Tabla1[[#This Row],[Cód. Atributo]],[1]!Tabla5[#Data],6,FALSE)</f>
        <v>Color</v>
      </c>
      <c r="F2252">
        <v>2</v>
      </c>
      <c r="G2252">
        <v>42</v>
      </c>
      <c r="H2252" t="s">
        <v>675</v>
      </c>
      <c r="I2252" t="str">
        <f>VLOOKUP(Tabla1[[#This Row],[Code]],'[1]Articulos Precio'!$A:$E,5,FALSE)</f>
        <v>A0000103</v>
      </c>
    </row>
    <row r="2253" spans="1:9" x14ac:dyDescent="0.25">
      <c r="A2253" t="s">
        <v>674</v>
      </c>
      <c r="B2253" t="str">
        <f>VLOOKUP(Tabla1[[#This Row],[Code]],[1]!Tabla4[#Data],2,FALSE)</f>
        <v>M2 Metamark M7 171 Marrón 0,61 x 50m</v>
      </c>
      <c r="C2253">
        <v>23</v>
      </c>
      <c r="D2253" t="s">
        <v>90</v>
      </c>
      <c r="E2253" t="str">
        <f>VLOOKUP(Tabla1[[#This Row],[Cód. Atributo]],[1]!Tabla5[#Data],6,FALSE)</f>
        <v>Select</v>
      </c>
      <c r="F2253">
        <v>3</v>
      </c>
      <c r="G2253">
        <v>2</v>
      </c>
      <c r="H2253" t="s">
        <v>136</v>
      </c>
      <c r="I2253" t="str">
        <f>VLOOKUP(Tabla1[[#This Row],[Code]],'[1]Articulos Precio'!$A:$E,5,FALSE)</f>
        <v>A0000103</v>
      </c>
    </row>
    <row r="2254" spans="1:9" x14ac:dyDescent="0.25">
      <c r="A2254" t="s">
        <v>674</v>
      </c>
      <c r="B2254" t="str">
        <f>VLOOKUP(Tabla1[[#This Row],[Code]],[1]!Tabla4[#Data],2,FALSE)</f>
        <v>M2 Metamark M7 171 Marrón 0,61 x 50m</v>
      </c>
      <c r="C2254">
        <v>28</v>
      </c>
      <c r="D2254" t="s">
        <v>92</v>
      </c>
      <c r="E2254" t="str">
        <f>VLOOKUP(Tabla1[[#This Row],[Cód. Atributo]],[1]!Tabla5[#Data],6,FALSE)</f>
        <v>Select</v>
      </c>
      <c r="F2254">
        <v>4</v>
      </c>
      <c r="G2254">
        <v>1</v>
      </c>
      <c r="H2254" t="s">
        <v>93</v>
      </c>
      <c r="I2254" t="str">
        <f>VLOOKUP(Tabla1[[#This Row],[Code]],'[1]Articulos Precio'!$A:$E,5,FALSE)</f>
        <v>A0000103</v>
      </c>
    </row>
    <row r="2255" spans="1:9" x14ac:dyDescent="0.25">
      <c r="A2255" t="s">
        <v>674</v>
      </c>
      <c r="B2255" t="str">
        <f>VLOOKUP(Tabla1[[#This Row],[Code]],[1]!Tabla4[#Data],2,FALSE)</f>
        <v>M2 Metamark M7 171 Marrón 0,61 x 50m</v>
      </c>
      <c r="C2255">
        <v>25</v>
      </c>
      <c r="D2255" t="s">
        <v>94</v>
      </c>
      <c r="E2255" t="str">
        <f>VLOOKUP(Tabla1[[#This Row],[Cód. Atributo]],[1]!Tabla5[#Data],6,FALSE)</f>
        <v>Select</v>
      </c>
      <c r="F2255">
        <v>5</v>
      </c>
      <c r="G2255">
        <v>4</v>
      </c>
      <c r="H2255" t="s">
        <v>137</v>
      </c>
      <c r="I2255" t="str">
        <f>VLOOKUP(Tabla1[[#This Row],[Code]],'[1]Articulos Precio'!$A:$E,5,FALSE)</f>
        <v>A0000103</v>
      </c>
    </row>
    <row r="2256" spans="1:9" x14ac:dyDescent="0.25">
      <c r="A2256" t="s">
        <v>674</v>
      </c>
      <c r="B2256" t="str">
        <f>VLOOKUP(Tabla1[[#This Row],[Code]],[1]!Tabla4[#Data],2,FALSE)</f>
        <v>M2 Metamark M7 171 Marrón 0,61 x 50m</v>
      </c>
      <c r="C2256">
        <v>24</v>
      </c>
      <c r="D2256" t="s">
        <v>96</v>
      </c>
      <c r="E2256" t="str">
        <f>VLOOKUP(Tabla1[[#This Row],[Cód. Atributo]],[1]!Tabla5[#Data],6,FALSE)</f>
        <v>Select</v>
      </c>
      <c r="F2256">
        <v>6</v>
      </c>
      <c r="G2256">
        <v>2</v>
      </c>
      <c r="H2256" t="s">
        <v>266</v>
      </c>
      <c r="I2256" t="str">
        <f>VLOOKUP(Tabla1[[#This Row],[Code]],'[1]Articulos Precio'!$A:$E,5,FALSE)</f>
        <v>A0000103</v>
      </c>
    </row>
    <row r="2257" spans="1:9" x14ac:dyDescent="0.25">
      <c r="A2257" t="s">
        <v>676</v>
      </c>
      <c r="B2257" t="str">
        <f>VLOOKUP(Tabla1[[#This Row],[Code]],[1]!Tabla4[#Data],2,FALSE)</f>
        <v>M2 Metamark M7 171 Marrón 1,22 x 50m</v>
      </c>
      <c r="C2257">
        <v>8</v>
      </c>
      <c r="D2257" t="s">
        <v>86</v>
      </c>
      <c r="E2257" t="str">
        <f>VLOOKUP(Tabla1[[#This Row],[Cód. Atributo]],[1]!Tabla5[#Data],6,FALSE)</f>
        <v>Select</v>
      </c>
      <c r="F2257">
        <v>1</v>
      </c>
      <c r="G2257">
        <v>2</v>
      </c>
      <c r="H2257" t="s">
        <v>268</v>
      </c>
      <c r="I2257" t="str">
        <f>VLOOKUP(Tabla1[[#This Row],[Code]],'[1]Articulos Precio'!$A:$E,5,FALSE)</f>
        <v>A0000103</v>
      </c>
    </row>
    <row r="2258" spans="1:9" x14ac:dyDescent="0.25">
      <c r="A2258" t="s">
        <v>676</v>
      </c>
      <c r="B2258" t="str">
        <f>VLOOKUP(Tabla1[[#This Row],[Code]],[1]!Tabla4[#Data],2,FALSE)</f>
        <v>M2 Metamark M7 171 Marrón 1,22 x 50m</v>
      </c>
      <c r="C2258">
        <v>13</v>
      </c>
      <c r="D2258" t="s">
        <v>491</v>
      </c>
      <c r="E2258" t="str">
        <f>VLOOKUP(Tabla1[[#This Row],[Cód. Atributo]],[1]!Tabla5[#Data],6,FALSE)</f>
        <v>Color</v>
      </c>
      <c r="F2258">
        <v>2</v>
      </c>
      <c r="G2258">
        <v>42</v>
      </c>
      <c r="H2258" t="s">
        <v>675</v>
      </c>
      <c r="I2258" t="str">
        <f>VLOOKUP(Tabla1[[#This Row],[Code]],'[1]Articulos Precio'!$A:$E,5,FALSE)</f>
        <v>A0000103</v>
      </c>
    </row>
    <row r="2259" spans="1:9" x14ac:dyDescent="0.25">
      <c r="A2259" t="s">
        <v>676</v>
      </c>
      <c r="B2259" t="str">
        <f>VLOOKUP(Tabla1[[#This Row],[Code]],[1]!Tabla4[#Data],2,FALSE)</f>
        <v>M2 Metamark M7 171 Marrón 1,22 x 50m</v>
      </c>
      <c r="C2259">
        <v>23</v>
      </c>
      <c r="D2259" t="s">
        <v>90</v>
      </c>
      <c r="E2259" t="str">
        <f>VLOOKUP(Tabla1[[#This Row],[Cód. Atributo]],[1]!Tabla5[#Data],6,FALSE)</f>
        <v>Select</v>
      </c>
      <c r="F2259">
        <v>3</v>
      </c>
      <c r="G2259">
        <v>2</v>
      </c>
      <c r="H2259" t="s">
        <v>136</v>
      </c>
      <c r="I2259" t="str">
        <f>VLOOKUP(Tabla1[[#This Row],[Code]],'[1]Articulos Precio'!$A:$E,5,FALSE)</f>
        <v>A0000103</v>
      </c>
    </row>
    <row r="2260" spans="1:9" x14ac:dyDescent="0.25">
      <c r="A2260" t="s">
        <v>676</v>
      </c>
      <c r="B2260" t="str">
        <f>VLOOKUP(Tabla1[[#This Row],[Code]],[1]!Tabla4[#Data],2,FALSE)</f>
        <v>M2 Metamark M7 171 Marrón 1,22 x 50m</v>
      </c>
      <c r="C2260">
        <v>28</v>
      </c>
      <c r="D2260" t="s">
        <v>92</v>
      </c>
      <c r="E2260" t="str">
        <f>VLOOKUP(Tabla1[[#This Row],[Cód. Atributo]],[1]!Tabla5[#Data],6,FALSE)</f>
        <v>Select</v>
      </c>
      <c r="F2260">
        <v>4</v>
      </c>
      <c r="G2260">
        <v>1</v>
      </c>
      <c r="H2260" t="s">
        <v>93</v>
      </c>
      <c r="I2260" t="str">
        <f>VLOOKUP(Tabla1[[#This Row],[Code]],'[1]Articulos Precio'!$A:$E,5,FALSE)</f>
        <v>A0000103</v>
      </c>
    </row>
    <row r="2261" spans="1:9" x14ac:dyDescent="0.25">
      <c r="A2261" t="s">
        <v>676</v>
      </c>
      <c r="B2261" t="str">
        <f>VLOOKUP(Tabla1[[#This Row],[Code]],[1]!Tabla4[#Data],2,FALSE)</f>
        <v>M2 Metamark M7 171 Marrón 1,22 x 50m</v>
      </c>
      <c r="C2261">
        <v>25</v>
      </c>
      <c r="D2261" t="s">
        <v>94</v>
      </c>
      <c r="E2261" t="str">
        <f>VLOOKUP(Tabla1[[#This Row],[Cód. Atributo]],[1]!Tabla5[#Data],6,FALSE)</f>
        <v>Select</v>
      </c>
      <c r="F2261">
        <v>5</v>
      </c>
      <c r="G2261">
        <v>4</v>
      </c>
      <c r="H2261" t="s">
        <v>137</v>
      </c>
      <c r="I2261" t="str">
        <f>VLOOKUP(Tabla1[[#This Row],[Code]],'[1]Articulos Precio'!$A:$E,5,FALSE)</f>
        <v>A0000103</v>
      </c>
    </row>
    <row r="2262" spans="1:9" x14ac:dyDescent="0.25">
      <c r="A2262" t="s">
        <v>676</v>
      </c>
      <c r="B2262" t="str">
        <f>VLOOKUP(Tabla1[[#This Row],[Code]],[1]!Tabla4[#Data],2,FALSE)</f>
        <v>M2 Metamark M7 171 Marrón 1,22 x 50m</v>
      </c>
      <c r="C2262">
        <v>24</v>
      </c>
      <c r="D2262" t="s">
        <v>96</v>
      </c>
      <c r="E2262" t="str">
        <f>VLOOKUP(Tabla1[[#This Row],[Cód. Atributo]],[1]!Tabla5[#Data],6,FALSE)</f>
        <v>Select</v>
      </c>
      <c r="F2262">
        <v>6</v>
      </c>
      <c r="G2262">
        <v>2</v>
      </c>
      <c r="H2262" t="s">
        <v>266</v>
      </c>
      <c r="I2262" t="str">
        <f>VLOOKUP(Tabla1[[#This Row],[Code]],'[1]Articulos Precio'!$A:$E,5,FALSE)</f>
        <v>A0000103</v>
      </c>
    </row>
    <row r="2263" spans="1:9" x14ac:dyDescent="0.25">
      <c r="A2263" t="s">
        <v>677</v>
      </c>
      <c r="B2263" t="str">
        <f>VLOOKUP(Tabla1[[#This Row],[Code]],[1]!Tabla4[#Data],2,FALSE)</f>
        <v>M2 Metamark M7 172 Almendra 0,61 x 50m</v>
      </c>
      <c r="C2263">
        <v>8</v>
      </c>
      <c r="D2263" t="s">
        <v>86</v>
      </c>
      <c r="E2263" t="str">
        <f>VLOOKUP(Tabla1[[#This Row],[Cód. Atributo]],[1]!Tabla5[#Data],6,FALSE)</f>
        <v>Select</v>
      </c>
      <c r="F2263">
        <v>1</v>
      </c>
      <c r="G2263">
        <v>1</v>
      </c>
      <c r="H2263" t="s">
        <v>263</v>
      </c>
      <c r="I2263" t="str">
        <f>VLOOKUP(Tabla1[[#This Row],[Code]],'[1]Articulos Precio'!$A:$E,5,FALSE)</f>
        <v>A0000103</v>
      </c>
    </row>
    <row r="2264" spans="1:9" x14ac:dyDescent="0.25">
      <c r="A2264" t="s">
        <v>677</v>
      </c>
      <c r="B2264" t="str">
        <f>VLOOKUP(Tabla1[[#This Row],[Code]],[1]!Tabla4[#Data],2,FALSE)</f>
        <v>M2 Metamark M7 172 Almendra 0,61 x 50m</v>
      </c>
      <c r="C2264">
        <v>13</v>
      </c>
      <c r="D2264" t="s">
        <v>491</v>
      </c>
      <c r="E2264" t="str">
        <f>VLOOKUP(Tabla1[[#This Row],[Cód. Atributo]],[1]!Tabla5[#Data],6,FALSE)</f>
        <v>Color</v>
      </c>
      <c r="F2264">
        <v>2</v>
      </c>
      <c r="G2264">
        <v>43</v>
      </c>
      <c r="H2264" t="s">
        <v>678</v>
      </c>
      <c r="I2264" t="str">
        <f>VLOOKUP(Tabla1[[#This Row],[Code]],'[1]Articulos Precio'!$A:$E,5,FALSE)</f>
        <v>A0000103</v>
      </c>
    </row>
    <row r="2265" spans="1:9" x14ac:dyDescent="0.25">
      <c r="A2265" t="s">
        <v>677</v>
      </c>
      <c r="B2265" t="str">
        <f>VLOOKUP(Tabla1[[#This Row],[Code]],[1]!Tabla4[#Data],2,FALSE)</f>
        <v>M2 Metamark M7 172 Almendra 0,61 x 50m</v>
      </c>
      <c r="C2265">
        <v>23</v>
      </c>
      <c r="D2265" t="s">
        <v>90</v>
      </c>
      <c r="E2265" t="str">
        <f>VLOOKUP(Tabla1[[#This Row],[Cód. Atributo]],[1]!Tabla5[#Data],6,FALSE)</f>
        <v>Select</v>
      </c>
      <c r="F2265">
        <v>3</v>
      </c>
      <c r="G2265">
        <v>2</v>
      </c>
      <c r="H2265" t="s">
        <v>136</v>
      </c>
      <c r="I2265" t="str">
        <f>VLOOKUP(Tabla1[[#This Row],[Code]],'[1]Articulos Precio'!$A:$E,5,FALSE)</f>
        <v>A0000103</v>
      </c>
    </row>
    <row r="2266" spans="1:9" x14ac:dyDescent="0.25">
      <c r="A2266" t="s">
        <v>677</v>
      </c>
      <c r="B2266" t="str">
        <f>VLOOKUP(Tabla1[[#This Row],[Code]],[1]!Tabla4[#Data],2,FALSE)</f>
        <v>M2 Metamark M7 172 Almendra 0,61 x 50m</v>
      </c>
      <c r="C2266">
        <v>28</v>
      </c>
      <c r="D2266" t="s">
        <v>92</v>
      </c>
      <c r="E2266" t="str">
        <f>VLOOKUP(Tabla1[[#This Row],[Cód. Atributo]],[1]!Tabla5[#Data],6,FALSE)</f>
        <v>Select</v>
      </c>
      <c r="F2266">
        <v>4</v>
      </c>
      <c r="G2266">
        <v>1</v>
      </c>
      <c r="H2266" t="s">
        <v>93</v>
      </c>
      <c r="I2266" t="str">
        <f>VLOOKUP(Tabla1[[#This Row],[Code]],'[1]Articulos Precio'!$A:$E,5,FALSE)</f>
        <v>A0000103</v>
      </c>
    </row>
    <row r="2267" spans="1:9" x14ac:dyDescent="0.25">
      <c r="A2267" t="s">
        <v>677</v>
      </c>
      <c r="B2267" t="str">
        <f>VLOOKUP(Tabla1[[#This Row],[Code]],[1]!Tabla4[#Data],2,FALSE)</f>
        <v>M2 Metamark M7 172 Almendra 0,61 x 50m</v>
      </c>
      <c r="C2267">
        <v>25</v>
      </c>
      <c r="D2267" t="s">
        <v>94</v>
      </c>
      <c r="E2267" t="str">
        <f>VLOOKUP(Tabla1[[#This Row],[Cód. Atributo]],[1]!Tabla5[#Data],6,FALSE)</f>
        <v>Select</v>
      </c>
      <c r="F2267">
        <v>5</v>
      </c>
      <c r="G2267">
        <v>4</v>
      </c>
      <c r="H2267" t="s">
        <v>137</v>
      </c>
      <c r="I2267" t="str">
        <f>VLOOKUP(Tabla1[[#This Row],[Code]],'[1]Articulos Precio'!$A:$E,5,FALSE)</f>
        <v>A0000103</v>
      </c>
    </row>
    <row r="2268" spans="1:9" x14ac:dyDescent="0.25">
      <c r="A2268" t="s">
        <v>677</v>
      </c>
      <c r="B2268" t="str">
        <f>VLOOKUP(Tabla1[[#This Row],[Code]],[1]!Tabla4[#Data],2,FALSE)</f>
        <v>M2 Metamark M7 172 Almendra 0,61 x 50m</v>
      </c>
      <c r="C2268">
        <v>24</v>
      </c>
      <c r="D2268" t="s">
        <v>96</v>
      </c>
      <c r="E2268" t="str">
        <f>VLOOKUP(Tabla1[[#This Row],[Cód. Atributo]],[1]!Tabla5[#Data],6,FALSE)</f>
        <v>Select</v>
      </c>
      <c r="F2268">
        <v>6</v>
      </c>
      <c r="G2268">
        <v>2</v>
      </c>
      <c r="H2268" t="s">
        <v>266</v>
      </c>
      <c r="I2268" t="str">
        <f>VLOOKUP(Tabla1[[#This Row],[Code]],'[1]Articulos Precio'!$A:$E,5,FALSE)</f>
        <v>A0000103</v>
      </c>
    </row>
    <row r="2269" spans="1:9" x14ac:dyDescent="0.25">
      <c r="A2269" t="s">
        <v>679</v>
      </c>
      <c r="B2269" t="str">
        <f>VLOOKUP(Tabla1[[#This Row],[Code]],[1]!Tabla4[#Data],2,FALSE)</f>
        <v>M2 Metamark M7 172 Almendra 1,22 x 50m</v>
      </c>
      <c r="C2269">
        <v>8</v>
      </c>
      <c r="D2269" t="s">
        <v>86</v>
      </c>
      <c r="E2269" t="str">
        <f>VLOOKUP(Tabla1[[#This Row],[Cód. Atributo]],[1]!Tabla5[#Data],6,FALSE)</f>
        <v>Select</v>
      </c>
      <c r="F2269">
        <v>1</v>
      </c>
      <c r="G2269">
        <v>2</v>
      </c>
      <c r="H2269" t="s">
        <v>268</v>
      </c>
      <c r="I2269" t="str">
        <f>VLOOKUP(Tabla1[[#This Row],[Code]],'[1]Articulos Precio'!$A:$E,5,FALSE)</f>
        <v>A0000103</v>
      </c>
    </row>
    <row r="2270" spans="1:9" x14ac:dyDescent="0.25">
      <c r="A2270" t="s">
        <v>679</v>
      </c>
      <c r="B2270" t="str">
        <f>VLOOKUP(Tabla1[[#This Row],[Code]],[1]!Tabla4[#Data],2,FALSE)</f>
        <v>M2 Metamark M7 172 Almendra 1,22 x 50m</v>
      </c>
      <c r="C2270">
        <v>13</v>
      </c>
      <c r="D2270" t="s">
        <v>491</v>
      </c>
      <c r="E2270" t="str">
        <f>VLOOKUP(Tabla1[[#This Row],[Cód. Atributo]],[1]!Tabla5[#Data],6,FALSE)</f>
        <v>Color</v>
      </c>
      <c r="F2270">
        <v>2</v>
      </c>
      <c r="G2270">
        <v>43</v>
      </c>
      <c r="H2270" t="s">
        <v>678</v>
      </c>
      <c r="I2270" t="str">
        <f>VLOOKUP(Tabla1[[#This Row],[Code]],'[1]Articulos Precio'!$A:$E,5,FALSE)</f>
        <v>A0000103</v>
      </c>
    </row>
    <row r="2271" spans="1:9" x14ac:dyDescent="0.25">
      <c r="A2271" t="s">
        <v>679</v>
      </c>
      <c r="B2271" t="str">
        <f>VLOOKUP(Tabla1[[#This Row],[Code]],[1]!Tabla4[#Data],2,FALSE)</f>
        <v>M2 Metamark M7 172 Almendra 1,22 x 50m</v>
      </c>
      <c r="C2271">
        <v>23</v>
      </c>
      <c r="D2271" t="s">
        <v>90</v>
      </c>
      <c r="E2271" t="str">
        <f>VLOOKUP(Tabla1[[#This Row],[Cód. Atributo]],[1]!Tabla5[#Data],6,FALSE)</f>
        <v>Select</v>
      </c>
      <c r="F2271">
        <v>3</v>
      </c>
      <c r="G2271">
        <v>2</v>
      </c>
      <c r="H2271" t="s">
        <v>136</v>
      </c>
      <c r="I2271" t="str">
        <f>VLOOKUP(Tabla1[[#This Row],[Code]],'[1]Articulos Precio'!$A:$E,5,FALSE)</f>
        <v>A0000103</v>
      </c>
    </row>
    <row r="2272" spans="1:9" x14ac:dyDescent="0.25">
      <c r="A2272" t="s">
        <v>679</v>
      </c>
      <c r="B2272" t="str">
        <f>VLOOKUP(Tabla1[[#This Row],[Code]],[1]!Tabla4[#Data],2,FALSE)</f>
        <v>M2 Metamark M7 172 Almendra 1,22 x 50m</v>
      </c>
      <c r="C2272">
        <v>28</v>
      </c>
      <c r="D2272" t="s">
        <v>92</v>
      </c>
      <c r="E2272" t="str">
        <f>VLOOKUP(Tabla1[[#This Row],[Cód. Atributo]],[1]!Tabla5[#Data],6,FALSE)</f>
        <v>Select</v>
      </c>
      <c r="F2272">
        <v>4</v>
      </c>
      <c r="G2272">
        <v>1</v>
      </c>
      <c r="H2272" t="s">
        <v>93</v>
      </c>
      <c r="I2272" t="str">
        <f>VLOOKUP(Tabla1[[#This Row],[Code]],'[1]Articulos Precio'!$A:$E,5,FALSE)</f>
        <v>A0000103</v>
      </c>
    </row>
    <row r="2273" spans="1:9" x14ac:dyDescent="0.25">
      <c r="A2273" t="s">
        <v>679</v>
      </c>
      <c r="B2273" t="str">
        <f>VLOOKUP(Tabla1[[#This Row],[Code]],[1]!Tabla4[#Data],2,FALSE)</f>
        <v>M2 Metamark M7 172 Almendra 1,22 x 50m</v>
      </c>
      <c r="C2273">
        <v>25</v>
      </c>
      <c r="D2273" t="s">
        <v>94</v>
      </c>
      <c r="E2273" t="str">
        <f>VLOOKUP(Tabla1[[#This Row],[Cód. Atributo]],[1]!Tabla5[#Data],6,FALSE)</f>
        <v>Select</v>
      </c>
      <c r="F2273">
        <v>5</v>
      </c>
      <c r="G2273">
        <v>4</v>
      </c>
      <c r="H2273" t="s">
        <v>137</v>
      </c>
      <c r="I2273" t="str">
        <f>VLOOKUP(Tabla1[[#This Row],[Code]],'[1]Articulos Precio'!$A:$E,5,FALSE)</f>
        <v>A0000103</v>
      </c>
    </row>
    <row r="2274" spans="1:9" x14ac:dyDescent="0.25">
      <c r="A2274" t="s">
        <v>679</v>
      </c>
      <c r="B2274" t="str">
        <f>VLOOKUP(Tabla1[[#This Row],[Code]],[1]!Tabla4[#Data],2,FALSE)</f>
        <v>M2 Metamark M7 172 Almendra 1,22 x 50m</v>
      </c>
      <c r="C2274">
        <v>24</v>
      </c>
      <c r="D2274" t="s">
        <v>96</v>
      </c>
      <c r="E2274" t="str">
        <f>VLOOKUP(Tabla1[[#This Row],[Cód. Atributo]],[1]!Tabla5[#Data],6,FALSE)</f>
        <v>Select</v>
      </c>
      <c r="F2274">
        <v>6</v>
      </c>
      <c r="G2274">
        <v>2</v>
      </c>
      <c r="H2274" t="s">
        <v>266</v>
      </c>
      <c r="I2274" t="str">
        <f>VLOOKUP(Tabla1[[#This Row],[Code]],'[1]Articulos Precio'!$A:$E,5,FALSE)</f>
        <v>A0000103</v>
      </c>
    </row>
    <row r="2275" spans="1:9" x14ac:dyDescent="0.25">
      <c r="A2275" t="s">
        <v>680</v>
      </c>
      <c r="B2275" t="str">
        <f>VLOOKUP(Tabla1[[#This Row],[Code]],[1]!Tabla4[#Data],2,FALSE)</f>
        <v>M2 Metamark M7 173 Verde Tráfico 0,61 x 50m</v>
      </c>
      <c r="C2275">
        <v>8</v>
      </c>
      <c r="D2275" t="s">
        <v>86</v>
      </c>
      <c r="E2275" t="str">
        <f>VLOOKUP(Tabla1[[#This Row],[Cód. Atributo]],[1]!Tabla5[#Data],6,FALSE)</f>
        <v>Select</v>
      </c>
      <c r="F2275">
        <v>1</v>
      </c>
      <c r="G2275">
        <v>1</v>
      </c>
      <c r="H2275" t="s">
        <v>263</v>
      </c>
      <c r="I2275" t="str">
        <f>VLOOKUP(Tabla1[[#This Row],[Code]],'[1]Articulos Precio'!$A:$E,5,FALSE)</f>
        <v>A0000103</v>
      </c>
    </row>
    <row r="2276" spans="1:9" x14ac:dyDescent="0.25">
      <c r="A2276" t="s">
        <v>680</v>
      </c>
      <c r="B2276" t="str">
        <f>VLOOKUP(Tabla1[[#This Row],[Code]],[1]!Tabla4[#Data],2,FALSE)</f>
        <v>M2 Metamark M7 173 Verde Tráfico 0,61 x 50m</v>
      </c>
      <c r="C2276">
        <v>13</v>
      </c>
      <c r="D2276" t="s">
        <v>491</v>
      </c>
      <c r="E2276" t="str">
        <f>VLOOKUP(Tabla1[[#This Row],[Cód. Atributo]],[1]!Tabla5[#Data],6,FALSE)</f>
        <v>Color</v>
      </c>
      <c r="F2276">
        <v>2</v>
      </c>
      <c r="G2276">
        <v>44</v>
      </c>
      <c r="H2276" t="s">
        <v>681</v>
      </c>
      <c r="I2276" t="str">
        <f>VLOOKUP(Tabla1[[#This Row],[Code]],'[1]Articulos Precio'!$A:$E,5,FALSE)</f>
        <v>A0000103</v>
      </c>
    </row>
    <row r="2277" spans="1:9" x14ac:dyDescent="0.25">
      <c r="A2277" t="s">
        <v>680</v>
      </c>
      <c r="B2277" t="str">
        <f>VLOOKUP(Tabla1[[#This Row],[Code]],[1]!Tabla4[#Data],2,FALSE)</f>
        <v>M2 Metamark M7 173 Verde Tráfico 0,61 x 50m</v>
      </c>
      <c r="C2277">
        <v>23</v>
      </c>
      <c r="D2277" t="s">
        <v>90</v>
      </c>
      <c r="E2277" t="str">
        <f>VLOOKUP(Tabla1[[#This Row],[Cód. Atributo]],[1]!Tabla5[#Data],6,FALSE)</f>
        <v>Select</v>
      </c>
      <c r="F2277">
        <v>3</v>
      </c>
      <c r="G2277">
        <v>2</v>
      </c>
      <c r="H2277" t="s">
        <v>136</v>
      </c>
      <c r="I2277" t="str">
        <f>VLOOKUP(Tabla1[[#This Row],[Code]],'[1]Articulos Precio'!$A:$E,5,FALSE)</f>
        <v>A0000103</v>
      </c>
    </row>
    <row r="2278" spans="1:9" x14ac:dyDescent="0.25">
      <c r="A2278" t="s">
        <v>680</v>
      </c>
      <c r="B2278" t="str">
        <f>VLOOKUP(Tabla1[[#This Row],[Code]],[1]!Tabla4[#Data],2,FALSE)</f>
        <v>M2 Metamark M7 173 Verde Tráfico 0,61 x 50m</v>
      </c>
      <c r="C2278">
        <v>28</v>
      </c>
      <c r="D2278" t="s">
        <v>92</v>
      </c>
      <c r="E2278" t="str">
        <f>VLOOKUP(Tabla1[[#This Row],[Cód. Atributo]],[1]!Tabla5[#Data],6,FALSE)</f>
        <v>Select</v>
      </c>
      <c r="F2278">
        <v>4</v>
      </c>
      <c r="G2278">
        <v>1</v>
      </c>
      <c r="H2278" t="s">
        <v>93</v>
      </c>
      <c r="I2278" t="str">
        <f>VLOOKUP(Tabla1[[#This Row],[Code]],'[1]Articulos Precio'!$A:$E,5,FALSE)</f>
        <v>A0000103</v>
      </c>
    </row>
    <row r="2279" spans="1:9" x14ac:dyDescent="0.25">
      <c r="A2279" t="s">
        <v>680</v>
      </c>
      <c r="B2279" t="str">
        <f>VLOOKUP(Tabla1[[#This Row],[Code]],[1]!Tabla4[#Data],2,FALSE)</f>
        <v>M2 Metamark M7 173 Verde Tráfico 0,61 x 50m</v>
      </c>
      <c r="C2279">
        <v>25</v>
      </c>
      <c r="D2279" t="s">
        <v>94</v>
      </c>
      <c r="E2279" t="str">
        <f>VLOOKUP(Tabla1[[#This Row],[Cód. Atributo]],[1]!Tabla5[#Data],6,FALSE)</f>
        <v>Select</v>
      </c>
      <c r="F2279">
        <v>5</v>
      </c>
      <c r="G2279">
        <v>4</v>
      </c>
      <c r="H2279" t="s">
        <v>137</v>
      </c>
      <c r="I2279" t="str">
        <f>VLOOKUP(Tabla1[[#This Row],[Code]],'[1]Articulos Precio'!$A:$E,5,FALSE)</f>
        <v>A0000103</v>
      </c>
    </row>
    <row r="2280" spans="1:9" x14ac:dyDescent="0.25">
      <c r="A2280" t="s">
        <v>680</v>
      </c>
      <c r="B2280" t="str">
        <f>VLOOKUP(Tabla1[[#This Row],[Code]],[1]!Tabla4[#Data],2,FALSE)</f>
        <v>M2 Metamark M7 173 Verde Tráfico 0,61 x 50m</v>
      </c>
      <c r="C2280">
        <v>24</v>
      </c>
      <c r="D2280" t="s">
        <v>96</v>
      </c>
      <c r="E2280" t="str">
        <f>VLOOKUP(Tabla1[[#This Row],[Cód. Atributo]],[1]!Tabla5[#Data],6,FALSE)</f>
        <v>Select</v>
      </c>
      <c r="F2280">
        <v>6</v>
      </c>
      <c r="G2280">
        <v>2</v>
      </c>
      <c r="H2280" t="s">
        <v>266</v>
      </c>
      <c r="I2280" t="str">
        <f>VLOOKUP(Tabla1[[#This Row],[Code]],'[1]Articulos Precio'!$A:$E,5,FALSE)</f>
        <v>A0000103</v>
      </c>
    </row>
    <row r="2281" spans="1:9" x14ac:dyDescent="0.25">
      <c r="A2281" t="s">
        <v>682</v>
      </c>
      <c r="B2281" t="str">
        <f>VLOOKUP(Tabla1[[#This Row],[Code]],[1]!Tabla4[#Data],2,FALSE)</f>
        <v>M2 Metamark M7 173 Verde Tráfico 1,22 x 50m</v>
      </c>
      <c r="C2281">
        <v>8</v>
      </c>
      <c r="D2281" t="s">
        <v>86</v>
      </c>
      <c r="E2281" t="str">
        <f>VLOOKUP(Tabla1[[#This Row],[Cód. Atributo]],[1]!Tabla5[#Data],6,FALSE)</f>
        <v>Select</v>
      </c>
      <c r="F2281">
        <v>1</v>
      </c>
      <c r="G2281">
        <v>2</v>
      </c>
      <c r="H2281" t="s">
        <v>268</v>
      </c>
      <c r="I2281" t="str">
        <f>VLOOKUP(Tabla1[[#This Row],[Code]],'[1]Articulos Precio'!$A:$E,5,FALSE)</f>
        <v>A0000103</v>
      </c>
    </row>
    <row r="2282" spans="1:9" x14ac:dyDescent="0.25">
      <c r="A2282" t="s">
        <v>682</v>
      </c>
      <c r="B2282" t="str">
        <f>VLOOKUP(Tabla1[[#This Row],[Code]],[1]!Tabla4[#Data],2,FALSE)</f>
        <v>M2 Metamark M7 173 Verde Tráfico 1,22 x 50m</v>
      </c>
      <c r="C2282">
        <v>13</v>
      </c>
      <c r="D2282" t="s">
        <v>491</v>
      </c>
      <c r="E2282" t="str">
        <f>VLOOKUP(Tabla1[[#This Row],[Cód. Atributo]],[1]!Tabla5[#Data],6,FALSE)</f>
        <v>Color</v>
      </c>
      <c r="F2282">
        <v>2</v>
      </c>
      <c r="G2282">
        <v>44</v>
      </c>
      <c r="H2282" t="s">
        <v>681</v>
      </c>
      <c r="I2282" t="str">
        <f>VLOOKUP(Tabla1[[#This Row],[Code]],'[1]Articulos Precio'!$A:$E,5,FALSE)</f>
        <v>A0000103</v>
      </c>
    </row>
    <row r="2283" spans="1:9" x14ac:dyDescent="0.25">
      <c r="A2283" t="s">
        <v>682</v>
      </c>
      <c r="B2283" t="str">
        <f>VLOOKUP(Tabla1[[#This Row],[Code]],[1]!Tabla4[#Data],2,FALSE)</f>
        <v>M2 Metamark M7 173 Verde Tráfico 1,22 x 50m</v>
      </c>
      <c r="C2283">
        <v>23</v>
      </c>
      <c r="D2283" t="s">
        <v>90</v>
      </c>
      <c r="E2283" t="str">
        <f>VLOOKUP(Tabla1[[#This Row],[Cód. Atributo]],[1]!Tabla5[#Data],6,FALSE)</f>
        <v>Select</v>
      </c>
      <c r="F2283">
        <v>3</v>
      </c>
      <c r="G2283">
        <v>2</v>
      </c>
      <c r="H2283" t="s">
        <v>136</v>
      </c>
      <c r="I2283" t="str">
        <f>VLOOKUP(Tabla1[[#This Row],[Code]],'[1]Articulos Precio'!$A:$E,5,FALSE)</f>
        <v>A0000103</v>
      </c>
    </row>
    <row r="2284" spans="1:9" x14ac:dyDescent="0.25">
      <c r="A2284" t="s">
        <v>682</v>
      </c>
      <c r="B2284" t="str">
        <f>VLOOKUP(Tabla1[[#This Row],[Code]],[1]!Tabla4[#Data],2,FALSE)</f>
        <v>M2 Metamark M7 173 Verde Tráfico 1,22 x 50m</v>
      </c>
      <c r="C2284">
        <v>28</v>
      </c>
      <c r="D2284" t="s">
        <v>92</v>
      </c>
      <c r="E2284" t="str">
        <f>VLOOKUP(Tabla1[[#This Row],[Cód. Atributo]],[1]!Tabla5[#Data],6,FALSE)</f>
        <v>Select</v>
      </c>
      <c r="F2284">
        <v>4</v>
      </c>
      <c r="G2284">
        <v>1</v>
      </c>
      <c r="H2284" t="s">
        <v>93</v>
      </c>
      <c r="I2284" t="str">
        <f>VLOOKUP(Tabla1[[#This Row],[Code]],'[1]Articulos Precio'!$A:$E,5,FALSE)</f>
        <v>A0000103</v>
      </c>
    </row>
    <row r="2285" spans="1:9" x14ac:dyDescent="0.25">
      <c r="A2285" t="s">
        <v>682</v>
      </c>
      <c r="B2285" t="str">
        <f>VLOOKUP(Tabla1[[#This Row],[Code]],[1]!Tabla4[#Data],2,FALSE)</f>
        <v>M2 Metamark M7 173 Verde Tráfico 1,22 x 50m</v>
      </c>
      <c r="C2285">
        <v>25</v>
      </c>
      <c r="D2285" t="s">
        <v>94</v>
      </c>
      <c r="E2285" t="str">
        <f>VLOOKUP(Tabla1[[#This Row],[Cód. Atributo]],[1]!Tabla5[#Data],6,FALSE)</f>
        <v>Select</v>
      </c>
      <c r="F2285">
        <v>5</v>
      </c>
      <c r="G2285">
        <v>4</v>
      </c>
      <c r="H2285" t="s">
        <v>137</v>
      </c>
      <c r="I2285" t="str">
        <f>VLOOKUP(Tabla1[[#This Row],[Code]],'[1]Articulos Precio'!$A:$E,5,FALSE)</f>
        <v>A0000103</v>
      </c>
    </row>
    <row r="2286" spans="1:9" x14ac:dyDescent="0.25">
      <c r="A2286" t="s">
        <v>682</v>
      </c>
      <c r="B2286" t="str">
        <f>VLOOKUP(Tabla1[[#This Row],[Code]],[1]!Tabla4[#Data],2,FALSE)</f>
        <v>M2 Metamark M7 173 Verde Tráfico 1,22 x 50m</v>
      </c>
      <c r="C2286">
        <v>24</v>
      </c>
      <c r="D2286" t="s">
        <v>96</v>
      </c>
      <c r="E2286" t="str">
        <f>VLOOKUP(Tabla1[[#This Row],[Cód. Atributo]],[1]!Tabla5[#Data],6,FALSE)</f>
        <v>Select</v>
      </c>
      <c r="F2286">
        <v>6</v>
      </c>
      <c r="G2286">
        <v>2</v>
      </c>
      <c r="H2286" t="s">
        <v>266</v>
      </c>
      <c r="I2286" t="str">
        <f>VLOOKUP(Tabla1[[#This Row],[Code]],'[1]Articulos Precio'!$A:$E,5,FALSE)</f>
        <v>A0000103</v>
      </c>
    </row>
    <row r="2287" spans="1:9" x14ac:dyDescent="0.25">
      <c r="A2287" t="s">
        <v>683</v>
      </c>
      <c r="B2287" t="str">
        <f>VLOOKUP(Tabla1[[#This Row],[Code]],[1]!Tabla4[#Data],2,FALSE)</f>
        <v>M2 Metamark M7 174 Marrón Quemado 0,61 x 50m</v>
      </c>
      <c r="C2287">
        <v>8</v>
      </c>
      <c r="D2287" t="s">
        <v>86</v>
      </c>
      <c r="E2287" t="str">
        <f>VLOOKUP(Tabla1[[#This Row],[Cód. Atributo]],[1]!Tabla5[#Data],6,FALSE)</f>
        <v>Select</v>
      </c>
      <c r="F2287">
        <v>1</v>
      </c>
      <c r="G2287">
        <v>1</v>
      </c>
      <c r="H2287" t="s">
        <v>263</v>
      </c>
      <c r="I2287" t="str">
        <f>VLOOKUP(Tabla1[[#This Row],[Code]],'[1]Articulos Precio'!$A:$E,5,FALSE)</f>
        <v>A0000103</v>
      </c>
    </row>
    <row r="2288" spans="1:9" x14ac:dyDescent="0.25">
      <c r="A2288" t="s">
        <v>683</v>
      </c>
      <c r="B2288" t="str">
        <f>VLOOKUP(Tabla1[[#This Row],[Code]],[1]!Tabla4[#Data],2,FALSE)</f>
        <v>M2 Metamark M7 174 Marrón Quemado 0,61 x 50m</v>
      </c>
      <c r="C2288">
        <v>13</v>
      </c>
      <c r="D2288" t="s">
        <v>491</v>
      </c>
      <c r="E2288" t="str">
        <f>VLOOKUP(Tabla1[[#This Row],[Cód. Atributo]],[1]!Tabla5[#Data],6,FALSE)</f>
        <v>Color</v>
      </c>
      <c r="F2288">
        <v>2</v>
      </c>
      <c r="G2288">
        <v>77</v>
      </c>
      <c r="H2288" t="s">
        <v>684</v>
      </c>
      <c r="I2288" t="str">
        <f>VLOOKUP(Tabla1[[#This Row],[Code]],'[1]Articulos Precio'!$A:$E,5,FALSE)</f>
        <v>A0000103</v>
      </c>
    </row>
    <row r="2289" spans="1:9" x14ac:dyDescent="0.25">
      <c r="A2289" t="s">
        <v>683</v>
      </c>
      <c r="B2289" t="str">
        <f>VLOOKUP(Tabla1[[#This Row],[Code]],[1]!Tabla4[#Data],2,FALSE)</f>
        <v>M2 Metamark M7 174 Marrón Quemado 0,61 x 50m</v>
      </c>
      <c r="C2289">
        <v>23</v>
      </c>
      <c r="D2289" t="s">
        <v>90</v>
      </c>
      <c r="E2289" t="str">
        <f>VLOOKUP(Tabla1[[#This Row],[Cód. Atributo]],[1]!Tabla5[#Data],6,FALSE)</f>
        <v>Select</v>
      </c>
      <c r="F2289">
        <v>3</v>
      </c>
      <c r="G2289">
        <v>2</v>
      </c>
      <c r="H2289" t="s">
        <v>136</v>
      </c>
      <c r="I2289" t="str">
        <f>VLOOKUP(Tabla1[[#This Row],[Code]],'[1]Articulos Precio'!$A:$E,5,FALSE)</f>
        <v>A0000103</v>
      </c>
    </row>
    <row r="2290" spans="1:9" x14ac:dyDescent="0.25">
      <c r="A2290" t="s">
        <v>683</v>
      </c>
      <c r="B2290" t="str">
        <f>VLOOKUP(Tabla1[[#This Row],[Code]],[1]!Tabla4[#Data],2,FALSE)</f>
        <v>M2 Metamark M7 174 Marrón Quemado 0,61 x 50m</v>
      </c>
      <c r="C2290">
        <v>28</v>
      </c>
      <c r="D2290" t="s">
        <v>92</v>
      </c>
      <c r="E2290" t="str">
        <f>VLOOKUP(Tabla1[[#This Row],[Cód. Atributo]],[1]!Tabla5[#Data],6,FALSE)</f>
        <v>Select</v>
      </c>
      <c r="F2290">
        <v>4</v>
      </c>
      <c r="G2290">
        <v>1</v>
      </c>
      <c r="H2290" t="s">
        <v>93</v>
      </c>
      <c r="I2290" t="str">
        <f>VLOOKUP(Tabla1[[#This Row],[Code]],'[1]Articulos Precio'!$A:$E,5,FALSE)</f>
        <v>A0000103</v>
      </c>
    </row>
    <row r="2291" spans="1:9" x14ac:dyDescent="0.25">
      <c r="A2291" t="s">
        <v>683</v>
      </c>
      <c r="B2291" t="str">
        <f>VLOOKUP(Tabla1[[#This Row],[Code]],[1]!Tabla4[#Data],2,FALSE)</f>
        <v>M2 Metamark M7 174 Marrón Quemado 0,61 x 50m</v>
      </c>
      <c r="C2291">
        <v>25</v>
      </c>
      <c r="D2291" t="s">
        <v>94</v>
      </c>
      <c r="E2291" t="str">
        <f>VLOOKUP(Tabla1[[#This Row],[Cód. Atributo]],[1]!Tabla5[#Data],6,FALSE)</f>
        <v>Select</v>
      </c>
      <c r="F2291">
        <v>5</v>
      </c>
      <c r="G2291">
        <v>4</v>
      </c>
      <c r="H2291" t="s">
        <v>137</v>
      </c>
      <c r="I2291" t="str">
        <f>VLOOKUP(Tabla1[[#This Row],[Code]],'[1]Articulos Precio'!$A:$E,5,FALSE)</f>
        <v>A0000103</v>
      </c>
    </row>
    <row r="2292" spans="1:9" x14ac:dyDescent="0.25">
      <c r="A2292" t="s">
        <v>683</v>
      </c>
      <c r="B2292" t="str">
        <f>VLOOKUP(Tabla1[[#This Row],[Code]],[1]!Tabla4[#Data],2,FALSE)</f>
        <v>M2 Metamark M7 174 Marrón Quemado 0,61 x 50m</v>
      </c>
      <c r="C2292">
        <v>24</v>
      </c>
      <c r="D2292" t="s">
        <v>96</v>
      </c>
      <c r="E2292" t="str">
        <f>VLOOKUP(Tabla1[[#This Row],[Cód. Atributo]],[1]!Tabla5[#Data],6,FALSE)</f>
        <v>Select</v>
      </c>
      <c r="F2292">
        <v>6</v>
      </c>
      <c r="G2292">
        <v>2</v>
      </c>
      <c r="H2292" t="s">
        <v>266</v>
      </c>
      <c r="I2292" t="str">
        <f>VLOOKUP(Tabla1[[#This Row],[Code]],'[1]Articulos Precio'!$A:$E,5,FALSE)</f>
        <v>A0000103</v>
      </c>
    </row>
    <row r="2293" spans="1:9" x14ac:dyDescent="0.25">
      <c r="A2293" t="s">
        <v>685</v>
      </c>
      <c r="B2293" t="str">
        <f>VLOOKUP(Tabla1[[#This Row],[Code]],[1]!Tabla4[#Data],2,FALSE)</f>
        <v>M2 Metamark M7 174 Marrón Quemado 1,22 x 50m</v>
      </c>
      <c r="C2293">
        <v>8</v>
      </c>
      <c r="D2293" t="s">
        <v>86</v>
      </c>
      <c r="E2293" t="str">
        <f>VLOOKUP(Tabla1[[#This Row],[Cód. Atributo]],[1]!Tabla5[#Data],6,FALSE)</f>
        <v>Select</v>
      </c>
      <c r="F2293">
        <v>1</v>
      </c>
      <c r="G2293">
        <v>2</v>
      </c>
      <c r="H2293" t="s">
        <v>268</v>
      </c>
      <c r="I2293" t="str">
        <f>VLOOKUP(Tabla1[[#This Row],[Code]],'[1]Articulos Precio'!$A:$E,5,FALSE)</f>
        <v>A0000103</v>
      </c>
    </row>
    <row r="2294" spans="1:9" x14ac:dyDescent="0.25">
      <c r="A2294" t="s">
        <v>685</v>
      </c>
      <c r="B2294" t="str">
        <f>VLOOKUP(Tabla1[[#This Row],[Code]],[1]!Tabla4[#Data],2,FALSE)</f>
        <v>M2 Metamark M7 174 Marrón Quemado 1,22 x 50m</v>
      </c>
      <c r="C2294">
        <v>13</v>
      </c>
      <c r="D2294" t="s">
        <v>491</v>
      </c>
      <c r="E2294" t="str">
        <f>VLOOKUP(Tabla1[[#This Row],[Cód. Atributo]],[1]!Tabla5[#Data],6,FALSE)</f>
        <v>Color</v>
      </c>
      <c r="F2294">
        <v>2</v>
      </c>
      <c r="G2294">
        <v>77</v>
      </c>
      <c r="H2294" t="s">
        <v>684</v>
      </c>
      <c r="I2294" t="str">
        <f>VLOOKUP(Tabla1[[#This Row],[Code]],'[1]Articulos Precio'!$A:$E,5,FALSE)</f>
        <v>A0000103</v>
      </c>
    </row>
    <row r="2295" spans="1:9" x14ac:dyDescent="0.25">
      <c r="A2295" t="s">
        <v>685</v>
      </c>
      <c r="B2295" t="str">
        <f>VLOOKUP(Tabla1[[#This Row],[Code]],[1]!Tabla4[#Data],2,FALSE)</f>
        <v>M2 Metamark M7 174 Marrón Quemado 1,22 x 50m</v>
      </c>
      <c r="C2295">
        <v>23</v>
      </c>
      <c r="D2295" t="s">
        <v>90</v>
      </c>
      <c r="E2295" t="str">
        <f>VLOOKUP(Tabla1[[#This Row],[Cód. Atributo]],[1]!Tabla5[#Data],6,FALSE)</f>
        <v>Select</v>
      </c>
      <c r="F2295">
        <v>3</v>
      </c>
      <c r="G2295">
        <v>2</v>
      </c>
      <c r="H2295" t="s">
        <v>136</v>
      </c>
      <c r="I2295" t="str">
        <f>VLOOKUP(Tabla1[[#This Row],[Code]],'[1]Articulos Precio'!$A:$E,5,FALSE)</f>
        <v>A0000103</v>
      </c>
    </row>
    <row r="2296" spans="1:9" x14ac:dyDescent="0.25">
      <c r="A2296" t="s">
        <v>685</v>
      </c>
      <c r="B2296" t="str">
        <f>VLOOKUP(Tabla1[[#This Row],[Code]],[1]!Tabla4[#Data],2,FALSE)</f>
        <v>M2 Metamark M7 174 Marrón Quemado 1,22 x 50m</v>
      </c>
      <c r="C2296">
        <v>28</v>
      </c>
      <c r="D2296" t="s">
        <v>92</v>
      </c>
      <c r="E2296" t="str">
        <f>VLOOKUP(Tabla1[[#This Row],[Cód. Atributo]],[1]!Tabla5[#Data],6,FALSE)</f>
        <v>Select</v>
      </c>
      <c r="F2296">
        <v>4</v>
      </c>
      <c r="G2296">
        <v>1</v>
      </c>
      <c r="H2296" t="s">
        <v>93</v>
      </c>
      <c r="I2296" t="str">
        <f>VLOOKUP(Tabla1[[#This Row],[Code]],'[1]Articulos Precio'!$A:$E,5,FALSE)</f>
        <v>A0000103</v>
      </c>
    </row>
    <row r="2297" spans="1:9" x14ac:dyDescent="0.25">
      <c r="A2297" t="s">
        <v>685</v>
      </c>
      <c r="B2297" t="str">
        <f>VLOOKUP(Tabla1[[#This Row],[Code]],[1]!Tabla4[#Data],2,FALSE)</f>
        <v>M2 Metamark M7 174 Marrón Quemado 1,22 x 50m</v>
      </c>
      <c r="C2297">
        <v>25</v>
      </c>
      <c r="D2297" t="s">
        <v>94</v>
      </c>
      <c r="E2297" t="str">
        <f>VLOOKUP(Tabla1[[#This Row],[Cód. Atributo]],[1]!Tabla5[#Data],6,FALSE)</f>
        <v>Select</v>
      </c>
      <c r="F2297">
        <v>5</v>
      </c>
      <c r="G2297">
        <v>4</v>
      </c>
      <c r="H2297" t="s">
        <v>137</v>
      </c>
      <c r="I2297" t="str">
        <f>VLOOKUP(Tabla1[[#This Row],[Code]],'[1]Articulos Precio'!$A:$E,5,FALSE)</f>
        <v>A0000103</v>
      </c>
    </row>
    <row r="2298" spans="1:9" x14ac:dyDescent="0.25">
      <c r="A2298" t="s">
        <v>685</v>
      </c>
      <c r="B2298" t="str">
        <f>VLOOKUP(Tabla1[[#This Row],[Code]],[1]!Tabla4[#Data],2,FALSE)</f>
        <v>M2 Metamark M7 174 Marrón Quemado 1,22 x 50m</v>
      </c>
      <c r="C2298">
        <v>24</v>
      </c>
      <c r="D2298" t="s">
        <v>96</v>
      </c>
      <c r="E2298" t="str">
        <f>VLOOKUP(Tabla1[[#This Row],[Cód. Atributo]],[1]!Tabla5[#Data],6,FALSE)</f>
        <v>Select</v>
      </c>
      <c r="F2298">
        <v>6</v>
      </c>
      <c r="G2298">
        <v>2</v>
      </c>
      <c r="H2298" t="s">
        <v>266</v>
      </c>
      <c r="I2298" t="str">
        <f>VLOOKUP(Tabla1[[#This Row],[Code]],'[1]Articulos Precio'!$A:$E,5,FALSE)</f>
        <v>A0000103</v>
      </c>
    </row>
    <row r="2299" spans="1:9" x14ac:dyDescent="0.25">
      <c r="A2299" t="s">
        <v>686</v>
      </c>
      <c r="B2299" t="str">
        <f>VLOOKUP(Tabla1[[#This Row],[Code]],[1]!Tabla4[#Data],2,FALSE)</f>
        <v>M2 Metamark M7 175 Crema Claro 0,61 x 50m</v>
      </c>
      <c r="C2299">
        <v>8</v>
      </c>
      <c r="D2299" t="s">
        <v>86</v>
      </c>
      <c r="E2299" t="str">
        <f>VLOOKUP(Tabla1[[#This Row],[Cód. Atributo]],[1]!Tabla5[#Data],6,FALSE)</f>
        <v>Select</v>
      </c>
      <c r="F2299">
        <v>1</v>
      </c>
      <c r="G2299">
        <v>1</v>
      </c>
      <c r="H2299" t="s">
        <v>263</v>
      </c>
      <c r="I2299" t="str">
        <f>VLOOKUP(Tabla1[[#This Row],[Code]],'[1]Articulos Precio'!$A:$E,5,FALSE)</f>
        <v>A0000103</v>
      </c>
    </row>
    <row r="2300" spans="1:9" x14ac:dyDescent="0.25">
      <c r="A2300" t="s">
        <v>686</v>
      </c>
      <c r="B2300" t="str">
        <f>VLOOKUP(Tabla1[[#This Row],[Code]],[1]!Tabla4[#Data],2,FALSE)</f>
        <v>M2 Metamark M7 175 Crema Claro 0,61 x 50m</v>
      </c>
      <c r="C2300">
        <v>13</v>
      </c>
      <c r="D2300" t="s">
        <v>491</v>
      </c>
      <c r="E2300" t="str">
        <f>VLOOKUP(Tabla1[[#This Row],[Cód. Atributo]],[1]!Tabla5[#Data],6,FALSE)</f>
        <v>Color</v>
      </c>
      <c r="F2300">
        <v>2</v>
      </c>
      <c r="G2300">
        <v>78</v>
      </c>
      <c r="H2300" t="s">
        <v>687</v>
      </c>
      <c r="I2300" t="str">
        <f>VLOOKUP(Tabla1[[#This Row],[Code]],'[1]Articulos Precio'!$A:$E,5,FALSE)</f>
        <v>A0000103</v>
      </c>
    </row>
    <row r="2301" spans="1:9" x14ac:dyDescent="0.25">
      <c r="A2301" t="s">
        <v>686</v>
      </c>
      <c r="B2301" t="str">
        <f>VLOOKUP(Tabla1[[#This Row],[Code]],[1]!Tabla4[#Data],2,FALSE)</f>
        <v>M2 Metamark M7 175 Crema Claro 0,61 x 50m</v>
      </c>
      <c r="C2301">
        <v>23</v>
      </c>
      <c r="D2301" t="s">
        <v>90</v>
      </c>
      <c r="E2301" t="str">
        <f>VLOOKUP(Tabla1[[#This Row],[Cód. Atributo]],[1]!Tabla5[#Data],6,FALSE)</f>
        <v>Select</v>
      </c>
      <c r="F2301">
        <v>3</v>
      </c>
      <c r="G2301">
        <v>2</v>
      </c>
      <c r="H2301" t="s">
        <v>136</v>
      </c>
      <c r="I2301" t="str">
        <f>VLOOKUP(Tabla1[[#This Row],[Code]],'[1]Articulos Precio'!$A:$E,5,FALSE)</f>
        <v>A0000103</v>
      </c>
    </row>
    <row r="2302" spans="1:9" x14ac:dyDescent="0.25">
      <c r="A2302" t="s">
        <v>686</v>
      </c>
      <c r="B2302" t="str">
        <f>VLOOKUP(Tabla1[[#This Row],[Code]],[1]!Tabla4[#Data],2,FALSE)</f>
        <v>M2 Metamark M7 175 Crema Claro 0,61 x 50m</v>
      </c>
      <c r="C2302">
        <v>28</v>
      </c>
      <c r="D2302" t="s">
        <v>92</v>
      </c>
      <c r="E2302" t="str">
        <f>VLOOKUP(Tabla1[[#This Row],[Cód. Atributo]],[1]!Tabla5[#Data],6,FALSE)</f>
        <v>Select</v>
      </c>
      <c r="F2302">
        <v>4</v>
      </c>
      <c r="G2302">
        <v>1</v>
      </c>
      <c r="H2302" t="s">
        <v>93</v>
      </c>
      <c r="I2302" t="str">
        <f>VLOOKUP(Tabla1[[#This Row],[Code]],'[1]Articulos Precio'!$A:$E,5,FALSE)</f>
        <v>A0000103</v>
      </c>
    </row>
    <row r="2303" spans="1:9" x14ac:dyDescent="0.25">
      <c r="A2303" t="s">
        <v>686</v>
      </c>
      <c r="B2303" t="str">
        <f>VLOOKUP(Tabla1[[#This Row],[Code]],[1]!Tabla4[#Data],2,FALSE)</f>
        <v>M2 Metamark M7 175 Crema Claro 0,61 x 50m</v>
      </c>
      <c r="C2303">
        <v>25</v>
      </c>
      <c r="D2303" t="s">
        <v>94</v>
      </c>
      <c r="E2303" t="str">
        <f>VLOOKUP(Tabla1[[#This Row],[Cód. Atributo]],[1]!Tabla5[#Data],6,FALSE)</f>
        <v>Select</v>
      </c>
      <c r="F2303">
        <v>5</v>
      </c>
      <c r="G2303">
        <v>4</v>
      </c>
      <c r="H2303" t="s">
        <v>137</v>
      </c>
      <c r="I2303" t="str">
        <f>VLOOKUP(Tabla1[[#This Row],[Code]],'[1]Articulos Precio'!$A:$E,5,FALSE)</f>
        <v>A0000103</v>
      </c>
    </row>
    <row r="2304" spans="1:9" x14ac:dyDescent="0.25">
      <c r="A2304" t="s">
        <v>686</v>
      </c>
      <c r="B2304" t="str">
        <f>VLOOKUP(Tabla1[[#This Row],[Code]],[1]!Tabla4[#Data],2,FALSE)</f>
        <v>M2 Metamark M7 175 Crema Claro 0,61 x 50m</v>
      </c>
      <c r="C2304">
        <v>24</v>
      </c>
      <c r="D2304" t="s">
        <v>96</v>
      </c>
      <c r="E2304" t="str">
        <f>VLOOKUP(Tabla1[[#This Row],[Cód. Atributo]],[1]!Tabla5[#Data],6,FALSE)</f>
        <v>Select</v>
      </c>
      <c r="F2304">
        <v>6</v>
      </c>
      <c r="G2304">
        <v>2</v>
      </c>
      <c r="H2304" t="s">
        <v>266</v>
      </c>
      <c r="I2304" t="str">
        <f>VLOOKUP(Tabla1[[#This Row],[Code]],'[1]Articulos Precio'!$A:$E,5,FALSE)</f>
        <v>A0000103</v>
      </c>
    </row>
    <row r="2305" spans="1:9" x14ac:dyDescent="0.25">
      <c r="A2305" t="s">
        <v>688</v>
      </c>
      <c r="B2305" t="str">
        <f>VLOOKUP(Tabla1[[#This Row],[Code]],[1]!Tabla4[#Data],2,FALSE)</f>
        <v>M2 Metamark M7 175 Crema Claro 1,22 x 50m</v>
      </c>
      <c r="C2305">
        <v>8</v>
      </c>
      <c r="D2305" t="s">
        <v>86</v>
      </c>
      <c r="E2305" t="str">
        <f>VLOOKUP(Tabla1[[#This Row],[Cód. Atributo]],[1]!Tabla5[#Data],6,FALSE)</f>
        <v>Select</v>
      </c>
      <c r="F2305">
        <v>1</v>
      </c>
      <c r="G2305">
        <v>2</v>
      </c>
      <c r="H2305" t="s">
        <v>268</v>
      </c>
      <c r="I2305" t="str">
        <f>VLOOKUP(Tabla1[[#This Row],[Code]],'[1]Articulos Precio'!$A:$E,5,FALSE)</f>
        <v>A0000103</v>
      </c>
    </row>
    <row r="2306" spans="1:9" x14ac:dyDescent="0.25">
      <c r="A2306" t="s">
        <v>688</v>
      </c>
      <c r="B2306" t="str">
        <f>VLOOKUP(Tabla1[[#This Row],[Code]],[1]!Tabla4[#Data],2,FALSE)</f>
        <v>M2 Metamark M7 175 Crema Claro 1,22 x 50m</v>
      </c>
      <c r="C2306">
        <v>13</v>
      </c>
      <c r="D2306" t="s">
        <v>491</v>
      </c>
      <c r="E2306" t="str">
        <f>VLOOKUP(Tabla1[[#This Row],[Cód. Atributo]],[1]!Tabla5[#Data],6,FALSE)</f>
        <v>Color</v>
      </c>
      <c r="F2306">
        <v>2</v>
      </c>
      <c r="G2306">
        <v>78</v>
      </c>
      <c r="H2306" t="s">
        <v>687</v>
      </c>
      <c r="I2306" t="str">
        <f>VLOOKUP(Tabla1[[#This Row],[Code]],'[1]Articulos Precio'!$A:$E,5,FALSE)</f>
        <v>A0000103</v>
      </c>
    </row>
    <row r="2307" spans="1:9" x14ac:dyDescent="0.25">
      <c r="A2307" t="s">
        <v>688</v>
      </c>
      <c r="B2307" t="str">
        <f>VLOOKUP(Tabla1[[#This Row],[Code]],[1]!Tabla4[#Data],2,FALSE)</f>
        <v>M2 Metamark M7 175 Crema Claro 1,22 x 50m</v>
      </c>
      <c r="C2307">
        <v>23</v>
      </c>
      <c r="D2307" t="s">
        <v>90</v>
      </c>
      <c r="E2307" t="str">
        <f>VLOOKUP(Tabla1[[#This Row],[Cód. Atributo]],[1]!Tabla5[#Data],6,FALSE)</f>
        <v>Select</v>
      </c>
      <c r="F2307">
        <v>3</v>
      </c>
      <c r="G2307">
        <v>2</v>
      </c>
      <c r="H2307" t="s">
        <v>136</v>
      </c>
      <c r="I2307" t="str">
        <f>VLOOKUP(Tabla1[[#This Row],[Code]],'[1]Articulos Precio'!$A:$E,5,FALSE)</f>
        <v>A0000103</v>
      </c>
    </row>
    <row r="2308" spans="1:9" x14ac:dyDescent="0.25">
      <c r="A2308" t="s">
        <v>688</v>
      </c>
      <c r="B2308" t="str">
        <f>VLOOKUP(Tabla1[[#This Row],[Code]],[1]!Tabla4[#Data],2,FALSE)</f>
        <v>M2 Metamark M7 175 Crema Claro 1,22 x 50m</v>
      </c>
      <c r="C2308">
        <v>28</v>
      </c>
      <c r="D2308" t="s">
        <v>92</v>
      </c>
      <c r="E2308" t="str">
        <f>VLOOKUP(Tabla1[[#This Row],[Cód. Atributo]],[1]!Tabla5[#Data],6,FALSE)</f>
        <v>Select</v>
      </c>
      <c r="F2308">
        <v>4</v>
      </c>
      <c r="G2308">
        <v>1</v>
      </c>
      <c r="H2308" t="s">
        <v>93</v>
      </c>
      <c r="I2308" t="str">
        <f>VLOOKUP(Tabla1[[#This Row],[Code]],'[1]Articulos Precio'!$A:$E,5,FALSE)</f>
        <v>A0000103</v>
      </c>
    </row>
    <row r="2309" spans="1:9" x14ac:dyDescent="0.25">
      <c r="A2309" t="s">
        <v>689</v>
      </c>
      <c r="B2309" t="str">
        <f>VLOOKUP(Tabla1[[#This Row],[Code]],[1]!Tabla4[#Data],2,FALSE)</f>
        <v>Rollo Transportador AT 60n PP (bajo agarre) 1,22x100m</v>
      </c>
      <c r="C2309">
        <v>8</v>
      </c>
      <c r="D2309" t="s">
        <v>86</v>
      </c>
      <c r="E2309" t="str">
        <f>VLOOKUP(Tabla1[[#This Row],[Cód. Atributo]],[1]!Tabla5[#Data],6,FALSE)</f>
        <v>Select</v>
      </c>
      <c r="F2309">
        <v>1</v>
      </c>
      <c r="G2309">
        <v>2</v>
      </c>
      <c r="H2309" t="s">
        <v>268</v>
      </c>
      <c r="I2309" t="str">
        <f>VLOOKUP(Tabla1[[#This Row],[Code]],'[1]Articulos Precio'!$A:$E,5,FALSE)</f>
        <v>A0000595</v>
      </c>
    </row>
    <row r="2310" spans="1:9" x14ac:dyDescent="0.25">
      <c r="A2310" t="s">
        <v>689</v>
      </c>
      <c r="B2310" t="str">
        <f>VLOOKUP(Tabla1[[#This Row],[Code]],[1]!Tabla4[#Data],2,FALSE)</f>
        <v>Rollo Transportador AT 60n PP (bajo agarre) 1,22x100m</v>
      </c>
      <c r="C2310">
        <v>36</v>
      </c>
      <c r="D2310" t="s">
        <v>690</v>
      </c>
      <c r="E2310" t="str">
        <f>VLOOKUP(Tabla1[[#This Row],[Cód. Atributo]],[1]!Tabla5[#Data],6,FALSE)</f>
        <v>Select</v>
      </c>
      <c r="F2310">
        <v>2</v>
      </c>
      <c r="G2310">
        <v>3</v>
      </c>
      <c r="H2310" t="s">
        <v>691</v>
      </c>
      <c r="I2310" t="str">
        <f>VLOOKUP(Tabla1[[#This Row],[Code]],'[1]Articulos Precio'!$A:$E,5,FALSE)</f>
        <v>A0000595</v>
      </c>
    </row>
    <row r="2311" spans="1:9" x14ac:dyDescent="0.25">
      <c r="A2311" t="s">
        <v>689</v>
      </c>
      <c r="B2311" t="str">
        <f>VLOOKUP(Tabla1[[#This Row],[Code]],[1]!Tabla4[#Data],2,FALSE)</f>
        <v>Rollo Transportador AT 60n PP (bajo agarre) 1,22x100m</v>
      </c>
      <c r="C2311">
        <v>40</v>
      </c>
      <c r="D2311" t="s">
        <v>692</v>
      </c>
      <c r="E2311" t="str">
        <f>VLOOKUP(Tabla1[[#This Row],[Cód. Atributo]],[1]!Tabla5[#Data],6,FALSE)</f>
        <v>Select</v>
      </c>
      <c r="F2311">
        <v>3</v>
      </c>
      <c r="G2311">
        <v>1</v>
      </c>
      <c r="H2311" t="s">
        <v>693</v>
      </c>
      <c r="I2311" t="str">
        <f>VLOOKUP(Tabla1[[#This Row],[Code]],'[1]Articulos Precio'!$A:$E,5,FALSE)</f>
        <v>A0000595</v>
      </c>
    </row>
    <row r="2312" spans="1:9" x14ac:dyDescent="0.25">
      <c r="A2312" t="s">
        <v>694</v>
      </c>
      <c r="B2312" t="str">
        <f>VLOOKUP(Tabla1[[#This Row],[Code]],[1]!Tabla4[#Data],2,FALSE)</f>
        <v>Rollo Transportador AT 65 PP (medio agarre) 1,22x100m</v>
      </c>
      <c r="C2312">
        <v>8</v>
      </c>
      <c r="D2312" t="s">
        <v>86</v>
      </c>
      <c r="E2312" t="str">
        <f>VLOOKUP(Tabla1[[#This Row],[Cód. Atributo]],[1]!Tabla5[#Data],6,FALSE)</f>
        <v>Select</v>
      </c>
      <c r="F2312">
        <v>1</v>
      </c>
      <c r="G2312">
        <v>2</v>
      </c>
      <c r="H2312" t="s">
        <v>268</v>
      </c>
      <c r="I2312" t="str">
        <f>VLOOKUP(Tabla1[[#This Row],[Code]],'[1]Articulos Precio'!$A:$E,5,FALSE)</f>
        <v>A0000596</v>
      </c>
    </row>
    <row r="2313" spans="1:9" x14ac:dyDescent="0.25">
      <c r="A2313" t="s">
        <v>694</v>
      </c>
      <c r="B2313" t="str">
        <f>VLOOKUP(Tabla1[[#This Row],[Code]],[1]!Tabla4[#Data],2,FALSE)</f>
        <v>Rollo Transportador AT 65 PP (medio agarre) 1,22x100m</v>
      </c>
      <c r="C2313">
        <v>36</v>
      </c>
      <c r="D2313" t="s">
        <v>690</v>
      </c>
      <c r="E2313" t="str">
        <f>VLOOKUP(Tabla1[[#This Row],[Cód. Atributo]],[1]!Tabla5[#Data],6,FALSE)</f>
        <v>Select</v>
      </c>
      <c r="F2313">
        <v>2</v>
      </c>
      <c r="G2313">
        <v>3</v>
      </c>
      <c r="H2313" t="s">
        <v>691</v>
      </c>
      <c r="I2313" t="str">
        <f>VLOOKUP(Tabla1[[#This Row],[Code]],'[1]Articulos Precio'!$A:$E,5,FALSE)</f>
        <v>A0000596</v>
      </c>
    </row>
    <row r="2314" spans="1:9" x14ac:dyDescent="0.25">
      <c r="A2314" t="s">
        <v>694</v>
      </c>
      <c r="B2314" t="str">
        <f>VLOOKUP(Tabla1[[#This Row],[Code]],[1]!Tabla4[#Data],2,FALSE)</f>
        <v>Rollo Transportador AT 65 PP (medio agarre) 1,22x100m</v>
      </c>
      <c r="C2314">
        <v>40</v>
      </c>
      <c r="D2314" t="s">
        <v>692</v>
      </c>
      <c r="E2314" t="str">
        <f>VLOOKUP(Tabla1[[#This Row],[Cód. Atributo]],[1]!Tabla5[#Data],6,FALSE)</f>
        <v>Select</v>
      </c>
      <c r="F2314">
        <v>3</v>
      </c>
      <c r="G2314">
        <v>2</v>
      </c>
      <c r="H2314" t="s">
        <v>695</v>
      </c>
      <c r="I2314" t="str">
        <f>VLOOKUP(Tabla1[[#This Row],[Code]],'[1]Articulos Precio'!$A:$E,5,FALSE)</f>
        <v>A0000596</v>
      </c>
    </row>
    <row r="2315" spans="1:9" x14ac:dyDescent="0.25">
      <c r="A2315" t="s">
        <v>696</v>
      </c>
      <c r="B2315" t="str">
        <f>VLOOKUP(Tabla1[[#This Row],[Code]],[1]!Tabla4[#Data],2,FALSE)</f>
        <v>Rollo Transportador AT75.1 PT. PE (alto agarre) Sin Burbujas 1,22x100m</v>
      </c>
      <c r="C2315">
        <v>8</v>
      </c>
      <c r="D2315" t="s">
        <v>86</v>
      </c>
      <c r="E2315" t="str">
        <f>VLOOKUP(Tabla1[[#This Row],[Cód. Atributo]],[1]!Tabla5[#Data],6,FALSE)</f>
        <v>Select</v>
      </c>
      <c r="F2315">
        <v>1</v>
      </c>
      <c r="G2315">
        <v>2</v>
      </c>
      <c r="H2315" t="s">
        <v>268</v>
      </c>
      <c r="I2315" t="str">
        <f>VLOOKUP(Tabla1[[#This Row],[Code]],'[1]Articulos Precio'!$A:$E,5,FALSE)</f>
        <v>A0000597</v>
      </c>
    </row>
    <row r="2316" spans="1:9" x14ac:dyDescent="0.25">
      <c r="A2316" t="s">
        <v>696</v>
      </c>
      <c r="B2316" t="str">
        <f>VLOOKUP(Tabla1[[#This Row],[Code]],[1]!Tabla4[#Data],2,FALSE)</f>
        <v>Rollo Transportador AT75.1 PT. PE (alto agarre) Sin Burbujas 1,22x100m</v>
      </c>
      <c r="C2316">
        <v>36</v>
      </c>
      <c r="D2316" t="s">
        <v>690</v>
      </c>
      <c r="E2316" t="str">
        <f>VLOOKUP(Tabla1[[#This Row],[Cód. Atributo]],[1]!Tabla5[#Data],6,FALSE)</f>
        <v>Select</v>
      </c>
      <c r="F2316">
        <v>2</v>
      </c>
      <c r="G2316">
        <v>4</v>
      </c>
      <c r="H2316" t="s">
        <v>697</v>
      </c>
      <c r="I2316" t="str">
        <f>VLOOKUP(Tabla1[[#This Row],[Code]],'[1]Articulos Precio'!$A:$E,5,FALSE)</f>
        <v>A0000597</v>
      </c>
    </row>
    <row r="2317" spans="1:9" x14ac:dyDescent="0.25">
      <c r="A2317" t="s">
        <v>696</v>
      </c>
      <c r="B2317" t="str">
        <f>VLOOKUP(Tabla1[[#This Row],[Code]],[1]!Tabla4[#Data],2,FALSE)</f>
        <v>Rollo Transportador AT75.1 PT. PE (alto agarre) Sin Burbujas 1,22x100m</v>
      </c>
      <c r="C2317">
        <v>40</v>
      </c>
      <c r="D2317" t="s">
        <v>692</v>
      </c>
      <c r="E2317" t="str">
        <f>VLOOKUP(Tabla1[[#This Row],[Cód. Atributo]],[1]!Tabla5[#Data],6,FALSE)</f>
        <v>Select</v>
      </c>
      <c r="F2317">
        <v>3</v>
      </c>
      <c r="G2317">
        <v>3</v>
      </c>
      <c r="H2317" t="s">
        <v>158</v>
      </c>
      <c r="I2317" t="str">
        <f>VLOOKUP(Tabla1[[#This Row],[Code]],'[1]Articulos Precio'!$A:$E,5,FALSE)</f>
        <v>A0000597</v>
      </c>
    </row>
    <row r="2318" spans="1:9" x14ac:dyDescent="0.25">
      <c r="A2318" t="s">
        <v>698</v>
      </c>
      <c r="B2318" t="str">
        <f>VLOOKUP(Tabla1[[#This Row],[Code]],[1]!Tabla4[#Data],2,FALSE)</f>
        <v>Rollo Transportador AT 60n PP (bajo agarre) 0,61x100m</v>
      </c>
      <c r="C2318">
        <v>8</v>
      </c>
      <c r="D2318" t="s">
        <v>86</v>
      </c>
      <c r="E2318" t="str">
        <f>VLOOKUP(Tabla1[[#This Row],[Cód. Atributo]],[1]!Tabla5[#Data],6,FALSE)</f>
        <v>Select</v>
      </c>
      <c r="F2318">
        <v>1</v>
      </c>
      <c r="G2318">
        <v>1</v>
      </c>
      <c r="H2318" t="s">
        <v>263</v>
      </c>
      <c r="I2318" t="str">
        <f>VLOOKUP(Tabla1[[#This Row],[Code]],'[1]Articulos Precio'!$A:$E,5,FALSE)</f>
        <v>A0000595</v>
      </c>
    </row>
    <row r="2319" spans="1:9" x14ac:dyDescent="0.25">
      <c r="A2319" t="s">
        <v>698</v>
      </c>
      <c r="B2319" t="str">
        <f>VLOOKUP(Tabla1[[#This Row],[Code]],[1]!Tabla4[#Data],2,FALSE)</f>
        <v>Rollo Transportador AT 60n PP (bajo agarre) 0,61x100m</v>
      </c>
      <c r="C2319">
        <v>36</v>
      </c>
      <c r="D2319" t="s">
        <v>690</v>
      </c>
      <c r="E2319" t="str">
        <f>VLOOKUP(Tabla1[[#This Row],[Cód. Atributo]],[1]!Tabla5[#Data],6,FALSE)</f>
        <v>Select</v>
      </c>
      <c r="F2319">
        <v>2</v>
      </c>
      <c r="G2319">
        <v>3</v>
      </c>
      <c r="H2319" t="s">
        <v>691</v>
      </c>
      <c r="I2319" t="str">
        <f>VLOOKUP(Tabla1[[#This Row],[Code]],'[1]Articulos Precio'!$A:$E,5,FALSE)</f>
        <v>A0000595</v>
      </c>
    </row>
    <row r="2320" spans="1:9" x14ac:dyDescent="0.25">
      <c r="A2320" t="s">
        <v>698</v>
      </c>
      <c r="B2320" t="str">
        <f>VLOOKUP(Tabla1[[#This Row],[Code]],[1]!Tabla4[#Data],2,FALSE)</f>
        <v>Rollo Transportador AT 60n PP (bajo agarre) 0,61x100m</v>
      </c>
      <c r="C2320">
        <v>40</v>
      </c>
      <c r="D2320" t="s">
        <v>692</v>
      </c>
      <c r="E2320" t="str">
        <f>VLOOKUP(Tabla1[[#This Row],[Cód. Atributo]],[1]!Tabla5[#Data],6,FALSE)</f>
        <v>Select</v>
      </c>
      <c r="F2320">
        <v>3</v>
      </c>
      <c r="G2320">
        <v>1</v>
      </c>
      <c r="H2320" t="s">
        <v>693</v>
      </c>
      <c r="I2320" t="str">
        <f>VLOOKUP(Tabla1[[#This Row],[Code]],'[1]Articulos Precio'!$A:$E,5,FALSE)</f>
        <v>A0000595</v>
      </c>
    </row>
    <row r="2321" spans="1:9" x14ac:dyDescent="0.25">
      <c r="A2321" t="s">
        <v>699</v>
      </c>
      <c r="B2321" t="str">
        <f>VLOOKUP(Tabla1[[#This Row],[Code]],[1]!Tabla4[#Data],2,FALSE)</f>
        <v>Rollo Transportador AT 65 PP (medio agarre) 0,61x100m</v>
      </c>
      <c r="C2321">
        <v>8</v>
      </c>
      <c r="D2321" t="s">
        <v>86</v>
      </c>
      <c r="E2321" t="str">
        <f>VLOOKUP(Tabla1[[#This Row],[Cód. Atributo]],[1]!Tabla5[#Data],6,FALSE)</f>
        <v>Select</v>
      </c>
      <c r="F2321">
        <v>1</v>
      </c>
      <c r="G2321">
        <v>1</v>
      </c>
      <c r="H2321" t="s">
        <v>263</v>
      </c>
      <c r="I2321" t="str">
        <f>VLOOKUP(Tabla1[[#This Row],[Code]],'[1]Articulos Precio'!$A:$E,5,FALSE)</f>
        <v>A0000596</v>
      </c>
    </row>
    <row r="2322" spans="1:9" x14ac:dyDescent="0.25">
      <c r="A2322" t="s">
        <v>699</v>
      </c>
      <c r="B2322" t="str">
        <f>VLOOKUP(Tabla1[[#This Row],[Code]],[1]!Tabla4[#Data],2,FALSE)</f>
        <v>Rollo Transportador AT 65 PP (medio agarre) 0,61x100m</v>
      </c>
      <c r="C2322">
        <v>36</v>
      </c>
      <c r="D2322" t="s">
        <v>690</v>
      </c>
      <c r="E2322" t="str">
        <f>VLOOKUP(Tabla1[[#This Row],[Cód. Atributo]],[1]!Tabla5[#Data],6,FALSE)</f>
        <v>Select</v>
      </c>
      <c r="F2322">
        <v>2</v>
      </c>
      <c r="G2322">
        <v>3</v>
      </c>
      <c r="H2322" t="s">
        <v>691</v>
      </c>
      <c r="I2322" t="str">
        <f>VLOOKUP(Tabla1[[#This Row],[Code]],'[1]Articulos Precio'!$A:$E,5,FALSE)</f>
        <v>A0000596</v>
      </c>
    </row>
    <row r="2323" spans="1:9" x14ac:dyDescent="0.25">
      <c r="A2323" t="s">
        <v>699</v>
      </c>
      <c r="B2323" t="str">
        <f>VLOOKUP(Tabla1[[#This Row],[Code]],[1]!Tabla4[#Data],2,FALSE)</f>
        <v>Rollo Transportador AT 65 PP (medio agarre) 0,61x100m</v>
      </c>
      <c r="C2323">
        <v>40</v>
      </c>
      <c r="D2323" t="s">
        <v>692</v>
      </c>
      <c r="E2323" t="str">
        <f>VLOOKUP(Tabla1[[#This Row],[Cód. Atributo]],[1]!Tabla5[#Data],6,FALSE)</f>
        <v>Select</v>
      </c>
      <c r="F2323">
        <v>3</v>
      </c>
      <c r="G2323">
        <v>2</v>
      </c>
      <c r="H2323" t="s">
        <v>695</v>
      </c>
      <c r="I2323" t="str">
        <f>VLOOKUP(Tabla1[[#This Row],[Code]],'[1]Articulos Precio'!$A:$E,5,FALSE)</f>
        <v>A0000596</v>
      </c>
    </row>
    <row r="2324" spans="1:9" x14ac:dyDescent="0.25">
      <c r="A2324" t="s">
        <v>700</v>
      </c>
      <c r="B2324" t="str">
        <f>VLOOKUP(Tabla1[[#This Row],[Code]],[1]!Tabla4[#Data],2,FALSE)</f>
        <v>Rollo Transportador AT75.1 PT. PE (alto agarre) Sin Burbujas 0,61x100m</v>
      </c>
      <c r="C2324">
        <v>8</v>
      </c>
      <c r="D2324" t="s">
        <v>86</v>
      </c>
      <c r="E2324" t="str">
        <f>VLOOKUP(Tabla1[[#This Row],[Cód. Atributo]],[1]!Tabla5[#Data],6,FALSE)</f>
        <v>Select</v>
      </c>
      <c r="F2324">
        <v>1</v>
      </c>
      <c r="G2324">
        <v>1</v>
      </c>
      <c r="H2324" t="s">
        <v>263</v>
      </c>
      <c r="I2324" t="str">
        <f>VLOOKUP(Tabla1[[#This Row],[Code]],'[1]Articulos Precio'!$A:$E,5,FALSE)</f>
        <v>A0000597</v>
      </c>
    </row>
    <row r="2325" spans="1:9" x14ac:dyDescent="0.25">
      <c r="A2325" t="s">
        <v>700</v>
      </c>
      <c r="B2325" t="str">
        <f>VLOOKUP(Tabla1[[#This Row],[Code]],[1]!Tabla4[#Data],2,FALSE)</f>
        <v>Rollo Transportador AT75.1 PT. PE (alto agarre) Sin Burbujas 0,61x100m</v>
      </c>
      <c r="C2325">
        <v>36</v>
      </c>
      <c r="D2325" t="s">
        <v>690</v>
      </c>
      <c r="E2325" t="str">
        <f>VLOOKUP(Tabla1[[#This Row],[Cód. Atributo]],[1]!Tabla5[#Data],6,FALSE)</f>
        <v>Select</v>
      </c>
      <c r="F2325">
        <v>2</v>
      </c>
      <c r="G2325">
        <v>4</v>
      </c>
      <c r="H2325" t="s">
        <v>697</v>
      </c>
      <c r="I2325" t="str">
        <f>VLOOKUP(Tabla1[[#This Row],[Code]],'[1]Articulos Precio'!$A:$E,5,FALSE)</f>
        <v>A0000597</v>
      </c>
    </row>
    <row r="2326" spans="1:9" x14ac:dyDescent="0.25">
      <c r="A2326" t="s">
        <v>700</v>
      </c>
      <c r="B2326" t="str">
        <f>VLOOKUP(Tabla1[[#This Row],[Code]],[1]!Tabla4[#Data],2,FALSE)</f>
        <v>Rollo Transportador AT75.1 PT. PE (alto agarre) Sin Burbujas 0,61x100m</v>
      </c>
      <c r="C2326">
        <v>40</v>
      </c>
      <c r="D2326" t="s">
        <v>692</v>
      </c>
      <c r="E2326" t="str">
        <f>VLOOKUP(Tabla1[[#This Row],[Cód. Atributo]],[1]!Tabla5[#Data],6,FALSE)</f>
        <v>Select</v>
      </c>
      <c r="F2326">
        <v>3</v>
      </c>
      <c r="G2326">
        <v>3</v>
      </c>
      <c r="H2326" t="s">
        <v>158</v>
      </c>
      <c r="I2326" t="str">
        <f>VLOOKUP(Tabla1[[#This Row],[Code]],'[1]Articulos Precio'!$A:$E,5,FALSE)</f>
        <v>A0000597</v>
      </c>
    </row>
    <row r="2327" spans="1:9" x14ac:dyDescent="0.25">
      <c r="A2327" t="s">
        <v>701</v>
      </c>
      <c r="B2327" t="str">
        <f>VLOOKUP(Tabla1[[#This Row],[Code]],[1]!Tabla4[#Data],2,FALSE)</f>
        <v>Rollo Transportador GXP-750 Conformable (Papel Medio agarre) 1,22x100m</v>
      </c>
      <c r="C2327">
        <v>8</v>
      </c>
      <c r="D2327" t="s">
        <v>86</v>
      </c>
      <c r="E2327" t="str">
        <f>VLOOKUP(Tabla1[[#This Row],[Cód. Atributo]],[1]!Tabla5[#Data],6,FALSE)</f>
        <v>Select</v>
      </c>
      <c r="F2327">
        <v>1</v>
      </c>
      <c r="G2327">
        <v>2</v>
      </c>
      <c r="H2327" t="s">
        <v>268</v>
      </c>
      <c r="I2327" t="str">
        <f>VLOOKUP(Tabla1[[#This Row],[Code]],'[1]Articulos Precio'!$A:$E,5,FALSE)</f>
        <v>A0000602</v>
      </c>
    </row>
    <row r="2328" spans="1:9" x14ac:dyDescent="0.25">
      <c r="A2328" t="s">
        <v>701</v>
      </c>
      <c r="B2328" t="str">
        <f>VLOOKUP(Tabla1[[#This Row],[Code]],[1]!Tabla4[#Data],2,FALSE)</f>
        <v>Rollo Transportador GXP-750 Conformable (Papel Medio agarre) 1,22x100m</v>
      </c>
      <c r="C2328">
        <v>36</v>
      </c>
      <c r="D2328" t="s">
        <v>690</v>
      </c>
      <c r="E2328" t="str">
        <f>VLOOKUP(Tabla1[[#This Row],[Cód. Atributo]],[1]!Tabla5[#Data],6,FALSE)</f>
        <v>Select</v>
      </c>
      <c r="F2328">
        <v>2</v>
      </c>
      <c r="G2328">
        <v>2</v>
      </c>
      <c r="H2328" t="s">
        <v>702</v>
      </c>
      <c r="I2328" t="str">
        <f>VLOOKUP(Tabla1[[#This Row],[Code]],'[1]Articulos Precio'!$A:$E,5,FALSE)</f>
        <v>A0000602</v>
      </c>
    </row>
    <row r="2329" spans="1:9" x14ac:dyDescent="0.25">
      <c r="A2329" t="s">
        <v>701</v>
      </c>
      <c r="B2329" t="str">
        <f>VLOOKUP(Tabla1[[#This Row],[Code]],[1]!Tabla4[#Data],2,FALSE)</f>
        <v>Rollo Transportador GXP-750 Conformable (Papel Medio agarre) 1,22x100m</v>
      </c>
      <c r="C2329">
        <v>40</v>
      </c>
      <c r="D2329" t="s">
        <v>692</v>
      </c>
      <c r="E2329" t="str">
        <f>VLOOKUP(Tabla1[[#This Row],[Cód. Atributo]],[1]!Tabla5[#Data],6,FALSE)</f>
        <v>Select</v>
      </c>
      <c r="F2329">
        <v>3</v>
      </c>
      <c r="G2329">
        <v>2</v>
      </c>
      <c r="H2329" t="s">
        <v>695</v>
      </c>
      <c r="I2329" t="str">
        <f>VLOOKUP(Tabla1[[#This Row],[Code]],'[1]Articulos Precio'!$A:$E,5,FALSE)</f>
        <v>A0000602</v>
      </c>
    </row>
    <row r="2330" spans="1:9" x14ac:dyDescent="0.25">
      <c r="A2330" t="s">
        <v>703</v>
      </c>
      <c r="B2330" t="str">
        <f>VLOOKUP(Tabla1[[#This Row],[Code]],[1]!Tabla4[#Data],2,FALSE)</f>
        <v>Rollo Transportador GXP-775 Conformable (Papel medio/alto agarre) 1.22x100m</v>
      </c>
      <c r="C2330">
        <v>8</v>
      </c>
      <c r="D2330" t="s">
        <v>86</v>
      </c>
      <c r="E2330" t="str">
        <f>VLOOKUP(Tabla1[[#This Row],[Cód. Atributo]],[1]!Tabla5[#Data],6,FALSE)</f>
        <v>Select</v>
      </c>
      <c r="F2330">
        <v>1</v>
      </c>
      <c r="G2330">
        <v>2</v>
      </c>
      <c r="H2330" t="s">
        <v>268</v>
      </c>
      <c r="I2330" t="str">
        <f>VLOOKUP(Tabla1[[#This Row],[Code]],'[1]Articulos Precio'!$A:$E,5,FALSE)</f>
        <v>A0000603</v>
      </c>
    </row>
    <row r="2331" spans="1:9" x14ac:dyDescent="0.25">
      <c r="A2331" t="s">
        <v>703</v>
      </c>
      <c r="B2331" t="str">
        <f>VLOOKUP(Tabla1[[#This Row],[Code]],[1]!Tabla4[#Data],2,FALSE)</f>
        <v>Rollo Transportador GXP-775 Conformable (Papel medio/alto agarre) 1.22x100m</v>
      </c>
      <c r="C2331">
        <v>36</v>
      </c>
      <c r="D2331" t="s">
        <v>690</v>
      </c>
      <c r="E2331" t="str">
        <f>VLOOKUP(Tabla1[[#This Row],[Cód. Atributo]],[1]!Tabla5[#Data],6,FALSE)</f>
        <v>Select</v>
      </c>
      <c r="F2331">
        <v>2</v>
      </c>
      <c r="G2331">
        <v>2</v>
      </c>
      <c r="H2331" t="s">
        <v>702</v>
      </c>
      <c r="I2331" t="str">
        <f>VLOOKUP(Tabla1[[#This Row],[Code]],'[1]Articulos Precio'!$A:$E,5,FALSE)</f>
        <v>A0000603</v>
      </c>
    </row>
    <row r="2332" spans="1:9" x14ac:dyDescent="0.25">
      <c r="A2332" t="s">
        <v>703</v>
      </c>
      <c r="B2332" t="str">
        <f>VLOOKUP(Tabla1[[#This Row],[Code]],[1]!Tabla4[#Data],2,FALSE)</f>
        <v>Rollo Transportador GXP-775 Conformable (Papel medio/alto agarre) 1.22x100m</v>
      </c>
      <c r="C2332">
        <v>40</v>
      </c>
      <c r="D2332" t="s">
        <v>692</v>
      </c>
      <c r="E2332" t="str">
        <f>VLOOKUP(Tabla1[[#This Row],[Cód. Atributo]],[1]!Tabla5[#Data],6,FALSE)</f>
        <v>Select</v>
      </c>
      <c r="F2332">
        <v>3</v>
      </c>
      <c r="G2332">
        <v>4</v>
      </c>
      <c r="H2332" t="s">
        <v>704</v>
      </c>
      <c r="I2332" t="str">
        <f>VLOOKUP(Tabla1[[#This Row],[Code]],'[1]Articulos Precio'!$A:$E,5,FALSE)</f>
        <v>A0000603</v>
      </c>
    </row>
    <row r="2333" spans="1:9" x14ac:dyDescent="0.25">
      <c r="A2333" t="s">
        <v>705</v>
      </c>
      <c r="B2333" t="str">
        <f>VLOOKUP(Tabla1[[#This Row],[Code]],[1]!Tabla4[#Data],2,FALSE)</f>
        <v>Rollo Transportador GXP-550 (Papel medio agarre) 1,22x91,4m</v>
      </c>
      <c r="C2333">
        <v>8</v>
      </c>
      <c r="D2333" t="s">
        <v>86</v>
      </c>
      <c r="E2333" t="str">
        <f>VLOOKUP(Tabla1[[#This Row],[Cód. Atributo]],[1]!Tabla5[#Data],6,FALSE)</f>
        <v>Select</v>
      </c>
      <c r="F2333">
        <v>1</v>
      </c>
      <c r="G2333">
        <v>2</v>
      </c>
      <c r="H2333" t="s">
        <v>268</v>
      </c>
      <c r="I2333" t="str">
        <f>VLOOKUP(Tabla1[[#This Row],[Code]],'[1]Articulos Precio'!$A:$E,5,FALSE)</f>
        <v>A0000604</v>
      </c>
    </row>
    <row r="2334" spans="1:9" x14ac:dyDescent="0.25">
      <c r="A2334" t="s">
        <v>705</v>
      </c>
      <c r="B2334" t="str">
        <f>VLOOKUP(Tabla1[[#This Row],[Code]],[1]!Tabla4[#Data],2,FALSE)</f>
        <v>Rollo Transportador GXP-550 (Papel medio agarre) 1,22x91,4m</v>
      </c>
      <c r="C2334">
        <v>36</v>
      </c>
      <c r="D2334" t="s">
        <v>690</v>
      </c>
      <c r="E2334" t="str">
        <f>VLOOKUP(Tabla1[[#This Row],[Cód. Atributo]],[1]!Tabla5[#Data],6,FALSE)</f>
        <v>Select</v>
      </c>
      <c r="F2334">
        <v>2</v>
      </c>
      <c r="G2334">
        <v>2</v>
      </c>
      <c r="H2334" t="s">
        <v>702</v>
      </c>
      <c r="I2334" t="str">
        <f>VLOOKUP(Tabla1[[#This Row],[Code]],'[1]Articulos Precio'!$A:$E,5,FALSE)</f>
        <v>A0000604</v>
      </c>
    </row>
    <row r="2335" spans="1:9" x14ac:dyDescent="0.25">
      <c r="A2335" t="s">
        <v>705</v>
      </c>
      <c r="B2335" t="str">
        <f>VLOOKUP(Tabla1[[#This Row],[Code]],[1]!Tabla4[#Data],2,FALSE)</f>
        <v>Rollo Transportador GXP-550 (Papel medio agarre) 1,22x91,4m</v>
      </c>
      <c r="C2335">
        <v>40</v>
      </c>
      <c r="D2335" t="s">
        <v>692</v>
      </c>
      <c r="E2335" t="str">
        <f>VLOOKUP(Tabla1[[#This Row],[Cód. Atributo]],[1]!Tabla5[#Data],6,FALSE)</f>
        <v>Select</v>
      </c>
      <c r="F2335">
        <v>3</v>
      </c>
      <c r="G2335">
        <v>2</v>
      </c>
      <c r="H2335" t="s">
        <v>695</v>
      </c>
      <c r="I2335" t="str">
        <f>VLOOKUP(Tabla1[[#This Row],[Code]],'[1]Articulos Precio'!$A:$E,5,FALSE)</f>
        <v>A0000604</v>
      </c>
    </row>
    <row r="2336" spans="1:9" x14ac:dyDescent="0.25">
      <c r="A2336" t="s">
        <v>706</v>
      </c>
      <c r="B2336" t="str">
        <f>VLOOKUP(Tabla1[[#This Row],[Code]],[1]!Tabla4[#Data],2,FALSE)</f>
        <v>Rollo Transportador GXP-575 (Papel medio/alto agarre) 1,22x91,4m</v>
      </c>
      <c r="C2336">
        <v>8</v>
      </c>
      <c r="D2336" t="s">
        <v>86</v>
      </c>
      <c r="E2336" t="str">
        <f>VLOOKUP(Tabla1[[#This Row],[Cód. Atributo]],[1]!Tabla5[#Data],6,FALSE)</f>
        <v>Select</v>
      </c>
      <c r="F2336">
        <v>1</v>
      </c>
      <c r="G2336">
        <v>2</v>
      </c>
      <c r="H2336" t="s">
        <v>268</v>
      </c>
      <c r="I2336" t="str">
        <f>VLOOKUP(Tabla1[[#This Row],[Code]],'[1]Articulos Precio'!$A:$E,5,FALSE)</f>
        <v>A0000605</v>
      </c>
    </row>
    <row r="2337" spans="1:9" x14ac:dyDescent="0.25">
      <c r="A2337" t="s">
        <v>706</v>
      </c>
      <c r="B2337" t="str">
        <f>VLOOKUP(Tabla1[[#This Row],[Code]],[1]!Tabla4[#Data],2,FALSE)</f>
        <v>Rollo Transportador GXP-575 (Papel medio/alto agarre) 1,22x91,4m</v>
      </c>
      <c r="C2337">
        <v>36</v>
      </c>
      <c r="D2337" t="s">
        <v>690</v>
      </c>
      <c r="E2337" t="str">
        <f>VLOOKUP(Tabla1[[#This Row],[Cód. Atributo]],[1]!Tabla5[#Data],6,FALSE)</f>
        <v>Select</v>
      </c>
      <c r="F2337">
        <v>2</v>
      </c>
      <c r="G2337">
        <v>2</v>
      </c>
      <c r="H2337" t="s">
        <v>702</v>
      </c>
      <c r="I2337" t="str">
        <f>VLOOKUP(Tabla1[[#This Row],[Code]],'[1]Articulos Precio'!$A:$E,5,FALSE)</f>
        <v>A0000605</v>
      </c>
    </row>
    <row r="2338" spans="1:9" x14ac:dyDescent="0.25">
      <c r="A2338" t="s">
        <v>706</v>
      </c>
      <c r="B2338" t="str">
        <f>VLOOKUP(Tabla1[[#This Row],[Code]],[1]!Tabla4[#Data],2,FALSE)</f>
        <v>Rollo Transportador GXP-575 (Papel medio/alto agarre) 1,22x91,4m</v>
      </c>
      <c r="C2338">
        <v>40</v>
      </c>
      <c r="D2338" t="s">
        <v>692</v>
      </c>
      <c r="E2338" t="str">
        <f>VLOOKUP(Tabla1[[#This Row],[Cód. Atributo]],[1]!Tabla5[#Data],6,FALSE)</f>
        <v>Select</v>
      </c>
      <c r="F2338">
        <v>3</v>
      </c>
      <c r="G2338">
        <v>4</v>
      </c>
      <c r="H2338" t="s">
        <v>704</v>
      </c>
      <c r="I2338" t="str">
        <f>VLOOKUP(Tabla1[[#This Row],[Code]],'[1]Articulos Precio'!$A:$E,5,FALSE)</f>
        <v>A0000605</v>
      </c>
    </row>
    <row r="2339" spans="1:9" x14ac:dyDescent="0.25">
      <c r="A2339" t="s">
        <v>707</v>
      </c>
      <c r="B2339" t="str">
        <f>VLOOKUP(Tabla1[[#This Row],[Code]],[1]!Tabla4[#Data],2,FALSE)</f>
        <v>Rollo Transportador GXP-750 Conform (Papel Medio agarre) 0,61x100m</v>
      </c>
      <c r="C2339">
        <v>8</v>
      </c>
      <c r="D2339" t="s">
        <v>86</v>
      </c>
      <c r="E2339" t="str">
        <f>VLOOKUP(Tabla1[[#This Row],[Cód. Atributo]],[1]!Tabla5[#Data],6,FALSE)</f>
        <v>Select</v>
      </c>
      <c r="F2339">
        <v>1</v>
      </c>
      <c r="G2339">
        <v>1</v>
      </c>
      <c r="H2339" t="s">
        <v>263</v>
      </c>
      <c r="I2339" t="str">
        <f>VLOOKUP(Tabla1[[#This Row],[Code]],'[1]Articulos Precio'!$A:$E,5,FALSE)</f>
        <v>A0000602</v>
      </c>
    </row>
    <row r="2340" spans="1:9" x14ac:dyDescent="0.25">
      <c r="A2340" t="s">
        <v>707</v>
      </c>
      <c r="B2340" t="str">
        <f>VLOOKUP(Tabla1[[#This Row],[Code]],[1]!Tabla4[#Data],2,FALSE)</f>
        <v>Rollo Transportador GXP-750 Conform (Papel Medio agarre) 0,61x100m</v>
      </c>
      <c r="C2340">
        <v>36</v>
      </c>
      <c r="D2340" t="s">
        <v>690</v>
      </c>
      <c r="E2340" t="str">
        <f>VLOOKUP(Tabla1[[#This Row],[Cód. Atributo]],[1]!Tabla5[#Data],6,FALSE)</f>
        <v>Select</v>
      </c>
      <c r="F2340">
        <v>2</v>
      </c>
      <c r="G2340">
        <v>2</v>
      </c>
      <c r="H2340" t="s">
        <v>702</v>
      </c>
      <c r="I2340" t="str">
        <f>VLOOKUP(Tabla1[[#This Row],[Code]],'[1]Articulos Precio'!$A:$E,5,FALSE)</f>
        <v>A0000602</v>
      </c>
    </row>
    <row r="2341" spans="1:9" x14ac:dyDescent="0.25">
      <c r="A2341" t="s">
        <v>707</v>
      </c>
      <c r="B2341" t="str">
        <f>VLOOKUP(Tabla1[[#This Row],[Code]],[1]!Tabla4[#Data],2,FALSE)</f>
        <v>Rollo Transportador GXP-750 Conform (Papel Medio agarre) 0,61x100m</v>
      </c>
      <c r="C2341">
        <v>40</v>
      </c>
      <c r="D2341" t="s">
        <v>692</v>
      </c>
      <c r="E2341" t="str">
        <f>VLOOKUP(Tabla1[[#This Row],[Cód. Atributo]],[1]!Tabla5[#Data],6,FALSE)</f>
        <v>Select</v>
      </c>
      <c r="F2341">
        <v>3</v>
      </c>
      <c r="G2341">
        <v>2</v>
      </c>
      <c r="H2341" t="s">
        <v>695</v>
      </c>
      <c r="I2341" t="str">
        <f>VLOOKUP(Tabla1[[#This Row],[Code]],'[1]Articulos Precio'!$A:$E,5,FALSE)</f>
        <v>A0000602</v>
      </c>
    </row>
    <row r="2342" spans="1:9" x14ac:dyDescent="0.25">
      <c r="A2342" t="s">
        <v>708</v>
      </c>
      <c r="B2342" t="str">
        <f>VLOOKUP(Tabla1[[#This Row],[Code]],[1]!Tabla4[#Data],2,FALSE)</f>
        <v>Rollo Transportador GXP-775 Conformable (Papel medio/alto agarre) 0,61x100m</v>
      </c>
      <c r="C2342">
        <v>8</v>
      </c>
      <c r="D2342" t="s">
        <v>86</v>
      </c>
      <c r="E2342" t="str">
        <f>VLOOKUP(Tabla1[[#This Row],[Cód. Atributo]],[1]!Tabla5[#Data],6,FALSE)</f>
        <v>Select</v>
      </c>
      <c r="F2342">
        <v>1</v>
      </c>
      <c r="G2342">
        <v>1</v>
      </c>
      <c r="H2342" t="s">
        <v>263</v>
      </c>
      <c r="I2342" t="str">
        <f>VLOOKUP(Tabla1[[#This Row],[Code]],'[1]Articulos Precio'!$A:$E,5,FALSE)</f>
        <v>A0000603</v>
      </c>
    </row>
    <row r="2343" spans="1:9" x14ac:dyDescent="0.25">
      <c r="A2343" t="s">
        <v>708</v>
      </c>
      <c r="B2343" t="str">
        <f>VLOOKUP(Tabla1[[#This Row],[Code]],[1]!Tabla4[#Data],2,FALSE)</f>
        <v>Rollo Transportador GXP-775 Conformable (Papel medio/alto agarre) 0,61x100m</v>
      </c>
      <c r="C2343">
        <v>36</v>
      </c>
      <c r="D2343" t="s">
        <v>690</v>
      </c>
      <c r="E2343" t="str">
        <f>VLOOKUP(Tabla1[[#This Row],[Cód. Atributo]],[1]!Tabla5[#Data],6,FALSE)</f>
        <v>Select</v>
      </c>
      <c r="F2343">
        <v>2</v>
      </c>
      <c r="G2343">
        <v>2</v>
      </c>
      <c r="H2343" t="s">
        <v>702</v>
      </c>
      <c r="I2343" t="str">
        <f>VLOOKUP(Tabla1[[#This Row],[Code]],'[1]Articulos Precio'!$A:$E,5,FALSE)</f>
        <v>A0000603</v>
      </c>
    </row>
    <row r="2344" spans="1:9" x14ac:dyDescent="0.25">
      <c r="A2344" t="s">
        <v>708</v>
      </c>
      <c r="B2344" t="str">
        <f>VLOOKUP(Tabla1[[#This Row],[Code]],[1]!Tabla4[#Data],2,FALSE)</f>
        <v>Rollo Transportador GXP-775 Conformable (Papel medio/alto agarre) 0,61x100m</v>
      </c>
      <c r="C2344">
        <v>40</v>
      </c>
      <c r="D2344" t="s">
        <v>692</v>
      </c>
      <c r="E2344" t="str">
        <f>VLOOKUP(Tabla1[[#This Row],[Cód. Atributo]],[1]!Tabla5[#Data],6,FALSE)</f>
        <v>Select</v>
      </c>
      <c r="F2344">
        <v>3</v>
      </c>
      <c r="G2344">
        <v>1</v>
      </c>
      <c r="H2344" t="s">
        <v>693</v>
      </c>
      <c r="I2344" t="str">
        <f>VLOOKUP(Tabla1[[#This Row],[Code]],'[1]Articulos Precio'!$A:$E,5,FALSE)</f>
        <v>A0000603</v>
      </c>
    </row>
    <row r="2345" spans="1:9" x14ac:dyDescent="0.25">
      <c r="A2345" t="s">
        <v>709</v>
      </c>
      <c r="B2345" t="str">
        <f>VLOOKUP(Tabla1[[#This Row],[Code]],[1]!Tabla4[#Data],2,FALSE)</f>
        <v>Rollo Transportador GXP-550 (Papel medio agarre) 0,61x91,4m</v>
      </c>
      <c r="C2345">
        <v>8</v>
      </c>
      <c r="D2345" t="s">
        <v>86</v>
      </c>
      <c r="E2345" t="str">
        <f>VLOOKUP(Tabla1[[#This Row],[Cód. Atributo]],[1]!Tabla5[#Data],6,FALSE)</f>
        <v>Select</v>
      </c>
      <c r="F2345">
        <v>1</v>
      </c>
      <c r="G2345">
        <v>1</v>
      </c>
      <c r="H2345" t="s">
        <v>263</v>
      </c>
      <c r="I2345" t="str">
        <f>VLOOKUP(Tabla1[[#This Row],[Code]],'[1]Articulos Precio'!$A:$E,5,FALSE)</f>
        <v>A0000604</v>
      </c>
    </row>
    <row r="2346" spans="1:9" x14ac:dyDescent="0.25">
      <c r="A2346" t="s">
        <v>709</v>
      </c>
      <c r="B2346" t="str">
        <f>VLOOKUP(Tabla1[[#This Row],[Code]],[1]!Tabla4[#Data],2,FALSE)</f>
        <v>Rollo Transportador GXP-550 (Papel medio agarre) 0,61x91,4m</v>
      </c>
      <c r="C2346">
        <v>36</v>
      </c>
      <c r="D2346" t="s">
        <v>690</v>
      </c>
      <c r="E2346" t="str">
        <f>VLOOKUP(Tabla1[[#This Row],[Cód. Atributo]],[1]!Tabla5[#Data],6,FALSE)</f>
        <v>Select</v>
      </c>
      <c r="F2346">
        <v>2</v>
      </c>
      <c r="G2346">
        <v>2</v>
      </c>
      <c r="H2346" t="s">
        <v>702</v>
      </c>
      <c r="I2346" t="str">
        <f>VLOOKUP(Tabla1[[#This Row],[Code]],'[1]Articulos Precio'!$A:$E,5,FALSE)</f>
        <v>A0000604</v>
      </c>
    </row>
    <row r="2347" spans="1:9" x14ac:dyDescent="0.25">
      <c r="A2347" t="s">
        <v>709</v>
      </c>
      <c r="B2347" t="str">
        <f>VLOOKUP(Tabla1[[#This Row],[Code]],[1]!Tabla4[#Data],2,FALSE)</f>
        <v>Rollo Transportador GXP-550 (Papel medio agarre) 0,61x91,4m</v>
      </c>
      <c r="C2347">
        <v>40</v>
      </c>
      <c r="D2347" t="s">
        <v>692</v>
      </c>
      <c r="E2347" t="str">
        <f>VLOOKUP(Tabla1[[#This Row],[Cód. Atributo]],[1]!Tabla5[#Data],6,FALSE)</f>
        <v>Select</v>
      </c>
      <c r="F2347">
        <v>3</v>
      </c>
      <c r="G2347">
        <v>2</v>
      </c>
      <c r="H2347" t="s">
        <v>695</v>
      </c>
      <c r="I2347" t="str">
        <f>VLOOKUP(Tabla1[[#This Row],[Code]],'[1]Articulos Precio'!$A:$E,5,FALSE)</f>
        <v>A0000604</v>
      </c>
    </row>
    <row r="2348" spans="1:9" x14ac:dyDescent="0.25">
      <c r="A2348" t="s">
        <v>710</v>
      </c>
      <c r="B2348" t="str">
        <f>VLOOKUP(Tabla1[[#This Row],[Code]],[1]!Tabla4[#Data],2,FALSE)</f>
        <v>Rollo Transportador GXP-575 (Papel medio/alto agarre) 0,61x91,4m</v>
      </c>
      <c r="C2348">
        <v>8</v>
      </c>
      <c r="D2348" t="s">
        <v>86</v>
      </c>
      <c r="E2348" t="str">
        <f>VLOOKUP(Tabla1[[#This Row],[Cód. Atributo]],[1]!Tabla5[#Data],6,FALSE)</f>
        <v>Select</v>
      </c>
      <c r="F2348">
        <v>1</v>
      </c>
      <c r="G2348">
        <v>1</v>
      </c>
      <c r="H2348" t="s">
        <v>263</v>
      </c>
      <c r="I2348" t="str">
        <f>VLOOKUP(Tabla1[[#This Row],[Code]],'[1]Articulos Precio'!$A:$E,5,FALSE)</f>
        <v>A0000605</v>
      </c>
    </row>
    <row r="2349" spans="1:9" x14ac:dyDescent="0.25">
      <c r="A2349" t="s">
        <v>710</v>
      </c>
      <c r="B2349" t="str">
        <f>VLOOKUP(Tabla1[[#This Row],[Code]],[1]!Tabla4[#Data],2,FALSE)</f>
        <v>Rollo Transportador GXP-575 (Papel medio/alto agarre) 0,61x91,4m</v>
      </c>
      <c r="C2349">
        <v>36</v>
      </c>
      <c r="D2349" t="s">
        <v>690</v>
      </c>
      <c r="E2349" t="str">
        <f>VLOOKUP(Tabla1[[#This Row],[Cód. Atributo]],[1]!Tabla5[#Data],6,FALSE)</f>
        <v>Select</v>
      </c>
      <c r="F2349">
        <v>2</v>
      </c>
      <c r="G2349">
        <v>2</v>
      </c>
      <c r="H2349" t="s">
        <v>702</v>
      </c>
      <c r="I2349" t="str">
        <f>VLOOKUP(Tabla1[[#This Row],[Code]],'[1]Articulos Precio'!$A:$E,5,FALSE)</f>
        <v>A0000605</v>
      </c>
    </row>
    <row r="2350" spans="1:9" x14ac:dyDescent="0.25">
      <c r="A2350" t="s">
        <v>710</v>
      </c>
      <c r="B2350" t="str">
        <f>VLOOKUP(Tabla1[[#This Row],[Code]],[1]!Tabla4[#Data],2,FALSE)</f>
        <v>Rollo Transportador GXP-575 (Papel medio/alto agarre) 0,61x91,4m</v>
      </c>
      <c r="C2350">
        <v>40</v>
      </c>
      <c r="D2350" t="s">
        <v>692</v>
      </c>
      <c r="E2350" t="str">
        <f>VLOOKUP(Tabla1[[#This Row],[Cód. Atributo]],[1]!Tabla5[#Data],6,FALSE)</f>
        <v>Select</v>
      </c>
      <c r="F2350">
        <v>3</v>
      </c>
      <c r="G2350">
        <v>2</v>
      </c>
      <c r="H2350" t="s">
        <v>695</v>
      </c>
      <c r="I2350" t="str">
        <f>VLOOKUP(Tabla1[[#This Row],[Code]],'[1]Articulos Precio'!$A:$E,5,FALSE)</f>
        <v>A0000605</v>
      </c>
    </row>
    <row r="2351" spans="1:9" x14ac:dyDescent="0.25">
      <c r="A2351" t="s">
        <v>711</v>
      </c>
      <c r="B2351" t="str">
        <f>VLOOKUP(Tabla1[[#This Row],[Code]],[1]!Tabla4[#Data],2,FALSE)</f>
        <v>ML Cad-Cut Sportsfilm 001 Blanco 500mm</v>
      </c>
      <c r="C2351">
        <v>2</v>
      </c>
      <c r="D2351" t="s">
        <v>10</v>
      </c>
      <c r="E2351" t="str">
        <f>VLOOKUP(Tabla1[[#This Row],[Cód. Atributo]],[1]!Tabla5[#Data],6,FALSE)</f>
        <v>Select</v>
      </c>
      <c r="F2351">
        <v>1</v>
      </c>
      <c r="G2351">
        <v>1</v>
      </c>
      <c r="H2351" t="s">
        <v>11</v>
      </c>
      <c r="I2351" t="str">
        <f>VLOOKUP(Tabla1[[#This Row],[Code]],'[1]Articulos Precio'!$A:$E,5,FALSE)</f>
        <v>A0000606</v>
      </c>
    </row>
    <row r="2352" spans="1:9" x14ac:dyDescent="0.25">
      <c r="A2352" t="s">
        <v>711</v>
      </c>
      <c r="B2352" t="str">
        <f>VLOOKUP(Tabla1[[#This Row],[Code]],[1]!Tabla4[#Data],2,FALSE)</f>
        <v>ML Cad-Cut Sportsfilm 001 Blanco 500mm</v>
      </c>
      <c r="C2352">
        <v>18</v>
      </c>
      <c r="D2352" t="s">
        <v>712</v>
      </c>
      <c r="E2352" t="str">
        <f>VLOOKUP(Tabla1[[#This Row],[Cód. Atributo]],[1]!Tabla5[#Data],6,FALSE)</f>
        <v>Color</v>
      </c>
      <c r="F2352">
        <v>2</v>
      </c>
      <c r="G2352">
        <v>1</v>
      </c>
      <c r="H2352" t="s">
        <v>713</v>
      </c>
      <c r="I2352" t="str">
        <f>VLOOKUP(Tabla1[[#This Row],[Code]],'[1]Articulos Precio'!$A:$E,5,FALSE)</f>
        <v>A0000606</v>
      </c>
    </row>
    <row r="2353" spans="1:9" x14ac:dyDescent="0.25">
      <c r="A2353" t="s">
        <v>714</v>
      </c>
      <c r="B2353" t="str">
        <f>VLOOKUP(Tabla1[[#This Row],[Code]],[1]!Tabla4[#Data],2,FALSE)</f>
        <v>ML Cad-Cut Sportsfilm 004 Beige 500mm</v>
      </c>
      <c r="C2353">
        <v>2</v>
      </c>
      <c r="D2353" t="s">
        <v>10</v>
      </c>
      <c r="E2353" t="str">
        <f>VLOOKUP(Tabla1[[#This Row],[Cód. Atributo]],[1]!Tabla5[#Data],6,FALSE)</f>
        <v>Select</v>
      </c>
      <c r="F2353">
        <v>1</v>
      </c>
      <c r="G2353">
        <v>1</v>
      </c>
      <c r="H2353" t="s">
        <v>11</v>
      </c>
      <c r="I2353" t="str">
        <f>VLOOKUP(Tabla1[[#This Row],[Code]],'[1]Articulos Precio'!$A:$E,5,FALSE)</f>
        <v>A0000606</v>
      </c>
    </row>
    <row r="2354" spans="1:9" x14ac:dyDescent="0.25">
      <c r="A2354" t="s">
        <v>714</v>
      </c>
      <c r="B2354" t="str">
        <f>VLOOKUP(Tabla1[[#This Row],[Code]],[1]!Tabla4[#Data],2,FALSE)</f>
        <v>ML Cad-Cut Sportsfilm 004 Beige 500mm</v>
      </c>
      <c r="C2354">
        <v>18</v>
      </c>
      <c r="D2354" t="s">
        <v>712</v>
      </c>
      <c r="E2354" t="str">
        <f>VLOOKUP(Tabla1[[#This Row],[Cód. Atributo]],[1]!Tabla5[#Data],6,FALSE)</f>
        <v>Color</v>
      </c>
      <c r="F2354">
        <v>2</v>
      </c>
      <c r="G2354">
        <v>2</v>
      </c>
      <c r="H2354" t="s">
        <v>715</v>
      </c>
      <c r="I2354" t="str">
        <f>VLOOKUP(Tabla1[[#This Row],[Code]],'[1]Articulos Precio'!$A:$E,5,FALSE)</f>
        <v>A0000606</v>
      </c>
    </row>
    <row r="2355" spans="1:9" x14ac:dyDescent="0.25">
      <c r="A2355" t="s">
        <v>716</v>
      </c>
      <c r="B2355" t="str">
        <f>VLOOKUP(Tabla1[[#This Row],[Code]],[1]!Tabla4[#Data],2,FALSE)</f>
        <v>ML Cad-Cut Sportsfilm 005 Crema 500mm</v>
      </c>
      <c r="C2355">
        <v>2</v>
      </c>
      <c r="D2355" t="s">
        <v>10</v>
      </c>
      <c r="E2355" t="str">
        <f>VLOOKUP(Tabla1[[#This Row],[Cód. Atributo]],[1]!Tabla5[#Data],6,FALSE)</f>
        <v>Select</v>
      </c>
      <c r="F2355">
        <v>1</v>
      </c>
      <c r="G2355">
        <v>1</v>
      </c>
      <c r="H2355" t="s">
        <v>11</v>
      </c>
      <c r="I2355" t="str">
        <f>VLOOKUP(Tabla1[[#This Row],[Code]],'[1]Articulos Precio'!$A:$E,5,FALSE)</f>
        <v>A0000606</v>
      </c>
    </row>
    <row r="2356" spans="1:9" x14ac:dyDescent="0.25">
      <c r="A2356" t="s">
        <v>716</v>
      </c>
      <c r="B2356" t="str">
        <f>VLOOKUP(Tabla1[[#This Row],[Code]],[1]!Tabla4[#Data],2,FALSE)</f>
        <v>ML Cad-Cut Sportsfilm 005 Crema 500mm</v>
      </c>
      <c r="C2356">
        <v>18</v>
      </c>
      <c r="D2356" t="s">
        <v>712</v>
      </c>
      <c r="E2356" t="str">
        <f>VLOOKUP(Tabla1[[#This Row],[Cód. Atributo]],[1]!Tabla5[#Data],6,FALSE)</f>
        <v>Color</v>
      </c>
      <c r="F2356">
        <v>2</v>
      </c>
      <c r="G2356">
        <v>3</v>
      </c>
      <c r="H2356" t="s">
        <v>717</v>
      </c>
      <c r="I2356" t="str">
        <f>VLOOKUP(Tabla1[[#This Row],[Code]],'[1]Articulos Precio'!$A:$E,5,FALSE)</f>
        <v>A0000606</v>
      </c>
    </row>
    <row r="2357" spans="1:9" x14ac:dyDescent="0.25">
      <c r="A2357" t="s">
        <v>718</v>
      </c>
      <c r="B2357" t="str">
        <f>VLOOKUP(Tabla1[[#This Row],[Code]],[1]!Tabla4[#Data],2,FALSE)</f>
        <v>ML Cad-Cut Sportsfilm 100 Amarillo Limón 500mm</v>
      </c>
      <c r="C2357">
        <v>2</v>
      </c>
      <c r="D2357" t="s">
        <v>10</v>
      </c>
      <c r="E2357" t="str">
        <f>VLOOKUP(Tabla1[[#This Row],[Cód. Atributo]],[1]!Tabla5[#Data],6,FALSE)</f>
        <v>Select</v>
      </c>
      <c r="F2357">
        <v>1</v>
      </c>
      <c r="G2357">
        <v>1</v>
      </c>
      <c r="H2357" t="s">
        <v>11</v>
      </c>
      <c r="I2357" t="str">
        <f>VLOOKUP(Tabla1[[#This Row],[Code]],'[1]Articulos Precio'!$A:$E,5,FALSE)</f>
        <v>A0000606</v>
      </c>
    </row>
    <row r="2358" spans="1:9" x14ac:dyDescent="0.25">
      <c r="A2358" t="s">
        <v>718</v>
      </c>
      <c r="B2358" t="str">
        <f>VLOOKUP(Tabla1[[#This Row],[Code]],[1]!Tabla4[#Data],2,FALSE)</f>
        <v>ML Cad-Cut Sportsfilm 100 Amarillo Limón 500mm</v>
      </c>
      <c r="C2358">
        <v>18</v>
      </c>
      <c r="D2358" t="s">
        <v>712</v>
      </c>
      <c r="E2358" t="str">
        <f>VLOOKUP(Tabla1[[#This Row],[Cód. Atributo]],[1]!Tabla5[#Data],6,FALSE)</f>
        <v>Color</v>
      </c>
      <c r="F2358">
        <v>2</v>
      </c>
      <c r="G2358">
        <v>4</v>
      </c>
      <c r="H2358" t="s">
        <v>719</v>
      </c>
      <c r="I2358" t="str">
        <f>VLOOKUP(Tabla1[[#This Row],[Code]],'[1]Articulos Precio'!$A:$E,5,FALSE)</f>
        <v>A0000606</v>
      </c>
    </row>
    <row r="2359" spans="1:9" x14ac:dyDescent="0.25">
      <c r="A2359" t="s">
        <v>720</v>
      </c>
      <c r="B2359" t="str">
        <f>VLOOKUP(Tabla1[[#This Row],[Code]],[1]!Tabla4[#Data],2,FALSE)</f>
        <v>ML Cad-Cut Sportsfilm 110 Amarillo 500mm</v>
      </c>
      <c r="C2359">
        <v>2</v>
      </c>
      <c r="D2359" t="s">
        <v>10</v>
      </c>
      <c r="E2359" t="str">
        <f>VLOOKUP(Tabla1[[#This Row],[Cód. Atributo]],[1]!Tabla5[#Data],6,FALSE)</f>
        <v>Select</v>
      </c>
      <c r="F2359">
        <v>1</v>
      </c>
      <c r="G2359">
        <v>1</v>
      </c>
      <c r="H2359" t="s">
        <v>11</v>
      </c>
      <c r="I2359" t="str">
        <f>VLOOKUP(Tabla1[[#This Row],[Code]],'[1]Articulos Precio'!$A:$E,5,FALSE)</f>
        <v>A0000606</v>
      </c>
    </row>
    <row r="2360" spans="1:9" x14ac:dyDescent="0.25">
      <c r="A2360" t="s">
        <v>720</v>
      </c>
      <c r="B2360" t="str">
        <f>VLOOKUP(Tabla1[[#This Row],[Code]],[1]!Tabla4[#Data],2,FALSE)</f>
        <v>ML Cad-Cut Sportsfilm 110 Amarillo 500mm</v>
      </c>
      <c r="C2360">
        <v>18</v>
      </c>
      <c r="D2360" t="s">
        <v>712</v>
      </c>
      <c r="E2360" t="str">
        <f>VLOOKUP(Tabla1[[#This Row],[Cód. Atributo]],[1]!Tabla5[#Data],6,FALSE)</f>
        <v>Color</v>
      </c>
      <c r="F2360">
        <v>2</v>
      </c>
      <c r="G2360">
        <v>7</v>
      </c>
      <c r="H2360" t="s">
        <v>721</v>
      </c>
      <c r="I2360" t="str">
        <f>VLOOKUP(Tabla1[[#This Row],[Code]],'[1]Articulos Precio'!$A:$E,5,FALSE)</f>
        <v>A0000606</v>
      </c>
    </row>
    <row r="2361" spans="1:9" x14ac:dyDescent="0.25">
      <c r="A2361" t="s">
        <v>722</v>
      </c>
      <c r="B2361" t="str">
        <f>VLOOKUP(Tabla1[[#This Row],[Code]],[1]!Tabla4[#Data],2,FALSE)</f>
        <v>ML Cad-Cut Sportsfilm 106 Amarillo Girasol 500mm</v>
      </c>
      <c r="C2361">
        <v>2</v>
      </c>
      <c r="D2361" t="s">
        <v>10</v>
      </c>
      <c r="E2361" t="str">
        <f>VLOOKUP(Tabla1[[#This Row],[Cód. Atributo]],[1]!Tabla5[#Data],6,FALSE)</f>
        <v>Select</v>
      </c>
      <c r="F2361">
        <v>1</v>
      </c>
      <c r="G2361">
        <v>1</v>
      </c>
      <c r="H2361" t="s">
        <v>11</v>
      </c>
      <c r="I2361" t="str">
        <f>VLOOKUP(Tabla1[[#This Row],[Code]],'[1]Articulos Precio'!$A:$E,5,FALSE)</f>
        <v>A0000606</v>
      </c>
    </row>
    <row r="2362" spans="1:9" x14ac:dyDescent="0.25">
      <c r="A2362" t="s">
        <v>722</v>
      </c>
      <c r="B2362" t="str">
        <f>VLOOKUP(Tabla1[[#This Row],[Code]],[1]!Tabla4[#Data],2,FALSE)</f>
        <v>ML Cad-Cut Sportsfilm 106 Amarillo Girasol 500mm</v>
      </c>
      <c r="C2362">
        <v>18</v>
      </c>
      <c r="D2362" t="s">
        <v>712</v>
      </c>
      <c r="E2362" t="str">
        <f>VLOOKUP(Tabla1[[#This Row],[Cód. Atributo]],[1]!Tabla5[#Data],6,FALSE)</f>
        <v>Color</v>
      </c>
      <c r="F2362">
        <v>2</v>
      </c>
      <c r="G2362">
        <v>6</v>
      </c>
      <c r="H2362" t="s">
        <v>723</v>
      </c>
      <c r="I2362" t="str">
        <f>VLOOKUP(Tabla1[[#This Row],[Code]],'[1]Articulos Precio'!$A:$E,5,FALSE)</f>
        <v>A0000606</v>
      </c>
    </row>
    <row r="2363" spans="1:9" x14ac:dyDescent="0.25">
      <c r="A2363" t="s">
        <v>724</v>
      </c>
      <c r="B2363" t="str">
        <f>VLOOKUP(Tabla1[[#This Row],[Code]],[1]!Tabla4[#Data],2,FALSE)</f>
        <v>ML Cad-Cut Sportsfilm 185 Naranja Ligero 500mm</v>
      </c>
      <c r="C2363">
        <v>2</v>
      </c>
      <c r="D2363" t="s">
        <v>10</v>
      </c>
      <c r="E2363" t="str">
        <f>VLOOKUP(Tabla1[[#This Row],[Cód. Atributo]],[1]!Tabla5[#Data],6,FALSE)</f>
        <v>Select</v>
      </c>
      <c r="F2363">
        <v>1</v>
      </c>
      <c r="G2363">
        <v>1</v>
      </c>
      <c r="H2363" t="s">
        <v>11</v>
      </c>
      <c r="I2363" t="str">
        <f>VLOOKUP(Tabla1[[#This Row],[Code]],'[1]Articulos Precio'!$A:$E,5,FALSE)</f>
        <v>A0000606</v>
      </c>
    </row>
    <row r="2364" spans="1:9" x14ac:dyDescent="0.25">
      <c r="A2364" t="s">
        <v>724</v>
      </c>
      <c r="B2364" t="str">
        <f>VLOOKUP(Tabla1[[#This Row],[Code]],[1]!Tabla4[#Data],2,FALSE)</f>
        <v>ML Cad-Cut Sportsfilm 185 Naranja Ligero 500mm</v>
      </c>
      <c r="C2364">
        <v>18</v>
      </c>
      <c r="D2364" t="s">
        <v>712</v>
      </c>
      <c r="E2364" t="str">
        <f>VLOOKUP(Tabla1[[#This Row],[Cód. Atributo]],[1]!Tabla5[#Data],6,FALSE)</f>
        <v>Color</v>
      </c>
      <c r="F2364">
        <v>2</v>
      </c>
      <c r="G2364">
        <v>11</v>
      </c>
      <c r="H2364" t="s">
        <v>725</v>
      </c>
      <c r="I2364" t="str">
        <f>VLOOKUP(Tabla1[[#This Row],[Code]],'[1]Articulos Precio'!$A:$E,5,FALSE)</f>
        <v>A0000606</v>
      </c>
    </row>
    <row r="2365" spans="1:9" x14ac:dyDescent="0.25">
      <c r="A2365" t="s">
        <v>726</v>
      </c>
      <c r="B2365" t="str">
        <f>VLOOKUP(Tabla1[[#This Row],[Code]],[1]!Tabla4[#Data],2,FALSE)</f>
        <v>ML Cad-Cut Sportsfilm 180 Naranja 500mm</v>
      </c>
      <c r="C2365">
        <v>2</v>
      </c>
      <c r="D2365" t="s">
        <v>10</v>
      </c>
      <c r="E2365" t="str">
        <f>VLOOKUP(Tabla1[[#This Row],[Cód. Atributo]],[1]!Tabla5[#Data],6,FALSE)</f>
        <v>Select</v>
      </c>
      <c r="F2365">
        <v>1</v>
      </c>
      <c r="G2365">
        <v>1</v>
      </c>
      <c r="H2365" t="s">
        <v>11</v>
      </c>
      <c r="I2365" t="str">
        <f>VLOOKUP(Tabla1[[#This Row],[Code]],'[1]Articulos Precio'!$A:$E,5,FALSE)</f>
        <v>A0000606</v>
      </c>
    </row>
    <row r="2366" spans="1:9" x14ac:dyDescent="0.25">
      <c r="A2366" t="s">
        <v>726</v>
      </c>
      <c r="B2366" t="str">
        <f>VLOOKUP(Tabla1[[#This Row],[Code]],[1]!Tabla4[#Data],2,FALSE)</f>
        <v>ML Cad-Cut Sportsfilm 180 Naranja 500mm</v>
      </c>
      <c r="C2366">
        <v>18</v>
      </c>
      <c r="D2366" t="s">
        <v>712</v>
      </c>
      <c r="E2366" t="str">
        <f>VLOOKUP(Tabla1[[#This Row],[Cód. Atributo]],[1]!Tabla5[#Data],6,FALSE)</f>
        <v>Color</v>
      </c>
      <c r="F2366">
        <v>2</v>
      </c>
      <c r="G2366">
        <v>9</v>
      </c>
      <c r="H2366" t="s">
        <v>727</v>
      </c>
      <c r="I2366" t="str">
        <f>VLOOKUP(Tabla1[[#This Row],[Code]],'[1]Articulos Precio'!$A:$E,5,FALSE)</f>
        <v>A0000606</v>
      </c>
    </row>
    <row r="2367" spans="1:9" x14ac:dyDescent="0.25">
      <c r="A2367" t="s">
        <v>728</v>
      </c>
      <c r="B2367" t="str">
        <f>VLOOKUP(Tabla1[[#This Row],[Code]],[1]!Tabla4[#Data],2,FALSE)</f>
        <v>ML Cad-Cut Sportsfilm 210 Rojo Señal 500mm</v>
      </c>
      <c r="C2367">
        <v>2</v>
      </c>
      <c r="D2367" t="s">
        <v>10</v>
      </c>
      <c r="E2367" t="str">
        <f>VLOOKUP(Tabla1[[#This Row],[Cód. Atributo]],[1]!Tabla5[#Data],6,FALSE)</f>
        <v>Select</v>
      </c>
      <c r="F2367">
        <v>1</v>
      </c>
      <c r="G2367">
        <v>1</v>
      </c>
      <c r="H2367" t="s">
        <v>11</v>
      </c>
      <c r="I2367" t="str">
        <f>VLOOKUP(Tabla1[[#This Row],[Code]],'[1]Articulos Precio'!$A:$E,5,FALSE)</f>
        <v>A0000606</v>
      </c>
    </row>
    <row r="2368" spans="1:9" x14ac:dyDescent="0.25">
      <c r="A2368" t="s">
        <v>728</v>
      </c>
      <c r="B2368" t="str">
        <f>VLOOKUP(Tabla1[[#This Row],[Code]],[1]!Tabla4[#Data],2,FALSE)</f>
        <v>ML Cad-Cut Sportsfilm 210 Rojo Señal 500mm</v>
      </c>
      <c r="C2368">
        <v>18</v>
      </c>
      <c r="D2368" t="s">
        <v>712</v>
      </c>
      <c r="E2368" t="str">
        <f>VLOOKUP(Tabla1[[#This Row],[Cód. Atributo]],[1]!Tabla5[#Data],6,FALSE)</f>
        <v>Color</v>
      </c>
      <c r="F2368">
        <v>2</v>
      </c>
      <c r="G2368">
        <v>13</v>
      </c>
      <c r="H2368" t="s">
        <v>729</v>
      </c>
      <c r="I2368" t="str">
        <f>VLOOKUP(Tabla1[[#This Row],[Code]],'[1]Articulos Precio'!$A:$E,5,FALSE)</f>
        <v>A0000606</v>
      </c>
    </row>
    <row r="2369" spans="1:9" x14ac:dyDescent="0.25">
      <c r="A2369" t="s">
        <v>730</v>
      </c>
      <c r="B2369" t="str">
        <f>VLOOKUP(Tabla1[[#This Row],[Code]],[1]!Tabla4[#Data],2,FALSE)</f>
        <v>ML Cad-Cut Sportsfilm 200 Rojo 500mm</v>
      </c>
      <c r="C2369">
        <v>2</v>
      </c>
      <c r="D2369" t="s">
        <v>10</v>
      </c>
      <c r="E2369" t="str">
        <f>VLOOKUP(Tabla1[[#This Row],[Cód. Atributo]],[1]!Tabla5[#Data],6,FALSE)</f>
        <v>Select</v>
      </c>
      <c r="F2369">
        <v>1</v>
      </c>
      <c r="G2369">
        <v>1</v>
      </c>
      <c r="H2369" t="s">
        <v>11</v>
      </c>
      <c r="I2369" t="str">
        <f>VLOOKUP(Tabla1[[#This Row],[Code]],'[1]Articulos Precio'!$A:$E,5,FALSE)</f>
        <v>A0000606</v>
      </c>
    </row>
    <row r="2370" spans="1:9" x14ac:dyDescent="0.25">
      <c r="A2370" t="s">
        <v>730</v>
      </c>
      <c r="B2370" t="str">
        <f>VLOOKUP(Tabla1[[#This Row],[Code]],[1]!Tabla4[#Data],2,FALSE)</f>
        <v>ML Cad-Cut Sportsfilm 200 Rojo 500mm</v>
      </c>
      <c r="C2370">
        <v>18</v>
      </c>
      <c r="D2370" t="s">
        <v>712</v>
      </c>
      <c r="E2370" t="str">
        <f>VLOOKUP(Tabla1[[#This Row],[Cód. Atributo]],[1]!Tabla5[#Data],6,FALSE)</f>
        <v>Color</v>
      </c>
      <c r="F2370">
        <v>2</v>
      </c>
      <c r="G2370">
        <v>12</v>
      </c>
      <c r="H2370" t="s">
        <v>731</v>
      </c>
      <c r="I2370" t="str">
        <f>VLOOKUP(Tabla1[[#This Row],[Code]],'[1]Articulos Precio'!$A:$E,5,FALSE)</f>
        <v>A0000606</v>
      </c>
    </row>
    <row r="2371" spans="1:9" x14ac:dyDescent="0.25">
      <c r="A2371" t="s">
        <v>732</v>
      </c>
      <c r="B2371" t="str">
        <f>VLOOKUP(Tabla1[[#This Row],[Code]],[1]!Tabla4[#Data],2,FALSE)</f>
        <v>ML Cad-Cut Sportsfilm 270 Rojo Borgoña 500mm</v>
      </c>
      <c r="C2371">
        <v>2</v>
      </c>
      <c r="D2371" t="s">
        <v>10</v>
      </c>
      <c r="E2371" t="str">
        <f>VLOOKUP(Tabla1[[#This Row],[Cód. Atributo]],[1]!Tabla5[#Data],6,FALSE)</f>
        <v>Select</v>
      </c>
      <c r="F2371">
        <v>1</v>
      </c>
      <c r="G2371">
        <v>1</v>
      </c>
      <c r="H2371" t="s">
        <v>11</v>
      </c>
      <c r="I2371" t="str">
        <f>VLOOKUP(Tabla1[[#This Row],[Code]],'[1]Articulos Precio'!$A:$E,5,FALSE)</f>
        <v>A0000606</v>
      </c>
    </row>
    <row r="2372" spans="1:9" x14ac:dyDescent="0.25">
      <c r="A2372" t="s">
        <v>732</v>
      </c>
      <c r="B2372" t="str">
        <f>VLOOKUP(Tabla1[[#This Row],[Code]],[1]!Tabla4[#Data],2,FALSE)</f>
        <v>ML Cad-Cut Sportsfilm 270 Rojo Borgoña 500mm</v>
      </c>
      <c r="C2372">
        <v>18</v>
      </c>
      <c r="D2372" t="s">
        <v>712</v>
      </c>
      <c r="E2372" t="str">
        <f>VLOOKUP(Tabla1[[#This Row],[Cód. Atributo]],[1]!Tabla5[#Data],6,FALSE)</f>
        <v>Color</v>
      </c>
      <c r="F2372">
        <v>2</v>
      </c>
      <c r="G2372">
        <v>18</v>
      </c>
      <c r="H2372" t="s">
        <v>733</v>
      </c>
      <c r="I2372" t="str">
        <f>VLOOKUP(Tabla1[[#This Row],[Code]],'[1]Articulos Precio'!$A:$E,5,FALSE)</f>
        <v>A0000606</v>
      </c>
    </row>
    <row r="2373" spans="1:9" x14ac:dyDescent="0.25">
      <c r="A2373" t="s">
        <v>734</v>
      </c>
      <c r="B2373" t="str">
        <f>VLOOKUP(Tabla1[[#This Row],[Code]],[1]!Tabla4[#Data],2,FALSE)</f>
        <v>ML Cad-Cut Sportsfilm 255 Pastel Rosa 500mm</v>
      </c>
      <c r="C2373">
        <v>2</v>
      </c>
      <c r="D2373" t="s">
        <v>10</v>
      </c>
      <c r="E2373" t="str">
        <f>VLOOKUP(Tabla1[[#This Row],[Cód. Atributo]],[1]!Tabla5[#Data],6,FALSE)</f>
        <v>Select</v>
      </c>
      <c r="F2373">
        <v>1</v>
      </c>
      <c r="G2373">
        <v>1</v>
      </c>
      <c r="H2373" t="s">
        <v>11</v>
      </c>
      <c r="I2373" t="str">
        <f>VLOOKUP(Tabla1[[#This Row],[Code]],'[1]Articulos Precio'!$A:$E,5,FALSE)</f>
        <v>A0000606</v>
      </c>
    </row>
    <row r="2374" spans="1:9" x14ac:dyDescent="0.25">
      <c r="A2374" t="s">
        <v>734</v>
      </c>
      <c r="B2374" t="str">
        <f>VLOOKUP(Tabla1[[#This Row],[Code]],[1]!Tabla4[#Data],2,FALSE)</f>
        <v>ML Cad-Cut Sportsfilm 255 Pastel Rosa 500mm</v>
      </c>
      <c r="C2374">
        <v>18</v>
      </c>
      <c r="D2374" t="s">
        <v>712</v>
      </c>
      <c r="E2374" t="str">
        <f>VLOOKUP(Tabla1[[#This Row],[Cód. Atributo]],[1]!Tabla5[#Data],6,FALSE)</f>
        <v>Color</v>
      </c>
      <c r="F2374">
        <v>2</v>
      </c>
      <c r="G2374">
        <v>17</v>
      </c>
      <c r="H2374" t="s">
        <v>735</v>
      </c>
      <c r="I2374" t="str">
        <f>VLOOKUP(Tabla1[[#This Row],[Code]],'[1]Articulos Precio'!$A:$E,5,FALSE)</f>
        <v>A0000606</v>
      </c>
    </row>
    <row r="2375" spans="1:9" x14ac:dyDescent="0.25">
      <c r="A2375" t="s">
        <v>736</v>
      </c>
      <c r="B2375" t="str">
        <f>VLOOKUP(Tabla1[[#This Row],[Code]],[1]!Tabla4[#Data],2,FALSE)</f>
        <v>ML Cad-Cut Sportsfilm 252 Rosa 500mm</v>
      </c>
      <c r="C2375">
        <v>2</v>
      </c>
      <c r="D2375" t="s">
        <v>10</v>
      </c>
      <c r="E2375" t="str">
        <f>VLOOKUP(Tabla1[[#This Row],[Cód. Atributo]],[1]!Tabla5[#Data],6,FALSE)</f>
        <v>Select</v>
      </c>
      <c r="F2375">
        <v>1</v>
      </c>
      <c r="G2375">
        <v>1</v>
      </c>
      <c r="H2375" t="s">
        <v>11</v>
      </c>
      <c r="I2375" t="str">
        <f>VLOOKUP(Tabla1[[#This Row],[Code]],'[1]Articulos Precio'!$A:$E,5,FALSE)</f>
        <v>A0000606</v>
      </c>
    </row>
    <row r="2376" spans="1:9" x14ac:dyDescent="0.25">
      <c r="A2376" t="s">
        <v>736</v>
      </c>
      <c r="B2376" t="str">
        <f>VLOOKUP(Tabla1[[#This Row],[Code]],[1]!Tabla4[#Data],2,FALSE)</f>
        <v>ML Cad-Cut Sportsfilm 252 Rosa 500mm</v>
      </c>
      <c r="C2376">
        <v>18</v>
      </c>
      <c r="D2376" t="s">
        <v>712</v>
      </c>
      <c r="E2376" t="str">
        <f>VLOOKUP(Tabla1[[#This Row],[Cód. Atributo]],[1]!Tabla5[#Data],6,FALSE)</f>
        <v>Color</v>
      </c>
      <c r="F2376">
        <v>2</v>
      </c>
      <c r="G2376">
        <v>16</v>
      </c>
      <c r="H2376" t="s">
        <v>737</v>
      </c>
      <c r="I2376" t="str">
        <f>VLOOKUP(Tabla1[[#This Row],[Code]],'[1]Articulos Precio'!$A:$E,5,FALSE)</f>
        <v>A0000606</v>
      </c>
    </row>
    <row r="2377" spans="1:9" x14ac:dyDescent="0.25">
      <c r="A2377" t="s">
        <v>738</v>
      </c>
      <c r="B2377" t="str">
        <f>VLOOKUP(Tabla1[[#This Row],[Code]],[1]!Tabla4[#Data],2,FALSE)</f>
        <v>ML Cad-Cut Sportsfilm 250 Fucsia 500mm</v>
      </c>
      <c r="C2377">
        <v>2</v>
      </c>
      <c r="D2377" t="s">
        <v>10</v>
      </c>
      <c r="E2377" t="str">
        <f>VLOOKUP(Tabla1[[#This Row],[Cód. Atributo]],[1]!Tabla5[#Data],6,FALSE)</f>
        <v>Select</v>
      </c>
      <c r="F2377">
        <v>1</v>
      </c>
      <c r="G2377">
        <v>1</v>
      </c>
      <c r="H2377" t="s">
        <v>11</v>
      </c>
      <c r="I2377" t="str">
        <f>VLOOKUP(Tabla1[[#This Row],[Code]],'[1]Articulos Precio'!$A:$E,5,FALSE)</f>
        <v>A0000606</v>
      </c>
    </row>
    <row r="2378" spans="1:9" x14ac:dyDescent="0.25">
      <c r="A2378" t="s">
        <v>738</v>
      </c>
      <c r="B2378" t="str">
        <f>VLOOKUP(Tabla1[[#This Row],[Code]],[1]!Tabla4[#Data],2,FALSE)</f>
        <v>ML Cad-Cut Sportsfilm 250 Fucsia 500mm</v>
      </c>
      <c r="C2378">
        <v>18</v>
      </c>
      <c r="D2378" t="s">
        <v>712</v>
      </c>
      <c r="E2378" t="str">
        <f>VLOOKUP(Tabla1[[#This Row],[Cód. Atributo]],[1]!Tabla5[#Data],6,FALSE)</f>
        <v>Color</v>
      </c>
      <c r="F2378">
        <v>2</v>
      </c>
      <c r="G2378">
        <v>15</v>
      </c>
      <c r="H2378" t="s">
        <v>739</v>
      </c>
      <c r="I2378" t="str">
        <f>VLOOKUP(Tabla1[[#This Row],[Code]],'[1]Articulos Precio'!$A:$E,5,FALSE)</f>
        <v>A0000606</v>
      </c>
    </row>
    <row r="2379" spans="1:9" x14ac:dyDescent="0.25">
      <c r="A2379" t="s">
        <v>740</v>
      </c>
      <c r="B2379" t="str">
        <f>VLOOKUP(Tabla1[[#This Row],[Code]],[1]!Tabla4[#Data],2,FALSE)</f>
        <v>ML Cad-Cut Sportsfilm 285 Pastel Púrpura 500mm</v>
      </c>
      <c r="C2379">
        <v>2</v>
      </c>
      <c r="D2379" t="s">
        <v>10</v>
      </c>
      <c r="E2379" t="str">
        <f>VLOOKUP(Tabla1[[#This Row],[Cód. Atributo]],[1]!Tabla5[#Data],6,FALSE)</f>
        <v>Select</v>
      </c>
      <c r="F2379">
        <v>1</v>
      </c>
      <c r="G2379">
        <v>1</v>
      </c>
      <c r="H2379" t="s">
        <v>11</v>
      </c>
      <c r="I2379" t="str">
        <f>VLOOKUP(Tabla1[[#This Row],[Code]],'[1]Articulos Precio'!$A:$E,5,FALSE)</f>
        <v>A0000606</v>
      </c>
    </row>
    <row r="2380" spans="1:9" x14ac:dyDescent="0.25">
      <c r="A2380" t="s">
        <v>740</v>
      </c>
      <c r="B2380" t="str">
        <f>VLOOKUP(Tabla1[[#This Row],[Code]],[1]!Tabla4[#Data],2,FALSE)</f>
        <v>ML Cad-Cut Sportsfilm 285 Pastel Púrpura 500mm</v>
      </c>
      <c r="C2380">
        <v>18</v>
      </c>
      <c r="D2380" t="s">
        <v>712</v>
      </c>
      <c r="E2380" t="str">
        <f>VLOOKUP(Tabla1[[#This Row],[Cód. Atributo]],[1]!Tabla5[#Data],6,FALSE)</f>
        <v>Color</v>
      </c>
      <c r="F2380">
        <v>2</v>
      </c>
      <c r="G2380">
        <v>20</v>
      </c>
      <c r="H2380" t="s">
        <v>741</v>
      </c>
      <c r="I2380" t="str">
        <f>VLOOKUP(Tabla1[[#This Row],[Code]],'[1]Articulos Precio'!$A:$E,5,FALSE)</f>
        <v>A0000606</v>
      </c>
    </row>
    <row r="2381" spans="1:9" x14ac:dyDescent="0.25">
      <c r="A2381" t="s">
        <v>742</v>
      </c>
      <c r="B2381" t="str">
        <f>VLOOKUP(Tabla1[[#This Row],[Code]],[1]!Tabla4[#Data],2,FALSE)</f>
        <v>ML Cad-Cut Sportsfilm 280 Púrpura 500mm</v>
      </c>
      <c r="C2381">
        <v>2</v>
      </c>
      <c r="D2381" t="s">
        <v>10</v>
      </c>
      <c r="E2381" t="str">
        <f>VLOOKUP(Tabla1[[#This Row],[Cód. Atributo]],[1]!Tabla5[#Data],6,FALSE)</f>
        <v>Select</v>
      </c>
      <c r="F2381">
        <v>1</v>
      </c>
      <c r="G2381">
        <v>1</v>
      </c>
      <c r="H2381" t="s">
        <v>11</v>
      </c>
      <c r="I2381" t="str">
        <f>VLOOKUP(Tabla1[[#This Row],[Code]],'[1]Articulos Precio'!$A:$E,5,FALSE)</f>
        <v>A0000606</v>
      </c>
    </row>
    <row r="2382" spans="1:9" x14ac:dyDescent="0.25">
      <c r="A2382" t="s">
        <v>742</v>
      </c>
      <c r="B2382" t="str">
        <f>VLOOKUP(Tabla1[[#This Row],[Code]],[1]!Tabla4[#Data],2,FALSE)</f>
        <v>ML Cad-Cut Sportsfilm 280 Púrpura 500mm</v>
      </c>
      <c r="C2382">
        <v>18</v>
      </c>
      <c r="D2382" t="s">
        <v>712</v>
      </c>
      <c r="E2382" t="str">
        <f>VLOOKUP(Tabla1[[#This Row],[Cód. Atributo]],[1]!Tabla5[#Data],6,FALSE)</f>
        <v>Color</v>
      </c>
      <c r="F2382">
        <v>2</v>
      </c>
      <c r="G2382">
        <v>19</v>
      </c>
      <c r="H2382" t="s">
        <v>743</v>
      </c>
      <c r="I2382" t="str">
        <f>VLOOKUP(Tabla1[[#This Row],[Code]],'[1]Articulos Precio'!$A:$E,5,FALSE)</f>
        <v>A0000606</v>
      </c>
    </row>
    <row r="2383" spans="1:9" x14ac:dyDescent="0.25">
      <c r="A2383" t="s">
        <v>744</v>
      </c>
      <c r="B2383" t="str">
        <f>VLOOKUP(Tabla1[[#This Row],[Code]],[1]!Tabla4[#Data],2,FALSE)</f>
        <v>ML Cad-Cut Sportsfilm 321 Azul Pastel 500mm</v>
      </c>
      <c r="C2383">
        <v>2</v>
      </c>
      <c r="D2383" t="s">
        <v>10</v>
      </c>
      <c r="E2383" t="str">
        <f>VLOOKUP(Tabla1[[#This Row],[Cód. Atributo]],[1]!Tabla5[#Data],6,FALSE)</f>
        <v>Select</v>
      </c>
      <c r="F2383">
        <v>1</v>
      </c>
      <c r="G2383">
        <v>1</v>
      </c>
      <c r="H2383" t="s">
        <v>11</v>
      </c>
      <c r="I2383" t="str">
        <f>VLOOKUP(Tabla1[[#This Row],[Code]],'[1]Articulos Precio'!$A:$E,5,FALSE)</f>
        <v>A0000606</v>
      </c>
    </row>
    <row r="2384" spans="1:9" x14ac:dyDescent="0.25">
      <c r="A2384" t="s">
        <v>744</v>
      </c>
      <c r="B2384" t="str">
        <f>VLOOKUP(Tabla1[[#This Row],[Code]],[1]!Tabla4[#Data],2,FALSE)</f>
        <v>ML Cad-Cut Sportsfilm 321 Azul Pastel 500mm</v>
      </c>
      <c r="C2384">
        <v>18</v>
      </c>
      <c r="D2384" t="s">
        <v>712</v>
      </c>
      <c r="E2384" t="str">
        <f>VLOOKUP(Tabla1[[#This Row],[Cód. Atributo]],[1]!Tabla5[#Data],6,FALSE)</f>
        <v>Color</v>
      </c>
      <c r="F2384">
        <v>2</v>
      </c>
      <c r="G2384">
        <v>24</v>
      </c>
      <c r="H2384" t="s">
        <v>745</v>
      </c>
      <c r="I2384" t="str">
        <f>VLOOKUP(Tabla1[[#This Row],[Code]],'[1]Articulos Precio'!$A:$E,5,FALSE)</f>
        <v>A0000606</v>
      </c>
    </row>
    <row r="2385" spans="1:9" x14ac:dyDescent="0.25">
      <c r="A2385" t="s">
        <v>746</v>
      </c>
      <c r="B2385" t="str">
        <f>VLOOKUP(Tabla1[[#This Row],[Code]],[1]!Tabla4[#Data],2,FALSE)</f>
        <v>ML Cad-Cut Sportsfilm 320 Azul Ligero 500mm</v>
      </c>
      <c r="C2385">
        <v>2</v>
      </c>
      <c r="D2385" t="s">
        <v>10</v>
      </c>
      <c r="E2385" t="str">
        <f>VLOOKUP(Tabla1[[#This Row],[Cód. Atributo]],[1]!Tabla5[#Data],6,FALSE)</f>
        <v>Select</v>
      </c>
      <c r="F2385">
        <v>1</v>
      </c>
      <c r="G2385">
        <v>1</v>
      </c>
      <c r="H2385" t="s">
        <v>11</v>
      </c>
      <c r="I2385" t="str">
        <f>VLOOKUP(Tabla1[[#This Row],[Code]],'[1]Articulos Precio'!$A:$E,5,FALSE)</f>
        <v>A0000606</v>
      </c>
    </row>
    <row r="2386" spans="1:9" x14ac:dyDescent="0.25">
      <c r="A2386" t="s">
        <v>746</v>
      </c>
      <c r="B2386" t="str">
        <f>VLOOKUP(Tabla1[[#This Row],[Code]],[1]!Tabla4[#Data],2,FALSE)</f>
        <v>ML Cad-Cut Sportsfilm 320 Azul Ligero 500mm</v>
      </c>
      <c r="C2386">
        <v>18</v>
      </c>
      <c r="D2386" t="s">
        <v>712</v>
      </c>
      <c r="E2386" t="str">
        <f>VLOOKUP(Tabla1[[#This Row],[Cód. Atributo]],[1]!Tabla5[#Data],6,FALSE)</f>
        <v>Color</v>
      </c>
      <c r="F2386">
        <v>2</v>
      </c>
      <c r="G2386">
        <v>23</v>
      </c>
      <c r="H2386" t="s">
        <v>747</v>
      </c>
      <c r="I2386" t="str">
        <f>VLOOKUP(Tabla1[[#This Row],[Code]],'[1]Articulos Precio'!$A:$E,5,FALSE)</f>
        <v>A0000606</v>
      </c>
    </row>
    <row r="2387" spans="1:9" x14ac:dyDescent="0.25">
      <c r="A2387" t="s">
        <v>748</v>
      </c>
      <c r="B2387" t="str">
        <f>VLOOKUP(Tabla1[[#This Row],[Code]],[1]!Tabla4[#Data],2,FALSE)</f>
        <v>ML Cad-Cut Sportsfilm 300 Azul Real 500mm</v>
      </c>
      <c r="C2387">
        <v>2</v>
      </c>
      <c r="D2387" t="s">
        <v>10</v>
      </c>
      <c r="E2387" t="str">
        <f>VLOOKUP(Tabla1[[#This Row],[Cód. Atributo]],[1]!Tabla5[#Data],6,FALSE)</f>
        <v>Select</v>
      </c>
      <c r="F2387">
        <v>1</v>
      </c>
      <c r="G2387">
        <v>1</v>
      </c>
      <c r="H2387" t="s">
        <v>11</v>
      </c>
      <c r="I2387" t="str">
        <f>VLOOKUP(Tabla1[[#This Row],[Code]],'[1]Articulos Precio'!$A:$E,5,FALSE)</f>
        <v>A0000606</v>
      </c>
    </row>
    <row r="2388" spans="1:9" x14ac:dyDescent="0.25">
      <c r="A2388" t="s">
        <v>748</v>
      </c>
      <c r="B2388" t="str">
        <f>VLOOKUP(Tabla1[[#This Row],[Code]],[1]!Tabla4[#Data],2,FALSE)</f>
        <v>ML Cad-Cut Sportsfilm 300 Azul Real 500mm</v>
      </c>
      <c r="C2388">
        <v>18</v>
      </c>
      <c r="D2388" t="s">
        <v>712</v>
      </c>
      <c r="E2388" t="str">
        <f>VLOOKUP(Tabla1[[#This Row],[Cód. Atributo]],[1]!Tabla5[#Data],6,FALSE)</f>
        <v>Color</v>
      </c>
      <c r="F2388">
        <v>2</v>
      </c>
      <c r="G2388">
        <v>21</v>
      </c>
      <c r="H2388" t="s">
        <v>749</v>
      </c>
      <c r="I2388" t="str">
        <f>VLOOKUP(Tabla1[[#This Row],[Code]],'[1]Articulos Precio'!$A:$E,5,FALSE)</f>
        <v>A0000606</v>
      </c>
    </row>
    <row r="2389" spans="1:9" x14ac:dyDescent="0.25">
      <c r="A2389" t="s">
        <v>750</v>
      </c>
      <c r="B2389" t="str">
        <f>VLOOKUP(Tabla1[[#This Row],[Code]],[1]!Tabla4[#Data],2,FALSE)</f>
        <v>ML Cad-Cut Sportsfilm 350 Azul Naval 500mm</v>
      </c>
      <c r="C2389">
        <v>2</v>
      </c>
      <c r="D2389" t="s">
        <v>10</v>
      </c>
      <c r="E2389" t="str">
        <f>VLOOKUP(Tabla1[[#This Row],[Cód. Atributo]],[1]!Tabla5[#Data],6,FALSE)</f>
        <v>Select</v>
      </c>
      <c r="F2389">
        <v>1</v>
      </c>
      <c r="G2389">
        <v>1</v>
      </c>
      <c r="H2389" t="s">
        <v>11</v>
      </c>
      <c r="I2389" t="str">
        <f>VLOOKUP(Tabla1[[#This Row],[Code]],'[1]Articulos Precio'!$A:$E,5,FALSE)</f>
        <v>A0000606</v>
      </c>
    </row>
    <row r="2390" spans="1:9" x14ac:dyDescent="0.25">
      <c r="A2390" t="s">
        <v>750</v>
      </c>
      <c r="B2390" t="str">
        <f>VLOOKUP(Tabla1[[#This Row],[Code]],[1]!Tabla4[#Data],2,FALSE)</f>
        <v>ML Cad-Cut Sportsfilm 350 Azul Naval 500mm</v>
      </c>
      <c r="C2390">
        <v>18</v>
      </c>
      <c r="D2390" t="s">
        <v>712</v>
      </c>
      <c r="E2390" t="str">
        <f>VLOOKUP(Tabla1[[#This Row],[Cód. Atributo]],[1]!Tabla5[#Data],6,FALSE)</f>
        <v>Color</v>
      </c>
      <c r="F2390">
        <v>2</v>
      </c>
      <c r="G2390">
        <v>25</v>
      </c>
      <c r="H2390" t="s">
        <v>751</v>
      </c>
      <c r="I2390" t="str">
        <f>VLOOKUP(Tabla1[[#This Row],[Code]],'[1]Articulos Precio'!$A:$E,5,FALSE)</f>
        <v>A0000606</v>
      </c>
    </row>
    <row r="2391" spans="1:9" x14ac:dyDescent="0.25">
      <c r="A2391" t="s">
        <v>752</v>
      </c>
      <c r="B2391" t="str">
        <f>VLOOKUP(Tabla1[[#This Row],[Code]],[1]!Tabla4[#Data],2,FALSE)</f>
        <v>ML Cad-Cut Sportsfilm 380 Verde Turquesa 500mm</v>
      </c>
      <c r="C2391">
        <v>2</v>
      </c>
      <c r="D2391" t="s">
        <v>10</v>
      </c>
      <c r="E2391" t="str">
        <f>VLOOKUP(Tabla1[[#This Row],[Cód. Atributo]],[1]!Tabla5[#Data],6,FALSE)</f>
        <v>Select</v>
      </c>
      <c r="F2391">
        <v>1</v>
      </c>
      <c r="G2391">
        <v>1</v>
      </c>
      <c r="H2391" t="s">
        <v>11</v>
      </c>
      <c r="I2391" t="str">
        <f>VLOOKUP(Tabla1[[#This Row],[Code]],'[1]Articulos Precio'!$A:$E,5,FALSE)</f>
        <v>A0000606</v>
      </c>
    </row>
    <row r="2392" spans="1:9" x14ac:dyDescent="0.25">
      <c r="A2392" t="s">
        <v>752</v>
      </c>
      <c r="B2392" t="str">
        <f>VLOOKUP(Tabla1[[#This Row],[Code]],[1]!Tabla4[#Data],2,FALSE)</f>
        <v>ML Cad-Cut Sportsfilm 380 Verde Turquesa 500mm</v>
      </c>
      <c r="C2392">
        <v>18</v>
      </c>
      <c r="D2392" t="s">
        <v>712</v>
      </c>
      <c r="E2392" t="str">
        <f>VLOOKUP(Tabla1[[#This Row],[Cód. Atributo]],[1]!Tabla5[#Data],6,FALSE)</f>
        <v>Color</v>
      </c>
      <c r="F2392">
        <v>2</v>
      </c>
      <c r="G2392">
        <v>26</v>
      </c>
      <c r="H2392" t="s">
        <v>753</v>
      </c>
      <c r="I2392" t="str">
        <f>VLOOKUP(Tabla1[[#This Row],[Code]],'[1]Articulos Precio'!$A:$E,5,FALSE)</f>
        <v>A0000606</v>
      </c>
    </row>
    <row r="2393" spans="1:9" x14ac:dyDescent="0.25">
      <c r="A2393" t="s">
        <v>754</v>
      </c>
      <c r="B2393" t="str">
        <f>VLOOKUP(Tabla1[[#This Row],[Code]],[1]!Tabla4[#Data],2,FALSE)</f>
        <v>ML Cad-Cut Sportsfilm 420 Verde Pastel 500mm</v>
      </c>
      <c r="C2393">
        <v>2</v>
      </c>
      <c r="D2393" t="s">
        <v>10</v>
      </c>
      <c r="E2393" t="str">
        <f>VLOOKUP(Tabla1[[#This Row],[Cód. Atributo]],[1]!Tabla5[#Data],6,FALSE)</f>
        <v>Select</v>
      </c>
      <c r="F2393">
        <v>1</v>
      </c>
      <c r="G2393">
        <v>1</v>
      </c>
      <c r="H2393" t="s">
        <v>11</v>
      </c>
      <c r="I2393" t="str">
        <f>VLOOKUP(Tabla1[[#This Row],[Code]],'[1]Articulos Precio'!$A:$E,5,FALSE)</f>
        <v>A0000606</v>
      </c>
    </row>
    <row r="2394" spans="1:9" x14ac:dyDescent="0.25">
      <c r="A2394" t="s">
        <v>754</v>
      </c>
      <c r="B2394" t="str">
        <f>VLOOKUP(Tabla1[[#This Row],[Code]],[1]!Tabla4[#Data],2,FALSE)</f>
        <v>ML Cad-Cut Sportsfilm 420 Verde Pastel 500mm</v>
      </c>
      <c r="C2394">
        <v>18</v>
      </c>
      <c r="D2394" t="s">
        <v>712</v>
      </c>
      <c r="E2394" t="str">
        <f>VLOOKUP(Tabla1[[#This Row],[Cód. Atributo]],[1]!Tabla5[#Data],6,FALSE)</f>
        <v>Color</v>
      </c>
      <c r="F2394">
        <v>2</v>
      </c>
      <c r="G2394">
        <v>30</v>
      </c>
      <c r="H2394" t="s">
        <v>755</v>
      </c>
      <c r="I2394" t="str">
        <f>VLOOKUP(Tabla1[[#This Row],[Code]],'[1]Articulos Precio'!$A:$E,5,FALSE)</f>
        <v>A0000606</v>
      </c>
    </row>
    <row r="2395" spans="1:9" x14ac:dyDescent="0.25">
      <c r="A2395" t="s">
        <v>756</v>
      </c>
      <c r="B2395" t="str">
        <f>VLOOKUP(Tabla1[[#This Row],[Code]],[1]!Tabla4[#Data],2,FALSE)</f>
        <v>ML Cad-Cut Sportsfilm 421 Verde Manzana 500mm</v>
      </c>
      <c r="C2395">
        <v>2</v>
      </c>
      <c r="D2395" t="s">
        <v>10</v>
      </c>
      <c r="E2395" t="str">
        <f>VLOOKUP(Tabla1[[#This Row],[Cód. Atributo]],[1]!Tabla5[#Data],6,FALSE)</f>
        <v>Select</v>
      </c>
      <c r="F2395">
        <v>1</v>
      </c>
      <c r="G2395">
        <v>1</v>
      </c>
      <c r="H2395" t="s">
        <v>11</v>
      </c>
      <c r="I2395" t="str">
        <f>VLOOKUP(Tabla1[[#This Row],[Code]],'[1]Articulos Precio'!$A:$E,5,FALSE)</f>
        <v>A0000606</v>
      </c>
    </row>
    <row r="2396" spans="1:9" x14ac:dyDescent="0.25">
      <c r="A2396" t="s">
        <v>756</v>
      </c>
      <c r="B2396" t="str">
        <f>VLOOKUP(Tabla1[[#This Row],[Code]],[1]!Tabla4[#Data],2,FALSE)</f>
        <v>ML Cad-Cut Sportsfilm 421 Verde Manzana 500mm</v>
      </c>
      <c r="C2396">
        <v>18</v>
      </c>
      <c r="D2396" t="s">
        <v>712</v>
      </c>
      <c r="E2396" t="str">
        <f>VLOOKUP(Tabla1[[#This Row],[Cód. Atributo]],[1]!Tabla5[#Data],6,FALSE)</f>
        <v>Color</v>
      </c>
      <c r="F2396">
        <v>2</v>
      </c>
      <c r="G2396">
        <v>31</v>
      </c>
      <c r="H2396" t="s">
        <v>757</v>
      </c>
      <c r="I2396" t="str">
        <f>VLOOKUP(Tabla1[[#This Row],[Code]],'[1]Articulos Precio'!$A:$E,5,FALSE)</f>
        <v>A0000606</v>
      </c>
    </row>
    <row r="2397" spans="1:9" x14ac:dyDescent="0.25">
      <c r="A2397" t="s">
        <v>758</v>
      </c>
      <c r="B2397" t="str">
        <f>VLOOKUP(Tabla1[[#This Row],[Code]],[1]!Tabla4[#Data],2,FALSE)</f>
        <v>ML Cad-Cut Sportsfilm 422 Verde Ligero 500mm</v>
      </c>
      <c r="C2397">
        <v>2</v>
      </c>
      <c r="D2397" t="s">
        <v>10</v>
      </c>
      <c r="E2397" t="str">
        <f>VLOOKUP(Tabla1[[#This Row],[Cód. Atributo]],[1]!Tabla5[#Data],6,FALSE)</f>
        <v>Select</v>
      </c>
      <c r="F2397">
        <v>1</v>
      </c>
      <c r="G2397">
        <v>1</v>
      </c>
      <c r="H2397" t="s">
        <v>11</v>
      </c>
      <c r="I2397" t="str">
        <f>VLOOKUP(Tabla1[[#This Row],[Code]],'[1]Articulos Precio'!$A:$E,5,FALSE)</f>
        <v>A0000606</v>
      </c>
    </row>
    <row r="2398" spans="1:9" x14ac:dyDescent="0.25">
      <c r="A2398" t="s">
        <v>758</v>
      </c>
      <c r="B2398" t="str">
        <f>VLOOKUP(Tabla1[[#This Row],[Code]],[1]!Tabla4[#Data],2,FALSE)</f>
        <v>ML Cad-Cut Sportsfilm 422 Verde Ligero 500mm</v>
      </c>
      <c r="C2398">
        <v>18</v>
      </c>
      <c r="D2398" t="s">
        <v>712</v>
      </c>
      <c r="E2398" t="str">
        <f>VLOOKUP(Tabla1[[#This Row],[Cód. Atributo]],[1]!Tabla5[#Data],6,FALSE)</f>
        <v>Color</v>
      </c>
      <c r="F2398">
        <v>2</v>
      </c>
      <c r="G2398">
        <v>32</v>
      </c>
      <c r="H2398" t="s">
        <v>759</v>
      </c>
      <c r="I2398" t="str">
        <f>VLOOKUP(Tabla1[[#This Row],[Code]],'[1]Articulos Precio'!$A:$E,5,FALSE)</f>
        <v>A0000606</v>
      </c>
    </row>
    <row r="2399" spans="1:9" x14ac:dyDescent="0.25">
      <c r="A2399" t="s">
        <v>760</v>
      </c>
      <c r="B2399" t="str">
        <f>VLOOKUP(Tabla1[[#This Row],[Code]],[1]!Tabla4[#Data],2,FALSE)</f>
        <v>ML Cad-Cut Sportsfilm 400 Verde 500mm</v>
      </c>
      <c r="C2399">
        <v>2</v>
      </c>
      <c r="D2399" t="s">
        <v>10</v>
      </c>
      <c r="E2399" t="str">
        <f>VLOOKUP(Tabla1[[#This Row],[Cód. Atributo]],[1]!Tabla5[#Data],6,FALSE)</f>
        <v>Select</v>
      </c>
      <c r="F2399">
        <v>1</v>
      </c>
      <c r="G2399">
        <v>1</v>
      </c>
      <c r="H2399" t="s">
        <v>11</v>
      </c>
      <c r="I2399" t="str">
        <f>VLOOKUP(Tabla1[[#This Row],[Code]],'[1]Articulos Precio'!$A:$E,5,FALSE)</f>
        <v>A0000606</v>
      </c>
    </row>
    <row r="2400" spans="1:9" x14ac:dyDescent="0.25">
      <c r="A2400" t="s">
        <v>760</v>
      </c>
      <c r="B2400" t="str">
        <f>VLOOKUP(Tabla1[[#This Row],[Code]],[1]!Tabla4[#Data],2,FALSE)</f>
        <v>ML Cad-Cut Sportsfilm 400 Verde 500mm</v>
      </c>
      <c r="C2400">
        <v>18</v>
      </c>
      <c r="D2400" t="s">
        <v>712</v>
      </c>
      <c r="E2400" t="str">
        <f>VLOOKUP(Tabla1[[#This Row],[Cód. Atributo]],[1]!Tabla5[#Data],6,FALSE)</f>
        <v>Color</v>
      </c>
      <c r="F2400">
        <v>2</v>
      </c>
      <c r="G2400">
        <v>27</v>
      </c>
      <c r="H2400" t="s">
        <v>761</v>
      </c>
      <c r="I2400" t="str">
        <f>VLOOKUP(Tabla1[[#This Row],[Code]],'[1]Articulos Precio'!$A:$E,5,FALSE)</f>
        <v>A0000606</v>
      </c>
    </row>
    <row r="2401" spans="1:9" x14ac:dyDescent="0.25">
      <c r="A2401" t="s">
        <v>762</v>
      </c>
      <c r="B2401" t="str">
        <f>VLOOKUP(Tabla1[[#This Row],[Code]],[1]!Tabla4[#Data],2,FALSE)</f>
        <v>ML Cad-Cut Sportsfilm 410 Verde Oscuro 500mm</v>
      </c>
      <c r="C2401">
        <v>2</v>
      </c>
      <c r="D2401" t="s">
        <v>10</v>
      </c>
      <c r="E2401" t="str">
        <f>VLOOKUP(Tabla1[[#This Row],[Cód. Atributo]],[1]!Tabla5[#Data],6,FALSE)</f>
        <v>Select</v>
      </c>
      <c r="F2401">
        <v>1</v>
      </c>
      <c r="G2401">
        <v>1</v>
      </c>
      <c r="H2401" t="s">
        <v>11</v>
      </c>
      <c r="I2401" t="str">
        <f>VLOOKUP(Tabla1[[#This Row],[Code]],'[1]Articulos Precio'!$A:$E,5,FALSE)</f>
        <v>A0000606</v>
      </c>
    </row>
    <row r="2402" spans="1:9" x14ac:dyDescent="0.25">
      <c r="A2402" t="s">
        <v>762</v>
      </c>
      <c r="B2402" t="str">
        <f>VLOOKUP(Tabla1[[#This Row],[Code]],[1]!Tabla4[#Data],2,FALSE)</f>
        <v>ML Cad-Cut Sportsfilm 410 Verde Oscuro 500mm</v>
      </c>
      <c r="C2402">
        <v>18</v>
      </c>
      <c r="D2402" t="s">
        <v>712</v>
      </c>
      <c r="E2402" t="str">
        <f>VLOOKUP(Tabla1[[#This Row],[Cód. Atributo]],[1]!Tabla5[#Data],6,FALSE)</f>
        <v>Color</v>
      </c>
      <c r="F2402">
        <v>2</v>
      </c>
      <c r="G2402">
        <v>29</v>
      </c>
      <c r="H2402" t="s">
        <v>763</v>
      </c>
      <c r="I2402" t="str">
        <f>VLOOKUP(Tabla1[[#This Row],[Code]],'[1]Articulos Precio'!$A:$E,5,FALSE)</f>
        <v>A0000606</v>
      </c>
    </row>
    <row r="2403" spans="1:9" x14ac:dyDescent="0.25">
      <c r="A2403" t="s">
        <v>764</v>
      </c>
      <c r="B2403" t="str">
        <f>VLOOKUP(Tabla1[[#This Row],[Code]],[1]!Tabla4[#Data],2,FALSE)</f>
        <v>ML Cad-Cut Sportsfilm 430 Verde Oliva 500mm</v>
      </c>
      <c r="C2403">
        <v>2</v>
      </c>
      <c r="D2403" t="s">
        <v>10</v>
      </c>
      <c r="E2403" t="str">
        <f>VLOOKUP(Tabla1[[#This Row],[Cód. Atributo]],[1]!Tabla5[#Data],6,FALSE)</f>
        <v>Select</v>
      </c>
      <c r="F2403">
        <v>1</v>
      </c>
      <c r="G2403">
        <v>1</v>
      </c>
      <c r="H2403" t="s">
        <v>11</v>
      </c>
      <c r="I2403" t="str">
        <f>VLOOKUP(Tabla1[[#This Row],[Code]],'[1]Articulos Precio'!$A:$E,5,FALSE)</f>
        <v>A0000606</v>
      </c>
    </row>
    <row r="2404" spans="1:9" x14ac:dyDescent="0.25">
      <c r="A2404" t="s">
        <v>764</v>
      </c>
      <c r="B2404" t="str">
        <f>VLOOKUP(Tabla1[[#This Row],[Code]],[1]!Tabla4[#Data],2,FALSE)</f>
        <v>ML Cad-Cut Sportsfilm 430 Verde Oliva 500mm</v>
      </c>
      <c r="C2404">
        <v>18</v>
      </c>
      <c r="D2404" t="s">
        <v>712</v>
      </c>
      <c r="E2404" t="str">
        <f>VLOOKUP(Tabla1[[#This Row],[Cód. Atributo]],[1]!Tabla5[#Data],6,FALSE)</f>
        <v>Color</v>
      </c>
      <c r="F2404">
        <v>2</v>
      </c>
      <c r="G2404">
        <v>33</v>
      </c>
      <c r="H2404" t="s">
        <v>765</v>
      </c>
      <c r="I2404" t="str">
        <f>VLOOKUP(Tabla1[[#This Row],[Code]],'[1]Articulos Precio'!$A:$E,5,FALSE)</f>
        <v>A0000606</v>
      </c>
    </row>
    <row r="2405" spans="1:9" x14ac:dyDescent="0.25">
      <c r="A2405" t="s">
        <v>766</v>
      </c>
      <c r="B2405" t="str">
        <f>VLOOKUP(Tabla1[[#This Row],[Code]],[1]!Tabla4[#Data],2,FALSE)</f>
        <v>ML Cad-Cut Sportsfilm 550 Marrón 500mm</v>
      </c>
      <c r="C2405">
        <v>2</v>
      </c>
      <c r="D2405" t="s">
        <v>10</v>
      </c>
      <c r="E2405" t="str">
        <f>VLOOKUP(Tabla1[[#This Row],[Cód. Atributo]],[1]!Tabla5[#Data],6,FALSE)</f>
        <v>Select</v>
      </c>
      <c r="F2405">
        <v>1</v>
      </c>
      <c r="G2405">
        <v>1</v>
      </c>
      <c r="H2405" t="s">
        <v>11</v>
      </c>
      <c r="I2405" t="str">
        <f>VLOOKUP(Tabla1[[#This Row],[Code]],'[1]Articulos Precio'!$A:$E,5,FALSE)</f>
        <v>A0000606</v>
      </c>
    </row>
    <row r="2406" spans="1:9" x14ac:dyDescent="0.25">
      <c r="A2406" t="s">
        <v>766</v>
      </c>
      <c r="B2406" t="str">
        <f>VLOOKUP(Tabla1[[#This Row],[Code]],[1]!Tabla4[#Data],2,FALSE)</f>
        <v>ML Cad-Cut Sportsfilm 550 Marrón 500mm</v>
      </c>
      <c r="C2406">
        <v>18</v>
      </c>
      <c r="D2406" t="s">
        <v>712</v>
      </c>
      <c r="E2406" t="str">
        <f>VLOOKUP(Tabla1[[#This Row],[Cód. Atributo]],[1]!Tabla5[#Data],6,FALSE)</f>
        <v>Color</v>
      </c>
      <c r="F2406">
        <v>2</v>
      </c>
      <c r="G2406">
        <v>34</v>
      </c>
      <c r="H2406" t="s">
        <v>767</v>
      </c>
      <c r="I2406" t="str">
        <f>VLOOKUP(Tabla1[[#This Row],[Code]],'[1]Articulos Precio'!$A:$E,5,FALSE)</f>
        <v>A0000606</v>
      </c>
    </row>
    <row r="2407" spans="1:9" x14ac:dyDescent="0.25">
      <c r="A2407" t="s">
        <v>768</v>
      </c>
      <c r="B2407" t="str">
        <f>VLOOKUP(Tabla1[[#This Row],[Code]],[1]!Tabla4[#Data],2,FALSE)</f>
        <v>ML Cad-Cut Sportsfilm 730 Gris 500mm</v>
      </c>
      <c r="C2407">
        <v>2</v>
      </c>
      <c r="D2407" t="s">
        <v>10</v>
      </c>
      <c r="E2407" t="str">
        <f>VLOOKUP(Tabla1[[#This Row],[Cód. Atributo]],[1]!Tabla5[#Data],6,FALSE)</f>
        <v>Select</v>
      </c>
      <c r="F2407">
        <v>1</v>
      </c>
      <c r="G2407">
        <v>1</v>
      </c>
      <c r="H2407" t="s">
        <v>11</v>
      </c>
      <c r="I2407" t="str">
        <f>VLOOKUP(Tabla1[[#This Row],[Code]],'[1]Articulos Precio'!$A:$E,5,FALSE)</f>
        <v>A0000606</v>
      </c>
    </row>
    <row r="2408" spans="1:9" x14ac:dyDescent="0.25">
      <c r="A2408" t="s">
        <v>768</v>
      </c>
      <c r="B2408" t="str">
        <f>VLOOKUP(Tabla1[[#This Row],[Code]],[1]!Tabla4[#Data],2,FALSE)</f>
        <v>ML Cad-Cut Sportsfilm 730 Gris 500mm</v>
      </c>
      <c r="C2408">
        <v>18</v>
      </c>
      <c r="D2408" t="s">
        <v>712</v>
      </c>
      <c r="E2408" t="str">
        <f>VLOOKUP(Tabla1[[#This Row],[Cód. Atributo]],[1]!Tabla5[#Data],6,FALSE)</f>
        <v>Color</v>
      </c>
      <c r="F2408">
        <v>2</v>
      </c>
      <c r="G2408">
        <v>36</v>
      </c>
      <c r="H2408" t="s">
        <v>769</v>
      </c>
      <c r="I2408" t="str">
        <f>VLOOKUP(Tabla1[[#This Row],[Code]],'[1]Articulos Precio'!$A:$E,5,FALSE)</f>
        <v>A0000606</v>
      </c>
    </row>
    <row r="2409" spans="1:9" x14ac:dyDescent="0.25">
      <c r="A2409" t="s">
        <v>770</v>
      </c>
      <c r="B2409" t="str">
        <f>VLOOKUP(Tabla1[[#This Row],[Code]],[1]!Tabla4[#Data],2,FALSE)</f>
        <v>ML Cad-Cut Sportsfilm 780 Gris Oscuro 500mm</v>
      </c>
      <c r="C2409">
        <v>2</v>
      </c>
      <c r="D2409" t="s">
        <v>10</v>
      </c>
      <c r="E2409" t="str">
        <f>VLOOKUP(Tabla1[[#This Row],[Cód. Atributo]],[1]!Tabla5[#Data],6,FALSE)</f>
        <v>Select</v>
      </c>
      <c r="F2409">
        <v>1</v>
      </c>
      <c r="G2409">
        <v>1</v>
      </c>
      <c r="H2409" t="s">
        <v>11</v>
      </c>
      <c r="I2409" t="str">
        <f>VLOOKUP(Tabla1[[#This Row],[Code]],'[1]Articulos Precio'!$A:$E,5,FALSE)</f>
        <v>A0000606</v>
      </c>
    </row>
    <row r="2410" spans="1:9" x14ac:dyDescent="0.25">
      <c r="A2410" t="s">
        <v>770</v>
      </c>
      <c r="B2410" t="str">
        <f>VLOOKUP(Tabla1[[#This Row],[Code]],[1]!Tabla4[#Data],2,FALSE)</f>
        <v>ML Cad-Cut Sportsfilm 780 Gris Oscuro 500mm</v>
      </c>
      <c r="C2410">
        <v>18</v>
      </c>
      <c r="D2410" t="s">
        <v>712</v>
      </c>
      <c r="E2410" t="str">
        <f>VLOOKUP(Tabla1[[#This Row],[Cód. Atributo]],[1]!Tabla5[#Data],6,FALSE)</f>
        <v>Color</v>
      </c>
      <c r="F2410">
        <v>2</v>
      </c>
      <c r="G2410">
        <v>37</v>
      </c>
      <c r="H2410" t="s">
        <v>771</v>
      </c>
      <c r="I2410" t="str">
        <f>VLOOKUP(Tabla1[[#This Row],[Code]],'[1]Articulos Precio'!$A:$E,5,FALSE)</f>
        <v>A0000606</v>
      </c>
    </row>
    <row r="2411" spans="1:9" x14ac:dyDescent="0.25">
      <c r="A2411" t="s">
        <v>772</v>
      </c>
      <c r="B2411" t="str">
        <f>VLOOKUP(Tabla1[[#This Row],[Code]],[1]!Tabla4[#Data],2,FALSE)</f>
        <v>ML Cad-Cut Sportsfilm 700 Negro 500mm</v>
      </c>
      <c r="C2411">
        <v>2</v>
      </c>
      <c r="D2411" t="s">
        <v>10</v>
      </c>
      <c r="E2411" t="str">
        <f>VLOOKUP(Tabla1[[#This Row],[Cód. Atributo]],[1]!Tabla5[#Data],6,FALSE)</f>
        <v>Select</v>
      </c>
      <c r="F2411">
        <v>1</v>
      </c>
      <c r="G2411">
        <v>1</v>
      </c>
      <c r="H2411" t="s">
        <v>11</v>
      </c>
      <c r="I2411" t="str">
        <f>VLOOKUP(Tabla1[[#This Row],[Code]],'[1]Articulos Precio'!$A:$E,5,FALSE)</f>
        <v>A0000606</v>
      </c>
    </row>
    <row r="2412" spans="1:9" x14ac:dyDescent="0.25">
      <c r="A2412" t="s">
        <v>772</v>
      </c>
      <c r="B2412" t="str">
        <f>VLOOKUP(Tabla1[[#This Row],[Code]],[1]!Tabla4[#Data],2,FALSE)</f>
        <v>ML Cad-Cut Sportsfilm 700 Negro 500mm</v>
      </c>
      <c r="C2412">
        <v>18</v>
      </c>
      <c r="D2412" t="s">
        <v>712</v>
      </c>
      <c r="E2412" t="str">
        <f>VLOOKUP(Tabla1[[#This Row],[Cód. Atributo]],[1]!Tabla5[#Data],6,FALSE)</f>
        <v>Color</v>
      </c>
      <c r="F2412">
        <v>2</v>
      </c>
      <c r="G2412">
        <v>35</v>
      </c>
      <c r="H2412" t="s">
        <v>773</v>
      </c>
      <c r="I2412" t="str">
        <f>VLOOKUP(Tabla1[[#This Row],[Code]],'[1]Articulos Precio'!$A:$E,5,FALSE)</f>
        <v>A0000606</v>
      </c>
    </row>
    <row r="2413" spans="1:9" x14ac:dyDescent="0.25">
      <c r="A2413" t="s">
        <v>774</v>
      </c>
      <c r="B2413" t="str">
        <f>VLOOKUP(Tabla1[[#This Row],[Code]],[1]!Tabla4[#Data],2,FALSE)</f>
        <v>ML Cad-Cut Sportsfilm 815 Plata 500mm</v>
      </c>
      <c r="C2413">
        <v>2</v>
      </c>
      <c r="D2413" t="s">
        <v>10</v>
      </c>
      <c r="E2413" t="str">
        <f>VLOOKUP(Tabla1[[#This Row],[Cód. Atributo]],[1]!Tabla5[#Data],6,FALSE)</f>
        <v>Select</v>
      </c>
      <c r="F2413">
        <v>1</v>
      </c>
      <c r="G2413">
        <v>1</v>
      </c>
      <c r="H2413" t="s">
        <v>11</v>
      </c>
      <c r="I2413" t="str">
        <f>VLOOKUP(Tabla1[[#This Row],[Code]],'[1]Articulos Precio'!$A:$E,5,FALSE)</f>
        <v>A0000606</v>
      </c>
    </row>
    <row r="2414" spans="1:9" x14ac:dyDescent="0.25">
      <c r="A2414" t="s">
        <v>774</v>
      </c>
      <c r="B2414" t="str">
        <f>VLOOKUP(Tabla1[[#This Row],[Code]],[1]!Tabla4[#Data],2,FALSE)</f>
        <v>ML Cad-Cut Sportsfilm 815 Plata 500mm</v>
      </c>
      <c r="C2414">
        <v>18</v>
      </c>
      <c r="D2414" t="s">
        <v>712</v>
      </c>
      <c r="E2414" t="str">
        <f>VLOOKUP(Tabla1[[#This Row],[Cód. Atributo]],[1]!Tabla5[#Data],6,FALSE)</f>
        <v>Color</v>
      </c>
      <c r="F2414">
        <v>2</v>
      </c>
      <c r="G2414">
        <v>38</v>
      </c>
      <c r="H2414" t="s">
        <v>775</v>
      </c>
      <c r="I2414" t="str">
        <f>VLOOKUP(Tabla1[[#This Row],[Code]],'[1]Articulos Precio'!$A:$E,5,FALSE)</f>
        <v>A0000606</v>
      </c>
    </row>
    <row r="2415" spans="1:9" x14ac:dyDescent="0.25">
      <c r="A2415" t="s">
        <v>776</v>
      </c>
      <c r="B2415" t="str">
        <f>VLOOKUP(Tabla1[[#This Row],[Code]],[1]!Tabla4[#Data],2,FALSE)</f>
        <v>ML Cad-Cut Sportsfilm 115 Oro 500mm</v>
      </c>
      <c r="C2415">
        <v>2</v>
      </c>
      <c r="D2415" t="s">
        <v>10</v>
      </c>
      <c r="E2415" t="str">
        <f>VLOOKUP(Tabla1[[#This Row],[Cód. Atributo]],[1]!Tabla5[#Data],6,FALSE)</f>
        <v>Select</v>
      </c>
      <c r="F2415">
        <v>1</v>
      </c>
      <c r="G2415">
        <v>1</v>
      </c>
      <c r="H2415" t="s">
        <v>11</v>
      </c>
      <c r="I2415" t="str">
        <f>VLOOKUP(Tabla1[[#This Row],[Code]],'[1]Articulos Precio'!$A:$E,5,FALSE)</f>
        <v>A0000606</v>
      </c>
    </row>
    <row r="2416" spans="1:9" x14ac:dyDescent="0.25">
      <c r="A2416" t="s">
        <v>776</v>
      </c>
      <c r="B2416" t="str">
        <f>VLOOKUP(Tabla1[[#This Row],[Code]],[1]!Tabla4[#Data],2,FALSE)</f>
        <v>ML Cad-Cut Sportsfilm 115 Oro 500mm</v>
      </c>
      <c r="C2416">
        <v>18</v>
      </c>
      <c r="D2416" t="s">
        <v>712</v>
      </c>
      <c r="E2416" t="str">
        <f>VLOOKUP(Tabla1[[#This Row],[Cód. Atributo]],[1]!Tabla5[#Data],6,FALSE)</f>
        <v>Color</v>
      </c>
      <c r="F2416">
        <v>2</v>
      </c>
      <c r="G2416">
        <v>8</v>
      </c>
      <c r="H2416" t="s">
        <v>777</v>
      </c>
      <c r="I2416" t="str">
        <f>VLOOKUP(Tabla1[[#This Row],[Code]],'[1]Articulos Precio'!$A:$E,5,FALSE)</f>
        <v>A0000606</v>
      </c>
    </row>
    <row r="2417" spans="1:9" x14ac:dyDescent="0.25">
      <c r="A2417" t="s">
        <v>778</v>
      </c>
      <c r="B2417" t="str">
        <f>VLOOKUP(Tabla1[[#This Row],[Code]],[1]!Tabla4[#Data],2,FALSE)</f>
        <v>ML Cad-Cut Sportsfilm 101 Neon Amarillo 500mm</v>
      </c>
      <c r="C2417">
        <v>2</v>
      </c>
      <c r="D2417" t="s">
        <v>10</v>
      </c>
      <c r="E2417" t="str">
        <f>VLOOKUP(Tabla1[[#This Row],[Cód. Atributo]],[1]!Tabla5[#Data],6,FALSE)</f>
        <v>Select</v>
      </c>
      <c r="F2417">
        <v>1</v>
      </c>
      <c r="G2417">
        <v>1</v>
      </c>
      <c r="H2417" t="s">
        <v>11</v>
      </c>
      <c r="I2417" t="str">
        <f>VLOOKUP(Tabla1[[#This Row],[Code]],'[1]Articulos Precio'!$A:$E,5,FALSE)</f>
        <v>A0000606</v>
      </c>
    </row>
    <row r="2418" spans="1:9" x14ac:dyDescent="0.25">
      <c r="A2418" t="s">
        <v>778</v>
      </c>
      <c r="B2418" t="str">
        <f>VLOOKUP(Tabla1[[#This Row],[Code]],[1]!Tabla4[#Data],2,FALSE)</f>
        <v>ML Cad-Cut Sportsfilm 101 Neon Amarillo 500mm</v>
      </c>
      <c r="C2418">
        <v>18</v>
      </c>
      <c r="D2418" t="s">
        <v>712</v>
      </c>
      <c r="E2418" t="str">
        <f>VLOOKUP(Tabla1[[#This Row],[Cód. Atributo]],[1]!Tabla5[#Data],6,FALSE)</f>
        <v>Color</v>
      </c>
      <c r="F2418">
        <v>2</v>
      </c>
      <c r="G2418">
        <v>5</v>
      </c>
      <c r="H2418" t="s">
        <v>779</v>
      </c>
      <c r="I2418" t="str">
        <f>VLOOKUP(Tabla1[[#This Row],[Code]],'[1]Articulos Precio'!$A:$E,5,FALSE)</f>
        <v>A0000606</v>
      </c>
    </row>
    <row r="2419" spans="1:9" x14ac:dyDescent="0.25">
      <c r="A2419" t="s">
        <v>780</v>
      </c>
      <c r="B2419" t="str">
        <f>VLOOKUP(Tabla1[[#This Row],[Code]],[1]!Tabla4[#Data],2,FALSE)</f>
        <v>ML Cad-Cut Sportsfilm 181 Neon Naranja 500mm</v>
      </c>
      <c r="C2419">
        <v>2</v>
      </c>
      <c r="D2419" t="s">
        <v>10</v>
      </c>
      <c r="E2419" t="str">
        <f>VLOOKUP(Tabla1[[#This Row],[Cód. Atributo]],[1]!Tabla5[#Data],6,FALSE)</f>
        <v>Select</v>
      </c>
      <c r="F2419">
        <v>1</v>
      </c>
      <c r="G2419">
        <v>1</v>
      </c>
      <c r="H2419" t="s">
        <v>11</v>
      </c>
      <c r="I2419" t="str">
        <f>VLOOKUP(Tabla1[[#This Row],[Code]],'[1]Articulos Precio'!$A:$E,5,FALSE)</f>
        <v>A0000606</v>
      </c>
    </row>
    <row r="2420" spans="1:9" x14ac:dyDescent="0.25">
      <c r="A2420" t="s">
        <v>780</v>
      </c>
      <c r="B2420" t="str">
        <f>VLOOKUP(Tabla1[[#This Row],[Code]],[1]!Tabla4[#Data],2,FALSE)</f>
        <v>ML Cad-Cut Sportsfilm 181 Neon Naranja 500mm</v>
      </c>
      <c r="C2420">
        <v>18</v>
      </c>
      <c r="D2420" t="s">
        <v>712</v>
      </c>
      <c r="E2420" t="str">
        <f>VLOOKUP(Tabla1[[#This Row],[Cód. Atributo]],[1]!Tabla5[#Data],6,FALSE)</f>
        <v>Color</v>
      </c>
      <c r="F2420">
        <v>2</v>
      </c>
      <c r="G2420">
        <v>10</v>
      </c>
      <c r="H2420" t="s">
        <v>781</v>
      </c>
      <c r="I2420" t="str">
        <f>VLOOKUP(Tabla1[[#This Row],[Code]],'[1]Articulos Precio'!$A:$E,5,FALSE)</f>
        <v>A0000606</v>
      </c>
    </row>
    <row r="2421" spans="1:9" x14ac:dyDescent="0.25">
      <c r="A2421" t="s">
        <v>782</v>
      </c>
      <c r="B2421" t="str">
        <f>VLOOKUP(Tabla1[[#This Row],[Code]],[1]!Tabla4[#Data],2,FALSE)</f>
        <v>ML Cad-Cut Sportsfilm 241 Neon Rosa 500mm</v>
      </c>
      <c r="C2421">
        <v>2</v>
      </c>
      <c r="D2421" t="s">
        <v>10</v>
      </c>
      <c r="E2421" t="str">
        <f>VLOOKUP(Tabla1[[#This Row],[Cód. Atributo]],[1]!Tabla5[#Data],6,FALSE)</f>
        <v>Select</v>
      </c>
      <c r="F2421">
        <v>1</v>
      </c>
      <c r="G2421">
        <v>1</v>
      </c>
      <c r="H2421" t="s">
        <v>11</v>
      </c>
      <c r="I2421" t="str">
        <f>VLOOKUP(Tabla1[[#This Row],[Code]],'[1]Articulos Precio'!$A:$E,5,FALSE)</f>
        <v>A0000606</v>
      </c>
    </row>
    <row r="2422" spans="1:9" x14ac:dyDescent="0.25">
      <c r="A2422" t="s">
        <v>782</v>
      </c>
      <c r="B2422" t="str">
        <f>VLOOKUP(Tabla1[[#This Row],[Code]],[1]!Tabla4[#Data],2,FALSE)</f>
        <v>ML Cad-Cut Sportsfilm 241 Neon Rosa 500mm</v>
      </c>
      <c r="C2422">
        <v>18</v>
      </c>
      <c r="D2422" t="s">
        <v>712</v>
      </c>
      <c r="E2422" t="str">
        <f>VLOOKUP(Tabla1[[#This Row],[Cód. Atributo]],[1]!Tabla5[#Data],6,FALSE)</f>
        <v>Color</v>
      </c>
      <c r="F2422">
        <v>2</v>
      </c>
      <c r="G2422">
        <v>14</v>
      </c>
      <c r="H2422" t="s">
        <v>783</v>
      </c>
      <c r="I2422" t="str">
        <f>VLOOKUP(Tabla1[[#This Row],[Code]],'[1]Articulos Precio'!$A:$E,5,FALSE)</f>
        <v>A0000606</v>
      </c>
    </row>
    <row r="2423" spans="1:9" x14ac:dyDescent="0.25">
      <c r="A2423" t="s">
        <v>784</v>
      </c>
      <c r="B2423" t="str">
        <f>VLOOKUP(Tabla1[[#This Row],[Code]],[1]!Tabla4[#Data],2,FALSE)</f>
        <v>ML Cad-Cut Sportsfilm 301 Neon Azul 500mm</v>
      </c>
      <c r="C2423">
        <v>2</v>
      </c>
      <c r="D2423" t="s">
        <v>10</v>
      </c>
      <c r="E2423" t="str">
        <f>VLOOKUP(Tabla1[[#This Row],[Cód. Atributo]],[1]!Tabla5[#Data],6,FALSE)</f>
        <v>Select</v>
      </c>
      <c r="F2423">
        <v>1</v>
      </c>
      <c r="G2423">
        <v>1</v>
      </c>
      <c r="H2423" t="s">
        <v>11</v>
      </c>
      <c r="I2423" t="str">
        <f>VLOOKUP(Tabla1[[#This Row],[Code]],'[1]Articulos Precio'!$A:$E,5,FALSE)</f>
        <v>A0000606</v>
      </c>
    </row>
    <row r="2424" spans="1:9" x14ac:dyDescent="0.25">
      <c r="A2424" t="s">
        <v>784</v>
      </c>
      <c r="B2424" t="str">
        <f>VLOOKUP(Tabla1[[#This Row],[Code]],[1]!Tabla4[#Data],2,FALSE)</f>
        <v>ML Cad-Cut Sportsfilm 301 Neon Azul 500mm</v>
      </c>
      <c r="C2424">
        <v>18</v>
      </c>
      <c r="D2424" t="s">
        <v>712</v>
      </c>
      <c r="E2424" t="str">
        <f>VLOOKUP(Tabla1[[#This Row],[Cód. Atributo]],[1]!Tabla5[#Data],6,FALSE)</f>
        <v>Color</v>
      </c>
      <c r="F2424">
        <v>2</v>
      </c>
      <c r="G2424">
        <v>22</v>
      </c>
      <c r="H2424" t="s">
        <v>785</v>
      </c>
      <c r="I2424" t="str">
        <f>VLOOKUP(Tabla1[[#This Row],[Code]],'[1]Articulos Precio'!$A:$E,5,FALSE)</f>
        <v>A0000606</v>
      </c>
    </row>
    <row r="2425" spans="1:9" x14ac:dyDescent="0.25">
      <c r="A2425" t="s">
        <v>786</v>
      </c>
      <c r="B2425" t="str">
        <f>VLOOKUP(Tabla1[[#This Row],[Code]],[1]!Tabla4[#Data],2,FALSE)</f>
        <v>ML Cad-Cut Sportsfilm 401 Neon Verde 500mm</v>
      </c>
      <c r="C2425">
        <v>2</v>
      </c>
      <c r="D2425" t="s">
        <v>10</v>
      </c>
      <c r="E2425" t="str">
        <f>VLOOKUP(Tabla1[[#This Row],[Cód. Atributo]],[1]!Tabla5[#Data],6,FALSE)</f>
        <v>Select</v>
      </c>
      <c r="F2425">
        <v>1</v>
      </c>
      <c r="G2425">
        <v>1</v>
      </c>
      <c r="H2425" t="s">
        <v>11</v>
      </c>
      <c r="I2425" t="str">
        <f>VLOOKUP(Tabla1[[#This Row],[Code]],'[1]Articulos Precio'!$A:$E,5,FALSE)</f>
        <v>A0000606</v>
      </c>
    </row>
    <row r="2426" spans="1:9" x14ac:dyDescent="0.25">
      <c r="A2426" t="s">
        <v>786</v>
      </c>
      <c r="B2426" t="str">
        <f>VLOOKUP(Tabla1[[#This Row],[Code]],[1]!Tabla4[#Data],2,FALSE)</f>
        <v>ML Cad-Cut Sportsfilm 401 Neon Verde 500mm</v>
      </c>
      <c r="C2426">
        <v>18</v>
      </c>
      <c r="D2426" t="s">
        <v>712</v>
      </c>
      <c r="E2426" t="str">
        <f>VLOOKUP(Tabla1[[#This Row],[Cód. Atributo]],[1]!Tabla5[#Data],6,FALSE)</f>
        <v>Color</v>
      </c>
      <c r="F2426">
        <v>2</v>
      </c>
      <c r="G2426">
        <v>28</v>
      </c>
      <c r="H2426" t="s">
        <v>787</v>
      </c>
      <c r="I2426" t="str">
        <f>VLOOKUP(Tabla1[[#This Row],[Code]],'[1]Articulos Precio'!$A:$E,5,FALSE)</f>
        <v>A0000606</v>
      </c>
    </row>
    <row r="2427" spans="1:9" x14ac:dyDescent="0.25">
      <c r="A2427" t="s">
        <v>788</v>
      </c>
      <c r="B2427" t="str">
        <f>VLOOKUP(Tabla1[[#This Row],[Code]],[1]!Tabla4[#Data],2,FALSE)</f>
        <v>ML Cad-Cut Premium Plus 001 Blanco 500mm</v>
      </c>
      <c r="C2427">
        <v>2</v>
      </c>
      <c r="D2427" t="s">
        <v>10</v>
      </c>
      <c r="E2427" t="str">
        <f>VLOOKUP(Tabla1[[#This Row],[Cód. Atributo]],[1]!Tabla5[#Data],6,FALSE)</f>
        <v>Select</v>
      </c>
      <c r="F2427">
        <v>1</v>
      </c>
      <c r="G2427">
        <v>1</v>
      </c>
      <c r="H2427" t="s">
        <v>11</v>
      </c>
      <c r="I2427" t="str">
        <f>VLOOKUP(Tabla1[[#This Row],[Code]],'[1]Articulos Precio'!$A:$E,5,FALSE)</f>
        <v>A0000644</v>
      </c>
    </row>
    <row r="2428" spans="1:9" x14ac:dyDescent="0.25">
      <c r="A2428" t="s">
        <v>788</v>
      </c>
      <c r="B2428" t="str">
        <f>VLOOKUP(Tabla1[[#This Row],[Code]],[1]!Tabla4[#Data],2,FALSE)</f>
        <v>ML Cad-Cut Premium Plus 001 Blanco 500mm</v>
      </c>
      <c r="C2428">
        <v>16</v>
      </c>
      <c r="D2428" t="s">
        <v>12</v>
      </c>
      <c r="E2428" t="str">
        <f>VLOOKUP(Tabla1[[#This Row],[Cód. Atributo]],[1]!Tabla5[#Data],6,FALSE)</f>
        <v>Color</v>
      </c>
      <c r="F2428">
        <v>2</v>
      </c>
      <c r="G2428">
        <v>1</v>
      </c>
      <c r="H2428" t="s">
        <v>789</v>
      </c>
      <c r="I2428" t="str">
        <f>VLOOKUP(Tabla1[[#This Row],[Code]],'[1]Articulos Precio'!$A:$E,5,FALSE)</f>
        <v>A0000644</v>
      </c>
    </row>
    <row r="2429" spans="1:9" x14ac:dyDescent="0.25">
      <c r="A2429" t="s">
        <v>790</v>
      </c>
      <c r="B2429" t="str">
        <f>VLOOKUP(Tabla1[[#This Row],[Code]],[1]!Tabla4[#Data],2,FALSE)</f>
        <v>ML Cad-Cut Premium Plus 005 Crema 500mm</v>
      </c>
      <c r="C2429">
        <v>2</v>
      </c>
      <c r="D2429" t="s">
        <v>10</v>
      </c>
      <c r="E2429" t="str">
        <f>VLOOKUP(Tabla1[[#This Row],[Cód. Atributo]],[1]!Tabla5[#Data],6,FALSE)</f>
        <v>Select</v>
      </c>
      <c r="F2429">
        <v>1</v>
      </c>
      <c r="G2429">
        <v>1</v>
      </c>
      <c r="H2429" t="s">
        <v>11</v>
      </c>
      <c r="I2429" t="str">
        <f>VLOOKUP(Tabla1[[#This Row],[Code]],'[1]Articulos Precio'!$A:$E,5,FALSE)</f>
        <v>A0000644</v>
      </c>
    </row>
    <row r="2430" spans="1:9" x14ac:dyDescent="0.25">
      <c r="A2430" t="s">
        <v>790</v>
      </c>
      <c r="B2430" t="str">
        <f>VLOOKUP(Tabla1[[#This Row],[Code]],[1]!Tabla4[#Data],2,FALSE)</f>
        <v>ML Cad-Cut Premium Plus 005 Crema 500mm</v>
      </c>
      <c r="C2430">
        <v>16</v>
      </c>
      <c r="D2430" t="s">
        <v>12</v>
      </c>
      <c r="E2430" t="str">
        <f>VLOOKUP(Tabla1[[#This Row],[Cód. Atributo]],[1]!Tabla5[#Data],6,FALSE)</f>
        <v>Color</v>
      </c>
      <c r="F2430">
        <v>2</v>
      </c>
      <c r="G2430">
        <v>2</v>
      </c>
      <c r="H2430" t="s">
        <v>791</v>
      </c>
      <c r="I2430" t="str">
        <f>VLOOKUP(Tabla1[[#This Row],[Code]],'[1]Articulos Precio'!$A:$E,5,FALSE)</f>
        <v>A0000644</v>
      </c>
    </row>
    <row r="2431" spans="1:9" x14ac:dyDescent="0.25">
      <c r="A2431" t="s">
        <v>792</v>
      </c>
      <c r="B2431" t="str">
        <f>VLOOKUP(Tabla1[[#This Row],[Code]],[1]!Tabla4[#Data],2,FALSE)</f>
        <v>ML Cad-Cut Premium Plus 100 Amarillo Limón 500mm</v>
      </c>
      <c r="C2431">
        <v>2</v>
      </c>
      <c r="D2431" t="s">
        <v>10</v>
      </c>
      <c r="E2431" t="str">
        <f>VLOOKUP(Tabla1[[#This Row],[Cód. Atributo]],[1]!Tabla5[#Data],6,FALSE)</f>
        <v>Select</v>
      </c>
      <c r="F2431">
        <v>1</v>
      </c>
      <c r="G2431">
        <v>1</v>
      </c>
      <c r="H2431" t="s">
        <v>11</v>
      </c>
      <c r="I2431" t="str">
        <f>VLOOKUP(Tabla1[[#This Row],[Code]],'[1]Articulos Precio'!$A:$E,5,FALSE)</f>
        <v>A0000644</v>
      </c>
    </row>
    <row r="2432" spans="1:9" x14ac:dyDescent="0.25">
      <c r="A2432" t="s">
        <v>792</v>
      </c>
      <c r="B2432" t="str">
        <f>VLOOKUP(Tabla1[[#This Row],[Code]],[1]!Tabla4[#Data],2,FALSE)</f>
        <v>ML Cad-Cut Premium Plus 100 Amarillo Limón 500mm</v>
      </c>
      <c r="C2432">
        <v>16</v>
      </c>
      <c r="D2432" t="s">
        <v>12</v>
      </c>
      <c r="E2432" t="str">
        <f>VLOOKUP(Tabla1[[#This Row],[Cód. Atributo]],[1]!Tabla5[#Data],6,FALSE)</f>
        <v>Color</v>
      </c>
      <c r="F2432">
        <v>2</v>
      </c>
      <c r="G2432">
        <v>3</v>
      </c>
      <c r="H2432" t="s">
        <v>793</v>
      </c>
      <c r="I2432" t="str">
        <f>VLOOKUP(Tabla1[[#This Row],[Code]],'[1]Articulos Precio'!$A:$E,5,FALSE)</f>
        <v>A0000644</v>
      </c>
    </row>
    <row r="2433" spans="1:9" x14ac:dyDescent="0.25">
      <c r="A2433" t="s">
        <v>794</v>
      </c>
      <c r="B2433" t="str">
        <f>VLOOKUP(Tabla1[[#This Row],[Code]],[1]!Tabla4[#Data],2,FALSE)</f>
        <v>ML Cad-Cut Premium Plus 110 Amarillo 500mm</v>
      </c>
      <c r="C2433">
        <v>2</v>
      </c>
      <c r="D2433" t="s">
        <v>10</v>
      </c>
      <c r="E2433" t="str">
        <f>VLOOKUP(Tabla1[[#This Row],[Cód. Atributo]],[1]!Tabla5[#Data],6,FALSE)</f>
        <v>Select</v>
      </c>
      <c r="F2433">
        <v>1</v>
      </c>
      <c r="G2433">
        <v>1</v>
      </c>
      <c r="H2433" t="s">
        <v>11</v>
      </c>
      <c r="I2433" t="str">
        <f>VLOOKUP(Tabla1[[#This Row],[Code]],'[1]Articulos Precio'!$A:$E,5,FALSE)</f>
        <v>A0000644</v>
      </c>
    </row>
    <row r="2434" spans="1:9" x14ac:dyDescent="0.25">
      <c r="A2434" t="s">
        <v>794</v>
      </c>
      <c r="B2434" t="str">
        <f>VLOOKUP(Tabla1[[#This Row],[Code]],[1]!Tabla4[#Data],2,FALSE)</f>
        <v>ML Cad-Cut Premium Plus 110 Amarillo 500mm</v>
      </c>
      <c r="C2434">
        <v>16</v>
      </c>
      <c r="D2434" t="s">
        <v>12</v>
      </c>
      <c r="E2434" t="str">
        <f>VLOOKUP(Tabla1[[#This Row],[Cód. Atributo]],[1]!Tabla5[#Data],6,FALSE)</f>
        <v>Color</v>
      </c>
      <c r="F2434">
        <v>2</v>
      </c>
      <c r="G2434">
        <v>6</v>
      </c>
      <c r="H2434" t="s">
        <v>795</v>
      </c>
      <c r="I2434" t="str">
        <f>VLOOKUP(Tabla1[[#This Row],[Code]],'[1]Articulos Precio'!$A:$E,5,FALSE)</f>
        <v>A0000644</v>
      </c>
    </row>
    <row r="2435" spans="1:9" x14ac:dyDescent="0.25">
      <c r="A2435" t="s">
        <v>796</v>
      </c>
      <c r="B2435" t="str">
        <f>VLOOKUP(Tabla1[[#This Row],[Code]],[1]!Tabla4[#Data],2,FALSE)</f>
        <v>ML Cad-Cut Premium Plus 106 Amarillo Girasol 500mm</v>
      </c>
      <c r="C2435">
        <v>2</v>
      </c>
      <c r="D2435" t="s">
        <v>10</v>
      </c>
      <c r="E2435" t="str">
        <f>VLOOKUP(Tabla1[[#This Row],[Cód. Atributo]],[1]!Tabla5[#Data],6,FALSE)</f>
        <v>Select</v>
      </c>
      <c r="F2435">
        <v>1</v>
      </c>
      <c r="G2435">
        <v>1</v>
      </c>
      <c r="H2435" t="s">
        <v>11</v>
      </c>
      <c r="I2435" t="str">
        <f>VLOOKUP(Tabla1[[#This Row],[Code]],'[1]Articulos Precio'!$A:$E,5,FALSE)</f>
        <v>A0000644</v>
      </c>
    </row>
    <row r="2436" spans="1:9" x14ac:dyDescent="0.25">
      <c r="A2436" t="s">
        <v>796</v>
      </c>
      <c r="B2436" t="str">
        <f>VLOOKUP(Tabla1[[#This Row],[Code]],[1]!Tabla4[#Data],2,FALSE)</f>
        <v>ML Cad-Cut Premium Plus 106 Amarillo Girasol 500mm</v>
      </c>
      <c r="C2436">
        <v>16</v>
      </c>
      <c r="D2436" t="s">
        <v>12</v>
      </c>
      <c r="E2436" t="str">
        <f>VLOOKUP(Tabla1[[#This Row],[Cód. Atributo]],[1]!Tabla5[#Data],6,FALSE)</f>
        <v>Color</v>
      </c>
      <c r="F2436">
        <v>2</v>
      </c>
      <c r="G2436">
        <v>5</v>
      </c>
      <c r="H2436" t="s">
        <v>797</v>
      </c>
      <c r="I2436" t="str">
        <f>VLOOKUP(Tabla1[[#This Row],[Code]],'[1]Articulos Precio'!$A:$E,5,FALSE)</f>
        <v>A0000644</v>
      </c>
    </row>
    <row r="2437" spans="1:9" x14ac:dyDescent="0.25">
      <c r="A2437" t="s">
        <v>798</v>
      </c>
      <c r="B2437" t="str">
        <f>VLOOKUP(Tabla1[[#This Row],[Code]],[1]!Tabla4[#Data],2,FALSE)</f>
        <v>ML Cad-Cut Premium Plus 185 Naranja Ligero 500mm</v>
      </c>
      <c r="C2437">
        <v>2</v>
      </c>
      <c r="D2437" t="s">
        <v>10</v>
      </c>
      <c r="E2437" t="str">
        <f>VLOOKUP(Tabla1[[#This Row],[Cód. Atributo]],[1]!Tabla5[#Data],6,FALSE)</f>
        <v>Select</v>
      </c>
      <c r="F2437">
        <v>1</v>
      </c>
      <c r="G2437">
        <v>1</v>
      </c>
      <c r="H2437" t="s">
        <v>11</v>
      </c>
      <c r="I2437" t="str">
        <f>VLOOKUP(Tabla1[[#This Row],[Code]],'[1]Articulos Precio'!$A:$E,5,FALSE)</f>
        <v>A0000644</v>
      </c>
    </row>
    <row r="2438" spans="1:9" x14ac:dyDescent="0.25">
      <c r="A2438" t="s">
        <v>798</v>
      </c>
      <c r="B2438" t="str">
        <f>VLOOKUP(Tabla1[[#This Row],[Code]],[1]!Tabla4[#Data],2,FALSE)</f>
        <v>ML Cad-Cut Premium Plus 185 Naranja Ligero 500mm</v>
      </c>
      <c r="C2438">
        <v>16</v>
      </c>
      <c r="D2438" t="s">
        <v>12</v>
      </c>
      <c r="E2438" t="str">
        <f>VLOOKUP(Tabla1[[#This Row],[Cód. Atributo]],[1]!Tabla5[#Data],6,FALSE)</f>
        <v>Color</v>
      </c>
      <c r="F2438">
        <v>2</v>
      </c>
      <c r="G2438">
        <v>10</v>
      </c>
      <c r="H2438" t="s">
        <v>799</v>
      </c>
      <c r="I2438" t="str">
        <f>VLOOKUP(Tabla1[[#This Row],[Code]],'[1]Articulos Precio'!$A:$E,5,FALSE)</f>
        <v>A0000644</v>
      </c>
    </row>
    <row r="2439" spans="1:9" x14ac:dyDescent="0.25">
      <c r="A2439" t="s">
        <v>800</v>
      </c>
      <c r="B2439" t="str">
        <f>VLOOKUP(Tabla1[[#This Row],[Code]],[1]!Tabla4[#Data],2,FALSE)</f>
        <v>ML Cad-Cut Premium Plus 180 Naranja 500mm</v>
      </c>
      <c r="C2439">
        <v>2</v>
      </c>
      <c r="D2439" t="s">
        <v>10</v>
      </c>
      <c r="E2439" t="str">
        <f>VLOOKUP(Tabla1[[#This Row],[Cód. Atributo]],[1]!Tabla5[#Data],6,FALSE)</f>
        <v>Select</v>
      </c>
      <c r="F2439">
        <v>1</v>
      </c>
      <c r="G2439">
        <v>1</v>
      </c>
      <c r="H2439" t="s">
        <v>11</v>
      </c>
      <c r="I2439" t="str">
        <f>VLOOKUP(Tabla1[[#This Row],[Code]],'[1]Articulos Precio'!$A:$E,5,FALSE)</f>
        <v>A0000644</v>
      </c>
    </row>
    <row r="2440" spans="1:9" x14ac:dyDescent="0.25">
      <c r="A2440" t="s">
        <v>800</v>
      </c>
      <c r="B2440" t="str">
        <f>VLOOKUP(Tabla1[[#This Row],[Code]],[1]!Tabla4[#Data],2,FALSE)</f>
        <v>ML Cad-Cut Premium Plus 180 Naranja 500mm</v>
      </c>
      <c r="C2440">
        <v>16</v>
      </c>
      <c r="D2440" t="s">
        <v>12</v>
      </c>
      <c r="E2440" t="str">
        <f>VLOOKUP(Tabla1[[#This Row],[Cód. Atributo]],[1]!Tabla5[#Data],6,FALSE)</f>
        <v>Color</v>
      </c>
      <c r="F2440">
        <v>2</v>
      </c>
      <c r="G2440">
        <v>8</v>
      </c>
      <c r="H2440" t="s">
        <v>801</v>
      </c>
      <c r="I2440" t="str">
        <f>VLOOKUP(Tabla1[[#This Row],[Code]],'[1]Articulos Precio'!$A:$E,5,FALSE)</f>
        <v>A0000644</v>
      </c>
    </row>
    <row r="2441" spans="1:9" x14ac:dyDescent="0.25">
      <c r="A2441" t="s">
        <v>802</v>
      </c>
      <c r="B2441" t="str">
        <f>VLOOKUP(Tabla1[[#This Row],[Code]],[1]!Tabla4[#Data],2,FALSE)</f>
        <v>ML Cad-Cut Premium Plus 210 Rojo Señal 500mm</v>
      </c>
      <c r="C2441">
        <v>2</v>
      </c>
      <c r="D2441" t="s">
        <v>10</v>
      </c>
      <c r="E2441" t="str">
        <f>VLOOKUP(Tabla1[[#This Row],[Cód. Atributo]],[1]!Tabla5[#Data],6,FALSE)</f>
        <v>Select</v>
      </c>
      <c r="F2441">
        <v>1</v>
      </c>
      <c r="G2441">
        <v>1</v>
      </c>
      <c r="H2441" t="s">
        <v>11</v>
      </c>
      <c r="I2441" t="str">
        <f>VLOOKUP(Tabla1[[#This Row],[Code]],'[1]Articulos Precio'!$A:$E,5,FALSE)</f>
        <v>A0000644</v>
      </c>
    </row>
    <row r="2442" spans="1:9" x14ac:dyDescent="0.25">
      <c r="A2442" t="s">
        <v>802</v>
      </c>
      <c r="B2442" t="str">
        <f>VLOOKUP(Tabla1[[#This Row],[Code]],[1]!Tabla4[#Data],2,FALSE)</f>
        <v>ML Cad-Cut Premium Plus 210 Rojo Señal 500mm</v>
      </c>
      <c r="C2442">
        <v>16</v>
      </c>
      <c r="D2442" t="s">
        <v>12</v>
      </c>
      <c r="E2442" t="str">
        <f>VLOOKUP(Tabla1[[#This Row],[Cód. Atributo]],[1]!Tabla5[#Data],6,FALSE)</f>
        <v>Color</v>
      </c>
      <c r="F2442">
        <v>2</v>
      </c>
      <c r="G2442">
        <v>12</v>
      </c>
      <c r="H2442" t="s">
        <v>803</v>
      </c>
      <c r="I2442" t="str">
        <f>VLOOKUP(Tabla1[[#This Row],[Code]],'[1]Articulos Precio'!$A:$E,5,FALSE)</f>
        <v>A0000644</v>
      </c>
    </row>
    <row r="2443" spans="1:9" x14ac:dyDescent="0.25">
      <c r="A2443" t="s">
        <v>804</v>
      </c>
      <c r="B2443" t="str">
        <f>VLOOKUP(Tabla1[[#This Row],[Code]],[1]!Tabla4[#Data],2,FALSE)</f>
        <v>ML Cad-Cut Premium Plus 200 Rojo 500mm</v>
      </c>
      <c r="C2443">
        <v>2</v>
      </c>
      <c r="D2443" t="s">
        <v>10</v>
      </c>
      <c r="E2443" t="str">
        <f>VLOOKUP(Tabla1[[#This Row],[Cód. Atributo]],[1]!Tabla5[#Data],6,FALSE)</f>
        <v>Select</v>
      </c>
      <c r="F2443">
        <v>1</v>
      </c>
      <c r="G2443">
        <v>1</v>
      </c>
      <c r="H2443" t="s">
        <v>11</v>
      </c>
      <c r="I2443" t="str">
        <f>VLOOKUP(Tabla1[[#This Row],[Code]],'[1]Articulos Precio'!$A:$E,5,FALSE)</f>
        <v>A0000644</v>
      </c>
    </row>
    <row r="2444" spans="1:9" x14ac:dyDescent="0.25">
      <c r="A2444" t="s">
        <v>804</v>
      </c>
      <c r="B2444" t="str">
        <f>VLOOKUP(Tabla1[[#This Row],[Code]],[1]!Tabla4[#Data],2,FALSE)</f>
        <v>ML Cad-Cut Premium Plus 200 Rojo 500mm</v>
      </c>
      <c r="C2444">
        <v>16</v>
      </c>
      <c r="D2444" t="s">
        <v>12</v>
      </c>
      <c r="E2444" t="str">
        <f>VLOOKUP(Tabla1[[#This Row],[Cód. Atributo]],[1]!Tabla5[#Data],6,FALSE)</f>
        <v>Color</v>
      </c>
      <c r="F2444">
        <v>2</v>
      </c>
      <c r="G2444">
        <v>11</v>
      </c>
      <c r="H2444" t="s">
        <v>805</v>
      </c>
      <c r="I2444" t="str">
        <f>VLOOKUP(Tabla1[[#This Row],[Code]],'[1]Articulos Precio'!$A:$E,5,FALSE)</f>
        <v>A0000644</v>
      </c>
    </row>
    <row r="2445" spans="1:9" x14ac:dyDescent="0.25">
      <c r="A2445" t="s">
        <v>806</v>
      </c>
      <c r="B2445" t="str">
        <f>VLOOKUP(Tabla1[[#This Row],[Code]],[1]!Tabla4[#Data],2,FALSE)</f>
        <v>ML Cad-Cut Premium Plus 270 Rojo Borgoña 500mm</v>
      </c>
      <c r="C2445">
        <v>2</v>
      </c>
      <c r="D2445" t="s">
        <v>10</v>
      </c>
      <c r="E2445" t="str">
        <f>VLOOKUP(Tabla1[[#This Row],[Cód. Atributo]],[1]!Tabla5[#Data],6,FALSE)</f>
        <v>Select</v>
      </c>
      <c r="F2445">
        <v>1</v>
      </c>
      <c r="G2445">
        <v>1</v>
      </c>
      <c r="H2445" t="s">
        <v>11</v>
      </c>
      <c r="I2445" t="str">
        <f>VLOOKUP(Tabla1[[#This Row],[Code]],'[1]Articulos Precio'!$A:$E,5,FALSE)</f>
        <v>A0000644</v>
      </c>
    </row>
    <row r="2446" spans="1:9" x14ac:dyDescent="0.25">
      <c r="A2446" t="s">
        <v>806</v>
      </c>
      <c r="B2446" t="str">
        <f>VLOOKUP(Tabla1[[#This Row],[Code]],[1]!Tabla4[#Data],2,FALSE)</f>
        <v>ML Cad-Cut Premium Plus 270 Rojo Borgoña 500mm</v>
      </c>
      <c r="C2446">
        <v>16</v>
      </c>
      <c r="D2446" t="s">
        <v>12</v>
      </c>
      <c r="E2446" t="str">
        <f>VLOOKUP(Tabla1[[#This Row],[Cód. Atributo]],[1]!Tabla5[#Data],6,FALSE)</f>
        <v>Color</v>
      </c>
      <c r="F2446">
        <v>2</v>
      </c>
      <c r="G2446">
        <v>17</v>
      </c>
      <c r="H2446" t="s">
        <v>807</v>
      </c>
      <c r="I2446" t="str">
        <f>VLOOKUP(Tabla1[[#This Row],[Code]],'[1]Articulos Precio'!$A:$E,5,FALSE)</f>
        <v>A0000644</v>
      </c>
    </row>
    <row r="2447" spans="1:9" x14ac:dyDescent="0.25">
      <c r="A2447" t="s">
        <v>808</v>
      </c>
      <c r="B2447" t="str">
        <f>VLOOKUP(Tabla1[[#This Row],[Code]],[1]!Tabla4[#Data],2,FALSE)</f>
        <v>ML Cad-Cut Premium Plus 255 Pastel Rosa 500mm</v>
      </c>
      <c r="C2447">
        <v>2</v>
      </c>
      <c r="D2447" t="s">
        <v>10</v>
      </c>
      <c r="E2447" t="str">
        <f>VLOOKUP(Tabla1[[#This Row],[Cód. Atributo]],[1]!Tabla5[#Data],6,FALSE)</f>
        <v>Select</v>
      </c>
      <c r="F2447">
        <v>1</v>
      </c>
      <c r="G2447">
        <v>1</v>
      </c>
      <c r="H2447" t="s">
        <v>11</v>
      </c>
      <c r="I2447" t="str">
        <f>VLOOKUP(Tabla1[[#This Row],[Code]],'[1]Articulos Precio'!$A:$E,5,FALSE)</f>
        <v>A0000644</v>
      </c>
    </row>
    <row r="2448" spans="1:9" x14ac:dyDescent="0.25">
      <c r="A2448" t="s">
        <v>808</v>
      </c>
      <c r="B2448" t="str">
        <f>VLOOKUP(Tabla1[[#This Row],[Code]],[1]!Tabla4[#Data],2,FALSE)</f>
        <v>ML Cad-Cut Premium Plus 255 Pastel Rosa 500mm</v>
      </c>
      <c r="C2448">
        <v>16</v>
      </c>
      <c r="D2448" t="s">
        <v>12</v>
      </c>
      <c r="E2448" t="str">
        <f>VLOOKUP(Tabla1[[#This Row],[Cód. Atributo]],[1]!Tabla5[#Data],6,FALSE)</f>
        <v>Color</v>
      </c>
      <c r="F2448">
        <v>2</v>
      </c>
      <c r="G2448">
        <v>16</v>
      </c>
      <c r="H2448" t="s">
        <v>809</v>
      </c>
      <c r="I2448" t="str">
        <f>VLOOKUP(Tabla1[[#This Row],[Code]],'[1]Articulos Precio'!$A:$E,5,FALSE)</f>
        <v>A0000644</v>
      </c>
    </row>
    <row r="2449" spans="1:9" x14ac:dyDescent="0.25">
      <c r="A2449" t="s">
        <v>810</v>
      </c>
      <c r="B2449" t="str">
        <f>VLOOKUP(Tabla1[[#This Row],[Code]],[1]!Tabla4[#Data],2,FALSE)</f>
        <v>ML Cad-Cut Premium Plus 252 Rosa 500mm</v>
      </c>
      <c r="C2449">
        <v>2</v>
      </c>
      <c r="D2449" t="s">
        <v>10</v>
      </c>
      <c r="E2449" t="str">
        <f>VLOOKUP(Tabla1[[#This Row],[Cód. Atributo]],[1]!Tabla5[#Data],6,FALSE)</f>
        <v>Select</v>
      </c>
      <c r="F2449">
        <v>1</v>
      </c>
      <c r="G2449">
        <v>1</v>
      </c>
      <c r="H2449" t="s">
        <v>11</v>
      </c>
      <c r="I2449" t="str">
        <f>VLOOKUP(Tabla1[[#This Row],[Code]],'[1]Articulos Precio'!$A:$E,5,FALSE)</f>
        <v>A0000644</v>
      </c>
    </row>
    <row r="2450" spans="1:9" x14ac:dyDescent="0.25">
      <c r="A2450" t="s">
        <v>810</v>
      </c>
      <c r="B2450" t="str">
        <f>VLOOKUP(Tabla1[[#This Row],[Code]],[1]!Tabla4[#Data],2,FALSE)</f>
        <v>ML Cad-Cut Premium Plus 252 Rosa 500mm</v>
      </c>
      <c r="C2450">
        <v>16</v>
      </c>
      <c r="D2450" t="s">
        <v>12</v>
      </c>
      <c r="E2450" t="str">
        <f>VLOOKUP(Tabla1[[#This Row],[Cód. Atributo]],[1]!Tabla5[#Data],6,FALSE)</f>
        <v>Color</v>
      </c>
      <c r="F2450">
        <v>2</v>
      </c>
      <c r="G2450">
        <v>15</v>
      </c>
      <c r="H2450" t="s">
        <v>811</v>
      </c>
      <c r="I2450" t="str">
        <f>VLOOKUP(Tabla1[[#This Row],[Code]],'[1]Articulos Precio'!$A:$E,5,FALSE)</f>
        <v>A0000644</v>
      </c>
    </row>
    <row r="2451" spans="1:9" x14ac:dyDescent="0.25">
      <c r="A2451" t="s">
        <v>812</v>
      </c>
      <c r="B2451" t="str">
        <f>VLOOKUP(Tabla1[[#This Row],[Code]],[1]!Tabla4[#Data],2,FALSE)</f>
        <v>ML Cad-Cut Premium Plus 250 Fucsia 500mm</v>
      </c>
      <c r="C2451">
        <v>2</v>
      </c>
      <c r="D2451" t="s">
        <v>10</v>
      </c>
      <c r="E2451" t="str">
        <f>VLOOKUP(Tabla1[[#This Row],[Cód. Atributo]],[1]!Tabla5[#Data],6,FALSE)</f>
        <v>Select</v>
      </c>
      <c r="F2451">
        <v>1</v>
      </c>
      <c r="G2451">
        <v>1</v>
      </c>
      <c r="H2451" t="s">
        <v>11</v>
      </c>
      <c r="I2451" t="str">
        <f>VLOOKUP(Tabla1[[#This Row],[Code]],'[1]Articulos Precio'!$A:$E,5,FALSE)</f>
        <v>A0000644</v>
      </c>
    </row>
    <row r="2452" spans="1:9" x14ac:dyDescent="0.25">
      <c r="A2452" t="s">
        <v>812</v>
      </c>
      <c r="B2452" t="str">
        <f>VLOOKUP(Tabla1[[#This Row],[Code]],[1]!Tabla4[#Data],2,FALSE)</f>
        <v>ML Cad-Cut Premium Plus 250 Fucsia 500mm</v>
      </c>
      <c r="C2452">
        <v>16</v>
      </c>
      <c r="D2452" t="s">
        <v>12</v>
      </c>
      <c r="E2452" t="str">
        <f>VLOOKUP(Tabla1[[#This Row],[Cód. Atributo]],[1]!Tabla5[#Data],6,FALSE)</f>
        <v>Color</v>
      </c>
      <c r="F2452">
        <v>2</v>
      </c>
      <c r="G2452">
        <v>14</v>
      </c>
      <c r="H2452" t="s">
        <v>813</v>
      </c>
      <c r="I2452" t="str">
        <f>VLOOKUP(Tabla1[[#This Row],[Code]],'[1]Articulos Precio'!$A:$E,5,FALSE)</f>
        <v>A0000644</v>
      </c>
    </row>
    <row r="2453" spans="1:9" x14ac:dyDescent="0.25">
      <c r="A2453" t="s">
        <v>814</v>
      </c>
      <c r="B2453" t="str">
        <f>VLOOKUP(Tabla1[[#This Row],[Code]],[1]!Tabla4[#Data],2,FALSE)</f>
        <v>ML Cad-Cut Premium Plus 285 Pastel Púrpura 500mm</v>
      </c>
      <c r="C2453">
        <v>2</v>
      </c>
      <c r="D2453" t="s">
        <v>10</v>
      </c>
      <c r="E2453" t="str">
        <f>VLOOKUP(Tabla1[[#This Row],[Cód. Atributo]],[1]!Tabla5[#Data],6,FALSE)</f>
        <v>Select</v>
      </c>
      <c r="F2453">
        <v>1</v>
      </c>
      <c r="G2453">
        <v>1</v>
      </c>
      <c r="H2453" t="s">
        <v>11</v>
      </c>
      <c r="I2453" t="str">
        <f>VLOOKUP(Tabla1[[#This Row],[Code]],'[1]Articulos Precio'!$A:$E,5,FALSE)</f>
        <v>A0000644</v>
      </c>
    </row>
    <row r="2454" spans="1:9" x14ac:dyDescent="0.25">
      <c r="A2454" t="s">
        <v>814</v>
      </c>
      <c r="B2454" t="str">
        <f>VLOOKUP(Tabla1[[#This Row],[Code]],[1]!Tabla4[#Data],2,FALSE)</f>
        <v>ML Cad-Cut Premium Plus 285 Pastel Púrpura 500mm</v>
      </c>
      <c r="C2454">
        <v>16</v>
      </c>
      <c r="D2454" t="s">
        <v>12</v>
      </c>
      <c r="E2454" t="str">
        <f>VLOOKUP(Tabla1[[#This Row],[Cód. Atributo]],[1]!Tabla5[#Data],6,FALSE)</f>
        <v>Color</v>
      </c>
      <c r="F2454">
        <v>2</v>
      </c>
      <c r="G2454">
        <v>19</v>
      </c>
      <c r="H2454" t="s">
        <v>815</v>
      </c>
      <c r="I2454" t="str">
        <f>VLOOKUP(Tabla1[[#This Row],[Code]],'[1]Articulos Precio'!$A:$E,5,FALSE)</f>
        <v>A0000644</v>
      </c>
    </row>
    <row r="2455" spans="1:9" x14ac:dyDescent="0.25">
      <c r="A2455" t="s">
        <v>816</v>
      </c>
      <c r="B2455" t="str">
        <f>VLOOKUP(Tabla1[[#This Row],[Code]],[1]!Tabla4[#Data],2,FALSE)</f>
        <v>ML Cad-Cut Premium Plus 280 Púrpura 500mm</v>
      </c>
      <c r="C2455">
        <v>2</v>
      </c>
      <c r="D2455" t="s">
        <v>10</v>
      </c>
      <c r="E2455" t="str">
        <f>VLOOKUP(Tabla1[[#This Row],[Cód. Atributo]],[1]!Tabla5[#Data],6,FALSE)</f>
        <v>Select</v>
      </c>
      <c r="F2455">
        <v>1</v>
      </c>
      <c r="G2455">
        <v>1</v>
      </c>
      <c r="H2455" t="s">
        <v>11</v>
      </c>
      <c r="I2455" t="str">
        <f>VLOOKUP(Tabla1[[#This Row],[Code]],'[1]Articulos Precio'!$A:$E,5,FALSE)</f>
        <v>A0000644</v>
      </c>
    </row>
    <row r="2456" spans="1:9" x14ac:dyDescent="0.25">
      <c r="A2456" t="s">
        <v>816</v>
      </c>
      <c r="B2456" t="str">
        <f>VLOOKUP(Tabla1[[#This Row],[Code]],[1]!Tabla4[#Data],2,FALSE)</f>
        <v>ML Cad-Cut Premium Plus 280 Púrpura 500mm</v>
      </c>
      <c r="C2456">
        <v>16</v>
      </c>
      <c r="D2456" t="s">
        <v>12</v>
      </c>
      <c r="E2456" t="str">
        <f>VLOOKUP(Tabla1[[#This Row],[Cód. Atributo]],[1]!Tabla5[#Data],6,FALSE)</f>
        <v>Color</v>
      </c>
      <c r="F2456">
        <v>2</v>
      </c>
      <c r="G2456">
        <v>18</v>
      </c>
      <c r="H2456" t="s">
        <v>817</v>
      </c>
      <c r="I2456" t="str">
        <f>VLOOKUP(Tabla1[[#This Row],[Code]],'[1]Articulos Precio'!$A:$E,5,FALSE)</f>
        <v>A0000644</v>
      </c>
    </row>
    <row r="2457" spans="1:9" x14ac:dyDescent="0.25">
      <c r="A2457" t="s">
        <v>818</v>
      </c>
      <c r="B2457" t="str">
        <f>VLOOKUP(Tabla1[[#This Row],[Code]],[1]!Tabla4[#Data],2,FALSE)</f>
        <v>ML Cad-Cut Premium Plus 321 Azul Pastel500mm</v>
      </c>
      <c r="C2457">
        <v>2</v>
      </c>
      <c r="D2457" t="s">
        <v>10</v>
      </c>
      <c r="E2457" t="str">
        <f>VLOOKUP(Tabla1[[#This Row],[Cód. Atributo]],[1]!Tabla5[#Data],6,FALSE)</f>
        <v>Select</v>
      </c>
      <c r="F2457">
        <v>1</v>
      </c>
      <c r="G2457">
        <v>1</v>
      </c>
      <c r="H2457" t="s">
        <v>11</v>
      </c>
      <c r="I2457" t="str">
        <f>VLOOKUP(Tabla1[[#This Row],[Code]],'[1]Articulos Precio'!$A:$E,5,FALSE)</f>
        <v>A0000644</v>
      </c>
    </row>
    <row r="2458" spans="1:9" x14ac:dyDescent="0.25">
      <c r="A2458" t="s">
        <v>818</v>
      </c>
      <c r="B2458" t="str">
        <f>VLOOKUP(Tabla1[[#This Row],[Code]],[1]!Tabla4[#Data],2,FALSE)</f>
        <v>ML Cad-Cut Premium Plus 321 Azul Pastel500mm</v>
      </c>
      <c r="C2458">
        <v>16</v>
      </c>
      <c r="D2458" t="s">
        <v>12</v>
      </c>
      <c r="E2458" t="str">
        <f>VLOOKUP(Tabla1[[#This Row],[Cód. Atributo]],[1]!Tabla5[#Data],6,FALSE)</f>
        <v>Color</v>
      </c>
      <c r="F2458">
        <v>2</v>
      </c>
      <c r="G2458">
        <v>23</v>
      </c>
      <c r="H2458" t="s">
        <v>819</v>
      </c>
      <c r="I2458" t="str">
        <f>VLOOKUP(Tabla1[[#This Row],[Code]],'[1]Articulos Precio'!$A:$E,5,FALSE)</f>
        <v>A0000644</v>
      </c>
    </row>
    <row r="2459" spans="1:9" x14ac:dyDescent="0.25">
      <c r="A2459" t="s">
        <v>820</v>
      </c>
      <c r="B2459" t="str">
        <f>VLOOKUP(Tabla1[[#This Row],[Code]],[1]!Tabla4[#Data],2,FALSE)</f>
        <v>ML Cad-Cut Premium Plus 320 Azul Ligero 500mm</v>
      </c>
      <c r="C2459">
        <v>2</v>
      </c>
      <c r="D2459" t="s">
        <v>10</v>
      </c>
      <c r="E2459" t="str">
        <f>VLOOKUP(Tabla1[[#This Row],[Cód. Atributo]],[1]!Tabla5[#Data],6,FALSE)</f>
        <v>Select</v>
      </c>
      <c r="F2459">
        <v>1</v>
      </c>
      <c r="G2459">
        <v>1</v>
      </c>
      <c r="H2459" t="s">
        <v>11</v>
      </c>
      <c r="I2459" t="str">
        <f>VLOOKUP(Tabla1[[#This Row],[Code]],'[1]Articulos Precio'!$A:$E,5,FALSE)</f>
        <v>A0000644</v>
      </c>
    </row>
    <row r="2460" spans="1:9" x14ac:dyDescent="0.25">
      <c r="A2460" t="s">
        <v>820</v>
      </c>
      <c r="B2460" t="str">
        <f>VLOOKUP(Tabla1[[#This Row],[Code]],[1]!Tabla4[#Data],2,FALSE)</f>
        <v>ML Cad-Cut Premium Plus 320 Azul Ligero 500mm</v>
      </c>
      <c r="C2460">
        <v>16</v>
      </c>
      <c r="D2460" t="s">
        <v>12</v>
      </c>
      <c r="E2460" t="str">
        <f>VLOOKUP(Tabla1[[#This Row],[Cód. Atributo]],[1]!Tabla5[#Data],6,FALSE)</f>
        <v>Color</v>
      </c>
      <c r="F2460">
        <v>2</v>
      </c>
      <c r="G2460">
        <v>22</v>
      </c>
      <c r="H2460" t="s">
        <v>821</v>
      </c>
      <c r="I2460" t="str">
        <f>VLOOKUP(Tabla1[[#This Row],[Code]],'[1]Articulos Precio'!$A:$E,5,FALSE)</f>
        <v>A0000644</v>
      </c>
    </row>
    <row r="2461" spans="1:9" x14ac:dyDescent="0.25">
      <c r="A2461" t="s">
        <v>822</v>
      </c>
      <c r="B2461" t="str">
        <f>VLOOKUP(Tabla1[[#This Row],[Code]],[1]!Tabla4[#Data],2,FALSE)</f>
        <v>ML Cad-Cut Premium Plus 300 Azul Real 500mm</v>
      </c>
      <c r="C2461">
        <v>2</v>
      </c>
      <c r="D2461" t="s">
        <v>10</v>
      </c>
      <c r="E2461" t="str">
        <f>VLOOKUP(Tabla1[[#This Row],[Cód. Atributo]],[1]!Tabla5[#Data],6,FALSE)</f>
        <v>Select</v>
      </c>
      <c r="F2461">
        <v>1</v>
      </c>
      <c r="G2461">
        <v>1</v>
      </c>
      <c r="H2461" t="s">
        <v>11</v>
      </c>
      <c r="I2461" t="str">
        <f>VLOOKUP(Tabla1[[#This Row],[Code]],'[1]Articulos Precio'!$A:$E,5,FALSE)</f>
        <v>A0000644</v>
      </c>
    </row>
    <row r="2462" spans="1:9" x14ac:dyDescent="0.25">
      <c r="A2462" t="s">
        <v>822</v>
      </c>
      <c r="B2462" t="str">
        <f>VLOOKUP(Tabla1[[#This Row],[Code]],[1]!Tabla4[#Data],2,FALSE)</f>
        <v>ML Cad-Cut Premium Plus 300 Azul Real 500mm</v>
      </c>
      <c r="C2462">
        <v>16</v>
      </c>
      <c r="D2462" t="s">
        <v>12</v>
      </c>
      <c r="E2462" t="str">
        <f>VLOOKUP(Tabla1[[#This Row],[Cód. Atributo]],[1]!Tabla5[#Data],6,FALSE)</f>
        <v>Color</v>
      </c>
      <c r="F2462">
        <v>2</v>
      </c>
      <c r="G2462">
        <v>20</v>
      </c>
      <c r="H2462" t="s">
        <v>823</v>
      </c>
      <c r="I2462" t="str">
        <f>VLOOKUP(Tabla1[[#This Row],[Code]],'[1]Articulos Precio'!$A:$E,5,FALSE)</f>
        <v>A0000644</v>
      </c>
    </row>
    <row r="2463" spans="1:9" x14ac:dyDescent="0.25">
      <c r="A2463" t="s">
        <v>824</v>
      </c>
      <c r="B2463" t="str">
        <f>VLOOKUP(Tabla1[[#This Row],[Code]],[1]!Tabla4[#Data],2,FALSE)</f>
        <v>ML Cad-Cut Premium Plus 350 Azul Naval 500mm</v>
      </c>
      <c r="C2463">
        <v>2</v>
      </c>
      <c r="D2463" t="s">
        <v>10</v>
      </c>
      <c r="E2463" t="str">
        <f>VLOOKUP(Tabla1[[#This Row],[Cód. Atributo]],[1]!Tabla5[#Data],6,FALSE)</f>
        <v>Select</v>
      </c>
      <c r="F2463">
        <v>1</v>
      </c>
      <c r="G2463">
        <v>1</v>
      </c>
      <c r="H2463" t="s">
        <v>11</v>
      </c>
      <c r="I2463" t="str">
        <f>VLOOKUP(Tabla1[[#This Row],[Code]],'[1]Articulos Precio'!$A:$E,5,FALSE)</f>
        <v>A0000644</v>
      </c>
    </row>
    <row r="2464" spans="1:9" x14ac:dyDescent="0.25">
      <c r="A2464" t="s">
        <v>824</v>
      </c>
      <c r="B2464" t="str">
        <f>VLOOKUP(Tabla1[[#This Row],[Code]],[1]!Tabla4[#Data],2,FALSE)</f>
        <v>ML Cad-Cut Premium Plus 350 Azul Naval 500mm</v>
      </c>
      <c r="C2464">
        <v>16</v>
      </c>
      <c r="D2464" t="s">
        <v>12</v>
      </c>
      <c r="E2464" t="str">
        <f>VLOOKUP(Tabla1[[#This Row],[Cód. Atributo]],[1]!Tabla5[#Data],6,FALSE)</f>
        <v>Color</v>
      </c>
      <c r="F2464">
        <v>2</v>
      </c>
      <c r="G2464">
        <v>24</v>
      </c>
      <c r="H2464" t="s">
        <v>825</v>
      </c>
      <c r="I2464" t="str">
        <f>VLOOKUP(Tabla1[[#This Row],[Code]],'[1]Articulos Precio'!$A:$E,5,FALSE)</f>
        <v>A0000644</v>
      </c>
    </row>
    <row r="2465" spans="1:9" x14ac:dyDescent="0.25">
      <c r="A2465" t="s">
        <v>826</v>
      </c>
      <c r="B2465" t="str">
        <f>VLOOKUP(Tabla1[[#This Row],[Code]],[1]!Tabla4[#Data],2,FALSE)</f>
        <v>ML Cad-Cut Premium Plus 380 Verde Turquesa 500mm</v>
      </c>
      <c r="C2465">
        <v>2</v>
      </c>
      <c r="D2465" t="s">
        <v>10</v>
      </c>
      <c r="E2465" t="str">
        <f>VLOOKUP(Tabla1[[#This Row],[Cód. Atributo]],[1]!Tabla5[#Data],6,FALSE)</f>
        <v>Select</v>
      </c>
      <c r="F2465">
        <v>1</v>
      </c>
      <c r="G2465">
        <v>1</v>
      </c>
      <c r="H2465" t="s">
        <v>11</v>
      </c>
      <c r="I2465" t="str">
        <f>VLOOKUP(Tabla1[[#This Row],[Code]],'[1]Articulos Precio'!$A:$E,5,FALSE)</f>
        <v>A0000644</v>
      </c>
    </row>
    <row r="2466" spans="1:9" x14ac:dyDescent="0.25">
      <c r="A2466" t="s">
        <v>826</v>
      </c>
      <c r="B2466" t="str">
        <f>VLOOKUP(Tabla1[[#This Row],[Code]],[1]!Tabla4[#Data],2,FALSE)</f>
        <v>ML Cad-Cut Premium Plus 380 Verde Turquesa 500mm</v>
      </c>
      <c r="C2466">
        <v>16</v>
      </c>
      <c r="D2466" t="s">
        <v>12</v>
      </c>
      <c r="E2466" t="str">
        <f>VLOOKUP(Tabla1[[#This Row],[Cód. Atributo]],[1]!Tabla5[#Data],6,FALSE)</f>
        <v>Color</v>
      </c>
      <c r="F2466">
        <v>2</v>
      </c>
      <c r="G2466">
        <v>25</v>
      </c>
      <c r="H2466" t="s">
        <v>827</v>
      </c>
      <c r="I2466" t="str">
        <f>VLOOKUP(Tabla1[[#This Row],[Code]],'[1]Articulos Precio'!$A:$E,5,FALSE)</f>
        <v>A0000644</v>
      </c>
    </row>
    <row r="2467" spans="1:9" x14ac:dyDescent="0.25">
      <c r="A2467" t="s">
        <v>828</v>
      </c>
      <c r="B2467" t="str">
        <f>VLOOKUP(Tabla1[[#This Row],[Code]],[1]!Tabla4[#Data],2,FALSE)</f>
        <v>ML Cad-Cut Premium Plus 420 Verde Pastel 500mm</v>
      </c>
      <c r="C2467">
        <v>2</v>
      </c>
      <c r="D2467" t="s">
        <v>10</v>
      </c>
      <c r="E2467" t="str">
        <f>VLOOKUP(Tabla1[[#This Row],[Cód. Atributo]],[1]!Tabla5[#Data],6,FALSE)</f>
        <v>Select</v>
      </c>
      <c r="F2467">
        <v>1</v>
      </c>
      <c r="G2467">
        <v>1</v>
      </c>
      <c r="H2467" t="s">
        <v>11</v>
      </c>
      <c r="I2467" t="str">
        <f>VLOOKUP(Tabla1[[#This Row],[Code]],'[1]Articulos Precio'!$A:$E,5,FALSE)</f>
        <v>A0000644</v>
      </c>
    </row>
    <row r="2468" spans="1:9" x14ac:dyDescent="0.25">
      <c r="A2468" t="s">
        <v>828</v>
      </c>
      <c r="B2468" t="str">
        <f>VLOOKUP(Tabla1[[#This Row],[Code]],[1]!Tabla4[#Data],2,FALSE)</f>
        <v>ML Cad-Cut Premium Plus 420 Verde Pastel 500mm</v>
      </c>
      <c r="C2468">
        <v>16</v>
      </c>
      <c r="D2468" t="s">
        <v>12</v>
      </c>
      <c r="E2468" t="str">
        <f>VLOOKUP(Tabla1[[#This Row],[Cód. Atributo]],[1]!Tabla5[#Data],6,FALSE)</f>
        <v>Color</v>
      </c>
      <c r="F2468">
        <v>2</v>
      </c>
      <c r="G2468">
        <v>29</v>
      </c>
      <c r="H2468" t="s">
        <v>829</v>
      </c>
      <c r="I2468" t="str">
        <f>VLOOKUP(Tabla1[[#This Row],[Code]],'[1]Articulos Precio'!$A:$E,5,FALSE)</f>
        <v>A0000644</v>
      </c>
    </row>
    <row r="2469" spans="1:9" x14ac:dyDescent="0.25">
      <c r="A2469" t="s">
        <v>830</v>
      </c>
      <c r="B2469" t="str">
        <f>VLOOKUP(Tabla1[[#This Row],[Code]],[1]!Tabla4[#Data],2,FALSE)</f>
        <v>ML Cad-Cut Premium Plus 421 Verde Manzana 500mm</v>
      </c>
      <c r="C2469">
        <v>2</v>
      </c>
      <c r="D2469" t="s">
        <v>10</v>
      </c>
      <c r="E2469" t="str">
        <f>VLOOKUP(Tabla1[[#This Row],[Cód. Atributo]],[1]!Tabla5[#Data],6,FALSE)</f>
        <v>Select</v>
      </c>
      <c r="F2469">
        <v>1</v>
      </c>
      <c r="G2469">
        <v>1</v>
      </c>
      <c r="H2469" t="s">
        <v>11</v>
      </c>
      <c r="I2469" t="str">
        <f>VLOOKUP(Tabla1[[#This Row],[Code]],'[1]Articulos Precio'!$A:$E,5,FALSE)</f>
        <v>A0000644</v>
      </c>
    </row>
    <row r="2470" spans="1:9" x14ac:dyDescent="0.25">
      <c r="A2470" t="s">
        <v>830</v>
      </c>
      <c r="B2470" t="str">
        <f>VLOOKUP(Tabla1[[#This Row],[Code]],[1]!Tabla4[#Data],2,FALSE)</f>
        <v>ML Cad-Cut Premium Plus 421 Verde Manzana 500mm</v>
      </c>
      <c r="C2470">
        <v>16</v>
      </c>
      <c r="D2470" t="s">
        <v>12</v>
      </c>
      <c r="E2470" t="str">
        <f>VLOOKUP(Tabla1[[#This Row],[Cód. Atributo]],[1]!Tabla5[#Data],6,FALSE)</f>
        <v>Color</v>
      </c>
      <c r="F2470">
        <v>2</v>
      </c>
      <c r="G2470">
        <v>30</v>
      </c>
      <c r="H2470" t="s">
        <v>831</v>
      </c>
      <c r="I2470" t="str">
        <f>VLOOKUP(Tabla1[[#This Row],[Code]],'[1]Articulos Precio'!$A:$E,5,FALSE)</f>
        <v>A0000644</v>
      </c>
    </row>
    <row r="2471" spans="1:9" x14ac:dyDescent="0.25">
      <c r="A2471" t="s">
        <v>832</v>
      </c>
      <c r="B2471" t="str">
        <f>VLOOKUP(Tabla1[[#This Row],[Code]],[1]!Tabla4[#Data],2,FALSE)</f>
        <v>ML Cad-Cut Premium Plus 422 Verde Ligero 500mm</v>
      </c>
      <c r="C2471">
        <v>2</v>
      </c>
      <c r="D2471" t="s">
        <v>10</v>
      </c>
      <c r="E2471" t="str">
        <f>VLOOKUP(Tabla1[[#This Row],[Cód. Atributo]],[1]!Tabla5[#Data],6,FALSE)</f>
        <v>Select</v>
      </c>
      <c r="F2471">
        <v>1</v>
      </c>
      <c r="G2471">
        <v>1</v>
      </c>
      <c r="H2471" t="s">
        <v>11</v>
      </c>
      <c r="I2471" t="str">
        <f>VLOOKUP(Tabla1[[#This Row],[Code]],'[1]Articulos Precio'!$A:$E,5,FALSE)</f>
        <v>A0000644</v>
      </c>
    </row>
    <row r="2472" spans="1:9" x14ac:dyDescent="0.25">
      <c r="A2472" t="s">
        <v>832</v>
      </c>
      <c r="B2472" t="str">
        <f>VLOOKUP(Tabla1[[#This Row],[Code]],[1]!Tabla4[#Data],2,FALSE)</f>
        <v>ML Cad-Cut Premium Plus 422 Verde Ligero 500mm</v>
      </c>
      <c r="C2472">
        <v>16</v>
      </c>
      <c r="D2472" t="s">
        <v>12</v>
      </c>
      <c r="E2472" t="str">
        <f>VLOOKUP(Tabla1[[#This Row],[Cód. Atributo]],[1]!Tabla5[#Data],6,FALSE)</f>
        <v>Color</v>
      </c>
      <c r="F2472">
        <v>2</v>
      </c>
      <c r="G2472">
        <v>31</v>
      </c>
      <c r="H2472" t="s">
        <v>833</v>
      </c>
      <c r="I2472" t="str">
        <f>VLOOKUP(Tabla1[[#This Row],[Code]],'[1]Articulos Precio'!$A:$E,5,FALSE)</f>
        <v>A0000644</v>
      </c>
    </row>
    <row r="2473" spans="1:9" x14ac:dyDescent="0.25">
      <c r="A2473" t="s">
        <v>834</v>
      </c>
      <c r="B2473" t="str">
        <f>VLOOKUP(Tabla1[[#This Row],[Code]],[1]!Tabla4[#Data],2,FALSE)</f>
        <v>ML Cad-Cut Premium Plus 400 Verde 500mm</v>
      </c>
      <c r="C2473">
        <v>2</v>
      </c>
      <c r="D2473" t="s">
        <v>10</v>
      </c>
      <c r="E2473" t="str">
        <f>VLOOKUP(Tabla1[[#This Row],[Cód. Atributo]],[1]!Tabla5[#Data],6,FALSE)</f>
        <v>Select</v>
      </c>
      <c r="F2473">
        <v>1</v>
      </c>
      <c r="G2473">
        <v>1</v>
      </c>
      <c r="H2473" t="s">
        <v>11</v>
      </c>
      <c r="I2473" t="str">
        <f>VLOOKUP(Tabla1[[#This Row],[Code]],'[1]Articulos Precio'!$A:$E,5,FALSE)</f>
        <v>A0000644</v>
      </c>
    </row>
    <row r="2474" spans="1:9" x14ac:dyDescent="0.25">
      <c r="A2474" t="s">
        <v>834</v>
      </c>
      <c r="B2474" t="str">
        <f>VLOOKUP(Tabla1[[#This Row],[Code]],[1]!Tabla4[#Data],2,FALSE)</f>
        <v>ML Cad-Cut Premium Plus 400 Verde 500mm</v>
      </c>
      <c r="C2474">
        <v>16</v>
      </c>
      <c r="D2474" t="s">
        <v>12</v>
      </c>
      <c r="E2474" t="str">
        <f>VLOOKUP(Tabla1[[#This Row],[Cód. Atributo]],[1]!Tabla5[#Data],6,FALSE)</f>
        <v>Color</v>
      </c>
      <c r="F2474">
        <v>2</v>
      </c>
      <c r="G2474">
        <v>26</v>
      </c>
      <c r="H2474" t="s">
        <v>835</v>
      </c>
      <c r="I2474" t="str">
        <f>VLOOKUP(Tabla1[[#This Row],[Code]],'[1]Articulos Precio'!$A:$E,5,FALSE)</f>
        <v>A0000644</v>
      </c>
    </row>
    <row r="2475" spans="1:9" x14ac:dyDescent="0.25">
      <c r="A2475" t="s">
        <v>836</v>
      </c>
      <c r="B2475" t="str">
        <f>VLOOKUP(Tabla1[[#This Row],[Code]],[1]!Tabla4[#Data],2,FALSE)</f>
        <v>ML Cad-Cut Premium Plus 410 Verde Oscuro 500mm</v>
      </c>
      <c r="C2475">
        <v>2</v>
      </c>
      <c r="D2475" t="s">
        <v>10</v>
      </c>
      <c r="E2475" t="str">
        <f>VLOOKUP(Tabla1[[#This Row],[Cód. Atributo]],[1]!Tabla5[#Data],6,FALSE)</f>
        <v>Select</v>
      </c>
      <c r="F2475">
        <v>1</v>
      </c>
      <c r="G2475">
        <v>1</v>
      </c>
      <c r="H2475" t="s">
        <v>11</v>
      </c>
      <c r="I2475" t="str">
        <f>VLOOKUP(Tabla1[[#This Row],[Code]],'[1]Articulos Precio'!$A:$E,5,FALSE)</f>
        <v>A0000644</v>
      </c>
    </row>
    <row r="2476" spans="1:9" x14ac:dyDescent="0.25">
      <c r="A2476" t="s">
        <v>836</v>
      </c>
      <c r="B2476" t="str">
        <f>VLOOKUP(Tabla1[[#This Row],[Code]],[1]!Tabla4[#Data],2,FALSE)</f>
        <v>ML Cad-Cut Premium Plus 410 Verde Oscuro 500mm</v>
      </c>
      <c r="C2476">
        <v>16</v>
      </c>
      <c r="D2476" t="s">
        <v>12</v>
      </c>
      <c r="E2476" t="str">
        <f>VLOOKUP(Tabla1[[#This Row],[Cód. Atributo]],[1]!Tabla5[#Data],6,FALSE)</f>
        <v>Color</v>
      </c>
      <c r="F2476">
        <v>2</v>
      </c>
      <c r="G2476">
        <v>28</v>
      </c>
      <c r="H2476" t="s">
        <v>837</v>
      </c>
      <c r="I2476" t="str">
        <f>VLOOKUP(Tabla1[[#This Row],[Code]],'[1]Articulos Precio'!$A:$E,5,FALSE)</f>
        <v>A0000644</v>
      </c>
    </row>
    <row r="2477" spans="1:9" x14ac:dyDescent="0.25">
      <c r="A2477" t="s">
        <v>838</v>
      </c>
      <c r="B2477" t="str">
        <f>VLOOKUP(Tabla1[[#This Row],[Code]],[1]!Tabla4[#Data],2,FALSE)</f>
        <v>ML Cad-Cut Premium Plus 430 Verde Oliva 500mm</v>
      </c>
      <c r="C2477">
        <v>2</v>
      </c>
      <c r="D2477" t="s">
        <v>10</v>
      </c>
      <c r="E2477" t="str">
        <f>VLOOKUP(Tabla1[[#This Row],[Cód. Atributo]],[1]!Tabla5[#Data],6,FALSE)</f>
        <v>Select</v>
      </c>
      <c r="F2477">
        <v>1</v>
      </c>
      <c r="G2477">
        <v>1</v>
      </c>
      <c r="H2477" t="s">
        <v>11</v>
      </c>
      <c r="I2477" t="str">
        <f>VLOOKUP(Tabla1[[#This Row],[Code]],'[1]Articulos Precio'!$A:$E,5,FALSE)</f>
        <v>A0000644</v>
      </c>
    </row>
    <row r="2478" spans="1:9" x14ac:dyDescent="0.25">
      <c r="A2478" t="s">
        <v>838</v>
      </c>
      <c r="B2478" t="str">
        <f>VLOOKUP(Tabla1[[#This Row],[Code]],[1]!Tabla4[#Data],2,FALSE)</f>
        <v>ML Cad-Cut Premium Plus 430 Verde Oliva 500mm</v>
      </c>
      <c r="C2478">
        <v>16</v>
      </c>
      <c r="D2478" t="s">
        <v>12</v>
      </c>
      <c r="E2478" t="str">
        <f>VLOOKUP(Tabla1[[#This Row],[Cód. Atributo]],[1]!Tabla5[#Data],6,FALSE)</f>
        <v>Color</v>
      </c>
      <c r="F2478">
        <v>2</v>
      </c>
      <c r="G2478">
        <v>32</v>
      </c>
      <c r="H2478" t="s">
        <v>839</v>
      </c>
      <c r="I2478" t="str">
        <f>VLOOKUP(Tabla1[[#This Row],[Code]],'[1]Articulos Precio'!$A:$E,5,FALSE)</f>
        <v>A0000644</v>
      </c>
    </row>
    <row r="2479" spans="1:9" x14ac:dyDescent="0.25">
      <c r="A2479" t="s">
        <v>840</v>
      </c>
      <c r="B2479" t="str">
        <f>VLOOKUP(Tabla1[[#This Row],[Code]],[1]!Tabla4[#Data],2,FALSE)</f>
        <v>ML Cad-Cut Premium Plus 550 Marrón 500mm</v>
      </c>
      <c r="C2479">
        <v>2</v>
      </c>
      <c r="D2479" t="s">
        <v>10</v>
      </c>
      <c r="E2479" t="str">
        <f>VLOOKUP(Tabla1[[#This Row],[Cód. Atributo]],[1]!Tabla5[#Data],6,FALSE)</f>
        <v>Select</v>
      </c>
      <c r="F2479">
        <v>1</v>
      </c>
      <c r="G2479">
        <v>1</v>
      </c>
      <c r="H2479" t="s">
        <v>11</v>
      </c>
      <c r="I2479" t="str">
        <f>VLOOKUP(Tabla1[[#This Row],[Code]],'[1]Articulos Precio'!$A:$E,5,FALSE)</f>
        <v>A0000644</v>
      </c>
    </row>
    <row r="2480" spans="1:9" x14ac:dyDescent="0.25">
      <c r="A2480" t="s">
        <v>840</v>
      </c>
      <c r="B2480" t="str">
        <f>VLOOKUP(Tabla1[[#This Row],[Code]],[1]!Tabla4[#Data],2,FALSE)</f>
        <v>ML Cad-Cut Premium Plus 550 Marrón 500mm</v>
      </c>
      <c r="C2480">
        <v>16</v>
      </c>
      <c r="D2480" t="s">
        <v>12</v>
      </c>
      <c r="E2480" t="str">
        <f>VLOOKUP(Tabla1[[#This Row],[Cód. Atributo]],[1]!Tabla5[#Data],6,FALSE)</f>
        <v>Color</v>
      </c>
      <c r="F2480">
        <v>2</v>
      </c>
      <c r="G2480">
        <v>33</v>
      </c>
      <c r="H2480" t="s">
        <v>841</v>
      </c>
      <c r="I2480" t="str">
        <f>VLOOKUP(Tabla1[[#This Row],[Code]],'[1]Articulos Precio'!$A:$E,5,FALSE)</f>
        <v>A0000644</v>
      </c>
    </row>
    <row r="2481" spans="1:9" x14ac:dyDescent="0.25">
      <c r="A2481" t="s">
        <v>842</v>
      </c>
      <c r="B2481" t="str">
        <f>VLOOKUP(Tabla1[[#This Row],[Code]],[1]!Tabla4[#Data],2,FALSE)</f>
        <v>ML Cad-Cut Premium Plus 730 Gris 500mm</v>
      </c>
      <c r="C2481">
        <v>2</v>
      </c>
      <c r="D2481" t="s">
        <v>10</v>
      </c>
      <c r="E2481" t="str">
        <f>VLOOKUP(Tabla1[[#This Row],[Cód. Atributo]],[1]!Tabla5[#Data],6,FALSE)</f>
        <v>Select</v>
      </c>
      <c r="F2481">
        <v>1</v>
      </c>
      <c r="G2481">
        <v>1</v>
      </c>
      <c r="H2481" t="s">
        <v>11</v>
      </c>
      <c r="I2481" t="str">
        <f>VLOOKUP(Tabla1[[#This Row],[Code]],'[1]Articulos Precio'!$A:$E,5,FALSE)</f>
        <v>A0000644</v>
      </c>
    </row>
    <row r="2482" spans="1:9" x14ac:dyDescent="0.25">
      <c r="A2482" t="s">
        <v>842</v>
      </c>
      <c r="B2482" t="str">
        <f>VLOOKUP(Tabla1[[#This Row],[Code]],[1]!Tabla4[#Data],2,FALSE)</f>
        <v>ML Cad-Cut Premium Plus 730 Gris 500mm</v>
      </c>
      <c r="C2482">
        <v>16</v>
      </c>
      <c r="D2482" t="s">
        <v>12</v>
      </c>
      <c r="E2482" t="str">
        <f>VLOOKUP(Tabla1[[#This Row],[Cód. Atributo]],[1]!Tabla5[#Data],6,FALSE)</f>
        <v>Color</v>
      </c>
      <c r="F2482">
        <v>2</v>
      </c>
      <c r="G2482">
        <v>35</v>
      </c>
      <c r="H2482" t="s">
        <v>843</v>
      </c>
      <c r="I2482" t="str">
        <f>VLOOKUP(Tabla1[[#This Row],[Code]],'[1]Articulos Precio'!$A:$E,5,FALSE)</f>
        <v>A0000644</v>
      </c>
    </row>
    <row r="2483" spans="1:9" x14ac:dyDescent="0.25">
      <c r="A2483" t="s">
        <v>844</v>
      </c>
      <c r="B2483" t="str">
        <f>VLOOKUP(Tabla1[[#This Row],[Code]],[1]!Tabla4[#Data],2,FALSE)</f>
        <v>ML Cad-Cut Premium Plus 780 Gris Oscuro 500mm</v>
      </c>
      <c r="C2483">
        <v>2</v>
      </c>
      <c r="D2483" t="s">
        <v>10</v>
      </c>
      <c r="E2483" t="str">
        <f>VLOOKUP(Tabla1[[#This Row],[Cód. Atributo]],[1]!Tabla5[#Data],6,FALSE)</f>
        <v>Select</v>
      </c>
      <c r="F2483">
        <v>1</v>
      </c>
      <c r="G2483">
        <v>1</v>
      </c>
      <c r="H2483" t="s">
        <v>11</v>
      </c>
      <c r="I2483" t="str">
        <f>VLOOKUP(Tabla1[[#This Row],[Code]],'[1]Articulos Precio'!$A:$E,5,FALSE)</f>
        <v>A0000644</v>
      </c>
    </row>
    <row r="2484" spans="1:9" x14ac:dyDescent="0.25">
      <c r="A2484" t="s">
        <v>844</v>
      </c>
      <c r="B2484" t="str">
        <f>VLOOKUP(Tabla1[[#This Row],[Code]],[1]!Tabla4[#Data],2,FALSE)</f>
        <v>ML Cad-Cut Premium Plus 780 Gris Oscuro 500mm</v>
      </c>
      <c r="C2484">
        <v>16</v>
      </c>
      <c r="D2484" t="s">
        <v>12</v>
      </c>
      <c r="E2484" t="str">
        <f>VLOOKUP(Tabla1[[#This Row],[Cód. Atributo]],[1]!Tabla5[#Data],6,FALSE)</f>
        <v>Color</v>
      </c>
      <c r="F2484">
        <v>2</v>
      </c>
      <c r="G2484">
        <v>36</v>
      </c>
      <c r="H2484" t="s">
        <v>845</v>
      </c>
      <c r="I2484" t="str">
        <f>VLOOKUP(Tabla1[[#This Row],[Code]],'[1]Articulos Precio'!$A:$E,5,FALSE)</f>
        <v>A0000644</v>
      </c>
    </row>
    <row r="2485" spans="1:9" x14ac:dyDescent="0.25">
      <c r="A2485" t="s">
        <v>846</v>
      </c>
      <c r="B2485" t="str">
        <f>VLOOKUP(Tabla1[[#This Row],[Code]],[1]!Tabla4[#Data],2,FALSE)</f>
        <v>ML Cad-Cut Premium Plus 700 Negro 500mm</v>
      </c>
      <c r="C2485">
        <v>2</v>
      </c>
      <c r="D2485" t="s">
        <v>10</v>
      </c>
      <c r="E2485" t="str">
        <f>VLOOKUP(Tabla1[[#This Row],[Cód. Atributo]],[1]!Tabla5[#Data],6,FALSE)</f>
        <v>Select</v>
      </c>
      <c r="F2485">
        <v>1</v>
      </c>
      <c r="G2485">
        <v>1</v>
      </c>
      <c r="H2485" t="s">
        <v>11</v>
      </c>
      <c r="I2485" t="str">
        <f>VLOOKUP(Tabla1[[#This Row],[Code]],'[1]Articulos Precio'!$A:$E,5,FALSE)</f>
        <v>A0000644</v>
      </c>
    </row>
    <row r="2486" spans="1:9" x14ac:dyDescent="0.25">
      <c r="A2486" t="s">
        <v>846</v>
      </c>
      <c r="B2486" t="str">
        <f>VLOOKUP(Tabla1[[#This Row],[Code]],[1]!Tabla4[#Data],2,FALSE)</f>
        <v>ML Cad-Cut Premium Plus 700 Negro 500mm</v>
      </c>
      <c r="C2486">
        <v>16</v>
      </c>
      <c r="D2486" t="s">
        <v>12</v>
      </c>
      <c r="E2486" t="str">
        <f>VLOOKUP(Tabla1[[#This Row],[Cód. Atributo]],[1]!Tabla5[#Data],6,FALSE)</f>
        <v>Color</v>
      </c>
      <c r="F2486">
        <v>2</v>
      </c>
      <c r="G2486">
        <v>34</v>
      </c>
      <c r="H2486" t="s">
        <v>847</v>
      </c>
      <c r="I2486" t="str">
        <f>VLOOKUP(Tabla1[[#This Row],[Code]],'[1]Articulos Precio'!$A:$E,5,FALSE)</f>
        <v>A0000644</v>
      </c>
    </row>
    <row r="2487" spans="1:9" x14ac:dyDescent="0.25">
      <c r="A2487" t="s">
        <v>848</v>
      </c>
      <c r="B2487" t="str">
        <f>VLOOKUP(Tabla1[[#This Row],[Code]],[1]!Tabla4[#Data],2,FALSE)</f>
        <v>ML Cad-Cut Premium Plus 815 Plata 500mm</v>
      </c>
      <c r="C2487">
        <v>2</v>
      </c>
      <c r="D2487" t="s">
        <v>10</v>
      </c>
      <c r="E2487" t="str">
        <f>VLOOKUP(Tabla1[[#This Row],[Cód. Atributo]],[1]!Tabla5[#Data],6,FALSE)</f>
        <v>Select</v>
      </c>
      <c r="F2487">
        <v>1</v>
      </c>
      <c r="G2487">
        <v>1</v>
      </c>
      <c r="H2487" t="s">
        <v>11</v>
      </c>
      <c r="I2487" t="str">
        <f>VLOOKUP(Tabla1[[#This Row],[Code]],'[1]Articulos Precio'!$A:$E,5,FALSE)</f>
        <v>A0000644</v>
      </c>
    </row>
    <row r="2488" spans="1:9" x14ac:dyDescent="0.25">
      <c r="A2488" t="s">
        <v>848</v>
      </c>
      <c r="B2488" t="str">
        <f>VLOOKUP(Tabla1[[#This Row],[Code]],[1]!Tabla4[#Data],2,FALSE)</f>
        <v>ML Cad-Cut Premium Plus 815 Plata 500mm</v>
      </c>
      <c r="C2488">
        <v>16</v>
      </c>
      <c r="D2488" t="s">
        <v>12</v>
      </c>
      <c r="E2488" t="str">
        <f>VLOOKUP(Tabla1[[#This Row],[Cód. Atributo]],[1]!Tabla5[#Data],6,FALSE)</f>
        <v>Color</v>
      </c>
      <c r="F2488">
        <v>2</v>
      </c>
      <c r="G2488">
        <v>37</v>
      </c>
      <c r="H2488" t="s">
        <v>849</v>
      </c>
      <c r="I2488" t="str">
        <f>VLOOKUP(Tabla1[[#This Row],[Code]],'[1]Articulos Precio'!$A:$E,5,FALSE)</f>
        <v>A0000644</v>
      </c>
    </row>
    <row r="2489" spans="1:9" x14ac:dyDescent="0.25">
      <c r="A2489" t="s">
        <v>850</v>
      </c>
      <c r="B2489" t="str">
        <f>VLOOKUP(Tabla1[[#This Row],[Code]],[1]!Tabla4[#Data],2,FALSE)</f>
        <v>ML Cad-Cut Premium Plus 115 Oro 500mm</v>
      </c>
      <c r="C2489">
        <v>2</v>
      </c>
      <c r="D2489" t="s">
        <v>10</v>
      </c>
      <c r="E2489" t="str">
        <f>VLOOKUP(Tabla1[[#This Row],[Cód. Atributo]],[1]!Tabla5[#Data],6,FALSE)</f>
        <v>Select</v>
      </c>
      <c r="F2489">
        <v>1</v>
      </c>
      <c r="G2489">
        <v>1</v>
      </c>
      <c r="H2489" t="s">
        <v>11</v>
      </c>
      <c r="I2489" t="str">
        <f>VLOOKUP(Tabla1[[#This Row],[Code]],'[1]Articulos Precio'!$A:$E,5,FALSE)</f>
        <v>A0000644</v>
      </c>
    </row>
    <row r="2490" spans="1:9" x14ac:dyDescent="0.25">
      <c r="A2490" t="s">
        <v>850</v>
      </c>
      <c r="B2490" t="str">
        <f>VLOOKUP(Tabla1[[#This Row],[Code]],[1]!Tabla4[#Data],2,FALSE)</f>
        <v>ML Cad-Cut Premium Plus 115 Oro 500mm</v>
      </c>
      <c r="C2490">
        <v>16</v>
      </c>
      <c r="D2490" t="s">
        <v>12</v>
      </c>
      <c r="E2490" t="str">
        <f>VLOOKUP(Tabla1[[#This Row],[Cód. Atributo]],[1]!Tabla5[#Data],6,FALSE)</f>
        <v>Color</v>
      </c>
      <c r="F2490">
        <v>2</v>
      </c>
      <c r="G2490">
        <v>7</v>
      </c>
      <c r="H2490" t="s">
        <v>851</v>
      </c>
      <c r="I2490" t="str">
        <f>VLOOKUP(Tabla1[[#This Row],[Code]],'[1]Articulos Precio'!$A:$E,5,FALSE)</f>
        <v>A0000644</v>
      </c>
    </row>
    <row r="2491" spans="1:9" x14ac:dyDescent="0.25">
      <c r="A2491" t="s">
        <v>852</v>
      </c>
      <c r="B2491" t="str">
        <f>VLOOKUP(Tabla1[[#This Row],[Code]],[1]!Tabla4[#Data],2,FALSE)</f>
        <v>ML Cad-Cut Premium Plus 101 Neon Amarillo 500mm</v>
      </c>
      <c r="C2491">
        <v>2</v>
      </c>
      <c r="D2491" t="s">
        <v>10</v>
      </c>
      <c r="E2491" t="str">
        <f>VLOOKUP(Tabla1[[#This Row],[Cód. Atributo]],[1]!Tabla5[#Data],6,FALSE)</f>
        <v>Select</v>
      </c>
      <c r="F2491">
        <v>1</v>
      </c>
      <c r="G2491">
        <v>1</v>
      </c>
      <c r="H2491" t="s">
        <v>11</v>
      </c>
      <c r="I2491" t="str">
        <f>VLOOKUP(Tabla1[[#This Row],[Code]],'[1]Articulos Precio'!$A:$E,5,FALSE)</f>
        <v>A0000644</v>
      </c>
    </row>
    <row r="2492" spans="1:9" x14ac:dyDescent="0.25">
      <c r="A2492" t="s">
        <v>852</v>
      </c>
      <c r="B2492" t="str">
        <f>VLOOKUP(Tabla1[[#This Row],[Code]],[1]!Tabla4[#Data],2,FALSE)</f>
        <v>ML Cad-Cut Premium Plus 101 Neon Amarillo 500mm</v>
      </c>
      <c r="C2492">
        <v>16</v>
      </c>
      <c r="D2492" t="s">
        <v>12</v>
      </c>
      <c r="E2492" t="str">
        <f>VLOOKUP(Tabla1[[#This Row],[Cód. Atributo]],[1]!Tabla5[#Data],6,FALSE)</f>
        <v>Color</v>
      </c>
      <c r="F2492">
        <v>2</v>
      </c>
      <c r="G2492">
        <v>4</v>
      </c>
      <c r="H2492" t="s">
        <v>853</v>
      </c>
      <c r="I2492" t="str">
        <f>VLOOKUP(Tabla1[[#This Row],[Code]],'[1]Articulos Precio'!$A:$E,5,FALSE)</f>
        <v>A0000644</v>
      </c>
    </row>
    <row r="2493" spans="1:9" x14ac:dyDescent="0.25">
      <c r="A2493" t="s">
        <v>854</v>
      </c>
      <c r="B2493" t="str">
        <f>VLOOKUP(Tabla1[[#This Row],[Code]],[1]!Tabla4[#Data],2,FALSE)</f>
        <v>ML Cad-Cut Flock 530 Marrón 500mm</v>
      </c>
      <c r="C2493">
        <v>2</v>
      </c>
      <c r="D2493" t="s">
        <v>10</v>
      </c>
      <c r="E2493" t="str">
        <f>VLOOKUP(Tabla1[[#This Row],[Cód. Atributo]],[1]!Tabla5[#Data],6,FALSE)</f>
        <v>Select</v>
      </c>
      <c r="F2493">
        <v>1</v>
      </c>
      <c r="G2493">
        <v>1</v>
      </c>
      <c r="H2493" t="s">
        <v>11</v>
      </c>
      <c r="I2493" t="str">
        <f>VLOOKUP(Tabla1[[#This Row],[Code]],'[1]Articulos Precio'!$A:$E,5,FALSE)</f>
        <v>A0000007</v>
      </c>
    </row>
    <row r="2494" spans="1:9" x14ac:dyDescent="0.25">
      <c r="A2494" t="s">
        <v>854</v>
      </c>
      <c r="B2494" t="str">
        <f>VLOOKUP(Tabla1[[#This Row],[Code]],[1]!Tabla4[#Data],2,FALSE)</f>
        <v>ML Cad-Cut Flock 530 Marrón 500mm</v>
      </c>
      <c r="C2494">
        <v>20</v>
      </c>
      <c r="D2494" t="s">
        <v>21</v>
      </c>
      <c r="E2494" t="str">
        <f>VLOOKUP(Tabla1[[#This Row],[Cód. Atributo]],[1]!Tabla5[#Data],6,FALSE)</f>
        <v>Color</v>
      </c>
      <c r="F2494">
        <v>2</v>
      </c>
      <c r="G2494">
        <v>20</v>
      </c>
      <c r="H2494" t="s">
        <v>855</v>
      </c>
      <c r="I2494" t="str">
        <f>VLOOKUP(Tabla1[[#This Row],[Code]],'[1]Articulos Precio'!$A:$E,5,FALSE)</f>
        <v>A0000007</v>
      </c>
    </row>
    <row r="2495" spans="1:9" x14ac:dyDescent="0.25">
      <c r="A2495" t="s">
        <v>856</v>
      </c>
      <c r="B2495" t="str">
        <f>VLOOKUP(Tabla1[[#This Row],[Code]],[1]!Tabla4[#Data],2,FALSE)</f>
        <v>ML Cad-Cut Flock 550 Marrón Oscuro 500mm</v>
      </c>
      <c r="C2495">
        <v>2</v>
      </c>
      <c r="D2495" t="s">
        <v>10</v>
      </c>
      <c r="E2495" t="str">
        <f>VLOOKUP(Tabla1[[#This Row],[Cód. Atributo]],[1]!Tabla5[#Data],6,FALSE)</f>
        <v>Select</v>
      </c>
      <c r="F2495">
        <v>1</v>
      </c>
      <c r="G2495">
        <v>1</v>
      </c>
      <c r="H2495" t="s">
        <v>11</v>
      </c>
      <c r="I2495" t="str">
        <f>VLOOKUP(Tabla1[[#This Row],[Code]],'[1]Articulos Precio'!$A:$E,5,FALSE)</f>
        <v>A0000007</v>
      </c>
    </row>
    <row r="2496" spans="1:9" x14ac:dyDescent="0.25">
      <c r="A2496" t="s">
        <v>856</v>
      </c>
      <c r="B2496" t="str">
        <f>VLOOKUP(Tabla1[[#This Row],[Code]],[1]!Tabla4[#Data],2,FALSE)</f>
        <v>ML Cad-Cut Flock 550 Marrón Oscuro 500mm</v>
      </c>
      <c r="C2496">
        <v>20</v>
      </c>
      <c r="D2496" t="s">
        <v>21</v>
      </c>
      <c r="E2496" t="str">
        <f>VLOOKUP(Tabla1[[#This Row],[Cód. Atributo]],[1]!Tabla5[#Data],6,FALSE)</f>
        <v>Color</v>
      </c>
      <c r="F2496">
        <v>2</v>
      </c>
      <c r="G2496">
        <v>21</v>
      </c>
      <c r="H2496" t="s">
        <v>857</v>
      </c>
      <c r="I2496" t="str">
        <f>VLOOKUP(Tabla1[[#This Row],[Code]],'[1]Articulos Precio'!$A:$E,5,FALSE)</f>
        <v>A0000007</v>
      </c>
    </row>
    <row r="2497" spans="1:9" x14ac:dyDescent="0.25">
      <c r="A2497" t="s">
        <v>858</v>
      </c>
      <c r="B2497" t="str">
        <f>VLOOKUP(Tabla1[[#This Row],[Code]],[1]!Tabla4[#Data],2,FALSE)</f>
        <v>ML Cad-Cut Flock 730 Cool Gris 500mm</v>
      </c>
      <c r="C2497">
        <v>2</v>
      </c>
      <c r="D2497" t="s">
        <v>10</v>
      </c>
      <c r="E2497" t="str">
        <f>VLOOKUP(Tabla1[[#This Row],[Cód. Atributo]],[1]!Tabla5[#Data],6,FALSE)</f>
        <v>Select</v>
      </c>
      <c r="F2497">
        <v>1</v>
      </c>
      <c r="G2497">
        <v>1</v>
      </c>
      <c r="H2497" t="s">
        <v>11</v>
      </c>
      <c r="I2497" t="str">
        <f>VLOOKUP(Tabla1[[#This Row],[Code]],'[1]Articulos Precio'!$A:$E,5,FALSE)</f>
        <v>A0000007</v>
      </c>
    </row>
    <row r="2498" spans="1:9" x14ac:dyDescent="0.25">
      <c r="A2498" t="s">
        <v>858</v>
      </c>
      <c r="B2498" t="str">
        <f>VLOOKUP(Tabla1[[#This Row],[Code]],[1]!Tabla4[#Data],2,FALSE)</f>
        <v>ML Cad-Cut Flock 730 Cool Gris 500mm</v>
      </c>
      <c r="C2498">
        <v>20</v>
      </c>
      <c r="D2498" t="s">
        <v>21</v>
      </c>
      <c r="E2498" t="str">
        <f>VLOOKUP(Tabla1[[#This Row],[Cód. Atributo]],[1]!Tabla5[#Data],6,FALSE)</f>
        <v>Color</v>
      </c>
      <c r="F2498">
        <v>2</v>
      </c>
      <c r="G2498">
        <v>23</v>
      </c>
      <c r="H2498" t="s">
        <v>859</v>
      </c>
      <c r="I2498" t="str">
        <f>VLOOKUP(Tabla1[[#This Row],[Code]],'[1]Articulos Precio'!$A:$E,5,FALSE)</f>
        <v>A0000007</v>
      </c>
    </row>
    <row r="2499" spans="1:9" x14ac:dyDescent="0.25">
      <c r="A2499" t="s">
        <v>860</v>
      </c>
      <c r="B2499" t="str">
        <f>VLOOKUP(Tabla1[[#This Row],[Code]],[1]!Tabla4[#Data],2,FALSE)</f>
        <v>ML Cad-Cut Flock 780 Gris Oscuro 500mm</v>
      </c>
      <c r="C2499">
        <v>2</v>
      </c>
      <c r="D2499" t="s">
        <v>10</v>
      </c>
      <c r="E2499" t="str">
        <f>VLOOKUP(Tabla1[[#This Row],[Cód. Atributo]],[1]!Tabla5[#Data],6,FALSE)</f>
        <v>Select</v>
      </c>
      <c r="F2499">
        <v>1</v>
      </c>
      <c r="G2499">
        <v>1</v>
      </c>
      <c r="H2499" t="s">
        <v>11</v>
      </c>
      <c r="I2499" t="str">
        <f>VLOOKUP(Tabla1[[#This Row],[Code]],'[1]Articulos Precio'!$A:$E,5,FALSE)</f>
        <v>A0000007</v>
      </c>
    </row>
    <row r="2500" spans="1:9" x14ac:dyDescent="0.25">
      <c r="A2500" t="s">
        <v>860</v>
      </c>
      <c r="B2500" t="str">
        <f>VLOOKUP(Tabla1[[#This Row],[Code]],[1]!Tabla4[#Data],2,FALSE)</f>
        <v>ML Cad-Cut Flock 780 Gris Oscuro 500mm</v>
      </c>
      <c r="C2500">
        <v>20</v>
      </c>
      <c r="D2500" t="s">
        <v>21</v>
      </c>
      <c r="E2500" t="str">
        <f>VLOOKUP(Tabla1[[#This Row],[Cód. Atributo]],[1]!Tabla5[#Data],6,FALSE)</f>
        <v>Color</v>
      </c>
      <c r="F2500">
        <v>2</v>
      </c>
      <c r="G2500">
        <v>24</v>
      </c>
      <c r="H2500" t="s">
        <v>861</v>
      </c>
      <c r="I2500" t="str">
        <f>VLOOKUP(Tabla1[[#This Row],[Code]],'[1]Articulos Precio'!$A:$E,5,FALSE)</f>
        <v>A0000007</v>
      </c>
    </row>
    <row r="2501" spans="1:9" x14ac:dyDescent="0.25">
      <c r="A2501" t="s">
        <v>862</v>
      </c>
      <c r="B2501" t="str">
        <f>VLOOKUP(Tabla1[[#This Row],[Code]],[1]!Tabla4[#Data],2,FALSE)</f>
        <v>ML Cad-Cut Flock 700 Negro 500mm</v>
      </c>
      <c r="C2501">
        <v>2</v>
      </c>
      <c r="D2501" t="s">
        <v>10</v>
      </c>
      <c r="E2501" t="str">
        <f>VLOOKUP(Tabla1[[#This Row],[Cód. Atributo]],[1]!Tabla5[#Data],6,FALSE)</f>
        <v>Select</v>
      </c>
      <c r="F2501">
        <v>1</v>
      </c>
      <c r="G2501">
        <v>1</v>
      </c>
      <c r="H2501" t="s">
        <v>11</v>
      </c>
      <c r="I2501" t="str">
        <f>VLOOKUP(Tabla1[[#This Row],[Code]],'[1]Articulos Precio'!$A:$E,5,FALSE)</f>
        <v>A0000007</v>
      </c>
    </row>
    <row r="2502" spans="1:9" x14ac:dyDescent="0.25">
      <c r="A2502" t="s">
        <v>862</v>
      </c>
      <c r="B2502" t="str">
        <f>VLOOKUP(Tabla1[[#This Row],[Code]],[1]!Tabla4[#Data],2,FALSE)</f>
        <v>ML Cad-Cut Flock 700 Negro 500mm</v>
      </c>
      <c r="C2502">
        <v>20</v>
      </c>
      <c r="D2502" t="s">
        <v>21</v>
      </c>
      <c r="E2502" t="str">
        <f>VLOOKUP(Tabla1[[#This Row],[Cód. Atributo]],[1]!Tabla5[#Data],6,FALSE)</f>
        <v>Color</v>
      </c>
      <c r="F2502">
        <v>2</v>
      </c>
      <c r="G2502">
        <v>22</v>
      </c>
      <c r="H2502" t="s">
        <v>863</v>
      </c>
      <c r="I2502" t="str">
        <f>VLOOKUP(Tabla1[[#This Row],[Code]],'[1]Articulos Precio'!$A:$E,5,FALSE)</f>
        <v>A0000007</v>
      </c>
    </row>
    <row r="2503" spans="1:9" x14ac:dyDescent="0.25">
      <c r="A2503" t="s">
        <v>864</v>
      </c>
      <c r="B2503" t="str">
        <f>VLOOKUP(Tabla1[[#This Row],[Code]],[1]!Tabla4[#Data],2,FALSE)</f>
        <v>ML Cad-Cut Flock 101 Neon Amarillo 500mm</v>
      </c>
      <c r="C2503">
        <v>2</v>
      </c>
      <c r="D2503" t="s">
        <v>10</v>
      </c>
      <c r="E2503" t="str">
        <f>VLOOKUP(Tabla1[[#This Row],[Cód. Atributo]],[1]!Tabla5[#Data],6,FALSE)</f>
        <v>Select</v>
      </c>
      <c r="F2503">
        <v>1</v>
      </c>
      <c r="G2503">
        <v>1</v>
      </c>
      <c r="H2503" t="s">
        <v>11</v>
      </c>
      <c r="I2503" t="str">
        <f>VLOOKUP(Tabla1[[#This Row],[Code]],'[1]Articulos Precio'!$A:$E,5,FALSE)</f>
        <v>A0000007</v>
      </c>
    </row>
    <row r="2504" spans="1:9" x14ac:dyDescent="0.25">
      <c r="A2504" t="s">
        <v>864</v>
      </c>
      <c r="B2504" t="str">
        <f>VLOOKUP(Tabla1[[#This Row],[Code]],[1]!Tabla4[#Data],2,FALSE)</f>
        <v>ML Cad-Cut Flock 101 Neon Amarillo 500mm</v>
      </c>
      <c r="C2504">
        <v>20</v>
      </c>
      <c r="D2504" t="s">
        <v>21</v>
      </c>
      <c r="E2504" t="str">
        <f>VLOOKUP(Tabla1[[#This Row],[Cód. Atributo]],[1]!Tabla5[#Data],6,FALSE)</f>
        <v>Color</v>
      </c>
      <c r="F2504">
        <v>2</v>
      </c>
      <c r="G2504">
        <v>3</v>
      </c>
      <c r="H2504" t="s">
        <v>865</v>
      </c>
      <c r="I2504" t="str">
        <f>VLOOKUP(Tabla1[[#This Row],[Code]],'[1]Articulos Precio'!$A:$E,5,FALSE)</f>
        <v>A0000007</v>
      </c>
    </row>
    <row r="2505" spans="1:9" x14ac:dyDescent="0.25">
      <c r="A2505" t="s">
        <v>866</v>
      </c>
      <c r="B2505" t="str">
        <f>VLOOKUP(Tabla1[[#This Row],[Code]],[1]!Tabla4[#Data],2,FALSE)</f>
        <v>ML Cad-Cut Flock 181 Neon Naranja 500mm</v>
      </c>
      <c r="C2505">
        <v>2</v>
      </c>
      <c r="D2505" t="s">
        <v>10</v>
      </c>
      <c r="E2505" t="str">
        <f>VLOOKUP(Tabla1[[#This Row],[Cód. Atributo]],[1]!Tabla5[#Data],6,FALSE)</f>
        <v>Select</v>
      </c>
      <c r="F2505">
        <v>1</v>
      </c>
      <c r="G2505">
        <v>1</v>
      </c>
      <c r="H2505" t="s">
        <v>11</v>
      </c>
      <c r="I2505" t="str">
        <f>VLOOKUP(Tabla1[[#This Row],[Code]],'[1]Articulos Precio'!$A:$E,5,FALSE)</f>
        <v>A0000007</v>
      </c>
    </row>
    <row r="2506" spans="1:9" x14ac:dyDescent="0.25">
      <c r="A2506" t="s">
        <v>866</v>
      </c>
      <c r="B2506" t="str">
        <f>VLOOKUP(Tabla1[[#This Row],[Code]],[1]!Tabla4[#Data],2,FALSE)</f>
        <v>ML Cad-Cut Flock 181 Neon Naranja 500mm</v>
      </c>
      <c r="C2506">
        <v>20</v>
      </c>
      <c r="D2506" t="s">
        <v>21</v>
      </c>
      <c r="E2506" t="str">
        <f>VLOOKUP(Tabla1[[#This Row],[Cód. Atributo]],[1]!Tabla5[#Data],6,FALSE)</f>
        <v>Color</v>
      </c>
      <c r="F2506">
        <v>2</v>
      </c>
      <c r="G2506">
        <v>6</v>
      </c>
      <c r="H2506" t="s">
        <v>867</v>
      </c>
      <c r="I2506" t="str">
        <f>VLOOKUP(Tabla1[[#This Row],[Code]],'[1]Articulos Precio'!$A:$E,5,FALSE)</f>
        <v>A0000007</v>
      </c>
    </row>
    <row r="2507" spans="1:9" x14ac:dyDescent="0.25">
      <c r="A2507" t="s">
        <v>868</v>
      </c>
      <c r="B2507" t="str">
        <f>VLOOKUP(Tabla1[[#This Row],[Code]],[1]!Tabla4[#Data],2,FALSE)</f>
        <v>ML Cad-Cut Flock 241 Neon Rosa 500mm</v>
      </c>
      <c r="C2507">
        <v>2</v>
      </c>
      <c r="D2507" t="s">
        <v>10</v>
      </c>
      <c r="E2507" t="str">
        <f>VLOOKUP(Tabla1[[#This Row],[Cód. Atributo]],[1]!Tabla5[#Data],6,FALSE)</f>
        <v>Select</v>
      </c>
      <c r="F2507">
        <v>1</v>
      </c>
      <c r="G2507">
        <v>1</v>
      </c>
      <c r="H2507" t="s">
        <v>11</v>
      </c>
      <c r="I2507" t="str">
        <f>VLOOKUP(Tabla1[[#This Row],[Code]],'[1]Articulos Precio'!$A:$E,5,FALSE)</f>
        <v>A0000007</v>
      </c>
    </row>
    <row r="2508" spans="1:9" x14ac:dyDescent="0.25">
      <c r="A2508" t="s">
        <v>868</v>
      </c>
      <c r="B2508" t="str">
        <f>VLOOKUP(Tabla1[[#This Row],[Code]],[1]!Tabla4[#Data],2,FALSE)</f>
        <v>ML Cad-Cut Flock 241 Neon Rosa 500mm</v>
      </c>
      <c r="C2508">
        <v>20</v>
      </c>
      <c r="D2508" t="s">
        <v>21</v>
      </c>
      <c r="E2508" t="str">
        <f>VLOOKUP(Tabla1[[#This Row],[Cód. Atributo]],[1]!Tabla5[#Data],6,FALSE)</f>
        <v>Color</v>
      </c>
      <c r="F2508">
        <v>2</v>
      </c>
      <c r="G2508">
        <v>9</v>
      </c>
      <c r="H2508" t="s">
        <v>869</v>
      </c>
      <c r="I2508" t="str">
        <f>VLOOKUP(Tabla1[[#This Row],[Code]],'[1]Articulos Precio'!$A:$E,5,FALSE)</f>
        <v>A0000007</v>
      </c>
    </row>
    <row r="2509" spans="1:9" x14ac:dyDescent="0.25">
      <c r="A2509" t="s">
        <v>870</v>
      </c>
      <c r="B2509" t="str">
        <f>VLOOKUP(Tabla1[[#This Row],[Code]],[1]!Tabla4[#Data],2,FALSE)</f>
        <v>ML Cad-Cut Flock 401 Neon Verde 500mm</v>
      </c>
      <c r="C2509">
        <v>2</v>
      </c>
      <c r="D2509" t="s">
        <v>10</v>
      </c>
      <c r="E2509" t="str">
        <f>VLOOKUP(Tabla1[[#This Row],[Cód. Atributo]],[1]!Tabla5[#Data],6,FALSE)</f>
        <v>Select</v>
      </c>
      <c r="F2509">
        <v>1</v>
      </c>
      <c r="G2509">
        <v>1</v>
      </c>
      <c r="H2509" t="s">
        <v>11</v>
      </c>
      <c r="I2509" t="str">
        <f>VLOOKUP(Tabla1[[#This Row],[Code]],'[1]Articulos Precio'!$A:$E,5,FALSE)</f>
        <v>A0000007</v>
      </c>
    </row>
    <row r="2510" spans="1:9" x14ac:dyDescent="0.25">
      <c r="A2510" t="s">
        <v>870</v>
      </c>
      <c r="B2510" t="str">
        <f>VLOOKUP(Tabla1[[#This Row],[Code]],[1]!Tabla4[#Data],2,FALSE)</f>
        <v>ML Cad-Cut Flock 401 Neon Verde 500mm</v>
      </c>
      <c r="C2510">
        <v>20</v>
      </c>
      <c r="D2510" t="s">
        <v>21</v>
      </c>
      <c r="E2510" t="str">
        <f>VLOOKUP(Tabla1[[#This Row],[Cód. Atributo]],[1]!Tabla5[#Data],6,FALSE)</f>
        <v>Color</v>
      </c>
      <c r="F2510">
        <v>2</v>
      </c>
      <c r="G2510">
        <v>18</v>
      </c>
      <c r="H2510" t="s">
        <v>871</v>
      </c>
      <c r="I2510" t="str">
        <f>VLOOKUP(Tabla1[[#This Row],[Code]],'[1]Articulos Precio'!$A:$E,5,FALSE)</f>
        <v>A0000007</v>
      </c>
    </row>
    <row r="2511" spans="1:9" x14ac:dyDescent="0.25">
      <c r="A2511" t="s">
        <v>872</v>
      </c>
      <c r="B2511" t="str">
        <f>VLOOKUP(Tabla1[[#This Row],[Code]],[1]!Tabla4[#Data],2,FALSE)</f>
        <v>ML Cad-Cut Glitter 934 Blanco 500mm</v>
      </c>
      <c r="C2511">
        <v>2</v>
      </c>
      <c r="D2511" t="s">
        <v>10</v>
      </c>
      <c r="E2511" t="str">
        <f>VLOOKUP(Tabla1[[#This Row],[Cód. Atributo]],[1]!Tabla5[#Data],6,FALSE)</f>
        <v>Select</v>
      </c>
      <c r="F2511">
        <v>1</v>
      </c>
      <c r="G2511">
        <v>1</v>
      </c>
      <c r="H2511" t="s">
        <v>11</v>
      </c>
      <c r="I2511" t="str">
        <f>VLOOKUP(Tabla1[[#This Row],[Code]],'[1]Articulos Precio'!$A:$E,5,FALSE)</f>
        <v>A0000702</v>
      </c>
    </row>
    <row r="2512" spans="1:9" x14ac:dyDescent="0.25">
      <c r="A2512" t="s">
        <v>873</v>
      </c>
      <c r="B2512" t="str">
        <f>VLOOKUP(Tabla1[[#This Row],[Code]],[1]!Tabla4[#Data],2,FALSE)</f>
        <v>ML Cad-Cut Glitter 931 Naranja 500mm</v>
      </c>
      <c r="C2512">
        <v>2</v>
      </c>
      <c r="D2512" t="s">
        <v>10</v>
      </c>
      <c r="E2512" t="str">
        <f>VLOOKUP(Tabla1[[#This Row],[Cód. Atributo]],[1]!Tabla5[#Data],6,FALSE)</f>
        <v>Select</v>
      </c>
      <c r="F2512">
        <v>1</v>
      </c>
      <c r="G2512">
        <v>1</v>
      </c>
      <c r="H2512" t="s">
        <v>11</v>
      </c>
      <c r="I2512" t="str">
        <f>VLOOKUP(Tabla1[[#This Row],[Code]],'[1]Articulos Precio'!$A:$E,5,FALSE)</f>
        <v>A0000702</v>
      </c>
    </row>
    <row r="2513" spans="1:9" x14ac:dyDescent="0.25">
      <c r="A2513" t="s">
        <v>874</v>
      </c>
      <c r="B2513" t="str">
        <f>VLOOKUP(Tabla1[[#This Row],[Code]],[1]!Tabla4[#Data],2,FALSE)</f>
        <v>ML Cad-Cut Glitter 952 Rojo Cereza 500mm</v>
      </c>
      <c r="C2513">
        <v>2</v>
      </c>
      <c r="D2513" t="s">
        <v>10</v>
      </c>
      <c r="E2513" t="str">
        <f>VLOOKUP(Tabla1[[#This Row],[Cód. Atributo]],[1]!Tabla5[#Data],6,FALSE)</f>
        <v>Select</v>
      </c>
      <c r="F2513">
        <v>1</v>
      </c>
      <c r="G2513">
        <v>1</v>
      </c>
      <c r="H2513" t="s">
        <v>11</v>
      </c>
      <c r="I2513" t="str">
        <f>VLOOKUP(Tabla1[[#This Row],[Code]],'[1]Articulos Precio'!$A:$E,5,FALSE)</f>
        <v>A0000702</v>
      </c>
    </row>
    <row r="2514" spans="1:9" x14ac:dyDescent="0.25">
      <c r="A2514" t="s">
        <v>875</v>
      </c>
      <c r="B2514" t="str">
        <f>VLOOKUP(Tabla1[[#This Row],[Code]],[1]!Tabla4[#Data],2,FALSE)</f>
        <v>ML Cad-Cut Glitter 923 Rojo 500mm</v>
      </c>
      <c r="C2514">
        <v>2</v>
      </c>
      <c r="D2514" t="s">
        <v>10</v>
      </c>
      <c r="E2514" t="str">
        <f>VLOOKUP(Tabla1[[#This Row],[Cód. Atributo]],[1]!Tabla5[#Data],6,FALSE)</f>
        <v>Select</v>
      </c>
      <c r="F2514">
        <v>1</v>
      </c>
      <c r="G2514">
        <v>1</v>
      </c>
      <c r="H2514" t="s">
        <v>11</v>
      </c>
      <c r="I2514" t="str">
        <f>VLOOKUP(Tabla1[[#This Row],[Code]],'[1]Articulos Precio'!$A:$E,5,FALSE)</f>
        <v>A0000702</v>
      </c>
    </row>
    <row r="2515" spans="1:9" x14ac:dyDescent="0.25">
      <c r="A2515" t="s">
        <v>876</v>
      </c>
      <c r="B2515" t="str">
        <f>VLOOKUP(Tabla1[[#This Row],[Code]],[1]!Tabla4[#Data],2,FALSE)</f>
        <v>ML Cad-Cut Glitter 996 Holo Rosa 500mm</v>
      </c>
      <c r="C2515">
        <v>2</v>
      </c>
      <c r="D2515" t="s">
        <v>10</v>
      </c>
      <c r="E2515" t="str">
        <f>VLOOKUP(Tabla1[[#This Row],[Cód. Atributo]],[1]!Tabla5[#Data],6,FALSE)</f>
        <v>Select</v>
      </c>
      <c r="F2515">
        <v>1</v>
      </c>
      <c r="G2515">
        <v>1</v>
      </c>
      <c r="H2515" t="s">
        <v>11</v>
      </c>
      <c r="I2515" t="str">
        <f>VLOOKUP(Tabla1[[#This Row],[Code]],'[1]Articulos Precio'!$A:$E,5,FALSE)</f>
        <v>A0000702</v>
      </c>
    </row>
    <row r="2516" spans="1:9" x14ac:dyDescent="0.25">
      <c r="A2516" t="s">
        <v>877</v>
      </c>
      <c r="B2516" t="str">
        <f>VLOOKUP(Tabla1[[#This Row],[Code]],[1]!Tabla4[#Data],2,FALSE)</f>
        <v>ML Cad-Cut Glitter 943 Hot Rosa 500mm</v>
      </c>
      <c r="C2516">
        <v>2</v>
      </c>
      <c r="D2516" t="s">
        <v>10</v>
      </c>
      <c r="E2516" t="str">
        <f>VLOOKUP(Tabla1[[#This Row],[Cód. Atributo]],[1]!Tabla5[#Data],6,FALSE)</f>
        <v>Select</v>
      </c>
      <c r="F2516">
        <v>1</v>
      </c>
      <c r="G2516">
        <v>1</v>
      </c>
      <c r="H2516" t="s">
        <v>11</v>
      </c>
      <c r="I2516" t="str">
        <f>VLOOKUP(Tabla1[[#This Row],[Code]],'[1]Articulos Precio'!$A:$E,5,FALSE)</f>
        <v>A0000702</v>
      </c>
    </row>
    <row r="2517" spans="1:9" x14ac:dyDescent="0.25">
      <c r="A2517" t="s">
        <v>878</v>
      </c>
      <c r="B2517" t="str">
        <f>VLOOKUP(Tabla1[[#This Row],[Code]],[1]!Tabla4[#Data],2,FALSE)</f>
        <v>ML Cad-Cut Glitter 927 Rosa 500mm</v>
      </c>
      <c r="C2517">
        <v>2</v>
      </c>
      <c r="D2517" t="s">
        <v>10</v>
      </c>
      <c r="E2517" t="str">
        <f>VLOOKUP(Tabla1[[#This Row],[Cód. Atributo]],[1]!Tabla5[#Data],6,FALSE)</f>
        <v>Select</v>
      </c>
      <c r="F2517">
        <v>1</v>
      </c>
      <c r="G2517">
        <v>1</v>
      </c>
      <c r="H2517" t="s">
        <v>11</v>
      </c>
      <c r="I2517" t="str">
        <f>VLOOKUP(Tabla1[[#This Row],[Code]],'[1]Articulos Precio'!$A:$E,5,FALSE)</f>
        <v>A0000702</v>
      </c>
    </row>
    <row r="2518" spans="1:9" x14ac:dyDescent="0.25">
      <c r="A2518" t="s">
        <v>879</v>
      </c>
      <c r="B2518" t="str">
        <f>VLOOKUP(Tabla1[[#This Row],[Code]],[1]!Tabla4[#Data],2,FALSE)</f>
        <v>ML Cad-Cut Glitter 946 Lavanda 500mm</v>
      </c>
      <c r="C2518">
        <v>2</v>
      </c>
      <c r="D2518" t="s">
        <v>10</v>
      </c>
      <c r="E2518" t="str">
        <f>VLOOKUP(Tabla1[[#This Row],[Cód. Atributo]],[1]!Tabla5[#Data],6,FALSE)</f>
        <v>Select</v>
      </c>
      <c r="F2518">
        <v>1</v>
      </c>
      <c r="G2518">
        <v>1</v>
      </c>
      <c r="H2518" t="s">
        <v>11</v>
      </c>
      <c r="I2518" t="str">
        <f>VLOOKUP(Tabla1[[#This Row],[Code]],'[1]Articulos Precio'!$A:$E,5,FALSE)</f>
        <v>A0000702</v>
      </c>
    </row>
    <row r="2519" spans="1:9" x14ac:dyDescent="0.25">
      <c r="A2519" t="s">
        <v>880</v>
      </c>
      <c r="B2519" t="str">
        <f>VLOOKUP(Tabla1[[#This Row],[Code]],[1]!Tabla4[#Data],2,FALSE)</f>
        <v>ML Cad-Cut Glitter 924 Púrpura 500mm</v>
      </c>
      <c r="C2519">
        <v>2</v>
      </c>
      <c r="D2519" t="s">
        <v>10</v>
      </c>
      <c r="E2519" t="str">
        <f>VLOOKUP(Tabla1[[#This Row],[Cód. Atributo]],[1]!Tabla5[#Data],6,FALSE)</f>
        <v>Select</v>
      </c>
      <c r="F2519">
        <v>1</v>
      </c>
      <c r="G2519">
        <v>1</v>
      </c>
      <c r="H2519" t="s">
        <v>11</v>
      </c>
      <c r="I2519" t="str">
        <f>VLOOKUP(Tabla1[[#This Row],[Code]],'[1]Articulos Precio'!$A:$E,5,FALSE)</f>
        <v>A0000702</v>
      </c>
    </row>
    <row r="2520" spans="1:9" x14ac:dyDescent="0.25">
      <c r="A2520" t="s">
        <v>881</v>
      </c>
      <c r="B2520" t="str">
        <f>VLOOKUP(Tabla1[[#This Row],[Code]],[1]!Tabla4[#Data],2,FALSE)</f>
        <v>ML Cad-Cut Glitter 954 Berenjena 500mm</v>
      </c>
      <c r="C2520">
        <v>2</v>
      </c>
      <c r="D2520" t="s">
        <v>10</v>
      </c>
      <c r="E2520" t="str">
        <f>VLOOKUP(Tabla1[[#This Row],[Cód. Atributo]],[1]!Tabla5[#Data],6,FALSE)</f>
        <v>Select</v>
      </c>
      <c r="F2520">
        <v>1</v>
      </c>
      <c r="G2520">
        <v>1</v>
      </c>
      <c r="H2520" t="s">
        <v>11</v>
      </c>
      <c r="I2520" t="str">
        <f>VLOOKUP(Tabla1[[#This Row],[Code]],'[1]Articulos Precio'!$A:$E,5,FALSE)</f>
        <v>A0000702</v>
      </c>
    </row>
    <row r="2521" spans="1:9" x14ac:dyDescent="0.25">
      <c r="A2521" t="s">
        <v>882</v>
      </c>
      <c r="B2521" t="str">
        <f>VLOOKUP(Tabla1[[#This Row],[Code]],[1]!Tabla4[#Data],2,FALSE)</f>
        <v>ML Cad-Cut Glitter 950 Azul Ligero 500mm</v>
      </c>
      <c r="C2521">
        <v>2</v>
      </c>
      <c r="D2521" t="s">
        <v>10</v>
      </c>
      <c r="E2521" t="str">
        <f>VLOOKUP(Tabla1[[#This Row],[Cód. Atributo]],[1]!Tabla5[#Data],6,FALSE)</f>
        <v>Select</v>
      </c>
      <c r="F2521">
        <v>1</v>
      </c>
      <c r="G2521">
        <v>1</v>
      </c>
      <c r="H2521" t="s">
        <v>11</v>
      </c>
      <c r="I2521" t="str">
        <f>VLOOKUP(Tabla1[[#This Row],[Code]],'[1]Articulos Precio'!$A:$E,5,FALSE)</f>
        <v>A0000702</v>
      </c>
    </row>
    <row r="2522" spans="1:9" x14ac:dyDescent="0.25">
      <c r="A2522" t="s">
        <v>883</v>
      </c>
      <c r="B2522" t="str">
        <f>VLOOKUP(Tabla1[[#This Row],[Code]],[1]!Tabla4[#Data],2,FALSE)</f>
        <v>ML Cad-Cut Glitter 930 Azul Colonia 500mm</v>
      </c>
      <c r="C2522">
        <v>2</v>
      </c>
      <c r="D2522" t="s">
        <v>10</v>
      </c>
      <c r="E2522" t="str">
        <f>VLOOKUP(Tabla1[[#This Row],[Cód. Atributo]],[1]!Tabla5[#Data],6,FALSE)</f>
        <v>Select</v>
      </c>
      <c r="F2522">
        <v>1</v>
      </c>
      <c r="G2522">
        <v>1</v>
      </c>
      <c r="H2522" t="s">
        <v>11</v>
      </c>
      <c r="I2522" t="str">
        <f>VLOOKUP(Tabla1[[#This Row],[Code]],'[1]Articulos Precio'!$A:$E,5,FALSE)</f>
        <v>A0000702</v>
      </c>
    </row>
    <row r="2523" spans="1:9" x14ac:dyDescent="0.25">
      <c r="A2523" t="s">
        <v>884</v>
      </c>
      <c r="B2523" t="str">
        <f>VLOOKUP(Tabla1[[#This Row],[Code]],[1]!Tabla4[#Data],2,FALSE)</f>
        <v>ML Cad-Cut Glitter 922 Azul 500mm</v>
      </c>
      <c r="C2523">
        <v>2</v>
      </c>
      <c r="D2523" t="s">
        <v>10</v>
      </c>
      <c r="E2523" t="str">
        <f>VLOOKUP(Tabla1[[#This Row],[Cód. Atributo]],[1]!Tabla5[#Data],6,FALSE)</f>
        <v>Select</v>
      </c>
      <c r="F2523">
        <v>1</v>
      </c>
      <c r="G2523">
        <v>1</v>
      </c>
      <c r="H2523" t="s">
        <v>11</v>
      </c>
      <c r="I2523" t="str">
        <f>VLOOKUP(Tabla1[[#This Row],[Code]],'[1]Articulos Precio'!$A:$E,5,FALSE)</f>
        <v>A0000702</v>
      </c>
    </row>
    <row r="2524" spans="1:9" x14ac:dyDescent="0.25">
      <c r="A2524" t="s">
        <v>885</v>
      </c>
      <c r="B2524" t="str">
        <f>VLOOKUP(Tabla1[[#This Row],[Code]],[1]!Tabla4[#Data],2,FALSE)</f>
        <v>ML Cad-Cut Glitter 942 Azul Real 500mm</v>
      </c>
      <c r="C2524">
        <v>2</v>
      </c>
      <c r="D2524" t="s">
        <v>10</v>
      </c>
      <c r="E2524" t="str">
        <f>VLOOKUP(Tabla1[[#This Row],[Cód. Atributo]],[1]!Tabla5[#Data],6,FALSE)</f>
        <v>Select</v>
      </c>
      <c r="F2524">
        <v>1</v>
      </c>
      <c r="G2524">
        <v>1</v>
      </c>
      <c r="H2524" t="s">
        <v>11</v>
      </c>
      <c r="I2524" t="str">
        <f>VLOOKUP(Tabla1[[#This Row],[Code]],'[1]Articulos Precio'!$A:$E,5,FALSE)</f>
        <v>A0000702</v>
      </c>
    </row>
    <row r="2525" spans="1:9" x14ac:dyDescent="0.25">
      <c r="A2525" t="s">
        <v>886</v>
      </c>
      <c r="B2525" t="str">
        <f>VLOOKUP(Tabla1[[#This Row],[Code]],[1]!Tabla4[#Data],2,FALSE)</f>
        <v>ML Cad-Cut Glitter 944 Azul Naval 500mm</v>
      </c>
      <c r="C2525">
        <v>2</v>
      </c>
      <c r="D2525" t="s">
        <v>10</v>
      </c>
      <c r="E2525" t="str">
        <f>VLOOKUP(Tabla1[[#This Row],[Cód. Atributo]],[1]!Tabla5[#Data],6,FALSE)</f>
        <v>Select</v>
      </c>
      <c r="F2525">
        <v>1</v>
      </c>
      <c r="G2525">
        <v>1</v>
      </c>
      <c r="H2525" t="s">
        <v>11</v>
      </c>
      <c r="I2525" t="str">
        <f>VLOOKUP(Tabla1[[#This Row],[Code]],'[1]Articulos Precio'!$A:$E,5,FALSE)</f>
        <v>A0000702</v>
      </c>
    </row>
    <row r="2526" spans="1:9" x14ac:dyDescent="0.25">
      <c r="A2526" t="s">
        <v>887</v>
      </c>
      <c r="B2526" t="str">
        <f>VLOOKUP(Tabla1[[#This Row],[Code]],[1]!Tabla4[#Data],2,FALSE)</f>
        <v>ML Cad-Cut Glitter 953 Verde Ligero 500mm</v>
      </c>
      <c r="C2526">
        <v>2</v>
      </c>
      <c r="D2526" t="s">
        <v>10</v>
      </c>
      <c r="E2526" t="str">
        <f>VLOOKUP(Tabla1[[#This Row],[Cód. Atributo]],[1]!Tabla5[#Data],6,FALSE)</f>
        <v>Select</v>
      </c>
      <c r="F2526">
        <v>1</v>
      </c>
      <c r="G2526">
        <v>1</v>
      </c>
      <c r="H2526" t="s">
        <v>11</v>
      </c>
      <c r="I2526" t="str">
        <f>VLOOKUP(Tabla1[[#This Row],[Code]],'[1]Articulos Precio'!$A:$E,5,FALSE)</f>
        <v>A0000702</v>
      </c>
    </row>
    <row r="2527" spans="1:9" x14ac:dyDescent="0.25">
      <c r="A2527" t="s">
        <v>888</v>
      </c>
      <c r="B2527" t="str">
        <f>VLOOKUP(Tabla1[[#This Row],[Code]],[1]!Tabla4[#Data],2,FALSE)</f>
        <v>ML Cad-Cut Glitter 925 Verde 500mm</v>
      </c>
      <c r="C2527">
        <v>2</v>
      </c>
      <c r="D2527" t="s">
        <v>10</v>
      </c>
      <c r="E2527" t="str">
        <f>VLOOKUP(Tabla1[[#This Row],[Cód. Atributo]],[1]!Tabla5[#Data],6,FALSE)</f>
        <v>Select</v>
      </c>
      <c r="F2527">
        <v>1</v>
      </c>
      <c r="G2527">
        <v>1</v>
      </c>
      <c r="H2527" t="s">
        <v>11</v>
      </c>
      <c r="I2527" t="str">
        <f>VLOOKUP(Tabla1[[#This Row],[Code]],'[1]Articulos Precio'!$A:$E,5,FALSE)</f>
        <v>A0000702</v>
      </c>
    </row>
    <row r="2528" spans="1:9" x14ac:dyDescent="0.25">
      <c r="A2528" t="s">
        <v>889</v>
      </c>
      <c r="B2528" t="str">
        <f>VLOOKUP(Tabla1[[#This Row],[Code]],[1]!Tabla4[#Data],2,FALSE)</f>
        <v>ML Cad-Cut Glitter 932 Verde Kelly 500mm</v>
      </c>
      <c r="C2528">
        <v>2</v>
      </c>
      <c r="D2528" t="s">
        <v>10</v>
      </c>
      <c r="E2528" t="str">
        <f>VLOOKUP(Tabla1[[#This Row],[Cód. Atributo]],[1]!Tabla5[#Data],6,FALSE)</f>
        <v>Select</v>
      </c>
      <c r="F2528">
        <v>1</v>
      </c>
      <c r="G2528">
        <v>1</v>
      </c>
      <c r="H2528" t="s">
        <v>11</v>
      </c>
      <c r="I2528" t="str">
        <f>VLOOKUP(Tabla1[[#This Row],[Code]],'[1]Articulos Precio'!$A:$E,5,FALSE)</f>
        <v>A0000702</v>
      </c>
    </row>
    <row r="2529" spans="1:9" x14ac:dyDescent="0.25">
      <c r="A2529" t="s">
        <v>890</v>
      </c>
      <c r="B2529" t="str">
        <f>VLOOKUP(Tabla1[[#This Row],[Code]],[1]!Tabla4[#Data],2,FALSE)</f>
        <v>ML Cad-Cut Glitter 926 Marrón 500mm</v>
      </c>
      <c r="C2529">
        <v>2</v>
      </c>
      <c r="D2529" t="s">
        <v>10</v>
      </c>
      <c r="E2529" t="str">
        <f>VLOOKUP(Tabla1[[#This Row],[Cód. Atributo]],[1]!Tabla5[#Data],6,FALSE)</f>
        <v>Select</v>
      </c>
      <c r="F2529">
        <v>1</v>
      </c>
      <c r="G2529">
        <v>1</v>
      </c>
      <c r="H2529" t="s">
        <v>11</v>
      </c>
      <c r="I2529" t="str">
        <f>VLOOKUP(Tabla1[[#This Row],[Code]],'[1]Articulos Precio'!$A:$E,5,FALSE)</f>
        <v>A0000702</v>
      </c>
    </row>
    <row r="2530" spans="1:9" x14ac:dyDescent="0.25">
      <c r="A2530" t="s">
        <v>891</v>
      </c>
      <c r="B2530" t="str">
        <f>VLOOKUP(Tabla1[[#This Row],[Code]],[1]!Tabla4[#Data],2,FALSE)</f>
        <v>ML Cad-Cut Glitter 951 Holo Gris 500mm</v>
      </c>
      <c r="C2530">
        <v>2</v>
      </c>
      <c r="D2530" t="s">
        <v>10</v>
      </c>
      <c r="E2530" t="str">
        <f>VLOOKUP(Tabla1[[#This Row],[Cód. Atributo]],[1]!Tabla5[#Data],6,FALSE)</f>
        <v>Select</v>
      </c>
      <c r="F2530">
        <v>1</v>
      </c>
      <c r="G2530">
        <v>1</v>
      </c>
      <c r="H2530" t="s">
        <v>11</v>
      </c>
      <c r="I2530" t="str">
        <f>VLOOKUP(Tabla1[[#This Row],[Code]],'[1]Articulos Precio'!$A:$E,5,FALSE)</f>
        <v>A0000702</v>
      </c>
    </row>
    <row r="2531" spans="1:9" x14ac:dyDescent="0.25">
      <c r="A2531" t="s">
        <v>892</v>
      </c>
      <c r="B2531" t="str">
        <f>VLOOKUP(Tabla1[[#This Row],[Code]],[1]!Tabla4[#Data],2,FALSE)</f>
        <v>ML Cad-Cut Glitter 921 Plata 500mm</v>
      </c>
      <c r="C2531">
        <v>2</v>
      </c>
      <c r="D2531" t="s">
        <v>10</v>
      </c>
      <c r="E2531" t="str">
        <f>VLOOKUP(Tabla1[[#This Row],[Cód. Atributo]],[1]!Tabla5[#Data],6,FALSE)</f>
        <v>Select</v>
      </c>
      <c r="F2531">
        <v>1</v>
      </c>
      <c r="G2531">
        <v>1</v>
      </c>
      <c r="H2531" t="s">
        <v>11</v>
      </c>
      <c r="I2531" t="str">
        <f>VLOOKUP(Tabla1[[#This Row],[Code]],'[1]Articulos Precio'!$A:$E,5,FALSE)</f>
        <v>A0000702</v>
      </c>
    </row>
    <row r="2532" spans="1:9" x14ac:dyDescent="0.25">
      <c r="A2532" t="s">
        <v>893</v>
      </c>
      <c r="B2532" t="str">
        <f>VLOOKUP(Tabla1[[#This Row],[Code]],[1]!Tabla4[#Data],2,FALSE)</f>
        <v>ML Cad-Cut Glitter 949 Negro Plata 500mm</v>
      </c>
      <c r="C2532">
        <v>2</v>
      </c>
      <c r="D2532" t="s">
        <v>10</v>
      </c>
      <c r="E2532" t="str">
        <f>VLOOKUP(Tabla1[[#This Row],[Cód. Atributo]],[1]!Tabla5[#Data],6,FALSE)</f>
        <v>Select</v>
      </c>
      <c r="F2532">
        <v>1</v>
      </c>
      <c r="G2532">
        <v>1</v>
      </c>
      <c r="H2532" t="s">
        <v>11</v>
      </c>
      <c r="I2532" t="str">
        <f>VLOOKUP(Tabla1[[#This Row],[Code]],'[1]Articulos Precio'!$A:$E,5,FALSE)</f>
        <v>A0000702</v>
      </c>
    </row>
    <row r="2533" spans="1:9" x14ac:dyDescent="0.25">
      <c r="A2533" t="s">
        <v>894</v>
      </c>
      <c r="B2533" t="str">
        <f>VLOOKUP(Tabla1[[#This Row],[Code]],[1]!Tabla4[#Data],2,FALSE)</f>
        <v>ML Cad-Cut Glitter 929 Multi 500mm</v>
      </c>
      <c r="C2533">
        <v>2</v>
      </c>
      <c r="D2533" t="s">
        <v>10</v>
      </c>
      <c r="E2533" t="str">
        <f>VLOOKUP(Tabla1[[#This Row],[Cód. Atributo]],[1]!Tabla5[#Data],6,FALSE)</f>
        <v>Select</v>
      </c>
      <c r="F2533">
        <v>1</v>
      </c>
      <c r="G2533">
        <v>1</v>
      </c>
      <c r="H2533" t="s">
        <v>11</v>
      </c>
      <c r="I2533" t="str">
        <f>VLOOKUP(Tabla1[[#This Row],[Code]],'[1]Articulos Precio'!$A:$E,5,FALSE)</f>
        <v>A0000702</v>
      </c>
    </row>
    <row r="2534" spans="1:9" x14ac:dyDescent="0.25">
      <c r="A2534" t="s">
        <v>895</v>
      </c>
      <c r="B2534" t="str">
        <f>VLOOKUP(Tabla1[[#This Row],[Code]],[1]!Tabla4[#Data],2,FALSE)</f>
        <v>ML Cad-Cut Glitter 948 Confetti 500mm</v>
      </c>
      <c r="C2534">
        <v>2</v>
      </c>
      <c r="D2534" t="s">
        <v>10</v>
      </c>
      <c r="E2534" t="str">
        <f>VLOOKUP(Tabla1[[#This Row],[Cód. Atributo]],[1]!Tabla5[#Data],6,FALSE)</f>
        <v>Select</v>
      </c>
      <c r="F2534">
        <v>1</v>
      </c>
      <c r="G2534">
        <v>1</v>
      </c>
      <c r="H2534" t="s">
        <v>11</v>
      </c>
      <c r="I2534" t="str">
        <f>VLOOKUP(Tabla1[[#This Row],[Code]],'[1]Articulos Precio'!$A:$E,5,FALSE)</f>
        <v>A0000702</v>
      </c>
    </row>
    <row r="2535" spans="1:9" x14ac:dyDescent="0.25">
      <c r="A2535" t="s">
        <v>896</v>
      </c>
      <c r="B2535" t="str">
        <f>VLOOKUP(Tabla1[[#This Row],[Code]],[1]!Tabla4[#Data],2,FALSE)</f>
        <v>ML Cad-Cut Glitter 935 Holo Oro 500mm</v>
      </c>
      <c r="C2535">
        <v>2</v>
      </c>
      <c r="D2535" t="s">
        <v>10</v>
      </c>
      <c r="E2535" t="str">
        <f>VLOOKUP(Tabla1[[#This Row],[Cód. Atributo]],[1]!Tabla5[#Data],6,FALSE)</f>
        <v>Select</v>
      </c>
      <c r="F2535">
        <v>1</v>
      </c>
      <c r="G2535">
        <v>1</v>
      </c>
      <c r="H2535" t="s">
        <v>11</v>
      </c>
      <c r="I2535" t="str">
        <f>VLOOKUP(Tabla1[[#This Row],[Code]],'[1]Articulos Precio'!$A:$E,5,FALSE)</f>
        <v>A0000702</v>
      </c>
    </row>
    <row r="2536" spans="1:9" x14ac:dyDescent="0.25">
      <c r="A2536" t="s">
        <v>897</v>
      </c>
      <c r="B2536" t="str">
        <f>VLOOKUP(Tabla1[[#This Row],[Code]],[1]!Tabla4[#Data],2,FALSE)</f>
        <v>ML Cad-Cut Glitter 920 Oro 500mm</v>
      </c>
      <c r="C2536">
        <v>2</v>
      </c>
      <c r="D2536" t="s">
        <v>10</v>
      </c>
      <c r="E2536" t="str">
        <f>VLOOKUP(Tabla1[[#This Row],[Cód. Atributo]],[1]!Tabla5[#Data],6,FALSE)</f>
        <v>Select</v>
      </c>
      <c r="F2536">
        <v>1</v>
      </c>
      <c r="G2536">
        <v>1</v>
      </c>
      <c r="H2536" t="s">
        <v>11</v>
      </c>
      <c r="I2536" t="str">
        <f>VLOOKUP(Tabla1[[#This Row],[Code]],'[1]Articulos Precio'!$A:$E,5,FALSE)</f>
        <v>A0000702</v>
      </c>
    </row>
    <row r="2537" spans="1:9" x14ac:dyDescent="0.25">
      <c r="A2537" t="s">
        <v>898</v>
      </c>
      <c r="B2537" t="str">
        <f>VLOOKUP(Tabla1[[#This Row],[Code]],[1]!Tabla4[#Data],2,FALSE)</f>
        <v>ML Cad-Cut Glitter 947 Negro Oro 500mm</v>
      </c>
      <c r="C2537">
        <v>2</v>
      </c>
      <c r="D2537" t="s">
        <v>10</v>
      </c>
      <c r="E2537" t="str">
        <f>VLOOKUP(Tabla1[[#This Row],[Cód. Atributo]],[1]!Tabla5[#Data],6,FALSE)</f>
        <v>Select</v>
      </c>
      <c r="F2537">
        <v>1</v>
      </c>
      <c r="G2537">
        <v>1</v>
      </c>
      <c r="H2537" t="s">
        <v>11</v>
      </c>
      <c r="I2537" t="str">
        <f>VLOOKUP(Tabla1[[#This Row],[Code]],'[1]Articulos Precio'!$A:$E,5,FALSE)</f>
        <v>A0000702</v>
      </c>
    </row>
    <row r="2538" spans="1:9" x14ac:dyDescent="0.25">
      <c r="A2538" t="s">
        <v>899</v>
      </c>
      <c r="B2538" t="str">
        <f>VLOOKUP(Tabla1[[#This Row],[Code]],[1]!Tabla4[#Data],2,FALSE)</f>
        <v>ML Cad-Cut Glitter 928 Negro 500mm</v>
      </c>
      <c r="C2538">
        <v>2</v>
      </c>
      <c r="D2538" t="s">
        <v>10</v>
      </c>
      <c r="E2538" t="str">
        <f>VLOOKUP(Tabla1[[#This Row],[Cód. Atributo]],[1]!Tabla5[#Data],6,FALSE)</f>
        <v>Select</v>
      </c>
      <c r="F2538">
        <v>1</v>
      </c>
      <c r="G2538">
        <v>1</v>
      </c>
      <c r="H2538" t="s">
        <v>11</v>
      </c>
      <c r="I2538" t="str">
        <f>VLOOKUP(Tabla1[[#This Row],[Code]],'[1]Articulos Precio'!$A:$E,5,FALSE)</f>
        <v>A0000702</v>
      </c>
    </row>
    <row r="2539" spans="1:9" x14ac:dyDescent="0.25">
      <c r="A2539" t="s">
        <v>900</v>
      </c>
      <c r="B2539" t="str">
        <f>VLOOKUP(Tabla1[[#This Row],[Code]],[1]!Tabla4[#Data],2,FALSE)</f>
        <v>ML Cad-Cut Glitter 936 Neon Amarillo 500mm</v>
      </c>
      <c r="C2539">
        <v>2</v>
      </c>
      <c r="D2539" t="s">
        <v>10</v>
      </c>
      <c r="E2539" t="str">
        <f>VLOOKUP(Tabla1[[#This Row],[Cód. Atributo]],[1]!Tabla5[#Data],6,FALSE)</f>
        <v>Select</v>
      </c>
      <c r="F2539">
        <v>1</v>
      </c>
      <c r="G2539">
        <v>1</v>
      </c>
      <c r="H2539" t="s">
        <v>11</v>
      </c>
      <c r="I2539" t="str">
        <f>VLOOKUP(Tabla1[[#This Row],[Code]],'[1]Articulos Precio'!$A:$E,5,FALSE)</f>
        <v>A0000702</v>
      </c>
    </row>
    <row r="2540" spans="1:9" x14ac:dyDescent="0.25">
      <c r="A2540" t="s">
        <v>901</v>
      </c>
      <c r="B2540" t="str">
        <f>VLOOKUP(Tabla1[[#This Row],[Code]],[1]!Tabla4[#Data],2,FALSE)</f>
        <v>ML Cad-Cut Glitter 939 Neon Naranja 500mm</v>
      </c>
      <c r="C2540">
        <v>2</v>
      </c>
      <c r="D2540" t="s">
        <v>10</v>
      </c>
      <c r="E2540" t="str">
        <f>VLOOKUP(Tabla1[[#This Row],[Cód. Atributo]],[1]!Tabla5[#Data],6,FALSE)</f>
        <v>Select</v>
      </c>
      <c r="F2540">
        <v>1</v>
      </c>
      <c r="G2540">
        <v>1</v>
      </c>
      <c r="H2540" t="s">
        <v>11</v>
      </c>
      <c r="I2540" t="str">
        <f>VLOOKUP(Tabla1[[#This Row],[Code]],'[1]Articulos Precio'!$A:$E,5,FALSE)</f>
        <v>A0000702</v>
      </c>
    </row>
    <row r="2541" spans="1:9" x14ac:dyDescent="0.25">
      <c r="A2541" t="s">
        <v>902</v>
      </c>
      <c r="B2541" t="str">
        <f>VLOOKUP(Tabla1[[#This Row],[Code]],[1]!Tabla4[#Data],2,FALSE)</f>
        <v>ML Cad-Cut Glitter 941 Neon Rosa 500mm</v>
      </c>
      <c r="C2541">
        <v>2</v>
      </c>
      <c r="D2541" t="s">
        <v>10</v>
      </c>
      <c r="E2541" t="str">
        <f>VLOOKUP(Tabla1[[#This Row],[Cód. Atributo]],[1]!Tabla5[#Data],6,FALSE)</f>
        <v>Select</v>
      </c>
      <c r="F2541">
        <v>1</v>
      </c>
      <c r="G2541">
        <v>1</v>
      </c>
      <c r="H2541" t="s">
        <v>11</v>
      </c>
      <c r="I2541" t="str">
        <f>VLOOKUP(Tabla1[[#This Row],[Code]],'[1]Articulos Precio'!$A:$E,5,FALSE)</f>
        <v>A0000702</v>
      </c>
    </row>
    <row r="2542" spans="1:9" x14ac:dyDescent="0.25">
      <c r="A2542" t="s">
        <v>903</v>
      </c>
      <c r="B2542" t="str">
        <f>VLOOKUP(Tabla1[[#This Row],[Code]],[1]!Tabla4[#Data],2,FALSE)</f>
        <v>ML Cad-Cut Glitter 938 Neon Azul 500mm</v>
      </c>
      <c r="C2542">
        <v>2</v>
      </c>
      <c r="D2542" t="s">
        <v>10</v>
      </c>
      <c r="E2542" t="str">
        <f>VLOOKUP(Tabla1[[#This Row],[Cód. Atributo]],[1]!Tabla5[#Data],6,FALSE)</f>
        <v>Select</v>
      </c>
      <c r="F2542">
        <v>1</v>
      </c>
      <c r="G2542">
        <v>1</v>
      </c>
      <c r="H2542" t="s">
        <v>11</v>
      </c>
      <c r="I2542" t="str">
        <f>VLOOKUP(Tabla1[[#This Row],[Code]],'[1]Articulos Precio'!$A:$E,5,FALSE)</f>
        <v>A0000702</v>
      </c>
    </row>
    <row r="2543" spans="1:9" x14ac:dyDescent="0.25">
      <c r="A2543" t="s">
        <v>904</v>
      </c>
      <c r="B2543" t="str">
        <f>VLOOKUP(Tabla1[[#This Row],[Code]],[1]!Tabla4[#Data],2,FALSE)</f>
        <v>ML Cad-Cut Glitter 937 Neon Verde 500mm</v>
      </c>
      <c r="C2543">
        <v>2</v>
      </c>
      <c r="D2543" t="s">
        <v>10</v>
      </c>
      <c r="E2543" t="str">
        <f>VLOOKUP(Tabla1[[#This Row],[Cód. Atributo]],[1]!Tabla5[#Data],6,FALSE)</f>
        <v>Select</v>
      </c>
      <c r="F2543">
        <v>1</v>
      </c>
      <c r="G2543">
        <v>1</v>
      </c>
      <c r="H2543" t="s">
        <v>11</v>
      </c>
      <c r="I2543" t="str">
        <f>VLOOKUP(Tabla1[[#This Row],[Code]],'[1]Articulos Precio'!$A:$E,5,FALSE)</f>
        <v>A0000702</v>
      </c>
    </row>
    <row r="2544" spans="1:9" x14ac:dyDescent="0.25">
      <c r="A2544" t="s">
        <v>905</v>
      </c>
      <c r="B2544" t="str">
        <f>VLOOKUP(Tabla1[[#This Row],[Code]],[1]!Tabla4[#Data],2,FALSE)</f>
        <v>ML Cad-Cut Glitter 940 Neon Púrpura 500mm</v>
      </c>
      <c r="C2544">
        <v>2</v>
      </c>
      <c r="D2544" t="s">
        <v>10</v>
      </c>
      <c r="E2544" t="str">
        <f>VLOOKUP(Tabla1[[#This Row],[Cód. Atributo]],[1]!Tabla5[#Data],6,FALSE)</f>
        <v>Select</v>
      </c>
      <c r="F2544">
        <v>1</v>
      </c>
      <c r="G2544">
        <v>1</v>
      </c>
      <c r="H2544" t="s">
        <v>11</v>
      </c>
      <c r="I2544" t="str">
        <f>VLOOKUP(Tabla1[[#This Row],[Code]],'[1]Articulos Precio'!$A:$E,5,FALSE)</f>
        <v>A0000702</v>
      </c>
    </row>
    <row r="2545" spans="1:9" x14ac:dyDescent="0.25">
      <c r="A2545" t="s">
        <v>906</v>
      </c>
      <c r="B2545" t="str">
        <f>VLOOKUP(Tabla1[[#This Row],[Code]],[1]!Tabla4[#Data],2,FALSE)</f>
        <v>ML Cad-Cut Glitter 945 Old Oro 500mm</v>
      </c>
      <c r="C2545">
        <v>2</v>
      </c>
      <c r="D2545" t="s">
        <v>10</v>
      </c>
      <c r="E2545" t="str">
        <f>VLOOKUP(Tabla1[[#This Row],[Cód. Atributo]],[1]!Tabla5[#Data],6,FALSE)</f>
        <v>Select</v>
      </c>
      <c r="F2545">
        <v>1</v>
      </c>
      <c r="G2545">
        <v>1</v>
      </c>
      <c r="H2545" t="s">
        <v>11</v>
      </c>
      <c r="I2545" t="str">
        <f>VLOOKUP(Tabla1[[#This Row],[Code]],'[1]Articulos Precio'!$A:$E,5,FALSE)</f>
        <v>A0000702</v>
      </c>
    </row>
    <row r="2546" spans="1:9" x14ac:dyDescent="0.25">
      <c r="A2546" t="s">
        <v>907</v>
      </c>
      <c r="B2546" t="str">
        <f>VLOOKUP(Tabla1[[#This Row],[Code]],[1]!Tabla4[#Data],2,FALSE)</f>
        <v>ML Cad-Cut Glitter 933 Verde Oscuro 500mm</v>
      </c>
      <c r="C2546">
        <v>2</v>
      </c>
      <c r="D2546" t="s">
        <v>10</v>
      </c>
      <c r="E2546" t="str">
        <f>VLOOKUP(Tabla1[[#This Row],[Cód. Atributo]],[1]!Tabla5[#Data],6,FALSE)</f>
        <v>Select</v>
      </c>
      <c r="F2546">
        <v>1</v>
      </c>
      <c r="G2546">
        <v>1</v>
      </c>
      <c r="H2546" t="s">
        <v>11</v>
      </c>
      <c r="I2546" t="str">
        <f>VLOOKUP(Tabla1[[#This Row],[Code]],'[1]Articulos Precio'!$A:$E,5,FALSE)</f>
        <v>A0000702</v>
      </c>
    </row>
    <row r="2547" spans="1:9" x14ac:dyDescent="0.25">
      <c r="A2547" t="s">
        <v>908</v>
      </c>
      <c r="B2547" t="str">
        <f>VLOOKUP(Tabla1[[#This Row],[Code]],[1]!Tabla4[#Data],2,FALSE)</f>
        <v>ML Cad-Cut Effect 900 Rainbow 500mm</v>
      </c>
      <c r="C2547">
        <v>2</v>
      </c>
      <c r="D2547" t="s">
        <v>10</v>
      </c>
      <c r="E2547" t="str">
        <f>VLOOKUP(Tabla1[[#This Row],[Cód. Atributo]],[1]!Tabla5[#Data],6,FALSE)</f>
        <v>Select</v>
      </c>
      <c r="F2547">
        <v>1</v>
      </c>
      <c r="G2547">
        <v>1</v>
      </c>
      <c r="H2547" t="s">
        <v>11</v>
      </c>
      <c r="I2547" t="str">
        <f>VLOOKUP(Tabla1[[#This Row],[Code]],'[1]Articulos Precio'!$A:$E,5,FALSE)</f>
        <v>A0000738</v>
      </c>
    </row>
    <row r="2548" spans="1:9" x14ac:dyDescent="0.25">
      <c r="A2548" t="s">
        <v>909</v>
      </c>
      <c r="B2548" t="str">
        <f>VLOOKUP(Tabla1[[#This Row],[Code]],[1]!Tabla4[#Data],2,FALSE)</f>
        <v>ML Cad-Cut Effect 901 Spectrum 500mm</v>
      </c>
      <c r="C2548">
        <v>2</v>
      </c>
      <c r="D2548" t="s">
        <v>10</v>
      </c>
      <c r="E2548" t="str">
        <f>VLOOKUP(Tabla1[[#This Row],[Cód. Atributo]],[1]!Tabla5[#Data],6,FALSE)</f>
        <v>Select</v>
      </c>
      <c r="F2548">
        <v>1</v>
      </c>
      <c r="G2548">
        <v>1</v>
      </c>
      <c r="H2548" t="s">
        <v>11</v>
      </c>
      <c r="I2548" t="str">
        <f>VLOOKUP(Tabla1[[#This Row],[Code]],'[1]Articulos Precio'!$A:$E,5,FALSE)</f>
        <v>A0000738</v>
      </c>
    </row>
    <row r="2549" spans="1:9" x14ac:dyDescent="0.25">
      <c r="A2549" t="s">
        <v>910</v>
      </c>
      <c r="B2549" t="str">
        <f>VLOOKUP(Tabla1[[#This Row],[Code]],[1]!Tabla4[#Data],2,FALSE)</f>
        <v>ML Cad-Cut Effect 902 Sparkle Plata 500mm</v>
      </c>
      <c r="C2549">
        <v>2</v>
      </c>
      <c r="D2549" t="s">
        <v>10</v>
      </c>
      <c r="E2549" t="str">
        <f>VLOOKUP(Tabla1[[#This Row],[Cód. Atributo]],[1]!Tabla5[#Data],6,FALSE)</f>
        <v>Select</v>
      </c>
      <c r="F2549">
        <v>1</v>
      </c>
      <c r="G2549">
        <v>1</v>
      </c>
      <c r="H2549" t="s">
        <v>11</v>
      </c>
      <c r="I2549" t="str">
        <f>VLOOKUP(Tabla1[[#This Row],[Code]],'[1]Articulos Precio'!$A:$E,5,FALSE)</f>
        <v>A0000738</v>
      </c>
    </row>
    <row r="2550" spans="1:9" x14ac:dyDescent="0.25">
      <c r="A2550" t="s">
        <v>911</v>
      </c>
      <c r="B2550" t="str">
        <f>VLOOKUP(Tabla1[[#This Row],[Code]],[1]!Tabla4[#Data],2,FALSE)</f>
        <v>ML Cad-Cut Effect 903 Sparkle Oro 500mm</v>
      </c>
      <c r="C2550">
        <v>2</v>
      </c>
      <c r="D2550" t="s">
        <v>10</v>
      </c>
      <c r="E2550" t="str">
        <f>VLOOKUP(Tabla1[[#This Row],[Cód. Atributo]],[1]!Tabla5[#Data],6,FALSE)</f>
        <v>Select</v>
      </c>
      <c r="F2550">
        <v>1</v>
      </c>
      <c r="G2550">
        <v>1</v>
      </c>
      <c r="H2550" t="s">
        <v>11</v>
      </c>
      <c r="I2550" t="str">
        <f>VLOOKUP(Tabla1[[#This Row],[Code]],'[1]Articulos Precio'!$A:$E,5,FALSE)</f>
        <v>A0000738</v>
      </c>
    </row>
    <row r="2551" spans="1:9" x14ac:dyDescent="0.25">
      <c r="A2551" t="s">
        <v>912</v>
      </c>
      <c r="B2551" t="str">
        <f>VLOOKUP(Tabla1[[#This Row],[Code]],[1]!Tabla4[#Data],2,FALSE)</f>
        <v>ML Cad-Cut Effect 904 Sparkle Rojo 500mm</v>
      </c>
      <c r="C2551">
        <v>2</v>
      </c>
      <c r="D2551" t="s">
        <v>10</v>
      </c>
      <c r="E2551" t="str">
        <f>VLOOKUP(Tabla1[[#This Row],[Cód. Atributo]],[1]!Tabla5[#Data],6,FALSE)</f>
        <v>Select</v>
      </c>
      <c r="F2551">
        <v>1</v>
      </c>
      <c r="G2551">
        <v>1</v>
      </c>
      <c r="H2551" t="s">
        <v>11</v>
      </c>
      <c r="I2551" t="str">
        <f>VLOOKUP(Tabla1[[#This Row],[Code]],'[1]Articulos Precio'!$A:$E,5,FALSE)</f>
        <v>A0000738</v>
      </c>
    </row>
    <row r="2552" spans="1:9" x14ac:dyDescent="0.25">
      <c r="A2552" t="s">
        <v>913</v>
      </c>
      <c r="B2552" t="str">
        <f>VLOOKUP(Tabla1[[#This Row],[Code]],[1]!Tabla4[#Data],2,FALSE)</f>
        <v>ML Cad-Cut Effect 905 Sparkle Azul Ligero 500mm</v>
      </c>
      <c r="C2552">
        <v>2</v>
      </c>
      <c r="D2552" t="s">
        <v>10</v>
      </c>
      <c r="E2552" t="str">
        <f>VLOOKUP(Tabla1[[#This Row],[Cód. Atributo]],[1]!Tabla5[#Data],6,FALSE)</f>
        <v>Select</v>
      </c>
      <c r="F2552">
        <v>1</v>
      </c>
      <c r="G2552">
        <v>1</v>
      </c>
      <c r="H2552" t="s">
        <v>11</v>
      </c>
      <c r="I2552" t="str">
        <f>VLOOKUP(Tabla1[[#This Row],[Code]],'[1]Articulos Precio'!$A:$E,5,FALSE)</f>
        <v>A0000738</v>
      </c>
    </row>
    <row r="2553" spans="1:9" x14ac:dyDescent="0.25">
      <c r="A2553" t="s">
        <v>914</v>
      </c>
      <c r="B2553" t="str">
        <f>VLOOKUP(Tabla1[[#This Row],[Code]],[1]!Tabla4[#Data],2,FALSE)</f>
        <v>ML Cad-Cut Effect 906 Sparkle Azul 500mm</v>
      </c>
      <c r="C2553">
        <v>2</v>
      </c>
      <c r="D2553" t="s">
        <v>10</v>
      </c>
      <c r="E2553" t="str">
        <f>VLOOKUP(Tabla1[[#This Row],[Cód. Atributo]],[1]!Tabla5[#Data],6,FALSE)</f>
        <v>Select</v>
      </c>
      <c r="F2553">
        <v>1</v>
      </c>
      <c r="G2553">
        <v>1</v>
      </c>
      <c r="H2553" t="s">
        <v>11</v>
      </c>
      <c r="I2553" t="str">
        <f>VLOOKUP(Tabla1[[#This Row],[Code]],'[1]Articulos Precio'!$A:$E,5,FALSE)</f>
        <v>A0000738</v>
      </c>
    </row>
    <row r="2554" spans="1:9" x14ac:dyDescent="0.25">
      <c r="A2554" t="s">
        <v>915</v>
      </c>
      <c r="B2554" t="str">
        <f>VLOOKUP(Tabla1[[#This Row],[Code]],[1]!Tabla4[#Data],2,FALSE)</f>
        <v>ML Cad-Cut Effect 907 Sparkle Púrpura 500mm</v>
      </c>
      <c r="C2554">
        <v>2</v>
      </c>
      <c r="D2554" t="s">
        <v>10</v>
      </c>
      <c r="E2554" t="str">
        <f>VLOOKUP(Tabla1[[#This Row],[Cód. Atributo]],[1]!Tabla5[#Data],6,FALSE)</f>
        <v>Select</v>
      </c>
      <c r="F2554">
        <v>1</v>
      </c>
      <c r="G2554">
        <v>1</v>
      </c>
      <c r="H2554" t="s">
        <v>11</v>
      </c>
      <c r="I2554" t="str">
        <f>VLOOKUP(Tabla1[[#This Row],[Code]],'[1]Articulos Precio'!$A:$E,5,FALSE)</f>
        <v>A0000738</v>
      </c>
    </row>
    <row r="2555" spans="1:9" x14ac:dyDescent="0.25">
      <c r="A2555" t="s">
        <v>916</v>
      </c>
      <c r="B2555" t="str">
        <f>VLOOKUP(Tabla1[[#This Row],[Code]],[1]!Tabla4[#Data],2,FALSE)</f>
        <v>ML Cad-Cut Effect 908 Sparkle Verde 500mm</v>
      </c>
      <c r="C2555">
        <v>2</v>
      </c>
      <c r="D2555" t="s">
        <v>10</v>
      </c>
      <c r="E2555" t="str">
        <f>VLOOKUP(Tabla1[[#This Row],[Cód. Atributo]],[1]!Tabla5[#Data],6,FALSE)</f>
        <v>Select</v>
      </c>
      <c r="F2555">
        <v>1</v>
      </c>
      <c r="G2555">
        <v>1</v>
      </c>
      <c r="H2555" t="s">
        <v>11</v>
      </c>
      <c r="I2555" t="str">
        <f>VLOOKUP(Tabla1[[#This Row],[Code]],'[1]Articulos Precio'!$A:$E,5,FALSE)</f>
        <v>A0000738</v>
      </c>
    </row>
    <row r="2556" spans="1:9" x14ac:dyDescent="0.25">
      <c r="A2556" t="s">
        <v>917</v>
      </c>
      <c r="B2556" t="str">
        <f>VLOOKUP(Tabla1[[#This Row],[Code]],[1]!Tabla4[#Data],2,FALSE)</f>
        <v>ML Cad-Cut Effect 909 Sparkle Rosa 500mm</v>
      </c>
      <c r="C2556">
        <v>2</v>
      </c>
      <c r="D2556" t="s">
        <v>10</v>
      </c>
      <c r="E2556" t="str">
        <f>VLOOKUP(Tabla1[[#This Row],[Cód. Atributo]],[1]!Tabla5[#Data],6,FALSE)</f>
        <v>Select</v>
      </c>
      <c r="F2556">
        <v>1</v>
      </c>
      <c r="G2556">
        <v>1</v>
      </c>
      <c r="H2556" t="s">
        <v>11</v>
      </c>
      <c r="I2556" t="str">
        <f>VLOOKUP(Tabla1[[#This Row],[Code]],'[1]Articulos Precio'!$A:$E,5,FALSE)</f>
        <v>A0000738</v>
      </c>
    </row>
    <row r="2557" spans="1:9" x14ac:dyDescent="0.25">
      <c r="A2557" t="s">
        <v>918</v>
      </c>
      <c r="B2557" t="str">
        <f>VLOOKUP(Tabla1[[#This Row],[Code]],[1]!Tabla4[#Data],2,FALSE)</f>
        <v>ML Cad-Cut Effect 913 Crystal 500mm</v>
      </c>
      <c r="C2557">
        <v>2</v>
      </c>
      <c r="D2557" t="s">
        <v>10</v>
      </c>
      <c r="E2557" t="str">
        <f>VLOOKUP(Tabla1[[#This Row],[Cód. Atributo]],[1]!Tabla5[#Data],6,FALSE)</f>
        <v>Select</v>
      </c>
      <c r="F2557">
        <v>1</v>
      </c>
      <c r="G2557">
        <v>1</v>
      </c>
      <c r="H2557" t="s">
        <v>11</v>
      </c>
      <c r="I2557" t="str">
        <f>VLOOKUP(Tabla1[[#This Row],[Code]],'[1]Articulos Precio'!$A:$E,5,FALSE)</f>
        <v>A0000738</v>
      </c>
    </row>
    <row r="2558" spans="1:9" x14ac:dyDescent="0.25">
      <c r="A2558" t="s">
        <v>919</v>
      </c>
      <c r="B2558" t="str">
        <f>VLOOKUP(Tabla1[[#This Row],[Code]],[1]!Tabla4[#Data],2,FALSE)</f>
        <v>ML Cad-Cut Effect 914 Multi 500mm</v>
      </c>
      <c r="C2558">
        <v>2</v>
      </c>
      <c r="D2558" t="s">
        <v>10</v>
      </c>
      <c r="E2558" t="str">
        <f>VLOOKUP(Tabla1[[#This Row],[Cód. Atributo]],[1]!Tabla5[#Data],6,FALSE)</f>
        <v>Select</v>
      </c>
      <c r="F2558">
        <v>1</v>
      </c>
      <c r="G2558">
        <v>1</v>
      </c>
      <c r="H2558" t="s">
        <v>11</v>
      </c>
      <c r="I2558" t="str">
        <f>VLOOKUP(Tabla1[[#This Row],[Code]],'[1]Articulos Precio'!$A:$E,5,FALSE)</f>
        <v>A0000738</v>
      </c>
    </row>
    <row r="2559" spans="1:9" x14ac:dyDescent="0.25">
      <c r="A2559" t="s">
        <v>920</v>
      </c>
      <c r="B2559" t="str">
        <f>VLOOKUP(Tabla1[[#This Row],[Code]],[1]!Tabla4[#Data],2,FALSE)</f>
        <v>ML Cad-Cut Premium Plus Sublistop 001 Blanco 500mm</v>
      </c>
      <c r="C2559">
        <v>2</v>
      </c>
      <c r="D2559" t="s">
        <v>10</v>
      </c>
      <c r="E2559" t="str">
        <f>VLOOKUP(Tabla1[[#This Row],[Cód. Atributo]],[1]!Tabla5[#Data],6,FALSE)</f>
        <v>Select</v>
      </c>
      <c r="F2559">
        <v>1</v>
      </c>
      <c r="G2559">
        <v>1</v>
      </c>
      <c r="H2559" t="s">
        <v>11</v>
      </c>
      <c r="I2559" t="str">
        <f>VLOOKUP(Tabla1[[#This Row],[Code]],'[1]Articulos Precio'!$A:$E,5,FALSE)</f>
        <v>A0000750</v>
      </c>
    </row>
    <row r="2560" spans="1:9" x14ac:dyDescent="0.25">
      <c r="A2560" t="s">
        <v>920</v>
      </c>
      <c r="B2560" t="str">
        <f>VLOOKUP(Tabla1[[#This Row],[Code]],[1]!Tabla4[#Data],2,FALSE)</f>
        <v>ML Cad-Cut Premium Plus Sublistop 001 Blanco 500mm</v>
      </c>
      <c r="C2560">
        <v>19</v>
      </c>
      <c r="D2560" t="s">
        <v>921</v>
      </c>
      <c r="E2560" t="str">
        <f>VLOOKUP(Tabla1[[#This Row],[Cód. Atributo]],[1]!Tabla5[#Data],6,FALSE)</f>
        <v>Color</v>
      </c>
      <c r="F2560">
        <v>2</v>
      </c>
      <c r="G2560">
        <v>1</v>
      </c>
      <c r="H2560" t="s">
        <v>922</v>
      </c>
      <c r="I2560" t="str">
        <f>VLOOKUP(Tabla1[[#This Row],[Code]],'[1]Articulos Precio'!$A:$E,5,FALSE)</f>
        <v>A0000750</v>
      </c>
    </row>
    <row r="2561" spans="1:9" x14ac:dyDescent="0.25">
      <c r="A2561" t="s">
        <v>923</v>
      </c>
      <c r="B2561" t="str">
        <f>VLOOKUP(Tabla1[[#This Row],[Code]],[1]!Tabla4[#Data],2,FALSE)</f>
        <v>ML Cad-Cut Premium Plus Sublistop 005 Crema 500mm</v>
      </c>
      <c r="C2561">
        <v>2</v>
      </c>
      <c r="D2561" t="s">
        <v>10</v>
      </c>
      <c r="E2561" t="str">
        <f>VLOOKUP(Tabla1[[#This Row],[Cód. Atributo]],[1]!Tabla5[#Data],6,FALSE)</f>
        <v>Select</v>
      </c>
      <c r="F2561">
        <v>1</v>
      </c>
      <c r="G2561">
        <v>1</v>
      </c>
      <c r="H2561" t="s">
        <v>11</v>
      </c>
      <c r="I2561" t="str">
        <f>VLOOKUP(Tabla1[[#This Row],[Code]],'[1]Articulos Precio'!$A:$E,5,FALSE)</f>
        <v>A0000750</v>
      </c>
    </row>
    <row r="2562" spans="1:9" x14ac:dyDescent="0.25">
      <c r="A2562" t="s">
        <v>923</v>
      </c>
      <c r="B2562" t="str">
        <f>VLOOKUP(Tabla1[[#This Row],[Code]],[1]!Tabla4[#Data],2,FALSE)</f>
        <v>ML Cad-Cut Premium Plus Sublistop 005 Crema 500mm</v>
      </c>
      <c r="C2562">
        <v>19</v>
      </c>
      <c r="D2562" t="s">
        <v>921</v>
      </c>
      <c r="E2562" t="str">
        <f>VLOOKUP(Tabla1[[#This Row],[Cód. Atributo]],[1]!Tabla5[#Data],6,FALSE)</f>
        <v>Color</v>
      </c>
      <c r="F2562">
        <v>2</v>
      </c>
      <c r="G2562">
        <v>2</v>
      </c>
      <c r="H2562" t="s">
        <v>924</v>
      </c>
      <c r="I2562" t="str">
        <f>VLOOKUP(Tabla1[[#This Row],[Code]],'[1]Articulos Precio'!$A:$E,5,FALSE)</f>
        <v>A0000750</v>
      </c>
    </row>
    <row r="2563" spans="1:9" x14ac:dyDescent="0.25">
      <c r="A2563" t="s">
        <v>925</v>
      </c>
      <c r="B2563" t="str">
        <f>VLOOKUP(Tabla1[[#This Row],[Code]],[1]!Tabla4[#Data],2,FALSE)</f>
        <v>ML Cad-Cut Premium Plus Sublistop 110 Amarillo 500mm</v>
      </c>
      <c r="C2563">
        <v>2</v>
      </c>
      <c r="D2563" t="s">
        <v>10</v>
      </c>
      <c r="E2563" t="str">
        <f>VLOOKUP(Tabla1[[#This Row],[Cód. Atributo]],[1]!Tabla5[#Data],6,FALSE)</f>
        <v>Select</v>
      </c>
      <c r="F2563">
        <v>1</v>
      </c>
      <c r="G2563">
        <v>1</v>
      </c>
      <c r="H2563" t="s">
        <v>11</v>
      </c>
      <c r="I2563" t="str">
        <f>VLOOKUP(Tabla1[[#This Row],[Code]],'[1]Articulos Precio'!$A:$E,5,FALSE)</f>
        <v>A0000750</v>
      </c>
    </row>
    <row r="2564" spans="1:9" x14ac:dyDescent="0.25">
      <c r="A2564" t="s">
        <v>925</v>
      </c>
      <c r="B2564" t="str">
        <f>VLOOKUP(Tabla1[[#This Row],[Code]],[1]!Tabla4[#Data],2,FALSE)</f>
        <v>ML Cad-Cut Premium Plus Sublistop 110 Amarillo 500mm</v>
      </c>
      <c r="C2564">
        <v>19</v>
      </c>
      <c r="D2564" t="s">
        <v>921</v>
      </c>
      <c r="E2564" t="str">
        <f>VLOOKUP(Tabla1[[#This Row],[Cód. Atributo]],[1]!Tabla5[#Data],6,FALSE)</f>
        <v>Color</v>
      </c>
      <c r="F2564">
        <v>2</v>
      </c>
      <c r="G2564">
        <v>3</v>
      </c>
      <c r="H2564" t="s">
        <v>926</v>
      </c>
      <c r="I2564" t="str">
        <f>VLOOKUP(Tabla1[[#This Row],[Code]],'[1]Articulos Precio'!$A:$E,5,FALSE)</f>
        <v>A0000750</v>
      </c>
    </row>
    <row r="2565" spans="1:9" x14ac:dyDescent="0.25">
      <c r="A2565" t="s">
        <v>927</v>
      </c>
      <c r="B2565" t="str">
        <f>VLOOKUP(Tabla1[[#This Row],[Code]],[1]!Tabla4[#Data],2,FALSE)</f>
        <v>ML Cad-Cut Premium Plus Sublistop 185 Naranja Ligero 500mm</v>
      </c>
      <c r="C2565">
        <v>2</v>
      </c>
      <c r="D2565" t="s">
        <v>10</v>
      </c>
      <c r="E2565" t="str">
        <f>VLOOKUP(Tabla1[[#This Row],[Cód. Atributo]],[1]!Tabla5[#Data],6,FALSE)</f>
        <v>Select</v>
      </c>
      <c r="F2565">
        <v>1</v>
      </c>
      <c r="G2565">
        <v>1</v>
      </c>
      <c r="H2565" t="s">
        <v>11</v>
      </c>
      <c r="I2565" t="str">
        <f>VLOOKUP(Tabla1[[#This Row],[Code]],'[1]Articulos Precio'!$A:$E,5,FALSE)</f>
        <v>A0000750</v>
      </c>
    </row>
    <row r="2566" spans="1:9" x14ac:dyDescent="0.25">
      <c r="A2566" t="s">
        <v>927</v>
      </c>
      <c r="B2566" t="str">
        <f>VLOOKUP(Tabla1[[#This Row],[Code]],[1]!Tabla4[#Data],2,FALSE)</f>
        <v>ML Cad-Cut Premium Plus Sublistop 185 Naranja Ligero 500mm</v>
      </c>
      <c r="C2566">
        <v>19</v>
      </c>
      <c r="D2566" t="s">
        <v>921</v>
      </c>
      <c r="E2566" t="str">
        <f>VLOOKUP(Tabla1[[#This Row],[Cód. Atributo]],[1]!Tabla5[#Data],6,FALSE)</f>
        <v>Color</v>
      </c>
      <c r="F2566">
        <v>2</v>
      </c>
      <c r="G2566">
        <v>5</v>
      </c>
      <c r="H2566" t="s">
        <v>928</v>
      </c>
      <c r="I2566" t="str">
        <f>VLOOKUP(Tabla1[[#This Row],[Code]],'[1]Articulos Precio'!$A:$E,5,FALSE)</f>
        <v>A0000750</v>
      </c>
    </row>
    <row r="2567" spans="1:9" x14ac:dyDescent="0.25">
      <c r="A2567" t="s">
        <v>929</v>
      </c>
      <c r="B2567" t="str">
        <f>VLOOKUP(Tabla1[[#This Row],[Code]],[1]!Tabla4[#Data],2,FALSE)</f>
        <v>ML Cad-Cut Premium Plus Sublistop 200 Rojo 500mm</v>
      </c>
      <c r="C2567">
        <v>2</v>
      </c>
      <c r="D2567" t="s">
        <v>10</v>
      </c>
      <c r="E2567" t="str">
        <f>VLOOKUP(Tabla1[[#This Row],[Cód. Atributo]],[1]!Tabla5[#Data],6,FALSE)</f>
        <v>Select</v>
      </c>
      <c r="F2567">
        <v>1</v>
      </c>
      <c r="G2567">
        <v>1</v>
      </c>
      <c r="H2567" t="s">
        <v>11</v>
      </c>
      <c r="I2567" t="str">
        <f>VLOOKUP(Tabla1[[#This Row],[Code]],'[1]Articulos Precio'!$A:$E,5,FALSE)</f>
        <v>A0000750</v>
      </c>
    </row>
    <row r="2568" spans="1:9" x14ac:dyDescent="0.25">
      <c r="A2568" t="s">
        <v>929</v>
      </c>
      <c r="B2568" t="str">
        <f>VLOOKUP(Tabla1[[#This Row],[Code]],[1]!Tabla4[#Data],2,FALSE)</f>
        <v>ML Cad-Cut Premium Plus Sublistop 200 Rojo 500mm</v>
      </c>
      <c r="C2568">
        <v>19</v>
      </c>
      <c r="D2568" t="s">
        <v>921</v>
      </c>
      <c r="E2568" t="str">
        <f>VLOOKUP(Tabla1[[#This Row],[Cód. Atributo]],[1]!Tabla5[#Data],6,FALSE)</f>
        <v>Color</v>
      </c>
      <c r="F2568">
        <v>2</v>
      </c>
      <c r="G2568">
        <v>6</v>
      </c>
      <c r="H2568" t="s">
        <v>930</v>
      </c>
      <c r="I2568" t="str">
        <f>VLOOKUP(Tabla1[[#This Row],[Code]],'[1]Articulos Precio'!$A:$E,5,FALSE)</f>
        <v>A0000750</v>
      </c>
    </row>
    <row r="2569" spans="1:9" x14ac:dyDescent="0.25">
      <c r="A2569" t="s">
        <v>931</v>
      </c>
      <c r="B2569" t="str">
        <f>VLOOKUP(Tabla1[[#This Row],[Code]],[1]!Tabla4[#Data],2,FALSE)</f>
        <v>ML Cad-Cut Premium Plus Sublistop 320 Azul Ligero 500mm</v>
      </c>
      <c r="C2569">
        <v>2</v>
      </c>
      <c r="D2569" t="s">
        <v>10</v>
      </c>
      <c r="E2569" t="str">
        <f>VLOOKUP(Tabla1[[#This Row],[Cód. Atributo]],[1]!Tabla5[#Data],6,FALSE)</f>
        <v>Select</v>
      </c>
      <c r="F2569">
        <v>1</v>
      </c>
      <c r="G2569">
        <v>1</v>
      </c>
      <c r="H2569" t="s">
        <v>11</v>
      </c>
      <c r="I2569" t="str">
        <f>VLOOKUP(Tabla1[[#This Row],[Code]],'[1]Articulos Precio'!$A:$E,5,FALSE)</f>
        <v>A0000750</v>
      </c>
    </row>
    <row r="2570" spans="1:9" x14ac:dyDescent="0.25">
      <c r="A2570" t="s">
        <v>931</v>
      </c>
      <c r="B2570" t="str">
        <f>VLOOKUP(Tabla1[[#This Row],[Code]],[1]!Tabla4[#Data],2,FALSE)</f>
        <v>ML Cad-Cut Premium Plus Sublistop 320 Azul Ligero 500mm</v>
      </c>
      <c r="C2570">
        <v>19</v>
      </c>
      <c r="D2570" t="s">
        <v>921</v>
      </c>
      <c r="E2570" t="str">
        <f>VLOOKUP(Tabla1[[#This Row],[Cód. Atributo]],[1]!Tabla5[#Data],6,FALSE)</f>
        <v>Color</v>
      </c>
      <c r="F2570">
        <v>2</v>
      </c>
      <c r="G2570">
        <v>7</v>
      </c>
      <c r="H2570" t="s">
        <v>932</v>
      </c>
      <c r="I2570" t="str">
        <f>VLOOKUP(Tabla1[[#This Row],[Code]],'[1]Articulos Precio'!$A:$E,5,FALSE)</f>
        <v>A0000750</v>
      </c>
    </row>
    <row r="2571" spans="1:9" x14ac:dyDescent="0.25">
      <c r="A2571" t="s">
        <v>933</v>
      </c>
      <c r="B2571" t="str">
        <f>VLOOKUP(Tabla1[[#This Row],[Code]],[1]!Tabla4[#Data],2,FALSE)</f>
        <v>ML Cad-Cut Premium Plus Sublistop 380 Verde Turquesa 500mm</v>
      </c>
      <c r="C2571">
        <v>2</v>
      </c>
      <c r="D2571" t="s">
        <v>10</v>
      </c>
      <c r="E2571" t="str">
        <f>VLOOKUP(Tabla1[[#This Row],[Cód. Atributo]],[1]!Tabla5[#Data],6,FALSE)</f>
        <v>Select</v>
      </c>
      <c r="F2571">
        <v>1</v>
      </c>
      <c r="G2571">
        <v>1</v>
      </c>
      <c r="H2571" t="s">
        <v>11</v>
      </c>
      <c r="I2571" t="str">
        <f>VLOOKUP(Tabla1[[#This Row],[Code]],'[1]Articulos Precio'!$A:$E,5,FALSE)</f>
        <v>A0000750</v>
      </c>
    </row>
    <row r="2572" spans="1:9" x14ac:dyDescent="0.25">
      <c r="A2572" t="s">
        <v>933</v>
      </c>
      <c r="B2572" t="str">
        <f>VLOOKUP(Tabla1[[#This Row],[Code]],[1]!Tabla4[#Data],2,FALSE)</f>
        <v>ML Cad-Cut Premium Plus Sublistop 380 Verde Turquesa 500mm</v>
      </c>
      <c r="C2572">
        <v>19</v>
      </c>
      <c r="D2572" t="s">
        <v>921</v>
      </c>
      <c r="E2572" t="str">
        <f>VLOOKUP(Tabla1[[#This Row],[Cód. Atributo]],[1]!Tabla5[#Data],6,FALSE)</f>
        <v>Color</v>
      </c>
      <c r="F2572">
        <v>2</v>
      </c>
      <c r="G2572">
        <v>8</v>
      </c>
      <c r="H2572" t="s">
        <v>934</v>
      </c>
      <c r="I2572" t="str">
        <f>VLOOKUP(Tabla1[[#This Row],[Code]],'[1]Articulos Precio'!$A:$E,5,FALSE)</f>
        <v>A0000750</v>
      </c>
    </row>
    <row r="2573" spans="1:9" x14ac:dyDescent="0.25">
      <c r="A2573" t="s">
        <v>935</v>
      </c>
      <c r="B2573" t="str">
        <f>VLOOKUP(Tabla1[[#This Row],[Code]],[1]!Tabla4[#Data],2,FALSE)</f>
        <v>ML Cad-Cut Premium Plus Sublistop 422 Verde Ligero 500mm</v>
      </c>
      <c r="C2573">
        <v>2</v>
      </c>
      <c r="D2573" t="s">
        <v>10</v>
      </c>
      <c r="E2573" t="str">
        <f>VLOOKUP(Tabla1[[#This Row],[Cód. Atributo]],[1]!Tabla5[#Data],6,FALSE)</f>
        <v>Select</v>
      </c>
      <c r="F2573">
        <v>1</v>
      </c>
      <c r="G2573">
        <v>1</v>
      </c>
      <c r="H2573" t="s">
        <v>11</v>
      </c>
      <c r="I2573" t="str">
        <f>VLOOKUP(Tabla1[[#This Row],[Code]],'[1]Articulos Precio'!$A:$E,5,FALSE)</f>
        <v>A0000750</v>
      </c>
    </row>
    <row r="2574" spans="1:9" x14ac:dyDescent="0.25">
      <c r="A2574" t="s">
        <v>935</v>
      </c>
      <c r="B2574" t="str">
        <f>VLOOKUP(Tabla1[[#This Row],[Code]],[1]!Tabla4[#Data],2,FALSE)</f>
        <v>ML Cad-Cut Premium Plus Sublistop 422 Verde Ligero 500mm</v>
      </c>
      <c r="C2574">
        <v>19</v>
      </c>
      <c r="D2574" t="s">
        <v>921</v>
      </c>
      <c r="E2574" t="str">
        <f>VLOOKUP(Tabla1[[#This Row],[Cód. Atributo]],[1]!Tabla5[#Data],6,FALSE)</f>
        <v>Color</v>
      </c>
      <c r="F2574">
        <v>2</v>
      </c>
      <c r="G2574">
        <v>9</v>
      </c>
      <c r="H2574" t="s">
        <v>936</v>
      </c>
      <c r="I2574" t="str">
        <f>VLOOKUP(Tabla1[[#This Row],[Code]],'[1]Articulos Precio'!$A:$E,5,FALSE)</f>
        <v>A0000750</v>
      </c>
    </row>
    <row r="2575" spans="1:9" x14ac:dyDescent="0.25">
      <c r="A2575" t="s">
        <v>937</v>
      </c>
      <c r="B2575" t="str">
        <f>VLOOKUP(Tabla1[[#This Row],[Code]],[1]!Tabla4[#Data],2,FALSE)</f>
        <v>ML Cad-Cut Premium Plus Sublistop 730 Gris 500mm</v>
      </c>
      <c r="C2575">
        <v>2</v>
      </c>
      <c r="D2575" t="s">
        <v>10</v>
      </c>
      <c r="E2575" t="str">
        <f>VLOOKUP(Tabla1[[#This Row],[Cód. Atributo]],[1]!Tabla5[#Data],6,FALSE)</f>
        <v>Select</v>
      </c>
      <c r="F2575">
        <v>1</v>
      </c>
      <c r="G2575">
        <v>1</v>
      </c>
      <c r="H2575" t="s">
        <v>11</v>
      </c>
      <c r="I2575" t="str">
        <f>VLOOKUP(Tabla1[[#This Row],[Code]],'[1]Articulos Precio'!$A:$E,5,FALSE)</f>
        <v>A0000750</v>
      </c>
    </row>
    <row r="2576" spans="1:9" x14ac:dyDescent="0.25">
      <c r="A2576" t="s">
        <v>937</v>
      </c>
      <c r="B2576" t="str">
        <f>VLOOKUP(Tabla1[[#This Row],[Code]],[1]!Tabla4[#Data],2,FALSE)</f>
        <v>ML Cad-Cut Premium Plus Sublistop 730 Gris 500mm</v>
      </c>
      <c r="C2576">
        <v>19</v>
      </c>
      <c r="D2576" t="s">
        <v>921</v>
      </c>
      <c r="E2576" t="str">
        <f>VLOOKUP(Tabla1[[#This Row],[Cód. Atributo]],[1]!Tabla5[#Data],6,FALSE)</f>
        <v>Color</v>
      </c>
      <c r="F2576">
        <v>2</v>
      </c>
      <c r="G2576">
        <v>10</v>
      </c>
      <c r="H2576" t="s">
        <v>938</v>
      </c>
      <c r="I2576" t="str">
        <f>VLOOKUP(Tabla1[[#This Row],[Code]],'[1]Articulos Precio'!$A:$E,5,FALSE)</f>
        <v>A0000750</v>
      </c>
    </row>
    <row r="2577" spans="1:9" x14ac:dyDescent="0.25">
      <c r="A2577" t="s">
        <v>939</v>
      </c>
      <c r="B2577" t="str">
        <f>VLOOKUP(Tabla1[[#This Row],[Code]],[1]!Tabla4[#Data],2,FALSE)</f>
        <v>ML Cad-Cut Premium Plus Sublistop 815 Plata 500mm</v>
      </c>
      <c r="C2577">
        <v>2</v>
      </c>
      <c r="D2577" t="s">
        <v>10</v>
      </c>
      <c r="E2577" t="str">
        <f>VLOOKUP(Tabla1[[#This Row],[Cód. Atributo]],[1]!Tabla5[#Data],6,FALSE)</f>
        <v>Select</v>
      </c>
      <c r="F2577">
        <v>1</v>
      </c>
      <c r="G2577">
        <v>1</v>
      </c>
      <c r="H2577" t="s">
        <v>11</v>
      </c>
      <c r="I2577" t="str">
        <f>VLOOKUP(Tabla1[[#This Row],[Code]],'[1]Articulos Precio'!$A:$E,5,FALSE)</f>
        <v>A0000750</v>
      </c>
    </row>
    <row r="2578" spans="1:9" x14ac:dyDescent="0.25">
      <c r="A2578" t="s">
        <v>939</v>
      </c>
      <c r="B2578" t="str">
        <f>VLOOKUP(Tabla1[[#This Row],[Code]],[1]!Tabla4[#Data],2,FALSE)</f>
        <v>ML Cad-Cut Premium Plus Sublistop 815 Plata 500mm</v>
      </c>
      <c r="C2578">
        <v>19</v>
      </c>
      <c r="D2578" t="s">
        <v>921</v>
      </c>
      <c r="E2578" t="str">
        <f>VLOOKUP(Tabla1[[#This Row],[Cód. Atributo]],[1]!Tabla5[#Data],6,FALSE)</f>
        <v>Color</v>
      </c>
      <c r="F2578">
        <v>2</v>
      </c>
      <c r="G2578">
        <v>11</v>
      </c>
      <c r="H2578" t="s">
        <v>940</v>
      </c>
      <c r="I2578" t="str">
        <f>VLOOKUP(Tabla1[[#This Row],[Code]],'[1]Articulos Precio'!$A:$E,5,FALSE)</f>
        <v>A0000750</v>
      </c>
    </row>
    <row r="2579" spans="1:9" x14ac:dyDescent="0.25">
      <c r="A2579" t="s">
        <v>941</v>
      </c>
      <c r="B2579" t="str">
        <f>VLOOKUP(Tabla1[[#This Row],[Code]],[1]!Tabla4[#Data],2,FALSE)</f>
        <v>ML Cad-Cut Premium Plus Sublistop 115 Oro 500mm</v>
      </c>
      <c r="C2579">
        <v>2</v>
      </c>
      <c r="D2579" t="s">
        <v>10</v>
      </c>
      <c r="E2579" t="str">
        <f>VLOOKUP(Tabla1[[#This Row],[Cód. Atributo]],[1]!Tabla5[#Data],6,FALSE)</f>
        <v>Select</v>
      </c>
      <c r="F2579">
        <v>1</v>
      </c>
      <c r="G2579">
        <v>1</v>
      </c>
      <c r="H2579" t="s">
        <v>11</v>
      </c>
      <c r="I2579" t="str">
        <f>VLOOKUP(Tabla1[[#This Row],[Code]],'[1]Articulos Precio'!$A:$E,5,FALSE)</f>
        <v>A0000750</v>
      </c>
    </row>
    <row r="2580" spans="1:9" x14ac:dyDescent="0.25">
      <c r="A2580" t="s">
        <v>941</v>
      </c>
      <c r="B2580" t="str">
        <f>VLOOKUP(Tabla1[[#This Row],[Code]],[1]!Tabla4[#Data],2,FALSE)</f>
        <v>ML Cad-Cut Premium Plus Sublistop 115 Oro 500mm</v>
      </c>
      <c r="C2580">
        <v>19</v>
      </c>
      <c r="D2580" t="s">
        <v>921</v>
      </c>
      <c r="E2580" t="str">
        <f>VLOOKUP(Tabla1[[#This Row],[Cód. Atributo]],[1]!Tabla5[#Data],6,FALSE)</f>
        <v>Color</v>
      </c>
      <c r="F2580">
        <v>2</v>
      </c>
      <c r="G2580">
        <v>4</v>
      </c>
      <c r="H2580" t="s">
        <v>942</v>
      </c>
      <c r="I2580" t="str">
        <f>VLOOKUP(Tabla1[[#This Row],[Code]],'[1]Articulos Precio'!$A:$E,5,FALSE)</f>
        <v>A0000750</v>
      </c>
    </row>
    <row r="2581" spans="1:9" x14ac:dyDescent="0.25">
      <c r="A2581" t="s">
        <v>943</v>
      </c>
      <c r="B2581" t="str">
        <f>VLOOKUP(Tabla1[[#This Row],[Code]],[1]!Tabla4[#Data],2,FALSE)</f>
        <v>ML Cad-Cut Silicone 200 001 Blanco 500mm</v>
      </c>
      <c r="C2581">
        <v>2</v>
      </c>
      <c r="D2581" t="s">
        <v>10</v>
      </c>
      <c r="E2581" t="str">
        <f>VLOOKUP(Tabla1[[#This Row],[Cód. Atributo]],[1]!Tabla5[#Data],6,FALSE)</f>
        <v>Select</v>
      </c>
      <c r="F2581">
        <v>1</v>
      </c>
      <c r="G2581">
        <v>1</v>
      </c>
      <c r="H2581" t="s">
        <v>11</v>
      </c>
      <c r="I2581" t="str">
        <f>VLOOKUP(Tabla1[[#This Row],[Code]],'[1]Articulos Precio'!$A:$E,5,FALSE)</f>
        <v>A0000762</v>
      </c>
    </row>
    <row r="2582" spans="1:9" x14ac:dyDescent="0.25">
      <c r="A2582" t="s">
        <v>943</v>
      </c>
      <c r="B2582" t="str">
        <f>VLOOKUP(Tabla1[[#This Row],[Code]],[1]!Tabla4[#Data],2,FALSE)</f>
        <v>ML Cad-Cut Silicone 200 001 Blanco 500mm</v>
      </c>
      <c r="C2582">
        <v>17</v>
      </c>
      <c r="D2582" t="s">
        <v>944</v>
      </c>
      <c r="E2582" t="str">
        <f>VLOOKUP(Tabla1[[#This Row],[Cód. Atributo]],[1]!Tabla5[#Data],6,FALSE)</f>
        <v>Color</v>
      </c>
      <c r="F2582">
        <v>2</v>
      </c>
      <c r="G2582">
        <v>1</v>
      </c>
      <c r="H2582" t="s">
        <v>945</v>
      </c>
      <c r="I2582" t="str">
        <f>VLOOKUP(Tabla1[[#This Row],[Code]],'[1]Articulos Precio'!$A:$E,5,FALSE)</f>
        <v>A0000762</v>
      </c>
    </row>
    <row r="2583" spans="1:9" x14ac:dyDescent="0.25">
      <c r="A2583" t="s">
        <v>946</v>
      </c>
      <c r="B2583" t="str">
        <f>VLOOKUP(Tabla1[[#This Row],[Code]],[1]!Tabla4[#Data],2,FALSE)</f>
        <v>ML Cad-Cut Silicone 200 200 Rojo 500mm</v>
      </c>
      <c r="C2583">
        <v>2</v>
      </c>
      <c r="D2583" t="s">
        <v>10</v>
      </c>
      <c r="E2583" t="str">
        <f>VLOOKUP(Tabla1[[#This Row],[Cód. Atributo]],[1]!Tabla5[#Data],6,FALSE)</f>
        <v>Select</v>
      </c>
      <c r="F2583">
        <v>1</v>
      </c>
      <c r="G2583">
        <v>1</v>
      </c>
      <c r="H2583" t="s">
        <v>11</v>
      </c>
      <c r="I2583" t="str">
        <f>VLOOKUP(Tabla1[[#This Row],[Code]],'[1]Articulos Precio'!$A:$E,5,FALSE)</f>
        <v>A0000762</v>
      </c>
    </row>
    <row r="2584" spans="1:9" x14ac:dyDescent="0.25">
      <c r="A2584" t="s">
        <v>946</v>
      </c>
      <c r="B2584" t="str">
        <f>VLOOKUP(Tabla1[[#This Row],[Code]],[1]!Tabla4[#Data],2,FALSE)</f>
        <v>ML Cad-Cut Silicone 200 200 Rojo 500mm</v>
      </c>
      <c r="C2584">
        <v>17</v>
      </c>
      <c r="D2584" t="s">
        <v>944</v>
      </c>
      <c r="E2584" t="str">
        <f>VLOOKUP(Tabla1[[#This Row],[Cód. Atributo]],[1]!Tabla5[#Data],6,FALSE)</f>
        <v>Color</v>
      </c>
      <c r="F2584">
        <v>2</v>
      </c>
      <c r="G2584">
        <v>2</v>
      </c>
      <c r="H2584" t="s">
        <v>947</v>
      </c>
      <c r="I2584" t="str">
        <f>VLOOKUP(Tabla1[[#This Row],[Code]],'[1]Articulos Precio'!$A:$E,5,FALSE)</f>
        <v>A0000762</v>
      </c>
    </row>
    <row r="2585" spans="1:9" x14ac:dyDescent="0.25">
      <c r="A2585" t="s">
        <v>948</v>
      </c>
      <c r="B2585" t="str">
        <f>VLOOKUP(Tabla1[[#This Row],[Code]],[1]!Tabla4[#Data],2,FALSE)</f>
        <v>ML Cad-Cut Silicone 200 320 Azul Ligero 500mm</v>
      </c>
      <c r="C2585">
        <v>2</v>
      </c>
      <c r="D2585" t="s">
        <v>10</v>
      </c>
      <c r="E2585" t="str">
        <f>VLOOKUP(Tabla1[[#This Row],[Cód. Atributo]],[1]!Tabla5[#Data],6,FALSE)</f>
        <v>Select</v>
      </c>
      <c r="F2585">
        <v>1</v>
      </c>
      <c r="G2585">
        <v>1</v>
      </c>
      <c r="H2585" t="s">
        <v>11</v>
      </c>
      <c r="I2585" t="str">
        <f>VLOOKUP(Tabla1[[#This Row],[Code]],'[1]Articulos Precio'!$A:$E,5,FALSE)</f>
        <v>A0000762</v>
      </c>
    </row>
    <row r="2586" spans="1:9" x14ac:dyDescent="0.25">
      <c r="A2586" t="s">
        <v>948</v>
      </c>
      <c r="B2586" t="str">
        <f>VLOOKUP(Tabla1[[#This Row],[Code]],[1]!Tabla4[#Data],2,FALSE)</f>
        <v>ML Cad-Cut Silicone 200 320 Azul Ligero 500mm</v>
      </c>
      <c r="C2586">
        <v>17</v>
      </c>
      <c r="D2586" t="s">
        <v>944</v>
      </c>
      <c r="E2586" t="str">
        <f>VLOOKUP(Tabla1[[#This Row],[Cód. Atributo]],[1]!Tabla5[#Data],6,FALSE)</f>
        <v>Color</v>
      </c>
      <c r="F2586">
        <v>2</v>
      </c>
      <c r="G2586">
        <v>4</v>
      </c>
      <c r="H2586" t="s">
        <v>949</v>
      </c>
      <c r="I2586" t="str">
        <f>VLOOKUP(Tabla1[[#This Row],[Code]],'[1]Articulos Precio'!$A:$E,5,FALSE)</f>
        <v>A0000762</v>
      </c>
    </row>
    <row r="2587" spans="1:9" x14ac:dyDescent="0.25">
      <c r="A2587" t="s">
        <v>950</v>
      </c>
      <c r="B2587" t="str">
        <f>VLOOKUP(Tabla1[[#This Row],[Code]],[1]!Tabla4[#Data],2,FALSE)</f>
        <v>ML Cad-Cut Silicone 200 300 Azul Real 500mm</v>
      </c>
      <c r="C2587">
        <v>2</v>
      </c>
      <c r="D2587" t="s">
        <v>10</v>
      </c>
      <c r="E2587" t="str">
        <f>VLOOKUP(Tabla1[[#This Row],[Cód. Atributo]],[1]!Tabla5[#Data],6,FALSE)</f>
        <v>Select</v>
      </c>
      <c r="F2587">
        <v>1</v>
      </c>
      <c r="G2587">
        <v>1</v>
      </c>
      <c r="H2587" t="s">
        <v>11</v>
      </c>
      <c r="I2587" t="str">
        <f>VLOOKUP(Tabla1[[#This Row],[Code]],'[1]Articulos Precio'!$A:$E,5,FALSE)</f>
        <v>A0000762</v>
      </c>
    </row>
    <row r="2588" spans="1:9" x14ac:dyDescent="0.25">
      <c r="A2588" t="s">
        <v>950</v>
      </c>
      <c r="B2588" t="str">
        <f>VLOOKUP(Tabla1[[#This Row],[Code]],[1]!Tabla4[#Data],2,FALSE)</f>
        <v>ML Cad-Cut Silicone 200 300 Azul Real 500mm</v>
      </c>
      <c r="C2588">
        <v>17</v>
      </c>
      <c r="D2588" t="s">
        <v>944</v>
      </c>
      <c r="E2588" t="str">
        <f>VLOOKUP(Tabla1[[#This Row],[Cód. Atributo]],[1]!Tabla5[#Data],6,FALSE)</f>
        <v>Color</v>
      </c>
      <c r="F2588">
        <v>2</v>
      </c>
      <c r="G2588">
        <v>3</v>
      </c>
      <c r="H2588" t="s">
        <v>951</v>
      </c>
      <c r="I2588" t="str">
        <f>VLOOKUP(Tabla1[[#This Row],[Code]],'[1]Articulos Precio'!$A:$E,5,FALSE)</f>
        <v>A0000762</v>
      </c>
    </row>
    <row r="2589" spans="1:9" x14ac:dyDescent="0.25">
      <c r="A2589" t="s">
        <v>952</v>
      </c>
      <c r="B2589" t="str">
        <f>VLOOKUP(Tabla1[[#This Row],[Code]],[1]!Tabla4[#Data],2,FALSE)</f>
        <v>ML Cad-Cut Silicone 200 730 Gris 500mm</v>
      </c>
      <c r="C2589">
        <v>2</v>
      </c>
      <c r="D2589" t="s">
        <v>10</v>
      </c>
      <c r="E2589" t="str">
        <f>VLOOKUP(Tabla1[[#This Row],[Cód. Atributo]],[1]!Tabla5[#Data],6,FALSE)</f>
        <v>Select</v>
      </c>
      <c r="F2589">
        <v>1</v>
      </c>
      <c r="G2589">
        <v>1</v>
      </c>
      <c r="H2589" t="s">
        <v>11</v>
      </c>
      <c r="I2589" t="str">
        <f>VLOOKUP(Tabla1[[#This Row],[Code]],'[1]Articulos Precio'!$A:$E,5,FALSE)</f>
        <v>A0000762</v>
      </c>
    </row>
    <row r="2590" spans="1:9" x14ac:dyDescent="0.25">
      <c r="A2590" t="s">
        <v>952</v>
      </c>
      <c r="B2590" t="str">
        <f>VLOOKUP(Tabla1[[#This Row],[Code]],[1]!Tabla4[#Data],2,FALSE)</f>
        <v>ML Cad-Cut Silicone 200 730 Gris 500mm</v>
      </c>
      <c r="C2590">
        <v>17</v>
      </c>
      <c r="D2590" t="s">
        <v>944</v>
      </c>
      <c r="E2590" t="str">
        <f>VLOOKUP(Tabla1[[#This Row],[Cód. Atributo]],[1]!Tabla5[#Data],6,FALSE)</f>
        <v>Color</v>
      </c>
      <c r="F2590">
        <v>2</v>
      </c>
      <c r="G2590">
        <v>7</v>
      </c>
      <c r="H2590" t="s">
        <v>953</v>
      </c>
      <c r="I2590" t="str">
        <f>VLOOKUP(Tabla1[[#This Row],[Code]],'[1]Articulos Precio'!$A:$E,5,FALSE)</f>
        <v>A0000762</v>
      </c>
    </row>
    <row r="2591" spans="1:9" x14ac:dyDescent="0.25">
      <c r="A2591" t="s">
        <v>954</v>
      </c>
      <c r="B2591" t="str">
        <f>VLOOKUP(Tabla1[[#This Row],[Code]],[1]!Tabla4[#Data],2,FALSE)</f>
        <v>ML Cad-Cut Silicone 200 700 Negro 500mm</v>
      </c>
      <c r="C2591">
        <v>2</v>
      </c>
      <c r="D2591" t="s">
        <v>10</v>
      </c>
      <c r="E2591" t="str">
        <f>VLOOKUP(Tabla1[[#This Row],[Cód. Atributo]],[1]!Tabla5[#Data],6,FALSE)</f>
        <v>Select</v>
      </c>
      <c r="F2591">
        <v>1</v>
      </c>
      <c r="G2591">
        <v>1</v>
      </c>
      <c r="H2591" t="s">
        <v>11</v>
      </c>
      <c r="I2591" t="str">
        <f>VLOOKUP(Tabla1[[#This Row],[Code]],'[1]Articulos Precio'!$A:$E,5,FALSE)</f>
        <v>A0000762</v>
      </c>
    </row>
    <row r="2592" spans="1:9" x14ac:dyDescent="0.25">
      <c r="A2592" t="s">
        <v>954</v>
      </c>
      <c r="B2592" t="str">
        <f>VLOOKUP(Tabla1[[#This Row],[Code]],[1]!Tabla4[#Data],2,FALSE)</f>
        <v>ML Cad-Cut Silicone 200 700 Negro 500mm</v>
      </c>
      <c r="C2592">
        <v>17</v>
      </c>
      <c r="D2592" t="s">
        <v>944</v>
      </c>
      <c r="E2592" t="str">
        <f>VLOOKUP(Tabla1[[#This Row],[Cód. Atributo]],[1]!Tabla5[#Data],6,FALSE)</f>
        <v>Color</v>
      </c>
      <c r="F2592">
        <v>2</v>
      </c>
      <c r="G2592">
        <v>6</v>
      </c>
      <c r="H2592" t="s">
        <v>955</v>
      </c>
      <c r="I2592" t="str">
        <f>VLOOKUP(Tabla1[[#This Row],[Code]],'[1]Articulos Precio'!$A:$E,5,FALSE)</f>
        <v>A0000762</v>
      </c>
    </row>
    <row r="2593" spans="1:9" x14ac:dyDescent="0.25">
      <c r="A2593" t="s">
        <v>956</v>
      </c>
      <c r="B2593" t="str">
        <f>VLOOKUP(Tabla1[[#This Row],[Code]],[1]!Tabla4[#Data],2,FALSE)</f>
        <v>ML Cad-Cut Silicone 200 400 Verde 500mm</v>
      </c>
      <c r="C2593">
        <v>2</v>
      </c>
      <c r="D2593" t="s">
        <v>10</v>
      </c>
      <c r="E2593" t="str">
        <f>VLOOKUP(Tabla1[[#This Row],[Cód. Atributo]],[1]!Tabla5[#Data],6,FALSE)</f>
        <v>Select</v>
      </c>
      <c r="F2593">
        <v>1</v>
      </c>
      <c r="G2593">
        <v>1</v>
      </c>
      <c r="H2593" t="s">
        <v>11</v>
      </c>
      <c r="I2593" t="str">
        <f>VLOOKUP(Tabla1[[#This Row],[Code]],'[1]Articulos Precio'!$A:$E,5,FALSE)</f>
        <v>A0000762</v>
      </c>
    </row>
    <row r="2594" spans="1:9" x14ac:dyDescent="0.25">
      <c r="A2594" t="s">
        <v>956</v>
      </c>
      <c r="B2594" t="str">
        <f>VLOOKUP(Tabla1[[#This Row],[Code]],[1]!Tabla4[#Data],2,FALSE)</f>
        <v>ML Cad-Cut Silicone 200 400 Verde 500mm</v>
      </c>
      <c r="C2594">
        <v>17</v>
      </c>
      <c r="D2594" t="s">
        <v>944</v>
      </c>
      <c r="E2594" t="str">
        <f>VLOOKUP(Tabla1[[#This Row],[Cód. Atributo]],[1]!Tabla5[#Data],6,FALSE)</f>
        <v>Color</v>
      </c>
      <c r="F2594">
        <v>2</v>
      </c>
      <c r="G2594">
        <v>5</v>
      </c>
      <c r="H2594" t="s">
        <v>957</v>
      </c>
      <c r="I2594" t="str">
        <f>VLOOKUP(Tabla1[[#This Row],[Code]],'[1]Articulos Precio'!$A:$E,5,FALSE)</f>
        <v>A0000762</v>
      </c>
    </row>
    <row r="2595" spans="1:9" x14ac:dyDescent="0.25">
      <c r="A2595" t="s">
        <v>958</v>
      </c>
      <c r="B2595" t="str">
        <f>VLOOKUP(Tabla1[[#This Row],[Code]],[1]!Tabla4[#Data],2,FALSE)</f>
        <v>ML Cad-Cut Silicone 500 001 Blanco 500mm</v>
      </c>
      <c r="C2595">
        <v>2</v>
      </c>
      <c r="D2595" t="s">
        <v>10</v>
      </c>
      <c r="E2595" t="str">
        <f>VLOOKUP(Tabla1[[#This Row],[Cód. Atributo]],[1]!Tabla5[#Data],6,FALSE)</f>
        <v>Select</v>
      </c>
      <c r="F2595">
        <v>1</v>
      </c>
      <c r="G2595">
        <v>1</v>
      </c>
      <c r="H2595" t="s">
        <v>11</v>
      </c>
      <c r="I2595" t="str">
        <f>VLOOKUP(Tabla1[[#This Row],[Code]],'[1]Articulos Precio'!$A:$E,5,FALSE)</f>
        <v>A0000769</v>
      </c>
    </row>
    <row r="2596" spans="1:9" x14ac:dyDescent="0.25">
      <c r="A2596" t="s">
        <v>958</v>
      </c>
      <c r="B2596" t="str">
        <f>VLOOKUP(Tabla1[[#This Row],[Code]],[1]!Tabla4[#Data],2,FALSE)</f>
        <v>ML Cad-Cut Silicone 500 001 Blanco 500mm</v>
      </c>
      <c r="C2596">
        <v>17</v>
      </c>
      <c r="D2596" t="s">
        <v>944</v>
      </c>
      <c r="E2596" t="str">
        <f>VLOOKUP(Tabla1[[#This Row],[Cód. Atributo]],[1]!Tabla5[#Data],6,FALSE)</f>
        <v>Color</v>
      </c>
      <c r="F2596">
        <v>2</v>
      </c>
      <c r="G2596">
        <v>8</v>
      </c>
      <c r="H2596" t="s">
        <v>959</v>
      </c>
      <c r="I2596" t="str">
        <f>VLOOKUP(Tabla1[[#This Row],[Code]],'[1]Articulos Precio'!$A:$E,5,FALSE)</f>
        <v>A0000769</v>
      </c>
    </row>
    <row r="2597" spans="1:9" x14ac:dyDescent="0.25">
      <c r="A2597" t="s">
        <v>960</v>
      </c>
      <c r="B2597" t="str">
        <f>VLOOKUP(Tabla1[[#This Row],[Code]],[1]!Tabla4[#Data],2,FALSE)</f>
        <v>ML Cad-Cut Silicone 500 500 Rojo 500mm</v>
      </c>
      <c r="C2597">
        <v>2</v>
      </c>
      <c r="D2597" t="s">
        <v>10</v>
      </c>
      <c r="E2597" t="str">
        <f>VLOOKUP(Tabla1[[#This Row],[Cód. Atributo]],[1]!Tabla5[#Data],6,FALSE)</f>
        <v>Select</v>
      </c>
      <c r="F2597">
        <v>1</v>
      </c>
      <c r="G2597">
        <v>1</v>
      </c>
      <c r="H2597" t="s">
        <v>11</v>
      </c>
      <c r="I2597" t="str">
        <f>VLOOKUP(Tabla1[[#This Row],[Code]],'[1]Articulos Precio'!$A:$E,5,FALSE)</f>
        <v>A0000769</v>
      </c>
    </row>
    <row r="2598" spans="1:9" x14ac:dyDescent="0.25">
      <c r="A2598" t="s">
        <v>960</v>
      </c>
      <c r="B2598" t="str">
        <f>VLOOKUP(Tabla1[[#This Row],[Code]],[1]!Tabla4[#Data],2,FALSE)</f>
        <v>ML Cad-Cut Silicone 500 500 Rojo 500mm</v>
      </c>
      <c r="C2598">
        <v>17</v>
      </c>
      <c r="D2598" t="s">
        <v>944</v>
      </c>
      <c r="E2598" t="str">
        <f>VLOOKUP(Tabla1[[#This Row],[Cód. Atributo]],[1]!Tabla5[#Data],6,FALSE)</f>
        <v>Color</v>
      </c>
      <c r="F2598">
        <v>2</v>
      </c>
      <c r="G2598">
        <v>12</v>
      </c>
      <c r="H2598" t="s">
        <v>961</v>
      </c>
      <c r="I2598" t="str">
        <f>VLOOKUP(Tabla1[[#This Row],[Code]],'[1]Articulos Precio'!$A:$E,5,FALSE)</f>
        <v>A0000769</v>
      </c>
    </row>
    <row r="2599" spans="1:9" x14ac:dyDescent="0.25">
      <c r="A2599" t="s">
        <v>962</v>
      </c>
      <c r="B2599" t="str">
        <f>VLOOKUP(Tabla1[[#This Row],[Code]],[1]!Tabla4[#Data],2,FALSE)</f>
        <v>ML Cad-Cut Silicone 500 320 Azul Ligero 500mm</v>
      </c>
      <c r="C2599">
        <v>2</v>
      </c>
      <c r="D2599" t="s">
        <v>10</v>
      </c>
      <c r="E2599" t="str">
        <f>VLOOKUP(Tabla1[[#This Row],[Cód. Atributo]],[1]!Tabla5[#Data],6,FALSE)</f>
        <v>Select</v>
      </c>
      <c r="F2599">
        <v>1</v>
      </c>
      <c r="G2599">
        <v>1</v>
      </c>
      <c r="H2599" t="s">
        <v>11</v>
      </c>
      <c r="I2599" t="str">
        <f>VLOOKUP(Tabla1[[#This Row],[Code]],'[1]Articulos Precio'!$A:$E,5,FALSE)</f>
        <v>A0000769</v>
      </c>
    </row>
    <row r="2600" spans="1:9" x14ac:dyDescent="0.25">
      <c r="A2600" t="s">
        <v>962</v>
      </c>
      <c r="B2600" t="str">
        <f>VLOOKUP(Tabla1[[#This Row],[Code]],[1]!Tabla4[#Data],2,FALSE)</f>
        <v>ML Cad-Cut Silicone 500 320 Azul Ligero 500mm</v>
      </c>
      <c r="C2600">
        <v>17</v>
      </c>
      <c r="D2600" t="s">
        <v>944</v>
      </c>
      <c r="E2600" t="str">
        <f>VLOOKUP(Tabla1[[#This Row],[Cód. Atributo]],[1]!Tabla5[#Data],6,FALSE)</f>
        <v>Color</v>
      </c>
      <c r="F2600">
        <v>2</v>
      </c>
      <c r="G2600">
        <v>10</v>
      </c>
      <c r="H2600" t="s">
        <v>963</v>
      </c>
      <c r="I2600" t="str">
        <f>VLOOKUP(Tabla1[[#This Row],[Code]],'[1]Articulos Precio'!$A:$E,5,FALSE)</f>
        <v>A0000769</v>
      </c>
    </row>
    <row r="2601" spans="1:9" x14ac:dyDescent="0.25">
      <c r="A2601" t="s">
        <v>964</v>
      </c>
      <c r="B2601" t="str">
        <f>VLOOKUP(Tabla1[[#This Row],[Code]],[1]!Tabla4[#Data],2,FALSE)</f>
        <v>ML Cad-Cut Silicone 500 300 Azul Real 500mm</v>
      </c>
      <c r="C2601">
        <v>2</v>
      </c>
      <c r="D2601" t="s">
        <v>10</v>
      </c>
      <c r="E2601" t="str">
        <f>VLOOKUP(Tabla1[[#This Row],[Cód. Atributo]],[1]!Tabla5[#Data],6,FALSE)</f>
        <v>Select</v>
      </c>
      <c r="F2601">
        <v>1</v>
      </c>
      <c r="G2601">
        <v>1</v>
      </c>
      <c r="H2601" t="s">
        <v>11</v>
      </c>
      <c r="I2601" t="str">
        <f>VLOOKUP(Tabla1[[#This Row],[Code]],'[1]Articulos Precio'!$A:$E,5,FALSE)</f>
        <v>A0000769</v>
      </c>
    </row>
    <row r="2602" spans="1:9" x14ac:dyDescent="0.25">
      <c r="A2602" t="s">
        <v>964</v>
      </c>
      <c r="B2602" t="str">
        <f>VLOOKUP(Tabla1[[#This Row],[Code]],[1]!Tabla4[#Data],2,FALSE)</f>
        <v>ML Cad-Cut Silicone 500 300 Azul Real 500mm</v>
      </c>
      <c r="C2602">
        <v>17</v>
      </c>
      <c r="D2602" t="s">
        <v>944</v>
      </c>
      <c r="E2602" t="str">
        <f>VLOOKUP(Tabla1[[#This Row],[Cód. Atributo]],[1]!Tabla5[#Data],6,FALSE)</f>
        <v>Color</v>
      </c>
      <c r="F2602">
        <v>2</v>
      </c>
      <c r="G2602">
        <v>9</v>
      </c>
      <c r="H2602" t="s">
        <v>965</v>
      </c>
      <c r="I2602" t="str">
        <f>VLOOKUP(Tabla1[[#This Row],[Code]],'[1]Articulos Precio'!$A:$E,5,FALSE)</f>
        <v>A0000769</v>
      </c>
    </row>
    <row r="2603" spans="1:9" x14ac:dyDescent="0.25">
      <c r="A2603" t="s">
        <v>966</v>
      </c>
      <c r="B2603" t="str">
        <f>VLOOKUP(Tabla1[[#This Row],[Code]],[1]!Tabla4[#Data],2,FALSE)</f>
        <v>ML Cad-Cut Silicone 500 730 Gris 500mm</v>
      </c>
      <c r="C2603">
        <v>2</v>
      </c>
      <c r="D2603" t="s">
        <v>10</v>
      </c>
      <c r="E2603" t="str">
        <f>VLOOKUP(Tabla1[[#This Row],[Cód. Atributo]],[1]!Tabla5[#Data],6,FALSE)</f>
        <v>Select</v>
      </c>
      <c r="F2603">
        <v>1</v>
      </c>
      <c r="G2603">
        <v>1</v>
      </c>
      <c r="H2603" t="s">
        <v>11</v>
      </c>
      <c r="I2603" t="str">
        <f>VLOOKUP(Tabla1[[#This Row],[Code]],'[1]Articulos Precio'!$A:$E,5,FALSE)</f>
        <v>A0000769</v>
      </c>
    </row>
    <row r="2604" spans="1:9" x14ac:dyDescent="0.25">
      <c r="A2604" t="s">
        <v>966</v>
      </c>
      <c r="B2604" t="str">
        <f>VLOOKUP(Tabla1[[#This Row],[Code]],[1]!Tabla4[#Data],2,FALSE)</f>
        <v>ML Cad-Cut Silicone 500 730 Gris 500mm</v>
      </c>
      <c r="C2604">
        <v>17</v>
      </c>
      <c r="D2604" t="s">
        <v>944</v>
      </c>
      <c r="E2604" t="str">
        <f>VLOOKUP(Tabla1[[#This Row],[Cód. Atributo]],[1]!Tabla5[#Data],6,FALSE)</f>
        <v>Color</v>
      </c>
      <c r="F2604">
        <v>2</v>
      </c>
      <c r="G2604">
        <v>14</v>
      </c>
      <c r="H2604" t="s">
        <v>967</v>
      </c>
      <c r="I2604" t="str">
        <f>VLOOKUP(Tabla1[[#This Row],[Code]],'[1]Articulos Precio'!$A:$E,5,FALSE)</f>
        <v>A0000769</v>
      </c>
    </row>
    <row r="2605" spans="1:9" x14ac:dyDescent="0.25">
      <c r="A2605" t="s">
        <v>968</v>
      </c>
      <c r="B2605" t="str">
        <f>VLOOKUP(Tabla1[[#This Row],[Code]],[1]!Tabla4[#Data],2,FALSE)</f>
        <v>ML Cad-Cut Silicone 500 700 Negro 500mm</v>
      </c>
      <c r="C2605">
        <v>2</v>
      </c>
      <c r="D2605" t="s">
        <v>10</v>
      </c>
      <c r="E2605" t="str">
        <f>VLOOKUP(Tabla1[[#This Row],[Cód. Atributo]],[1]!Tabla5[#Data],6,FALSE)</f>
        <v>Select</v>
      </c>
      <c r="F2605">
        <v>1</v>
      </c>
      <c r="G2605">
        <v>1</v>
      </c>
      <c r="H2605" t="s">
        <v>11</v>
      </c>
      <c r="I2605" t="str">
        <f>VLOOKUP(Tabla1[[#This Row],[Code]],'[1]Articulos Precio'!$A:$E,5,FALSE)</f>
        <v>A0000769</v>
      </c>
    </row>
    <row r="2606" spans="1:9" x14ac:dyDescent="0.25">
      <c r="A2606" t="s">
        <v>968</v>
      </c>
      <c r="B2606" t="str">
        <f>VLOOKUP(Tabla1[[#This Row],[Code]],[1]!Tabla4[#Data],2,FALSE)</f>
        <v>ML Cad-Cut Silicone 500 700 Negro 500mm</v>
      </c>
      <c r="C2606">
        <v>17</v>
      </c>
      <c r="D2606" t="s">
        <v>944</v>
      </c>
      <c r="E2606" t="str">
        <f>VLOOKUP(Tabla1[[#This Row],[Cód. Atributo]],[1]!Tabla5[#Data],6,FALSE)</f>
        <v>Color</v>
      </c>
      <c r="F2606">
        <v>2</v>
      </c>
      <c r="G2606">
        <v>13</v>
      </c>
      <c r="H2606" t="s">
        <v>969</v>
      </c>
      <c r="I2606" t="str">
        <f>VLOOKUP(Tabla1[[#This Row],[Code]],'[1]Articulos Precio'!$A:$E,5,FALSE)</f>
        <v>A0000769</v>
      </c>
    </row>
    <row r="2607" spans="1:9" x14ac:dyDescent="0.25">
      <c r="A2607" t="s">
        <v>970</v>
      </c>
      <c r="B2607" t="str">
        <f>VLOOKUP(Tabla1[[#This Row],[Code]],[1]!Tabla4[#Data],2,FALSE)</f>
        <v>ML Cad-Cut Silicone 500 400 Verde 500mm</v>
      </c>
      <c r="C2607">
        <v>2</v>
      </c>
      <c r="D2607" t="s">
        <v>10</v>
      </c>
      <c r="E2607" t="str">
        <f>VLOOKUP(Tabla1[[#This Row],[Cód. Atributo]],[1]!Tabla5[#Data],6,FALSE)</f>
        <v>Select</v>
      </c>
      <c r="F2607">
        <v>1</v>
      </c>
      <c r="G2607">
        <v>1</v>
      </c>
      <c r="H2607" t="s">
        <v>11</v>
      </c>
      <c r="I2607" t="str">
        <f>VLOOKUP(Tabla1[[#This Row],[Code]],'[1]Articulos Precio'!$A:$E,5,FALSE)</f>
        <v>A0000769</v>
      </c>
    </row>
    <row r="2608" spans="1:9" x14ac:dyDescent="0.25">
      <c r="A2608" t="s">
        <v>970</v>
      </c>
      <c r="B2608" t="str">
        <f>VLOOKUP(Tabla1[[#This Row],[Code]],[1]!Tabla4[#Data],2,FALSE)</f>
        <v>ML Cad-Cut Silicone 500 400 Verde 500mm</v>
      </c>
      <c r="C2608">
        <v>17</v>
      </c>
      <c r="D2608" t="s">
        <v>944</v>
      </c>
      <c r="E2608" t="str">
        <f>VLOOKUP(Tabla1[[#This Row],[Cód. Atributo]],[1]!Tabla5[#Data],6,FALSE)</f>
        <v>Color</v>
      </c>
      <c r="F2608">
        <v>2</v>
      </c>
      <c r="G2608">
        <v>11</v>
      </c>
      <c r="H2608" t="s">
        <v>971</v>
      </c>
      <c r="I2608" t="str">
        <f>VLOOKUP(Tabla1[[#This Row],[Code]],'[1]Articulos Precio'!$A:$E,5,FALSE)</f>
        <v>A0000769</v>
      </c>
    </row>
    <row r="2609" spans="1:9" x14ac:dyDescent="0.25">
      <c r="A2609" t="s">
        <v>688</v>
      </c>
      <c r="B2609" t="str">
        <f>VLOOKUP(Tabla1[[#This Row],[Code]],[1]!Tabla4[#Data],2,FALSE)</f>
        <v>M2 Metamark M7 175 Crema Claro 1,22 x 50m</v>
      </c>
      <c r="C2609">
        <v>25</v>
      </c>
      <c r="D2609" t="s">
        <v>94</v>
      </c>
      <c r="E2609" t="str">
        <f>VLOOKUP(Tabla1[[#This Row],[Cód. Atributo]],[1]!Tabla5[#Data],6,FALSE)</f>
        <v>Select</v>
      </c>
      <c r="F2609">
        <v>5</v>
      </c>
      <c r="G2609">
        <v>4</v>
      </c>
      <c r="H2609" t="s">
        <v>137</v>
      </c>
      <c r="I2609" t="str">
        <f>VLOOKUP(Tabla1[[#This Row],[Code]],'[1]Articulos Precio'!$A:$E,5,FALSE)</f>
        <v>A0000103</v>
      </c>
    </row>
    <row r="2610" spans="1:9" x14ac:dyDescent="0.25">
      <c r="A2610" t="s">
        <v>688</v>
      </c>
      <c r="B2610" t="str">
        <f>VLOOKUP(Tabla1[[#This Row],[Code]],[1]!Tabla4[#Data],2,FALSE)</f>
        <v>M2 Metamark M7 175 Crema Claro 1,22 x 50m</v>
      </c>
      <c r="C2610">
        <v>24</v>
      </c>
      <c r="D2610" t="s">
        <v>96</v>
      </c>
      <c r="E2610" t="str">
        <f>VLOOKUP(Tabla1[[#This Row],[Cód. Atributo]],[1]!Tabla5[#Data],6,FALSE)</f>
        <v>Select</v>
      </c>
      <c r="F2610">
        <v>6</v>
      </c>
      <c r="G2610">
        <v>2</v>
      </c>
      <c r="H2610" t="s">
        <v>266</v>
      </c>
      <c r="I2610" t="str">
        <f>VLOOKUP(Tabla1[[#This Row],[Code]],'[1]Articulos Precio'!$A:$E,5,FALSE)</f>
        <v>A0000103</v>
      </c>
    </row>
    <row r="2611" spans="1:9" x14ac:dyDescent="0.25">
      <c r="A2611" t="s">
        <v>972</v>
      </c>
      <c r="B2611" t="str">
        <f>VLOOKUP(Tabla1[[#This Row],[Code]],[1]!Tabla4[#Data],2,FALSE)</f>
        <v>M2 Metamark M7 176 Marfil 0,61 x 50m</v>
      </c>
      <c r="C2611">
        <v>8</v>
      </c>
      <c r="D2611" t="s">
        <v>86</v>
      </c>
      <c r="E2611" t="str">
        <f>VLOOKUP(Tabla1[[#This Row],[Cód. Atributo]],[1]!Tabla5[#Data],6,FALSE)</f>
        <v>Select</v>
      </c>
      <c r="F2611">
        <v>1</v>
      </c>
      <c r="G2611">
        <v>1</v>
      </c>
      <c r="H2611" t="s">
        <v>263</v>
      </c>
      <c r="I2611" t="str">
        <f>VLOOKUP(Tabla1[[#This Row],[Code]],'[1]Articulos Precio'!$A:$E,5,FALSE)</f>
        <v>A0000103</v>
      </c>
    </row>
    <row r="2612" spans="1:9" x14ac:dyDescent="0.25">
      <c r="A2612" t="s">
        <v>972</v>
      </c>
      <c r="B2612" t="str">
        <f>VLOOKUP(Tabla1[[#This Row],[Code]],[1]!Tabla4[#Data],2,FALSE)</f>
        <v>M2 Metamark M7 176 Marfil 0,61 x 50m</v>
      </c>
      <c r="C2612">
        <v>13</v>
      </c>
      <c r="D2612" t="s">
        <v>491</v>
      </c>
      <c r="E2612" t="str">
        <f>VLOOKUP(Tabla1[[#This Row],[Cód. Atributo]],[1]!Tabla5[#Data],6,FALSE)</f>
        <v>Color</v>
      </c>
      <c r="F2612">
        <v>2</v>
      </c>
      <c r="G2612">
        <v>79</v>
      </c>
      <c r="H2612" t="s">
        <v>973</v>
      </c>
      <c r="I2612" t="str">
        <f>VLOOKUP(Tabla1[[#This Row],[Code]],'[1]Articulos Precio'!$A:$E,5,FALSE)</f>
        <v>A0000103</v>
      </c>
    </row>
    <row r="2613" spans="1:9" x14ac:dyDescent="0.25">
      <c r="A2613" t="s">
        <v>972</v>
      </c>
      <c r="B2613" t="str">
        <f>VLOOKUP(Tabla1[[#This Row],[Code]],[1]!Tabla4[#Data],2,FALSE)</f>
        <v>M2 Metamark M7 176 Marfil 0,61 x 50m</v>
      </c>
      <c r="C2613">
        <v>23</v>
      </c>
      <c r="D2613" t="s">
        <v>90</v>
      </c>
      <c r="E2613" t="str">
        <f>VLOOKUP(Tabla1[[#This Row],[Cód. Atributo]],[1]!Tabla5[#Data],6,FALSE)</f>
        <v>Select</v>
      </c>
      <c r="F2613">
        <v>3</v>
      </c>
      <c r="G2613">
        <v>2</v>
      </c>
      <c r="H2613" t="s">
        <v>136</v>
      </c>
      <c r="I2613" t="str">
        <f>VLOOKUP(Tabla1[[#This Row],[Code]],'[1]Articulos Precio'!$A:$E,5,FALSE)</f>
        <v>A0000103</v>
      </c>
    </row>
    <row r="2614" spans="1:9" x14ac:dyDescent="0.25">
      <c r="A2614" t="s">
        <v>972</v>
      </c>
      <c r="B2614" t="str">
        <f>VLOOKUP(Tabla1[[#This Row],[Code]],[1]!Tabla4[#Data],2,FALSE)</f>
        <v>M2 Metamark M7 176 Marfil 0,61 x 50m</v>
      </c>
      <c r="C2614">
        <v>28</v>
      </c>
      <c r="D2614" t="s">
        <v>92</v>
      </c>
      <c r="E2614" t="str">
        <f>VLOOKUP(Tabla1[[#This Row],[Cód. Atributo]],[1]!Tabla5[#Data],6,FALSE)</f>
        <v>Select</v>
      </c>
      <c r="F2614">
        <v>4</v>
      </c>
      <c r="G2614">
        <v>1</v>
      </c>
      <c r="H2614" t="s">
        <v>93</v>
      </c>
      <c r="I2614" t="str">
        <f>VLOOKUP(Tabla1[[#This Row],[Code]],'[1]Articulos Precio'!$A:$E,5,FALSE)</f>
        <v>A0000103</v>
      </c>
    </row>
    <row r="2615" spans="1:9" x14ac:dyDescent="0.25">
      <c r="A2615" t="s">
        <v>972</v>
      </c>
      <c r="B2615" t="str">
        <f>VLOOKUP(Tabla1[[#This Row],[Code]],[1]!Tabla4[#Data],2,FALSE)</f>
        <v>M2 Metamark M7 176 Marfil 0,61 x 50m</v>
      </c>
      <c r="C2615">
        <v>25</v>
      </c>
      <c r="D2615" t="s">
        <v>94</v>
      </c>
      <c r="E2615" t="str">
        <f>VLOOKUP(Tabla1[[#This Row],[Cód. Atributo]],[1]!Tabla5[#Data],6,FALSE)</f>
        <v>Select</v>
      </c>
      <c r="F2615">
        <v>5</v>
      </c>
      <c r="G2615">
        <v>4</v>
      </c>
      <c r="H2615" t="s">
        <v>137</v>
      </c>
      <c r="I2615" t="str">
        <f>VLOOKUP(Tabla1[[#This Row],[Code]],'[1]Articulos Precio'!$A:$E,5,FALSE)</f>
        <v>A0000103</v>
      </c>
    </row>
    <row r="2616" spans="1:9" x14ac:dyDescent="0.25">
      <c r="A2616" t="s">
        <v>972</v>
      </c>
      <c r="B2616" t="str">
        <f>VLOOKUP(Tabla1[[#This Row],[Code]],[1]!Tabla4[#Data],2,FALSE)</f>
        <v>M2 Metamark M7 176 Marfil 0,61 x 50m</v>
      </c>
      <c r="C2616">
        <v>24</v>
      </c>
      <c r="D2616" t="s">
        <v>96</v>
      </c>
      <c r="E2616" t="str">
        <f>VLOOKUP(Tabla1[[#This Row],[Cód. Atributo]],[1]!Tabla5[#Data],6,FALSE)</f>
        <v>Select</v>
      </c>
      <c r="F2616">
        <v>6</v>
      </c>
      <c r="G2616">
        <v>2</v>
      </c>
      <c r="H2616" t="s">
        <v>266</v>
      </c>
      <c r="I2616" t="str">
        <f>VLOOKUP(Tabla1[[#This Row],[Code]],'[1]Articulos Precio'!$A:$E,5,FALSE)</f>
        <v>A0000103</v>
      </c>
    </row>
    <row r="2617" spans="1:9" x14ac:dyDescent="0.25">
      <c r="A2617" t="s">
        <v>974</v>
      </c>
      <c r="B2617" t="str">
        <f>VLOOKUP(Tabla1[[#This Row],[Code]],[1]!Tabla4[#Data],2,FALSE)</f>
        <v>M2 Metamark M7 176 Marfil 1,22 x 50m</v>
      </c>
      <c r="C2617">
        <v>8</v>
      </c>
      <c r="D2617" t="s">
        <v>86</v>
      </c>
      <c r="E2617" t="str">
        <f>VLOOKUP(Tabla1[[#This Row],[Cód. Atributo]],[1]!Tabla5[#Data],6,FALSE)</f>
        <v>Select</v>
      </c>
      <c r="F2617">
        <v>1</v>
      </c>
      <c r="G2617">
        <v>2</v>
      </c>
      <c r="H2617" t="s">
        <v>268</v>
      </c>
      <c r="I2617" t="str">
        <f>VLOOKUP(Tabla1[[#This Row],[Code]],'[1]Articulos Precio'!$A:$E,5,FALSE)</f>
        <v>A0000103</v>
      </c>
    </row>
    <row r="2618" spans="1:9" x14ac:dyDescent="0.25">
      <c r="A2618" t="s">
        <v>974</v>
      </c>
      <c r="B2618" t="str">
        <f>VLOOKUP(Tabla1[[#This Row],[Code]],[1]!Tabla4[#Data],2,FALSE)</f>
        <v>M2 Metamark M7 176 Marfil 1,22 x 50m</v>
      </c>
      <c r="C2618">
        <v>13</v>
      </c>
      <c r="D2618" t="s">
        <v>491</v>
      </c>
      <c r="E2618" t="str">
        <f>VLOOKUP(Tabla1[[#This Row],[Cód. Atributo]],[1]!Tabla5[#Data],6,FALSE)</f>
        <v>Color</v>
      </c>
      <c r="F2618">
        <v>2</v>
      </c>
      <c r="G2618">
        <v>79</v>
      </c>
      <c r="H2618" t="s">
        <v>973</v>
      </c>
      <c r="I2618" t="str">
        <f>VLOOKUP(Tabla1[[#This Row],[Code]],'[1]Articulos Precio'!$A:$E,5,FALSE)</f>
        <v>A0000103</v>
      </c>
    </row>
    <row r="2619" spans="1:9" x14ac:dyDescent="0.25">
      <c r="A2619" t="s">
        <v>974</v>
      </c>
      <c r="B2619" t="str">
        <f>VLOOKUP(Tabla1[[#This Row],[Code]],[1]!Tabla4[#Data],2,FALSE)</f>
        <v>M2 Metamark M7 176 Marfil 1,22 x 50m</v>
      </c>
      <c r="C2619">
        <v>23</v>
      </c>
      <c r="D2619" t="s">
        <v>90</v>
      </c>
      <c r="E2619" t="str">
        <f>VLOOKUP(Tabla1[[#This Row],[Cód. Atributo]],[1]!Tabla5[#Data],6,FALSE)</f>
        <v>Select</v>
      </c>
      <c r="F2619">
        <v>3</v>
      </c>
      <c r="G2619">
        <v>2</v>
      </c>
      <c r="H2619" t="s">
        <v>136</v>
      </c>
      <c r="I2619" t="str">
        <f>VLOOKUP(Tabla1[[#This Row],[Code]],'[1]Articulos Precio'!$A:$E,5,FALSE)</f>
        <v>A0000103</v>
      </c>
    </row>
    <row r="2620" spans="1:9" x14ac:dyDescent="0.25">
      <c r="A2620" t="s">
        <v>974</v>
      </c>
      <c r="B2620" t="str">
        <f>VLOOKUP(Tabla1[[#This Row],[Code]],[1]!Tabla4[#Data],2,FALSE)</f>
        <v>M2 Metamark M7 176 Marfil 1,22 x 50m</v>
      </c>
      <c r="C2620">
        <v>28</v>
      </c>
      <c r="D2620" t="s">
        <v>92</v>
      </c>
      <c r="E2620" t="str">
        <f>VLOOKUP(Tabla1[[#This Row],[Cód. Atributo]],[1]!Tabla5[#Data],6,FALSE)</f>
        <v>Select</v>
      </c>
      <c r="F2620">
        <v>4</v>
      </c>
      <c r="G2620">
        <v>1</v>
      </c>
      <c r="H2620" t="s">
        <v>93</v>
      </c>
      <c r="I2620" t="str">
        <f>VLOOKUP(Tabla1[[#This Row],[Code]],'[1]Articulos Precio'!$A:$E,5,FALSE)</f>
        <v>A0000103</v>
      </c>
    </row>
    <row r="2621" spans="1:9" x14ac:dyDescent="0.25">
      <c r="A2621" t="s">
        <v>974</v>
      </c>
      <c r="B2621" t="str">
        <f>VLOOKUP(Tabla1[[#This Row],[Code]],[1]!Tabla4[#Data],2,FALSE)</f>
        <v>M2 Metamark M7 176 Marfil 1,22 x 50m</v>
      </c>
      <c r="C2621">
        <v>25</v>
      </c>
      <c r="D2621" t="s">
        <v>94</v>
      </c>
      <c r="E2621" t="str">
        <f>VLOOKUP(Tabla1[[#This Row],[Cód. Atributo]],[1]!Tabla5[#Data],6,FALSE)</f>
        <v>Select</v>
      </c>
      <c r="F2621">
        <v>5</v>
      </c>
      <c r="G2621">
        <v>4</v>
      </c>
      <c r="H2621" t="s">
        <v>137</v>
      </c>
      <c r="I2621" t="str">
        <f>VLOOKUP(Tabla1[[#This Row],[Code]],'[1]Articulos Precio'!$A:$E,5,FALSE)</f>
        <v>A0000103</v>
      </c>
    </row>
    <row r="2622" spans="1:9" x14ac:dyDescent="0.25">
      <c r="A2622" t="s">
        <v>974</v>
      </c>
      <c r="B2622" t="str">
        <f>VLOOKUP(Tabla1[[#This Row],[Code]],[1]!Tabla4[#Data],2,FALSE)</f>
        <v>M2 Metamark M7 176 Marfil 1,22 x 50m</v>
      </c>
      <c r="C2622">
        <v>24</v>
      </c>
      <c r="D2622" t="s">
        <v>96</v>
      </c>
      <c r="E2622" t="str">
        <f>VLOOKUP(Tabla1[[#This Row],[Cód. Atributo]],[1]!Tabla5[#Data],6,FALSE)</f>
        <v>Select</v>
      </c>
      <c r="F2622">
        <v>6</v>
      </c>
      <c r="G2622">
        <v>2</v>
      </c>
      <c r="H2622" t="s">
        <v>266</v>
      </c>
      <c r="I2622" t="str">
        <f>VLOOKUP(Tabla1[[#This Row],[Code]],'[1]Articulos Precio'!$A:$E,5,FALSE)</f>
        <v>A0000103</v>
      </c>
    </row>
    <row r="2623" spans="1:9" x14ac:dyDescent="0.25">
      <c r="A2623" t="s">
        <v>975</v>
      </c>
      <c r="B2623" t="str">
        <f>VLOOKUP(Tabla1[[#This Row],[Code]],[1]!Tabla4[#Data],2,FALSE)</f>
        <v>M2 Metamark M7 177 Azul Cáscara 0,61 x 50m</v>
      </c>
      <c r="C2623">
        <v>8</v>
      </c>
      <c r="D2623" t="s">
        <v>86</v>
      </c>
      <c r="E2623" t="str">
        <f>VLOOKUP(Tabla1[[#This Row],[Cód. Atributo]],[1]!Tabla5[#Data],6,FALSE)</f>
        <v>Select</v>
      </c>
      <c r="F2623">
        <v>1</v>
      </c>
      <c r="G2623">
        <v>1</v>
      </c>
      <c r="H2623" t="s">
        <v>263</v>
      </c>
      <c r="I2623" t="str">
        <f>VLOOKUP(Tabla1[[#This Row],[Code]],'[1]Articulos Precio'!$A:$E,5,FALSE)</f>
        <v>A0000103</v>
      </c>
    </row>
    <row r="2624" spans="1:9" x14ac:dyDescent="0.25">
      <c r="A2624" t="s">
        <v>975</v>
      </c>
      <c r="B2624" t="str">
        <f>VLOOKUP(Tabla1[[#This Row],[Code]],[1]!Tabla4[#Data],2,FALSE)</f>
        <v>M2 Metamark M7 177 Azul Cáscara 0,61 x 50m</v>
      </c>
      <c r="C2624">
        <v>13</v>
      </c>
      <c r="D2624" t="s">
        <v>491</v>
      </c>
      <c r="E2624" t="str">
        <f>VLOOKUP(Tabla1[[#This Row],[Cód. Atributo]],[1]!Tabla5[#Data],6,FALSE)</f>
        <v>Color</v>
      </c>
      <c r="F2624">
        <v>2</v>
      </c>
      <c r="G2624">
        <v>45</v>
      </c>
      <c r="H2624" t="s">
        <v>976</v>
      </c>
      <c r="I2624" t="str">
        <f>VLOOKUP(Tabla1[[#This Row],[Code]],'[1]Articulos Precio'!$A:$E,5,FALSE)</f>
        <v>A0000103</v>
      </c>
    </row>
    <row r="2625" spans="1:9" x14ac:dyDescent="0.25">
      <c r="A2625" t="s">
        <v>975</v>
      </c>
      <c r="B2625" t="str">
        <f>VLOOKUP(Tabla1[[#This Row],[Code]],[1]!Tabla4[#Data],2,FALSE)</f>
        <v>M2 Metamark M7 177 Azul Cáscara 0,61 x 50m</v>
      </c>
      <c r="C2625">
        <v>23</v>
      </c>
      <c r="D2625" t="s">
        <v>90</v>
      </c>
      <c r="E2625" t="str">
        <f>VLOOKUP(Tabla1[[#This Row],[Cód. Atributo]],[1]!Tabla5[#Data],6,FALSE)</f>
        <v>Select</v>
      </c>
      <c r="F2625">
        <v>3</v>
      </c>
      <c r="G2625">
        <v>2</v>
      </c>
      <c r="H2625" t="s">
        <v>136</v>
      </c>
      <c r="I2625" t="str">
        <f>VLOOKUP(Tabla1[[#This Row],[Code]],'[1]Articulos Precio'!$A:$E,5,FALSE)</f>
        <v>A0000103</v>
      </c>
    </row>
    <row r="2626" spans="1:9" x14ac:dyDescent="0.25">
      <c r="A2626" t="s">
        <v>975</v>
      </c>
      <c r="B2626" t="str">
        <f>VLOOKUP(Tabla1[[#This Row],[Code]],[1]!Tabla4[#Data],2,FALSE)</f>
        <v>M2 Metamark M7 177 Azul Cáscara 0,61 x 50m</v>
      </c>
      <c r="C2626">
        <v>28</v>
      </c>
      <c r="D2626" t="s">
        <v>92</v>
      </c>
      <c r="E2626" t="str">
        <f>VLOOKUP(Tabla1[[#This Row],[Cód. Atributo]],[1]!Tabla5[#Data],6,FALSE)</f>
        <v>Select</v>
      </c>
      <c r="F2626">
        <v>4</v>
      </c>
      <c r="G2626">
        <v>1</v>
      </c>
      <c r="H2626" t="s">
        <v>93</v>
      </c>
      <c r="I2626" t="str">
        <f>VLOOKUP(Tabla1[[#This Row],[Code]],'[1]Articulos Precio'!$A:$E,5,FALSE)</f>
        <v>A0000103</v>
      </c>
    </row>
    <row r="2627" spans="1:9" x14ac:dyDescent="0.25">
      <c r="A2627" t="s">
        <v>975</v>
      </c>
      <c r="B2627" t="str">
        <f>VLOOKUP(Tabla1[[#This Row],[Code]],[1]!Tabla4[#Data],2,FALSE)</f>
        <v>M2 Metamark M7 177 Azul Cáscara 0,61 x 50m</v>
      </c>
      <c r="C2627">
        <v>25</v>
      </c>
      <c r="D2627" t="s">
        <v>94</v>
      </c>
      <c r="E2627" t="str">
        <f>VLOOKUP(Tabla1[[#This Row],[Cód. Atributo]],[1]!Tabla5[#Data],6,FALSE)</f>
        <v>Select</v>
      </c>
      <c r="F2627">
        <v>5</v>
      </c>
      <c r="G2627">
        <v>4</v>
      </c>
      <c r="H2627" t="s">
        <v>137</v>
      </c>
      <c r="I2627" t="str">
        <f>VLOOKUP(Tabla1[[#This Row],[Code]],'[1]Articulos Precio'!$A:$E,5,FALSE)</f>
        <v>A0000103</v>
      </c>
    </row>
    <row r="2628" spans="1:9" x14ac:dyDescent="0.25">
      <c r="A2628" t="s">
        <v>975</v>
      </c>
      <c r="B2628" t="str">
        <f>VLOOKUP(Tabla1[[#This Row],[Code]],[1]!Tabla4[#Data],2,FALSE)</f>
        <v>M2 Metamark M7 177 Azul Cáscara 0,61 x 50m</v>
      </c>
      <c r="C2628">
        <v>24</v>
      </c>
      <c r="D2628" t="s">
        <v>96</v>
      </c>
      <c r="E2628" t="str">
        <f>VLOOKUP(Tabla1[[#This Row],[Cód. Atributo]],[1]!Tabla5[#Data],6,FALSE)</f>
        <v>Select</v>
      </c>
      <c r="F2628">
        <v>6</v>
      </c>
      <c r="G2628">
        <v>2</v>
      </c>
      <c r="H2628" t="s">
        <v>266</v>
      </c>
      <c r="I2628" t="str">
        <f>VLOOKUP(Tabla1[[#This Row],[Code]],'[1]Articulos Precio'!$A:$E,5,FALSE)</f>
        <v>A0000103</v>
      </c>
    </row>
    <row r="2629" spans="1:9" x14ac:dyDescent="0.25">
      <c r="A2629" t="s">
        <v>975</v>
      </c>
      <c r="B2629" t="str">
        <f>VLOOKUP(Tabla1[[#This Row],[Code]],[1]!Tabla4[#Data],2,FALSE)</f>
        <v>M2 Metamark M7 177 Azul Cáscara 0,61 x 50m</v>
      </c>
      <c r="E2629" t="e">
        <f>VLOOKUP(Tabla1[[#This Row],[Cód. Atributo]],[1]!Tabla5[#Data],6,FALSE)</f>
        <v>#N/A</v>
      </c>
      <c r="F2629">
        <v>7</v>
      </c>
      <c r="I2629" t="str">
        <f>VLOOKUP(Tabla1[[#This Row],[Code]],'[1]Articulos Precio'!$A:$E,5,FALSE)</f>
        <v>A0000103</v>
      </c>
    </row>
    <row r="2630" spans="1:9" x14ac:dyDescent="0.25">
      <c r="A2630" t="s">
        <v>977</v>
      </c>
      <c r="B2630" t="str">
        <f>VLOOKUP(Tabla1[[#This Row],[Code]],[1]!Tabla4[#Data],2,FALSE)</f>
        <v>M2 Metamark M7 177 Azul Cáscara 1,22 x 50m</v>
      </c>
      <c r="C2630">
        <v>8</v>
      </c>
      <c r="D2630" t="s">
        <v>86</v>
      </c>
      <c r="E2630" t="str">
        <f>VLOOKUP(Tabla1[[#This Row],[Cód. Atributo]],[1]!Tabla5[#Data],6,FALSE)</f>
        <v>Select</v>
      </c>
      <c r="F2630">
        <v>1</v>
      </c>
      <c r="G2630">
        <v>2</v>
      </c>
      <c r="H2630" t="s">
        <v>268</v>
      </c>
      <c r="I2630" t="str">
        <f>VLOOKUP(Tabla1[[#This Row],[Code]],'[1]Articulos Precio'!$A:$E,5,FALSE)</f>
        <v>A0000103</v>
      </c>
    </row>
    <row r="2631" spans="1:9" x14ac:dyDescent="0.25">
      <c r="A2631" t="s">
        <v>978</v>
      </c>
      <c r="B2631" t="str">
        <f>VLOOKUP(Tabla1[[#This Row],[Code]],[1]!Tabla4[#Data],2,FALSE)</f>
        <v>1000001383 - Pad Cutter GX-500</v>
      </c>
      <c r="C2631">
        <v>100</v>
      </c>
      <c r="D2631" t="s">
        <v>979</v>
      </c>
      <c r="E2631" t="e">
        <f>VLOOKUP(Tabla1[[#This Row],[Cód. Atributo]],[1]!Tabla5[#Data],6,FALSE)</f>
        <v>#N/A</v>
      </c>
      <c r="F2631">
        <v>1</v>
      </c>
      <c r="G2631">
        <v>1</v>
      </c>
      <c r="I2631">
        <f>VLOOKUP(Tabla1[[#This Row],[Code]],'[1]Articulos Precio'!$A:$E,5,FALSE)</f>
        <v>0</v>
      </c>
    </row>
    <row r="2632" spans="1:9" x14ac:dyDescent="0.25">
      <c r="A2632" t="s">
        <v>977</v>
      </c>
      <c r="B2632" t="str">
        <f>VLOOKUP(Tabla1[[#This Row],[Code]],[1]!Tabla4[#Data],2,FALSE)</f>
        <v>M2 Metamark M7 177 Azul Cáscara 1,22 x 50m</v>
      </c>
      <c r="C2632">
        <v>13</v>
      </c>
      <c r="D2632" t="s">
        <v>491</v>
      </c>
      <c r="E2632" t="str">
        <f>VLOOKUP(Tabla1[[#This Row],[Cód. Atributo]],[1]!Tabla5[#Data],6,FALSE)</f>
        <v>Color</v>
      </c>
      <c r="F2632">
        <v>2</v>
      </c>
      <c r="G2632">
        <v>45</v>
      </c>
      <c r="H2632" t="s">
        <v>976</v>
      </c>
      <c r="I2632" t="str">
        <f>VLOOKUP(Tabla1[[#This Row],[Code]],'[1]Articulos Precio'!$A:$E,5,FALSE)</f>
        <v>A0000103</v>
      </c>
    </row>
    <row r="2633" spans="1:9" x14ac:dyDescent="0.25">
      <c r="A2633" t="s">
        <v>977</v>
      </c>
      <c r="B2633" t="str">
        <f>VLOOKUP(Tabla1[[#This Row],[Code]],[1]!Tabla4[#Data],2,FALSE)</f>
        <v>M2 Metamark M7 177 Azul Cáscara 1,22 x 50m</v>
      </c>
      <c r="C2633">
        <v>23</v>
      </c>
      <c r="D2633" t="s">
        <v>90</v>
      </c>
      <c r="E2633" t="str">
        <f>VLOOKUP(Tabla1[[#This Row],[Cód. Atributo]],[1]!Tabla5[#Data],6,FALSE)</f>
        <v>Select</v>
      </c>
      <c r="F2633">
        <v>3</v>
      </c>
      <c r="G2633">
        <v>2</v>
      </c>
      <c r="H2633" t="s">
        <v>136</v>
      </c>
      <c r="I2633" t="str">
        <f>VLOOKUP(Tabla1[[#This Row],[Code]],'[1]Articulos Precio'!$A:$E,5,FALSE)</f>
        <v>A0000103</v>
      </c>
    </row>
    <row r="2634" spans="1:9" x14ac:dyDescent="0.25">
      <c r="A2634" t="s">
        <v>977</v>
      </c>
      <c r="B2634" t="str">
        <f>VLOOKUP(Tabla1[[#This Row],[Code]],[1]!Tabla4[#Data],2,FALSE)</f>
        <v>M2 Metamark M7 177 Azul Cáscara 1,22 x 50m</v>
      </c>
      <c r="C2634">
        <v>28</v>
      </c>
      <c r="D2634" t="s">
        <v>92</v>
      </c>
      <c r="E2634" t="str">
        <f>VLOOKUP(Tabla1[[#This Row],[Cód. Atributo]],[1]!Tabla5[#Data],6,FALSE)</f>
        <v>Select</v>
      </c>
      <c r="F2634">
        <v>4</v>
      </c>
      <c r="G2634">
        <v>1</v>
      </c>
      <c r="H2634" t="s">
        <v>93</v>
      </c>
      <c r="I2634" t="str">
        <f>VLOOKUP(Tabla1[[#This Row],[Code]],'[1]Articulos Precio'!$A:$E,5,FALSE)</f>
        <v>A0000103</v>
      </c>
    </row>
    <row r="2635" spans="1:9" x14ac:dyDescent="0.25">
      <c r="A2635" t="s">
        <v>977</v>
      </c>
      <c r="B2635" t="str">
        <f>VLOOKUP(Tabla1[[#This Row],[Code]],[1]!Tabla4[#Data],2,FALSE)</f>
        <v>M2 Metamark M7 177 Azul Cáscara 1,22 x 50m</v>
      </c>
      <c r="C2635">
        <v>25</v>
      </c>
      <c r="D2635" t="s">
        <v>94</v>
      </c>
      <c r="E2635" t="str">
        <f>VLOOKUP(Tabla1[[#This Row],[Cód. Atributo]],[1]!Tabla5[#Data],6,FALSE)</f>
        <v>Select</v>
      </c>
      <c r="F2635">
        <v>5</v>
      </c>
      <c r="G2635">
        <v>4</v>
      </c>
      <c r="H2635" t="s">
        <v>137</v>
      </c>
      <c r="I2635" t="str">
        <f>VLOOKUP(Tabla1[[#This Row],[Code]],'[1]Articulos Precio'!$A:$E,5,FALSE)</f>
        <v>A0000103</v>
      </c>
    </row>
    <row r="2636" spans="1:9" x14ac:dyDescent="0.25">
      <c r="A2636" t="s">
        <v>977</v>
      </c>
      <c r="B2636" t="str">
        <f>VLOOKUP(Tabla1[[#This Row],[Code]],[1]!Tabla4[#Data],2,FALSE)</f>
        <v>M2 Metamark M7 177 Azul Cáscara 1,22 x 50m</v>
      </c>
      <c r="C2636">
        <v>24</v>
      </c>
      <c r="D2636" t="s">
        <v>96</v>
      </c>
      <c r="E2636" t="str">
        <f>VLOOKUP(Tabla1[[#This Row],[Cód. Atributo]],[1]!Tabla5[#Data],6,FALSE)</f>
        <v>Select</v>
      </c>
      <c r="F2636">
        <v>6</v>
      </c>
      <c r="G2636">
        <v>2</v>
      </c>
      <c r="H2636" t="s">
        <v>266</v>
      </c>
      <c r="I2636" t="str">
        <f>VLOOKUP(Tabla1[[#This Row],[Code]],'[1]Articulos Precio'!$A:$E,5,FALSE)</f>
        <v>A0000103</v>
      </c>
    </row>
    <row r="2637" spans="1:9" x14ac:dyDescent="0.25">
      <c r="A2637" t="s">
        <v>980</v>
      </c>
      <c r="B2637" t="str">
        <f>VLOOKUP(Tabla1[[#This Row],[Code]],[1]!Tabla4[#Data],2,FALSE)</f>
        <v>M2 Metamark M7 178 Azul Vikingo 0,61 x 50m</v>
      </c>
      <c r="C2637">
        <v>8</v>
      </c>
      <c r="D2637" t="s">
        <v>86</v>
      </c>
      <c r="E2637" t="str">
        <f>VLOOKUP(Tabla1[[#This Row],[Cód. Atributo]],[1]!Tabla5[#Data],6,FALSE)</f>
        <v>Select</v>
      </c>
      <c r="F2637">
        <v>1</v>
      </c>
      <c r="G2637">
        <v>1</v>
      </c>
      <c r="H2637" t="s">
        <v>263</v>
      </c>
      <c r="I2637" t="str">
        <f>VLOOKUP(Tabla1[[#This Row],[Code]],'[1]Articulos Precio'!$A:$E,5,FALSE)</f>
        <v>A0000103</v>
      </c>
    </row>
    <row r="2638" spans="1:9" x14ac:dyDescent="0.25">
      <c r="A2638" t="s">
        <v>980</v>
      </c>
      <c r="B2638" t="str">
        <f>VLOOKUP(Tabla1[[#This Row],[Code]],[1]!Tabla4[#Data],2,FALSE)</f>
        <v>M2 Metamark M7 178 Azul Vikingo 0,61 x 50m</v>
      </c>
      <c r="C2638">
        <v>13</v>
      </c>
      <c r="D2638" t="s">
        <v>491</v>
      </c>
      <c r="E2638" t="str">
        <f>VLOOKUP(Tabla1[[#This Row],[Cód. Atributo]],[1]!Tabla5[#Data],6,FALSE)</f>
        <v>Color</v>
      </c>
      <c r="F2638">
        <v>2</v>
      </c>
      <c r="G2638">
        <v>46</v>
      </c>
      <c r="H2638" t="s">
        <v>981</v>
      </c>
      <c r="I2638" t="str">
        <f>VLOOKUP(Tabla1[[#This Row],[Code]],'[1]Articulos Precio'!$A:$E,5,FALSE)</f>
        <v>A0000103</v>
      </c>
    </row>
    <row r="2639" spans="1:9" x14ac:dyDescent="0.25">
      <c r="A2639" t="s">
        <v>980</v>
      </c>
      <c r="B2639" t="str">
        <f>VLOOKUP(Tabla1[[#This Row],[Code]],[1]!Tabla4[#Data],2,FALSE)</f>
        <v>M2 Metamark M7 178 Azul Vikingo 0,61 x 50m</v>
      </c>
      <c r="C2639">
        <v>23</v>
      </c>
      <c r="D2639" t="s">
        <v>90</v>
      </c>
      <c r="E2639" t="str">
        <f>VLOOKUP(Tabla1[[#This Row],[Cód. Atributo]],[1]!Tabla5[#Data],6,FALSE)</f>
        <v>Select</v>
      </c>
      <c r="F2639">
        <v>3</v>
      </c>
      <c r="G2639">
        <v>2</v>
      </c>
      <c r="H2639" t="s">
        <v>136</v>
      </c>
      <c r="I2639" t="str">
        <f>VLOOKUP(Tabla1[[#This Row],[Code]],'[1]Articulos Precio'!$A:$E,5,FALSE)</f>
        <v>A0000103</v>
      </c>
    </row>
    <row r="2640" spans="1:9" x14ac:dyDescent="0.25">
      <c r="A2640" t="s">
        <v>980</v>
      </c>
      <c r="B2640" t="str">
        <f>VLOOKUP(Tabla1[[#This Row],[Code]],[1]!Tabla4[#Data],2,FALSE)</f>
        <v>M2 Metamark M7 178 Azul Vikingo 0,61 x 50m</v>
      </c>
      <c r="C2640">
        <v>28</v>
      </c>
      <c r="D2640" t="s">
        <v>92</v>
      </c>
      <c r="E2640" t="str">
        <f>VLOOKUP(Tabla1[[#This Row],[Cód. Atributo]],[1]!Tabla5[#Data],6,FALSE)</f>
        <v>Select</v>
      </c>
      <c r="F2640">
        <v>4</v>
      </c>
      <c r="G2640">
        <v>1</v>
      </c>
      <c r="H2640" t="s">
        <v>93</v>
      </c>
      <c r="I2640" t="str">
        <f>VLOOKUP(Tabla1[[#This Row],[Code]],'[1]Articulos Precio'!$A:$E,5,FALSE)</f>
        <v>A0000103</v>
      </c>
    </row>
    <row r="2641" spans="1:9" x14ac:dyDescent="0.25">
      <c r="A2641" t="s">
        <v>982</v>
      </c>
      <c r="B2641" t="str">
        <f>VLOOKUP(Tabla1[[#This Row],[Code]],[1]!Tabla4[#Data],2,FALSE)</f>
        <v>SP-540 Pad Cutter</v>
      </c>
      <c r="C2641">
        <v>100</v>
      </c>
      <c r="D2641" t="s">
        <v>979</v>
      </c>
      <c r="E2641" t="e">
        <f>VLOOKUP(Tabla1[[#This Row],[Cód. Atributo]],[1]!Tabla5[#Data],6,FALSE)</f>
        <v>#N/A</v>
      </c>
      <c r="F2641">
        <v>1</v>
      </c>
      <c r="G2641">
        <v>1</v>
      </c>
      <c r="I2641">
        <f>VLOOKUP(Tabla1[[#This Row],[Code]],'[1]Articulos Precio'!$A:$E,5,FALSE)</f>
        <v>0</v>
      </c>
    </row>
    <row r="2642" spans="1:9" x14ac:dyDescent="0.25">
      <c r="A2642" t="s">
        <v>983</v>
      </c>
      <c r="B2642" t="str">
        <f>VLOOKUP(Tabla1[[#This Row],[Code]],[1]!Tabla4[#Data],2,FALSE)</f>
        <v>Rollo Metaguard FloorArt Laminado Suelo 1,37x50m</v>
      </c>
      <c r="C2642">
        <v>23</v>
      </c>
      <c r="D2642" t="s">
        <v>90</v>
      </c>
      <c r="E2642" t="str">
        <f>VLOOKUP(Tabla1[[#This Row],[Cód. Atributo]],[1]!Tabla5[#Data],6,FALSE)</f>
        <v>Select</v>
      </c>
      <c r="F2642">
        <v>1</v>
      </c>
      <c r="G2642">
        <v>1</v>
      </c>
      <c r="H2642" t="s">
        <v>110</v>
      </c>
      <c r="I2642" t="str">
        <f>VLOOKUP(Tabla1[[#This Row],[Code]],'[1]Articulos Precio'!$A:$E,5,FALSE)</f>
        <v>A0000986</v>
      </c>
    </row>
    <row r="2643" spans="1:9" x14ac:dyDescent="0.25">
      <c r="A2643" t="s">
        <v>983</v>
      </c>
      <c r="B2643" t="str">
        <f>VLOOKUP(Tabla1[[#This Row],[Code]],[1]!Tabla4[#Data],2,FALSE)</f>
        <v>Rollo Metaguard FloorArt Laminado Suelo 1,37x50m</v>
      </c>
      <c r="C2643">
        <v>25</v>
      </c>
      <c r="D2643" t="s">
        <v>94</v>
      </c>
      <c r="E2643" t="str">
        <f>VLOOKUP(Tabla1[[#This Row],[Cód. Atributo]],[1]!Tabla5[#Data],6,FALSE)</f>
        <v>Select</v>
      </c>
      <c r="F2643">
        <v>2</v>
      </c>
      <c r="G2643">
        <v>1</v>
      </c>
      <c r="H2643" t="s">
        <v>161</v>
      </c>
      <c r="I2643" t="str">
        <f>VLOOKUP(Tabla1[[#This Row],[Code]],'[1]Articulos Precio'!$A:$E,5,FALSE)</f>
        <v>A0000986</v>
      </c>
    </row>
    <row r="2644" spans="1:9" x14ac:dyDescent="0.25">
      <c r="A2644" t="s">
        <v>983</v>
      </c>
      <c r="B2644" t="str">
        <f>VLOOKUP(Tabla1[[#This Row],[Code]],[1]!Tabla4[#Data],2,FALSE)</f>
        <v>Rollo Metaguard FloorArt Laminado Suelo 1,37x50m</v>
      </c>
      <c r="C2644">
        <v>30</v>
      </c>
      <c r="D2644" t="s">
        <v>184</v>
      </c>
      <c r="E2644" t="str">
        <f>VLOOKUP(Tabla1[[#This Row],[Cód. Atributo]],[1]!Tabla5[#Data],6,FALSE)</f>
        <v>Select</v>
      </c>
      <c r="F2644">
        <v>3</v>
      </c>
      <c r="G2644">
        <v>2</v>
      </c>
      <c r="H2644" t="s">
        <v>984</v>
      </c>
      <c r="I2644" t="str">
        <f>VLOOKUP(Tabla1[[#This Row],[Code]],'[1]Articulos Precio'!$A:$E,5,FALSE)</f>
        <v>A0000986</v>
      </c>
    </row>
    <row r="2645" spans="1:9" x14ac:dyDescent="0.25">
      <c r="A2645" t="s">
        <v>983</v>
      </c>
      <c r="B2645" t="str">
        <f>VLOOKUP(Tabla1[[#This Row],[Code]],[1]!Tabla4[#Data],2,FALSE)</f>
        <v>Rollo Metaguard FloorArt Laminado Suelo 1,37x50m</v>
      </c>
      <c r="C2645">
        <v>5</v>
      </c>
      <c r="D2645" t="s">
        <v>985</v>
      </c>
      <c r="E2645" t="e">
        <f>VLOOKUP(Tabla1[[#This Row],[Cód. Atributo]],[1]!Tabla5[#Data],6,FALSE)</f>
        <v>#N/A</v>
      </c>
      <c r="F2645">
        <v>4</v>
      </c>
      <c r="G2645">
        <v>1</v>
      </c>
      <c r="H2645" t="s">
        <v>986</v>
      </c>
      <c r="I2645" t="str">
        <f>VLOOKUP(Tabla1[[#This Row],[Code]],'[1]Articulos Precio'!$A:$E,5,FALSE)</f>
        <v>A0000986</v>
      </c>
    </row>
    <row r="2646" spans="1:9" x14ac:dyDescent="0.25">
      <c r="A2646" t="s">
        <v>987</v>
      </c>
      <c r="B2646" t="str">
        <f>VLOOKUP(Tabla1[[#This Row],[Code]],[1]!Tabla4[#Data],2,FALSE)</f>
        <v>Rollo Metamark MD PR Removible (100mc Imp. y Corte) Brillo 1,37x50m</v>
      </c>
      <c r="C2646">
        <v>1</v>
      </c>
      <c r="D2646" t="s">
        <v>106</v>
      </c>
      <c r="E2646" t="str">
        <f>VLOOKUP(Tabla1[[#This Row],[Cód. Atributo]],[1]!Tabla5[#Data],6,FALSE)</f>
        <v>Select</v>
      </c>
      <c r="F2646">
        <v>1</v>
      </c>
      <c r="G2646">
        <v>1</v>
      </c>
      <c r="H2646" t="s">
        <v>107</v>
      </c>
      <c r="I2646" t="str">
        <f>VLOOKUP(Tabla1[[#This Row],[Code]],'[1]Articulos Precio'!$A:$E,5,FALSE)</f>
        <v>A0000209</v>
      </c>
    </row>
    <row r="2647" spans="1:9" x14ac:dyDescent="0.25">
      <c r="A2647" t="s">
        <v>987</v>
      </c>
      <c r="B2647" t="str">
        <f>VLOOKUP(Tabla1[[#This Row],[Code]],[1]!Tabla4[#Data],2,FALSE)</f>
        <v>Rollo Metamark MD PR Removible (100mc Imp. y Corte) Brillo 1,37x50m</v>
      </c>
      <c r="C2647">
        <v>3</v>
      </c>
      <c r="D2647" t="s">
        <v>108</v>
      </c>
      <c r="E2647" t="str">
        <f>VLOOKUP(Tabla1[[#This Row],[Cód. Atributo]],[1]!Tabla5[#Data],6,FALSE)</f>
        <v>Select</v>
      </c>
      <c r="F2647">
        <v>2</v>
      </c>
      <c r="G2647">
        <v>3</v>
      </c>
      <c r="H2647" t="s">
        <v>117</v>
      </c>
      <c r="I2647" t="str">
        <f>VLOOKUP(Tabla1[[#This Row],[Code]],'[1]Articulos Precio'!$A:$E,5,FALSE)</f>
        <v>A0000209</v>
      </c>
    </row>
    <row r="2648" spans="1:9" x14ac:dyDescent="0.25">
      <c r="A2648" t="s">
        <v>987</v>
      </c>
      <c r="B2648" t="str">
        <f>VLOOKUP(Tabla1[[#This Row],[Code]],[1]!Tabla4[#Data],2,FALSE)</f>
        <v>Rollo Metamark MD PR Removible (100mc Imp. y Corte) Brillo 1,37x50m</v>
      </c>
      <c r="C2648">
        <v>23</v>
      </c>
      <c r="D2648" t="s">
        <v>90</v>
      </c>
      <c r="E2648" t="str">
        <f>VLOOKUP(Tabla1[[#This Row],[Cód. Atributo]],[1]!Tabla5[#Data],6,FALSE)</f>
        <v>Select</v>
      </c>
      <c r="F2648">
        <v>3</v>
      </c>
      <c r="G2648">
        <v>4</v>
      </c>
      <c r="H2648" t="s">
        <v>133</v>
      </c>
      <c r="I2648" t="str">
        <f>VLOOKUP(Tabla1[[#This Row],[Code]],'[1]Articulos Precio'!$A:$E,5,FALSE)</f>
        <v>A0000209</v>
      </c>
    </row>
    <row r="2649" spans="1:9" x14ac:dyDescent="0.25">
      <c r="A2649" t="s">
        <v>987</v>
      </c>
      <c r="B2649" t="str">
        <f>VLOOKUP(Tabla1[[#This Row],[Code]],[1]!Tabla4[#Data],2,FALSE)</f>
        <v>Rollo Metamark MD PR Removible (100mc Imp. y Corte) Brillo 1,37x50m</v>
      </c>
      <c r="C2649">
        <v>25</v>
      </c>
      <c r="D2649" t="s">
        <v>94</v>
      </c>
      <c r="E2649" t="str">
        <f>VLOOKUP(Tabla1[[#This Row],[Cód. Atributo]],[1]!Tabla5[#Data],6,FALSE)</f>
        <v>Select</v>
      </c>
      <c r="F2649">
        <v>4</v>
      </c>
      <c r="G2649">
        <v>5</v>
      </c>
      <c r="H2649" t="s">
        <v>168</v>
      </c>
      <c r="I2649" t="str">
        <f>VLOOKUP(Tabla1[[#This Row],[Code]],'[1]Articulos Precio'!$A:$E,5,FALSE)</f>
        <v>A0000209</v>
      </c>
    </row>
    <row r="2650" spans="1:9" x14ac:dyDescent="0.25">
      <c r="A2650" t="s">
        <v>987</v>
      </c>
      <c r="B2650" t="str">
        <f>VLOOKUP(Tabla1[[#This Row],[Code]],[1]!Tabla4[#Data],2,FALSE)</f>
        <v>Rollo Metamark MD PR Removible (100mc Imp. y Corte) Brillo 1,37x50m</v>
      </c>
      <c r="C2650">
        <v>26</v>
      </c>
      <c r="D2650" t="s">
        <v>112</v>
      </c>
      <c r="E2650" t="str">
        <f>VLOOKUP(Tabla1[[#This Row],[Cód. Atributo]],[1]!Tabla5[#Data],6,FALSE)</f>
        <v>Select</v>
      </c>
      <c r="F2650">
        <v>5</v>
      </c>
      <c r="G2650">
        <v>3</v>
      </c>
      <c r="H2650" t="s">
        <v>113</v>
      </c>
      <c r="I2650" t="str">
        <f>VLOOKUP(Tabla1[[#This Row],[Code]],'[1]Articulos Precio'!$A:$E,5,FALSE)</f>
        <v>A0000209</v>
      </c>
    </row>
    <row r="2651" spans="1:9" x14ac:dyDescent="0.25">
      <c r="A2651" t="s">
        <v>987</v>
      </c>
      <c r="B2651" t="str">
        <f>VLOOKUP(Tabla1[[#This Row],[Code]],[1]!Tabla4[#Data],2,FALSE)</f>
        <v>Rollo Metamark MD PR Removible (100mc Imp. y Corte) Brillo 1,37x50m</v>
      </c>
      <c r="C2651">
        <v>31</v>
      </c>
      <c r="D2651" t="s">
        <v>114</v>
      </c>
      <c r="E2651" t="str">
        <f>VLOOKUP(Tabla1[[#This Row],[Cód. Atributo]],[1]!Tabla5[#Data],6,FALSE)</f>
        <v>Select</v>
      </c>
      <c r="F2651">
        <v>6</v>
      </c>
      <c r="G2651">
        <v>2</v>
      </c>
      <c r="H2651" t="s">
        <v>129</v>
      </c>
      <c r="I2651" t="str">
        <f>VLOOKUP(Tabla1[[#This Row],[Code]],'[1]Articulos Precio'!$A:$E,5,FALSE)</f>
        <v>A0000209</v>
      </c>
    </row>
    <row r="2652" spans="1:9" x14ac:dyDescent="0.25">
      <c r="A2652" t="s">
        <v>988</v>
      </c>
      <c r="B2652" t="str">
        <f>VLOOKUP(Tabla1[[#This Row],[Code]],[1]!Tabla4[#Data],2,FALSE)</f>
        <v>Cartucho Eco Sol Max Light Cyan 440cc</v>
      </c>
      <c r="C2652">
        <v>9</v>
      </c>
      <c r="D2652" t="s">
        <v>62</v>
      </c>
      <c r="E2652" t="str">
        <f>VLOOKUP(Tabla1[[#This Row],[Cód. Atributo]],[1]!Tabla5[#Data],6,FALSE)</f>
        <v>Select</v>
      </c>
      <c r="F2652">
        <v>1</v>
      </c>
      <c r="G2652">
        <v>2</v>
      </c>
      <c r="H2652" t="s">
        <v>63</v>
      </c>
      <c r="I2652" t="str">
        <f>VLOOKUP(Tabla1[[#This Row],[Code]],'[1]Articulos Precio'!$A:$E,5,FALSE)</f>
        <v>A0001033</v>
      </c>
    </row>
    <row r="2653" spans="1:9" x14ac:dyDescent="0.25">
      <c r="A2653" t="s">
        <v>988</v>
      </c>
      <c r="B2653" t="str">
        <f>VLOOKUP(Tabla1[[#This Row],[Code]],[1]!Tabla4[#Data],2,FALSE)</f>
        <v>Cartucho Eco Sol Max Light Cyan 440cc</v>
      </c>
      <c r="C2653">
        <v>10</v>
      </c>
      <c r="D2653" t="s">
        <v>66</v>
      </c>
      <c r="E2653" t="str">
        <f>VLOOKUP(Tabla1[[#This Row],[Cód. Atributo]],[1]!Tabla5[#Data],6,FALSE)</f>
        <v>Color</v>
      </c>
      <c r="F2653">
        <v>2</v>
      </c>
      <c r="G2653">
        <v>4</v>
      </c>
      <c r="H2653" t="s">
        <v>71</v>
      </c>
      <c r="I2653" t="str">
        <f>VLOOKUP(Tabla1[[#This Row],[Code]],'[1]Articulos Precio'!$A:$E,5,FALSE)</f>
        <v>A0001033</v>
      </c>
    </row>
    <row r="2654" spans="1:9" x14ac:dyDescent="0.25">
      <c r="A2654" t="s">
        <v>989</v>
      </c>
      <c r="B2654" t="str">
        <f>VLOOKUP(Tabla1[[#This Row],[Code]],[1]!Tabla4[#Data],2,FALSE)</f>
        <v>Cartucho Eco Sol Max Light Magenta 440cc</v>
      </c>
      <c r="C2654">
        <v>9</v>
      </c>
      <c r="D2654" t="s">
        <v>62</v>
      </c>
      <c r="E2654" t="str">
        <f>VLOOKUP(Tabla1[[#This Row],[Cód. Atributo]],[1]!Tabla5[#Data],6,FALSE)</f>
        <v>Select</v>
      </c>
      <c r="F2654">
        <v>1</v>
      </c>
      <c r="G2654">
        <v>2</v>
      </c>
      <c r="H2654" t="s">
        <v>63</v>
      </c>
      <c r="I2654" t="str">
        <f>VLOOKUP(Tabla1[[#This Row],[Code]],'[1]Articulos Precio'!$A:$E,5,FALSE)</f>
        <v>A0001033</v>
      </c>
    </row>
    <row r="2655" spans="1:9" x14ac:dyDescent="0.25">
      <c r="A2655" t="s">
        <v>989</v>
      </c>
      <c r="B2655" t="str">
        <f>VLOOKUP(Tabla1[[#This Row],[Code]],[1]!Tabla4[#Data],2,FALSE)</f>
        <v>Cartucho Eco Sol Max Light Magenta 440cc</v>
      </c>
      <c r="C2655">
        <v>10</v>
      </c>
      <c r="D2655" t="s">
        <v>66</v>
      </c>
      <c r="E2655" t="str">
        <f>VLOOKUP(Tabla1[[#This Row],[Cód. Atributo]],[1]!Tabla5[#Data],6,FALSE)</f>
        <v>Color</v>
      </c>
      <c r="F2655">
        <v>2</v>
      </c>
      <c r="G2655">
        <v>5</v>
      </c>
      <c r="H2655" t="s">
        <v>73</v>
      </c>
      <c r="I2655" t="str">
        <f>VLOOKUP(Tabla1[[#This Row],[Code]],'[1]Articulos Precio'!$A:$E,5,FALSE)</f>
        <v>A0001033</v>
      </c>
    </row>
    <row r="2656" spans="1:9" x14ac:dyDescent="0.25">
      <c r="A2656" t="s">
        <v>990</v>
      </c>
      <c r="B2656" t="str">
        <f>VLOOKUP(Tabla1[[#This Row],[Code]],[1]!Tabla4[#Data],2,FALSE)</f>
        <v>Cartucho Eco Sol Max Magenta 440cc</v>
      </c>
      <c r="C2656">
        <v>9</v>
      </c>
      <c r="D2656" t="s">
        <v>62</v>
      </c>
      <c r="E2656" t="str">
        <f>VLOOKUP(Tabla1[[#This Row],[Cód. Atributo]],[1]!Tabla5[#Data],6,FALSE)</f>
        <v>Select</v>
      </c>
      <c r="F2656">
        <v>1</v>
      </c>
      <c r="G2656">
        <v>2</v>
      </c>
      <c r="H2656" t="s">
        <v>63</v>
      </c>
      <c r="I2656" t="str">
        <f>VLOOKUP(Tabla1[[#This Row],[Code]],'[1]Articulos Precio'!$A:$E,5,FALSE)</f>
        <v>A0001033</v>
      </c>
    </row>
    <row r="2657" spans="1:9" x14ac:dyDescent="0.25">
      <c r="A2657" t="s">
        <v>990</v>
      </c>
      <c r="B2657" t="str">
        <f>VLOOKUP(Tabla1[[#This Row],[Code]],[1]!Tabla4[#Data],2,FALSE)</f>
        <v>Cartucho Eco Sol Max Magenta 440cc</v>
      </c>
      <c r="C2657">
        <v>10</v>
      </c>
      <c r="D2657" t="s">
        <v>66</v>
      </c>
      <c r="E2657" t="str">
        <f>VLOOKUP(Tabla1[[#This Row],[Cód. Atributo]],[1]!Tabla5[#Data],6,FALSE)</f>
        <v>Color</v>
      </c>
      <c r="F2657">
        <v>2</v>
      </c>
      <c r="G2657">
        <v>7</v>
      </c>
      <c r="H2657" t="s">
        <v>75</v>
      </c>
      <c r="I2657" t="str">
        <f>VLOOKUP(Tabla1[[#This Row],[Code]],'[1]Articulos Precio'!$A:$E,5,FALSE)</f>
        <v>A0001033</v>
      </c>
    </row>
    <row r="2658" spans="1:9" x14ac:dyDescent="0.25">
      <c r="A2658" t="s">
        <v>991</v>
      </c>
      <c r="B2658" t="str">
        <f>VLOOKUP(Tabla1[[#This Row],[Code]],[1]!Tabla4[#Data],2,FALSE)</f>
        <v>Cartucho Eco Sol Max Cyan 440cc</v>
      </c>
      <c r="C2658">
        <v>9</v>
      </c>
      <c r="D2658" t="s">
        <v>62</v>
      </c>
      <c r="E2658" t="str">
        <f>VLOOKUP(Tabla1[[#This Row],[Cód. Atributo]],[1]!Tabla5[#Data],6,FALSE)</f>
        <v>Select</v>
      </c>
      <c r="F2658">
        <v>1</v>
      </c>
      <c r="G2658">
        <v>2</v>
      </c>
      <c r="H2658" t="s">
        <v>63</v>
      </c>
      <c r="I2658" t="str">
        <f>VLOOKUP(Tabla1[[#This Row],[Code]],'[1]Articulos Precio'!$A:$E,5,FALSE)</f>
        <v>A0001033</v>
      </c>
    </row>
    <row r="2659" spans="1:9" x14ac:dyDescent="0.25">
      <c r="A2659" t="s">
        <v>991</v>
      </c>
      <c r="B2659" t="str">
        <f>VLOOKUP(Tabla1[[#This Row],[Code]],[1]!Tabla4[#Data],2,FALSE)</f>
        <v>Cartucho Eco Sol Max Cyan 440cc</v>
      </c>
      <c r="C2659">
        <v>10</v>
      </c>
      <c r="D2659" t="s">
        <v>66</v>
      </c>
      <c r="E2659" t="str">
        <f>VLOOKUP(Tabla1[[#This Row],[Cód. Atributo]],[1]!Tabla5[#Data],6,FALSE)</f>
        <v>Color</v>
      </c>
      <c r="F2659">
        <v>2</v>
      </c>
      <c r="G2659">
        <v>3</v>
      </c>
      <c r="H2659" t="s">
        <v>69</v>
      </c>
      <c r="I2659" t="str">
        <f>VLOOKUP(Tabla1[[#This Row],[Code]],'[1]Articulos Precio'!$A:$E,5,FALSE)</f>
        <v>A0001033</v>
      </c>
    </row>
    <row r="2660" spans="1:9" x14ac:dyDescent="0.25">
      <c r="A2660" t="s">
        <v>992</v>
      </c>
      <c r="B2660" t="str">
        <f>VLOOKUP(Tabla1[[#This Row],[Code]],[1]!Tabla4[#Data],2,FALSE)</f>
        <v>Cartucho Eco Sol Max Negro 440cc</v>
      </c>
      <c r="C2660">
        <v>9</v>
      </c>
      <c r="D2660" t="s">
        <v>62</v>
      </c>
      <c r="E2660" t="str">
        <f>VLOOKUP(Tabla1[[#This Row],[Cód. Atributo]],[1]!Tabla5[#Data],6,FALSE)</f>
        <v>Select</v>
      </c>
      <c r="F2660">
        <v>1</v>
      </c>
      <c r="G2660">
        <v>2</v>
      </c>
      <c r="H2660" t="s">
        <v>63</v>
      </c>
      <c r="I2660" t="str">
        <f>VLOOKUP(Tabla1[[#This Row],[Code]],'[1]Articulos Precio'!$A:$E,5,FALSE)</f>
        <v>A0001033</v>
      </c>
    </row>
    <row r="2661" spans="1:9" x14ac:dyDescent="0.25">
      <c r="A2661" t="s">
        <v>992</v>
      </c>
      <c r="B2661" t="str">
        <f>VLOOKUP(Tabla1[[#This Row],[Code]],[1]!Tabla4[#Data],2,FALSE)</f>
        <v>Cartucho Eco Sol Max Negro 440cc</v>
      </c>
      <c r="C2661">
        <v>10</v>
      </c>
      <c r="D2661" t="s">
        <v>66</v>
      </c>
      <c r="E2661" t="str">
        <f>VLOOKUP(Tabla1[[#This Row],[Cód. Atributo]],[1]!Tabla5[#Data],6,FALSE)</f>
        <v>Color</v>
      </c>
      <c r="F2661">
        <v>2</v>
      </c>
      <c r="G2661">
        <v>8</v>
      </c>
      <c r="H2661" t="s">
        <v>77</v>
      </c>
      <c r="I2661" t="str">
        <f>VLOOKUP(Tabla1[[#This Row],[Code]],'[1]Articulos Precio'!$A:$E,5,FALSE)</f>
        <v>A0001033</v>
      </c>
    </row>
    <row r="2662" spans="1:9" x14ac:dyDescent="0.25">
      <c r="A2662" t="s">
        <v>993</v>
      </c>
      <c r="B2662" t="str">
        <f>VLOOKUP(Tabla1[[#This Row],[Code]],[1]!Tabla4[#Data],2,FALSE)</f>
        <v>Cartucho Eco Sol Max Amarillo 440cc</v>
      </c>
      <c r="C2662">
        <v>9</v>
      </c>
      <c r="D2662" t="s">
        <v>62</v>
      </c>
      <c r="E2662" t="str">
        <f>VLOOKUP(Tabla1[[#This Row],[Cód. Atributo]],[1]!Tabla5[#Data],6,FALSE)</f>
        <v>Select</v>
      </c>
      <c r="F2662">
        <v>1</v>
      </c>
      <c r="G2662">
        <v>2</v>
      </c>
      <c r="H2662" t="s">
        <v>63</v>
      </c>
      <c r="I2662" t="str">
        <f>VLOOKUP(Tabla1[[#This Row],[Code]],'[1]Articulos Precio'!$A:$E,5,FALSE)</f>
        <v>A0001033</v>
      </c>
    </row>
    <row r="2663" spans="1:9" x14ac:dyDescent="0.25">
      <c r="A2663" t="s">
        <v>993</v>
      </c>
      <c r="B2663" t="str">
        <f>VLOOKUP(Tabla1[[#This Row],[Code]],[1]!Tabla4[#Data],2,FALSE)</f>
        <v>Cartucho Eco Sol Max Amarillo 440cc</v>
      </c>
      <c r="C2663">
        <v>10</v>
      </c>
      <c r="D2663" t="s">
        <v>66</v>
      </c>
      <c r="E2663" t="str">
        <f>VLOOKUP(Tabla1[[#This Row],[Cód. Atributo]],[1]!Tabla5[#Data],6,FALSE)</f>
        <v>Color</v>
      </c>
      <c r="F2663">
        <v>2</v>
      </c>
      <c r="G2663">
        <v>1</v>
      </c>
      <c r="H2663" t="s">
        <v>67</v>
      </c>
      <c r="I2663" t="str">
        <f>VLOOKUP(Tabla1[[#This Row],[Code]],'[1]Articulos Precio'!$A:$E,5,FALSE)</f>
        <v>A0001033</v>
      </c>
    </row>
    <row r="2664" spans="1:9" x14ac:dyDescent="0.25">
      <c r="A2664" t="s">
        <v>994</v>
      </c>
      <c r="B2664" t="str">
        <f>VLOOKUP(Tabla1[[#This Row],[Code]],[1]!Tabla4[#Data],2,FALSE)</f>
        <v>Cartucho Eco Sol Max Light Cyan 220cc</v>
      </c>
      <c r="C2664">
        <v>9</v>
      </c>
      <c r="D2664" t="s">
        <v>62</v>
      </c>
      <c r="E2664" t="str">
        <f>VLOOKUP(Tabla1[[#This Row],[Cód. Atributo]],[1]!Tabla5[#Data],6,FALSE)</f>
        <v>Select</v>
      </c>
      <c r="F2664">
        <v>1</v>
      </c>
      <c r="G2664">
        <v>1</v>
      </c>
      <c r="H2664" t="s">
        <v>995</v>
      </c>
      <c r="I2664" t="str">
        <f>VLOOKUP(Tabla1[[#This Row],[Code]],'[1]Articulos Precio'!$A:$E,5,FALSE)</f>
        <v>A0001033</v>
      </c>
    </row>
    <row r="2665" spans="1:9" x14ac:dyDescent="0.25">
      <c r="A2665" t="s">
        <v>994</v>
      </c>
      <c r="B2665" t="str">
        <f>VLOOKUP(Tabla1[[#This Row],[Code]],[1]!Tabla4[#Data],2,FALSE)</f>
        <v>Cartucho Eco Sol Max Light Cyan 220cc</v>
      </c>
      <c r="C2665">
        <v>10</v>
      </c>
      <c r="D2665" t="s">
        <v>66</v>
      </c>
      <c r="E2665" t="str">
        <f>VLOOKUP(Tabla1[[#This Row],[Cód. Atributo]],[1]!Tabla5[#Data],6,FALSE)</f>
        <v>Color</v>
      </c>
      <c r="F2665">
        <v>2</v>
      </c>
      <c r="G2665">
        <v>3</v>
      </c>
      <c r="H2665" t="s">
        <v>69</v>
      </c>
      <c r="I2665" t="str">
        <f>VLOOKUP(Tabla1[[#This Row],[Code]],'[1]Articulos Precio'!$A:$E,5,FALSE)</f>
        <v>A0001033</v>
      </c>
    </row>
    <row r="2666" spans="1:9" x14ac:dyDescent="0.25">
      <c r="A2666" t="s">
        <v>996</v>
      </c>
      <c r="B2666" t="str">
        <f>VLOOKUP(Tabla1[[#This Row],[Code]],[1]!Tabla4[#Data],2,FALSE)</f>
        <v>Cartucho Eco Sol Max II Amarillo 440cc</v>
      </c>
      <c r="C2666">
        <v>9</v>
      </c>
      <c r="D2666" t="s">
        <v>62</v>
      </c>
      <c r="E2666" t="str">
        <f>VLOOKUP(Tabla1[[#This Row],[Cód. Atributo]],[1]!Tabla5[#Data],6,FALSE)</f>
        <v>Select</v>
      </c>
      <c r="F2666">
        <v>1</v>
      </c>
      <c r="G2666">
        <v>2</v>
      </c>
      <c r="H2666" t="s">
        <v>63</v>
      </c>
      <c r="I2666" t="str">
        <f>VLOOKUP(Tabla1[[#This Row],[Code]],'[1]Articulos Precio'!$A:$E,5,FALSE)</f>
        <v>A0001023</v>
      </c>
    </row>
    <row r="2667" spans="1:9" x14ac:dyDescent="0.25">
      <c r="A2667" t="s">
        <v>996</v>
      </c>
      <c r="B2667" t="str">
        <f>VLOOKUP(Tabla1[[#This Row],[Code]],[1]!Tabla4[#Data],2,FALSE)</f>
        <v>Cartucho Eco Sol Max II Amarillo 440cc</v>
      </c>
      <c r="C2667">
        <v>10</v>
      </c>
      <c r="D2667" t="s">
        <v>66</v>
      </c>
      <c r="E2667" t="str">
        <f>VLOOKUP(Tabla1[[#This Row],[Cód. Atributo]],[1]!Tabla5[#Data],6,FALSE)</f>
        <v>Color</v>
      </c>
      <c r="F2667">
        <v>2</v>
      </c>
      <c r="G2667">
        <v>1</v>
      </c>
      <c r="H2667" t="s">
        <v>67</v>
      </c>
      <c r="I2667" t="str">
        <f>VLOOKUP(Tabla1[[#This Row],[Code]],'[1]Articulos Precio'!$A:$E,5,FALSE)</f>
        <v>A0001023</v>
      </c>
    </row>
    <row r="2668" spans="1:9" x14ac:dyDescent="0.25">
      <c r="A2668" t="s">
        <v>997</v>
      </c>
      <c r="B2668" t="str">
        <f>VLOOKUP(Tabla1[[#This Row],[Code]],[1]!Tabla4[#Data],2,FALSE)</f>
        <v>Cartucho Eco Sol Max II Light Cyan 440cc</v>
      </c>
      <c r="C2668">
        <v>9</v>
      </c>
      <c r="D2668" t="s">
        <v>62</v>
      </c>
      <c r="E2668" t="str">
        <f>VLOOKUP(Tabla1[[#This Row],[Cód. Atributo]],[1]!Tabla5[#Data],6,FALSE)</f>
        <v>Select</v>
      </c>
      <c r="F2668">
        <v>1</v>
      </c>
      <c r="G2668">
        <v>2</v>
      </c>
      <c r="H2668" t="s">
        <v>63</v>
      </c>
      <c r="I2668" t="str">
        <f>VLOOKUP(Tabla1[[#This Row],[Code]],'[1]Articulos Precio'!$A:$E,5,FALSE)</f>
        <v>A0001023</v>
      </c>
    </row>
    <row r="2669" spans="1:9" x14ac:dyDescent="0.25">
      <c r="A2669" t="s">
        <v>997</v>
      </c>
      <c r="B2669" t="str">
        <f>VLOOKUP(Tabla1[[#This Row],[Code]],[1]!Tabla4[#Data],2,FALSE)</f>
        <v>Cartucho Eco Sol Max II Light Cyan 440cc</v>
      </c>
      <c r="C2669">
        <v>10</v>
      </c>
      <c r="D2669" t="s">
        <v>66</v>
      </c>
      <c r="E2669" t="str">
        <f>VLOOKUP(Tabla1[[#This Row],[Cód. Atributo]],[1]!Tabla5[#Data],6,FALSE)</f>
        <v>Color</v>
      </c>
      <c r="F2669">
        <v>2</v>
      </c>
      <c r="G2669">
        <v>4</v>
      </c>
      <c r="H2669" t="s">
        <v>71</v>
      </c>
      <c r="I2669" t="str">
        <f>VLOOKUP(Tabla1[[#This Row],[Code]],'[1]Articulos Precio'!$A:$E,5,FALSE)</f>
        <v>A0001023</v>
      </c>
    </row>
    <row r="2670" spans="1:9" x14ac:dyDescent="0.25">
      <c r="A2670" t="s">
        <v>998</v>
      </c>
      <c r="B2670" t="str">
        <f>VLOOKUP(Tabla1[[#This Row],[Code]],[1]!Tabla4[#Data],2,FALSE)</f>
        <v>Cartucho Eco Sol Max II Light Magenta 440cc</v>
      </c>
      <c r="C2670">
        <v>9</v>
      </c>
      <c r="D2670" t="s">
        <v>62</v>
      </c>
      <c r="E2670" t="str">
        <f>VLOOKUP(Tabla1[[#This Row],[Cód. Atributo]],[1]!Tabla5[#Data],6,FALSE)</f>
        <v>Select</v>
      </c>
      <c r="F2670">
        <v>1</v>
      </c>
      <c r="G2670">
        <v>2</v>
      </c>
      <c r="H2670" t="s">
        <v>63</v>
      </c>
      <c r="I2670" t="str">
        <f>VLOOKUP(Tabla1[[#This Row],[Code]],'[1]Articulos Precio'!$A:$E,5,FALSE)</f>
        <v>A0001023</v>
      </c>
    </row>
    <row r="2671" spans="1:9" x14ac:dyDescent="0.25">
      <c r="A2671" t="s">
        <v>998</v>
      </c>
      <c r="B2671" t="str">
        <f>VLOOKUP(Tabla1[[#This Row],[Code]],[1]!Tabla4[#Data],2,FALSE)</f>
        <v>Cartucho Eco Sol Max II Light Magenta 440cc</v>
      </c>
      <c r="C2671">
        <v>10</v>
      </c>
      <c r="D2671" t="s">
        <v>66</v>
      </c>
      <c r="E2671" t="str">
        <f>VLOOKUP(Tabla1[[#This Row],[Cód. Atributo]],[1]!Tabla5[#Data],6,FALSE)</f>
        <v>Color</v>
      </c>
      <c r="F2671">
        <v>2</v>
      </c>
      <c r="G2671">
        <v>5</v>
      </c>
      <c r="H2671" t="s">
        <v>73</v>
      </c>
      <c r="I2671" t="str">
        <f>VLOOKUP(Tabla1[[#This Row],[Code]],'[1]Articulos Precio'!$A:$E,5,FALSE)</f>
        <v>A0001023</v>
      </c>
    </row>
    <row r="2672" spans="1:9" x14ac:dyDescent="0.25">
      <c r="A2672" t="s">
        <v>999</v>
      </c>
      <c r="B2672" t="str">
        <f>VLOOKUP(Tabla1[[#This Row],[Code]],[1]!Tabla4[#Data],2,FALSE)</f>
        <v>Cartucho Eco Sol Max II Magenta 440cc</v>
      </c>
      <c r="C2672">
        <v>9</v>
      </c>
      <c r="D2672" t="s">
        <v>62</v>
      </c>
      <c r="E2672" t="str">
        <f>VLOOKUP(Tabla1[[#This Row],[Cód. Atributo]],[1]!Tabla5[#Data],6,FALSE)</f>
        <v>Select</v>
      </c>
      <c r="F2672">
        <v>1</v>
      </c>
      <c r="G2672">
        <v>2</v>
      </c>
      <c r="H2672" t="s">
        <v>63</v>
      </c>
      <c r="I2672" t="str">
        <f>VLOOKUP(Tabla1[[#This Row],[Code]],'[1]Articulos Precio'!$A:$E,5,FALSE)</f>
        <v>A0001023</v>
      </c>
    </row>
    <row r="2673" spans="1:9" x14ac:dyDescent="0.25">
      <c r="A2673" t="s">
        <v>999</v>
      </c>
      <c r="B2673" t="str">
        <f>VLOOKUP(Tabla1[[#This Row],[Code]],[1]!Tabla4[#Data],2,FALSE)</f>
        <v>Cartucho Eco Sol Max II Magenta 440cc</v>
      </c>
      <c r="C2673">
        <v>10</v>
      </c>
      <c r="D2673" t="s">
        <v>66</v>
      </c>
      <c r="E2673" t="str">
        <f>VLOOKUP(Tabla1[[#This Row],[Cód. Atributo]],[1]!Tabla5[#Data],6,FALSE)</f>
        <v>Color</v>
      </c>
      <c r="F2673">
        <v>2</v>
      </c>
      <c r="G2673">
        <v>7</v>
      </c>
      <c r="H2673" t="s">
        <v>75</v>
      </c>
      <c r="I2673" t="str">
        <f>VLOOKUP(Tabla1[[#This Row],[Code]],'[1]Articulos Precio'!$A:$E,5,FALSE)</f>
        <v>A0001023</v>
      </c>
    </row>
    <row r="2674" spans="1:9" x14ac:dyDescent="0.25">
      <c r="A2674" t="s">
        <v>1000</v>
      </c>
      <c r="B2674" t="str">
        <f>VLOOKUP(Tabla1[[#This Row],[Code]],[1]!Tabla4[#Data],2,FALSE)</f>
        <v>Cartucho Eco Sol Max II Cyan 440cc</v>
      </c>
      <c r="C2674">
        <v>9</v>
      </c>
      <c r="D2674" t="s">
        <v>62</v>
      </c>
      <c r="E2674" t="str">
        <f>VLOOKUP(Tabla1[[#This Row],[Cód. Atributo]],[1]!Tabla5[#Data],6,FALSE)</f>
        <v>Select</v>
      </c>
      <c r="F2674">
        <v>1</v>
      </c>
      <c r="G2674">
        <v>2</v>
      </c>
      <c r="H2674" t="s">
        <v>63</v>
      </c>
      <c r="I2674" t="str">
        <f>VLOOKUP(Tabla1[[#This Row],[Code]],'[1]Articulos Precio'!$A:$E,5,FALSE)</f>
        <v>A0001023</v>
      </c>
    </row>
    <row r="2675" spans="1:9" x14ac:dyDescent="0.25">
      <c r="A2675" t="s">
        <v>1000</v>
      </c>
      <c r="B2675" t="str">
        <f>VLOOKUP(Tabla1[[#This Row],[Code]],[1]!Tabla4[#Data],2,FALSE)</f>
        <v>Cartucho Eco Sol Max II Cyan 440cc</v>
      </c>
      <c r="C2675">
        <v>10</v>
      </c>
      <c r="D2675" t="s">
        <v>66</v>
      </c>
      <c r="E2675" t="str">
        <f>VLOOKUP(Tabla1[[#This Row],[Cód. Atributo]],[1]!Tabla5[#Data],6,FALSE)</f>
        <v>Color</v>
      </c>
      <c r="F2675">
        <v>2</v>
      </c>
      <c r="G2675">
        <v>3</v>
      </c>
      <c r="H2675" t="s">
        <v>69</v>
      </c>
      <c r="I2675" t="str">
        <f>VLOOKUP(Tabla1[[#This Row],[Code]],'[1]Articulos Precio'!$A:$E,5,FALSE)</f>
        <v>A0001023</v>
      </c>
    </row>
    <row r="2676" spans="1:9" x14ac:dyDescent="0.25">
      <c r="A2676" t="s">
        <v>1001</v>
      </c>
      <c r="B2676" t="str">
        <f>VLOOKUP(Tabla1[[#This Row],[Code]],[1]!Tabla4[#Data],2,FALSE)</f>
        <v>Cartucho Eco Sol Max II Negro 440cc</v>
      </c>
      <c r="C2676">
        <v>9</v>
      </c>
      <c r="D2676" t="s">
        <v>62</v>
      </c>
      <c r="E2676" t="str">
        <f>VLOOKUP(Tabla1[[#This Row],[Cód. Atributo]],[1]!Tabla5[#Data],6,FALSE)</f>
        <v>Select</v>
      </c>
      <c r="F2676">
        <v>1</v>
      </c>
      <c r="G2676">
        <v>2</v>
      </c>
      <c r="H2676" t="s">
        <v>63</v>
      </c>
      <c r="I2676" t="str">
        <f>VLOOKUP(Tabla1[[#This Row],[Code]],'[1]Articulos Precio'!$A:$E,5,FALSE)</f>
        <v>A0001023</v>
      </c>
    </row>
    <row r="2677" spans="1:9" x14ac:dyDescent="0.25">
      <c r="A2677" t="s">
        <v>1001</v>
      </c>
      <c r="B2677" t="str">
        <f>VLOOKUP(Tabla1[[#This Row],[Code]],[1]!Tabla4[#Data],2,FALSE)</f>
        <v>Cartucho Eco Sol Max II Negro 440cc</v>
      </c>
      <c r="C2677">
        <v>10</v>
      </c>
      <c r="D2677" t="s">
        <v>66</v>
      </c>
      <c r="E2677" t="str">
        <f>VLOOKUP(Tabla1[[#This Row],[Cód. Atributo]],[1]!Tabla5[#Data],6,FALSE)</f>
        <v>Color</v>
      </c>
      <c r="F2677">
        <v>2</v>
      </c>
      <c r="G2677">
        <v>8</v>
      </c>
      <c r="H2677" t="s">
        <v>77</v>
      </c>
      <c r="I2677" t="str">
        <f>VLOOKUP(Tabla1[[#This Row],[Code]],'[1]Articulos Precio'!$A:$E,5,FALSE)</f>
        <v>A0001023</v>
      </c>
    </row>
    <row r="2678" spans="1:9" x14ac:dyDescent="0.25">
      <c r="A2678" t="s">
        <v>1002</v>
      </c>
      <c r="B2678" t="str">
        <f>VLOOKUP(Tabla1[[#This Row],[Code]],[1]!Tabla4[#Data],2,FALSE)</f>
        <v>Cartucho Eco Sol Max Light Magenta 220cc</v>
      </c>
      <c r="C2678">
        <v>9</v>
      </c>
      <c r="D2678" t="s">
        <v>62</v>
      </c>
      <c r="E2678" t="str">
        <f>VLOOKUP(Tabla1[[#This Row],[Cód. Atributo]],[1]!Tabla5[#Data],6,FALSE)</f>
        <v>Select</v>
      </c>
      <c r="F2678">
        <v>1</v>
      </c>
      <c r="G2678">
        <v>1</v>
      </c>
      <c r="H2678" t="s">
        <v>995</v>
      </c>
      <c r="I2678" t="str">
        <f>VLOOKUP(Tabla1[[#This Row],[Code]],'[1]Articulos Precio'!$A:$E,5,FALSE)</f>
        <v>A0001033</v>
      </c>
    </row>
    <row r="2679" spans="1:9" x14ac:dyDescent="0.25">
      <c r="A2679" t="s">
        <v>1002</v>
      </c>
      <c r="B2679" t="str">
        <f>VLOOKUP(Tabla1[[#This Row],[Code]],[1]!Tabla4[#Data],2,FALSE)</f>
        <v>Cartucho Eco Sol Max Light Magenta 220cc</v>
      </c>
      <c r="C2679">
        <v>10</v>
      </c>
      <c r="D2679" t="s">
        <v>66</v>
      </c>
      <c r="E2679" t="str">
        <f>VLOOKUP(Tabla1[[#This Row],[Cód. Atributo]],[1]!Tabla5[#Data],6,FALSE)</f>
        <v>Color</v>
      </c>
      <c r="F2679">
        <v>2</v>
      </c>
      <c r="G2679">
        <v>5</v>
      </c>
      <c r="H2679" t="s">
        <v>73</v>
      </c>
      <c r="I2679" t="str">
        <f>VLOOKUP(Tabla1[[#This Row],[Code]],'[1]Articulos Precio'!$A:$E,5,FALSE)</f>
        <v>A0001033</v>
      </c>
    </row>
    <row r="2680" spans="1:9" x14ac:dyDescent="0.25">
      <c r="A2680" t="s">
        <v>1003</v>
      </c>
      <c r="B2680" t="str">
        <f>VLOOKUP(Tabla1[[#This Row],[Code]],[1]!Tabla4[#Data],2,FALSE)</f>
        <v>Cartucho Eco Sol Max Cyan 220cc</v>
      </c>
      <c r="C2680">
        <v>9</v>
      </c>
      <c r="D2680" t="s">
        <v>62</v>
      </c>
      <c r="E2680" t="str">
        <f>VLOOKUP(Tabla1[[#This Row],[Cód. Atributo]],[1]!Tabla5[#Data],6,FALSE)</f>
        <v>Select</v>
      </c>
      <c r="F2680">
        <v>1</v>
      </c>
      <c r="G2680">
        <v>1</v>
      </c>
      <c r="H2680" t="s">
        <v>995</v>
      </c>
      <c r="I2680" t="str">
        <f>VLOOKUP(Tabla1[[#This Row],[Code]],'[1]Articulos Precio'!$A:$E,5,FALSE)</f>
        <v>A0001033</v>
      </c>
    </row>
    <row r="2681" spans="1:9" x14ac:dyDescent="0.25">
      <c r="A2681" t="s">
        <v>1003</v>
      </c>
      <c r="B2681" t="str">
        <f>VLOOKUP(Tabla1[[#This Row],[Code]],[1]!Tabla4[#Data],2,FALSE)</f>
        <v>Cartucho Eco Sol Max Cyan 220cc</v>
      </c>
      <c r="C2681">
        <v>10</v>
      </c>
      <c r="D2681" t="s">
        <v>66</v>
      </c>
      <c r="E2681" t="str">
        <f>VLOOKUP(Tabla1[[#This Row],[Cód. Atributo]],[1]!Tabla5[#Data],6,FALSE)</f>
        <v>Color</v>
      </c>
      <c r="F2681">
        <v>2</v>
      </c>
      <c r="G2681">
        <v>3</v>
      </c>
      <c r="H2681" t="s">
        <v>69</v>
      </c>
      <c r="I2681" t="str">
        <f>VLOOKUP(Tabla1[[#This Row],[Code]],'[1]Articulos Precio'!$A:$E,5,FALSE)</f>
        <v>A0001033</v>
      </c>
    </row>
    <row r="2682" spans="1:9" x14ac:dyDescent="0.25">
      <c r="A2682" t="s">
        <v>1004</v>
      </c>
      <c r="B2682" t="str">
        <f>VLOOKUP(Tabla1[[#This Row],[Code]],[1]!Tabla4[#Data],2,FALSE)</f>
        <v>Cartucho Eco Sol Max Magenta 220cc</v>
      </c>
      <c r="C2682">
        <v>9</v>
      </c>
      <c r="D2682" t="s">
        <v>62</v>
      </c>
      <c r="E2682" t="str">
        <f>VLOOKUP(Tabla1[[#This Row],[Cód. Atributo]],[1]!Tabla5[#Data],6,FALSE)</f>
        <v>Select</v>
      </c>
      <c r="F2682">
        <v>1</v>
      </c>
      <c r="G2682">
        <v>1</v>
      </c>
      <c r="H2682" t="s">
        <v>995</v>
      </c>
      <c r="I2682" t="str">
        <f>VLOOKUP(Tabla1[[#This Row],[Code]],'[1]Articulos Precio'!$A:$E,5,FALSE)</f>
        <v>A0001033</v>
      </c>
    </row>
    <row r="2683" spans="1:9" x14ac:dyDescent="0.25">
      <c r="A2683" t="s">
        <v>1004</v>
      </c>
      <c r="B2683" t="str">
        <f>VLOOKUP(Tabla1[[#This Row],[Code]],[1]!Tabla4[#Data],2,FALSE)</f>
        <v>Cartucho Eco Sol Max Magenta 220cc</v>
      </c>
      <c r="C2683">
        <v>10</v>
      </c>
      <c r="D2683" t="s">
        <v>66</v>
      </c>
      <c r="E2683" t="str">
        <f>VLOOKUP(Tabla1[[#This Row],[Cód. Atributo]],[1]!Tabla5[#Data],6,FALSE)</f>
        <v>Color</v>
      </c>
      <c r="F2683">
        <v>2</v>
      </c>
      <c r="G2683">
        <v>7</v>
      </c>
      <c r="H2683" t="s">
        <v>75</v>
      </c>
      <c r="I2683" t="str">
        <f>VLOOKUP(Tabla1[[#This Row],[Code]],'[1]Articulos Precio'!$A:$E,5,FALSE)</f>
        <v>A0001033</v>
      </c>
    </row>
    <row r="2684" spans="1:9" x14ac:dyDescent="0.25">
      <c r="A2684" t="s">
        <v>1005</v>
      </c>
      <c r="B2684" t="str">
        <f>VLOOKUP(Tabla1[[#This Row],[Code]],[1]!Tabla4[#Data],2,FALSE)</f>
        <v>Cartucho Eco Sol Max Negro 220cc</v>
      </c>
      <c r="C2684">
        <v>9</v>
      </c>
      <c r="D2684" t="s">
        <v>62</v>
      </c>
      <c r="E2684" t="str">
        <f>VLOOKUP(Tabla1[[#This Row],[Cód. Atributo]],[1]!Tabla5[#Data],6,FALSE)</f>
        <v>Select</v>
      </c>
      <c r="F2684">
        <v>1</v>
      </c>
      <c r="G2684">
        <v>1</v>
      </c>
      <c r="H2684" t="s">
        <v>995</v>
      </c>
      <c r="I2684" t="str">
        <f>VLOOKUP(Tabla1[[#This Row],[Code]],'[1]Articulos Precio'!$A:$E,5,FALSE)</f>
        <v>A0001033</v>
      </c>
    </row>
    <row r="2685" spans="1:9" x14ac:dyDescent="0.25">
      <c r="A2685" t="s">
        <v>1005</v>
      </c>
      <c r="B2685" t="str">
        <f>VLOOKUP(Tabla1[[#This Row],[Code]],[1]!Tabla4[#Data],2,FALSE)</f>
        <v>Cartucho Eco Sol Max Negro 220cc</v>
      </c>
      <c r="C2685">
        <v>10</v>
      </c>
      <c r="D2685" t="s">
        <v>66</v>
      </c>
      <c r="E2685" t="str">
        <f>VLOOKUP(Tabla1[[#This Row],[Cód. Atributo]],[1]!Tabla5[#Data],6,FALSE)</f>
        <v>Color</v>
      </c>
      <c r="F2685">
        <v>2</v>
      </c>
      <c r="G2685">
        <v>8</v>
      </c>
      <c r="H2685" t="s">
        <v>77</v>
      </c>
      <c r="I2685" t="str">
        <f>VLOOKUP(Tabla1[[#This Row],[Code]],'[1]Articulos Precio'!$A:$E,5,FALSE)</f>
        <v>A0001033</v>
      </c>
    </row>
    <row r="2686" spans="1:9" x14ac:dyDescent="0.25">
      <c r="A2686" t="s">
        <v>1006</v>
      </c>
      <c r="B2686" t="str">
        <f>VLOOKUP(Tabla1[[#This Row],[Code]],[1]!Tabla4[#Data],2,FALSE)</f>
        <v>Cartucho Eco Sol Max Amarillo 220cc</v>
      </c>
      <c r="C2686">
        <v>9</v>
      </c>
      <c r="D2686" t="s">
        <v>62</v>
      </c>
      <c r="E2686" t="str">
        <f>VLOOKUP(Tabla1[[#This Row],[Cód. Atributo]],[1]!Tabla5[#Data],6,FALSE)</f>
        <v>Select</v>
      </c>
      <c r="F2686">
        <v>1</v>
      </c>
      <c r="G2686">
        <v>1</v>
      </c>
      <c r="H2686" t="s">
        <v>995</v>
      </c>
      <c r="I2686" t="str">
        <f>VLOOKUP(Tabla1[[#This Row],[Code]],'[1]Articulos Precio'!$A:$E,5,FALSE)</f>
        <v>A0001033</v>
      </c>
    </row>
    <row r="2687" spans="1:9" x14ac:dyDescent="0.25">
      <c r="A2687" t="s">
        <v>1006</v>
      </c>
      <c r="B2687" t="str">
        <f>VLOOKUP(Tabla1[[#This Row],[Code]],[1]!Tabla4[#Data],2,FALSE)</f>
        <v>Cartucho Eco Sol Max Amarillo 220cc</v>
      </c>
      <c r="C2687">
        <v>10</v>
      </c>
      <c r="D2687" t="s">
        <v>66</v>
      </c>
      <c r="E2687" t="str">
        <f>VLOOKUP(Tabla1[[#This Row],[Cód. Atributo]],[1]!Tabla5[#Data],6,FALSE)</f>
        <v>Color</v>
      </c>
      <c r="F2687">
        <v>2</v>
      </c>
      <c r="G2687">
        <v>1</v>
      </c>
      <c r="H2687" t="s">
        <v>67</v>
      </c>
      <c r="I2687" t="str">
        <f>VLOOKUP(Tabla1[[#This Row],[Code]],'[1]Articulos Precio'!$A:$E,5,FALSE)</f>
        <v>A0001033</v>
      </c>
    </row>
    <row r="2688" spans="1:9" x14ac:dyDescent="0.25">
      <c r="A2688" t="s">
        <v>1007</v>
      </c>
      <c r="B2688" t="str">
        <f>VLOOKUP(Tabla1[[#This Row],[Code]],[1]!Tabla4[#Data],2,FALSE)</f>
        <v>Cartucho Eco Sol Max II Light Negro 440cc</v>
      </c>
      <c r="C2688">
        <v>9</v>
      </c>
      <c r="D2688" t="s">
        <v>62</v>
      </c>
      <c r="E2688" t="str">
        <f>VLOOKUP(Tabla1[[#This Row],[Cód. Atributo]],[1]!Tabla5[#Data],6,FALSE)</f>
        <v>Select</v>
      </c>
      <c r="F2688">
        <v>1</v>
      </c>
      <c r="G2688">
        <v>2</v>
      </c>
      <c r="H2688" t="s">
        <v>63</v>
      </c>
      <c r="I2688" t="str">
        <f>VLOOKUP(Tabla1[[#This Row],[Code]],'[1]Articulos Precio'!$A:$E,5,FALSE)</f>
        <v>A0001023</v>
      </c>
    </row>
    <row r="2689" spans="1:9" x14ac:dyDescent="0.25">
      <c r="A2689" t="s">
        <v>1007</v>
      </c>
      <c r="B2689" t="str">
        <f>VLOOKUP(Tabla1[[#This Row],[Code]],[1]!Tabla4[#Data],2,FALSE)</f>
        <v>Cartucho Eco Sol Max II Light Negro 440cc</v>
      </c>
      <c r="C2689">
        <v>10</v>
      </c>
      <c r="D2689" t="s">
        <v>66</v>
      </c>
      <c r="E2689" t="str">
        <f>VLOOKUP(Tabla1[[#This Row],[Cód. Atributo]],[1]!Tabla5[#Data],6,FALSE)</f>
        <v>Color</v>
      </c>
      <c r="F2689">
        <v>2</v>
      </c>
      <c r="G2689">
        <v>6</v>
      </c>
      <c r="H2689" t="s">
        <v>1008</v>
      </c>
      <c r="I2689" t="str">
        <f>VLOOKUP(Tabla1[[#This Row],[Code]],'[1]Articulos Precio'!$A:$E,5,FALSE)</f>
        <v>A0001023</v>
      </c>
    </row>
    <row r="2690" spans="1:9" x14ac:dyDescent="0.25">
      <c r="A2690" t="s">
        <v>1009</v>
      </c>
      <c r="B2690" t="str">
        <f>VLOOKUP(Tabla1[[#This Row],[Code]],[1]!Tabla4[#Data],2,FALSE)</f>
        <v>Rollo Metaguard FloorArt Laminado Suelo 1,52x50m</v>
      </c>
      <c r="C2690">
        <v>23</v>
      </c>
      <c r="D2690" t="s">
        <v>90</v>
      </c>
      <c r="E2690" t="str">
        <f>VLOOKUP(Tabla1[[#This Row],[Cód. Atributo]],[1]!Tabla5[#Data],6,FALSE)</f>
        <v>Select</v>
      </c>
      <c r="F2690">
        <v>1</v>
      </c>
      <c r="G2690">
        <v>1</v>
      </c>
      <c r="H2690" t="s">
        <v>110</v>
      </c>
      <c r="I2690" t="str">
        <f>VLOOKUP(Tabla1[[#This Row],[Code]],'[1]Articulos Precio'!$A:$E,5,FALSE)</f>
        <v>A0000986</v>
      </c>
    </row>
    <row r="2691" spans="1:9" x14ac:dyDescent="0.25">
      <c r="A2691" t="s">
        <v>1009</v>
      </c>
      <c r="B2691" t="str">
        <f>VLOOKUP(Tabla1[[#This Row],[Code]],[1]!Tabla4[#Data],2,FALSE)</f>
        <v>Rollo Metaguard FloorArt Laminado Suelo 1,52x50m</v>
      </c>
      <c r="C2691">
        <v>25</v>
      </c>
      <c r="D2691" t="s">
        <v>94</v>
      </c>
      <c r="E2691" t="str">
        <f>VLOOKUP(Tabla1[[#This Row],[Cód. Atributo]],[1]!Tabla5[#Data],6,FALSE)</f>
        <v>Select</v>
      </c>
      <c r="F2691">
        <v>2</v>
      </c>
      <c r="G2691">
        <v>1</v>
      </c>
      <c r="H2691" t="s">
        <v>161</v>
      </c>
      <c r="I2691" t="str">
        <f>VLOOKUP(Tabla1[[#This Row],[Code]],'[1]Articulos Precio'!$A:$E,5,FALSE)</f>
        <v>A0000986</v>
      </c>
    </row>
    <row r="2692" spans="1:9" x14ac:dyDescent="0.25">
      <c r="A2692" t="s">
        <v>1009</v>
      </c>
      <c r="B2692" t="str">
        <f>VLOOKUP(Tabla1[[#This Row],[Code]],[1]!Tabla4[#Data],2,FALSE)</f>
        <v>Rollo Metaguard FloorArt Laminado Suelo 1,52x50m</v>
      </c>
      <c r="C2692">
        <v>30</v>
      </c>
      <c r="D2692" t="s">
        <v>184</v>
      </c>
      <c r="E2692" t="str">
        <f>VLOOKUP(Tabla1[[#This Row],[Cód. Atributo]],[1]!Tabla5[#Data],6,FALSE)</f>
        <v>Select</v>
      </c>
      <c r="F2692">
        <v>3</v>
      </c>
      <c r="G2692">
        <v>2</v>
      </c>
      <c r="H2692" t="s">
        <v>984</v>
      </c>
      <c r="I2692" t="str">
        <f>VLOOKUP(Tabla1[[#This Row],[Code]],'[1]Articulos Precio'!$A:$E,5,FALSE)</f>
        <v>A0000986</v>
      </c>
    </row>
    <row r="2693" spans="1:9" x14ac:dyDescent="0.25">
      <c r="A2693" t="s">
        <v>1009</v>
      </c>
      <c r="B2693" t="str">
        <f>VLOOKUP(Tabla1[[#This Row],[Code]],[1]!Tabla4[#Data],2,FALSE)</f>
        <v>Rollo Metaguard FloorArt Laminado Suelo 1,52x50m</v>
      </c>
      <c r="C2693">
        <v>5</v>
      </c>
      <c r="D2693" t="s">
        <v>985</v>
      </c>
      <c r="E2693" t="e">
        <f>VLOOKUP(Tabla1[[#This Row],[Cód. Atributo]],[1]!Tabla5[#Data],6,FALSE)</f>
        <v>#N/A</v>
      </c>
      <c r="F2693">
        <v>4</v>
      </c>
      <c r="G2693">
        <v>1</v>
      </c>
      <c r="H2693" t="s">
        <v>986</v>
      </c>
      <c r="I2693" t="str">
        <f>VLOOKUP(Tabla1[[#This Row],[Code]],'[1]Articulos Precio'!$A:$E,5,FALSE)</f>
        <v>A0000986</v>
      </c>
    </row>
    <row r="2694" spans="1:9" x14ac:dyDescent="0.25">
      <c r="A2694" t="s">
        <v>1009</v>
      </c>
      <c r="B2694" t="str">
        <f>VLOOKUP(Tabla1[[#This Row],[Code]],[1]!Tabla4[#Data],2,FALSE)</f>
        <v>Rollo Metaguard FloorArt Laminado Suelo 1,52x50m</v>
      </c>
      <c r="E2694" t="e">
        <f>VLOOKUP(Tabla1[[#This Row],[Cód. Atributo]],[1]!Tabla5[#Data],6,FALSE)</f>
        <v>#N/A</v>
      </c>
      <c r="F2694">
        <v>5</v>
      </c>
      <c r="I2694" t="str">
        <f>VLOOKUP(Tabla1[[#This Row],[Code]],'[1]Articulos Precio'!$A:$E,5,FALSE)</f>
        <v>A0000986</v>
      </c>
    </row>
    <row r="2695" spans="1:9" x14ac:dyDescent="0.25">
      <c r="A2695" t="s">
        <v>1009</v>
      </c>
      <c r="B2695" t="str">
        <f>VLOOKUP(Tabla1[[#This Row],[Code]],[1]!Tabla4[#Data],2,FALSE)</f>
        <v>Rollo Metaguard FloorArt Laminado Suelo 1,52x50m</v>
      </c>
      <c r="E2695" t="e">
        <f>VLOOKUP(Tabla1[[#This Row],[Cód. Atributo]],[1]!Tabla5[#Data],6,FALSE)</f>
        <v>#N/A</v>
      </c>
      <c r="F2695">
        <v>6</v>
      </c>
      <c r="I2695" t="str">
        <f>VLOOKUP(Tabla1[[#This Row],[Code]],'[1]Articulos Precio'!$A:$E,5,FALSE)</f>
        <v>A0000986</v>
      </c>
    </row>
    <row r="2696" spans="1:9" x14ac:dyDescent="0.25">
      <c r="A2696" t="s">
        <v>1010</v>
      </c>
      <c r="B2696" t="str">
        <f>VLOOKUP(Tabla1[[#This Row],[Code]],[1]!Tabla4[#Data],2,FALSE)</f>
        <v>Cartucho Eco Sol Max 3 Light Magenta 220cc</v>
      </c>
      <c r="C2696">
        <v>9</v>
      </c>
      <c r="D2696" t="s">
        <v>62</v>
      </c>
      <c r="E2696" t="str">
        <f>VLOOKUP(Tabla1[[#This Row],[Cód. Atributo]],[1]!Tabla5[#Data],6,FALSE)</f>
        <v>Select</v>
      </c>
      <c r="F2696">
        <v>1</v>
      </c>
      <c r="G2696">
        <v>1</v>
      </c>
      <c r="H2696" t="s">
        <v>995</v>
      </c>
      <c r="I2696" t="str">
        <f>VLOOKUP(Tabla1[[#This Row],[Code]],'[1]Articulos Precio'!$A:$E,5,FALSE)</f>
        <v>A0001043</v>
      </c>
    </row>
    <row r="2697" spans="1:9" x14ac:dyDescent="0.25">
      <c r="A2697" t="s">
        <v>1010</v>
      </c>
      <c r="B2697" t="str">
        <f>VLOOKUP(Tabla1[[#This Row],[Code]],[1]!Tabla4[#Data],2,FALSE)</f>
        <v>Cartucho Eco Sol Max 3 Light Magenta 220cc</v>
      </c>
      <c r="C2697">
        <v>10</v>
      </c>
      <c r="D2697" t="s">
        <v>66</v>
      </c>
      <c r="E2697" t="str">
        <f>VLOOKUP(Tabla1[[#This Row],[Cód. Atributo]],[1]!Tabla5[#Data],6,FALSE)</f>
        <v>Color</v>
      </c>
      <c r="F2697">
        <v>2</v>
      </c>
      <c r="G2697">
        <v>5</v>
      </c>
      <c r="H2697" t="s">
        <v>73</v>
      </c>
      <c r="I2697" t="str">
        <f>VLOOKUP(Tabla1[[#This Row],[Code]],'[1]Articulos Precio'!$A:$E,5,FALSE)</f>
        <v>A0001043</v>
      </c>
    </row>
    <row r="2698" spans="1:9" x14ac:dyDescent="0.25">
      <c r="A2698" t="s">
        <v>1011</v>
      </c>
      <c r="B2698" t="str">
        <f>VLOOKUP(Tabla1[[#This Row],[Code]],[1]!Tabla4[#Data],2,FALSE)</f>
        <v>Cartucho Eco Sol Max 3 Magenta 220cc</v>
      </c>
      <c r="C2698">
        <v>9</v>
      </c>
      <c r="D2698" t="s">
        <v>62</v>
      </c>
      <c r="E2698" t="str">
        <f>VLOOKUP(Tabla1[[#This Row],[Cód. Atributo]],[1]!Tabla5[#Data],6,FALSE)</f>
        <v>Select</v>
      </c>
      <c r="F2698">
        <v>1</v>
      </c>
      <c r="G2698">
        <v>1</v>
      </c>
      <c r="H2698" t="s">
        <v>995</v>
      </c>
      <c r="I2698" t="str">
        <f>VLOOKUP(Tabla1[[#This Row],[Code]],'[1]Articulos Precio'!$A:$E,5,FALSE)</f>
        <v>A0001043</v>
      </c>
    </row>
    <row r="2699" spans="1:9" x14ac:dyDescent="0.25">
      <c r="A2699" t="s">
        <v>1011</v>
      </c>
      <c r="B2699" t="str">
        <f>VLOOKUP(Tabla1[[#This Row],[Code]],[1]!Tabla4[#Data],2,FALSE)</f>
        <v>Cartucho Eco Sol Max 3 Magenta 220cc</v>
      </c>
      <c r="C2699">
        <v>10</v>
      </c>
      <c r="D2699" t="s">
        <v>66</v>
      </c>
      <c r="E2699" t="str">
        <f>VLOOKUP(Tabla1[[#This Row],[Cód. Atributo]],[1]!Tabla5[#Data],6,FALSE)</f>
        <v>Color</v>
      </c>
      <c r="F2699">
        <v>2</v>
      </c>
      <c r="G2699">
        <v>7</v>
      </c>
      <c r="H2699" t="s">
        <v>75</v>
      </c>
      <c r="I2699" t="str">
        <f>VLOOKUP(Tabla1[[#This Row],[Code]],'[1]Articulos Precio'!$A:$E,5,FALSE)</f>
        <v>A0001043</v>
      </c>
    </row>
    <row r="2700" spans="1:9" x14ac:dyDescent="0.25">
      <c r="A2700" t="s">
        <v>1012</v>
      </c>
      <c r="B2700" t="str">
        <f>VLOOKUP(Tabla1[[#This Row],[Code]],[1]!Tabla4[#Data],2,FALSE)</f>
        <v>Cartucho Eco Sol Max 3 Amarillo 220cc</v>
      </c>
      <c r="C2700">
        <v>9</v>
      </c>
      <c r="D2700" t="s">
        <v>62</v>
      </c>
      <c r="E2700" t="str">
        <f>VLOOKUP(Tabla1[[#This Row],[Cód. Atributo]],[1]!Tabla5[#Data],6,FALSE)</f>
        <v>Select</v>
      </c>
      <c r="F2700">
        <v>1</v>
      </c>
      <c r="G2700">
        <v>1</v>
      </c>
      <c r="H2700" t="s">
        <v>995</v>
      </c>
      <c r="I2700" t="str">
        <f>VLOOKUP(Tabla1[[#This Row],[Code]],'[1]Articulos Precio'!$A:$E,5,FALSE)</f>
        <v>A0001043</v>
      </c>
    </row>
    <row r="2701" spans="1:9" x14ac:dyDescent="0.25">
      <c r="A2701" t="s">
        <v>1012</v>
      </c>
      <c r="B2701" t="str">
        <f>VLOOKUP(Tabla1[[#This Row],[Code]],[1]!Tabla4[#Data],2,FALSE)</f>
        <v>Cartucho Eco Sol Max 3 Amarillo 220cc</v>
      </c>
      <c r="C2701">
        <v>10</v>
      </c>
      <c r="D2701" t="s">
        <v>66</v>
      </c>
      <c r="E2701" t="str">
        <f>VLOOKUP(Tabla1[[#This Row],[Cód. Atributo]],[1]!Tabla5[#Data],6,FALSE)</f>
        <v>Color</v>
      </c>
      <c r="F2701">
        <v>2</v>
      </c>
      <c r="G2701">
        <v>1</v>
      </c>
      <c r="H2701" t="s">
        <v>67</v>
      </c>
      <c r="I2701" t="str">
        <f>VLOOKUP(Tabla1[[#This Row],[Code]],'[1]Articulos Precio'!$A:$E,5,FALSE)</f>
        <v>A0001043</v>
      </c>
    </row>
    <row r="2702" spans="1:9" x14ac:dyDescent="0.25">
      <c r="A2702" t="s">
        <v>1013</v>
      </c>
      <c r="B2702" t="str">
        <f>VLOOKUP(Tabla1[[#This Row],[Code]],[1]!Tabla4[#Data],2,FALSE)</f>
        <v>Cartucho Eco Sol Max 3 Cyan 220cc</v>
      </c>
      <c r="C2702">
        <v>9</v>
      </c>
      <c r="D2702" t="s">
        <v>62</v>
      </c>
      <c r="E2702" t="str">
        <f>VLOOKUP(Tabla1[[#This Row],[Cód. Atributo]],[1]!Tabla5[#Data],6,FALSE)</f>
        <v>Select</v>
      </c>
      <c r="F2702">
        <v>1</v>
      </c>
      <c r="G2702">
        <v>1</v>
      </c>
      <c r="H2702" t="s">
        <v>995</v>
      </c>
      <c r="I2702" t="str">
        <f>VLOOKUP(Tabla1[[#This Row],[Code]],'[1]Articulos Precio'!$A:$E,5,FALSE)</f>
        <v>A0001043</v>
      </c>
    </row>
    <row r="2703" spans="1:9" x14ac:dyDescent="0.25">
      <c r="A2703" t="s">
        <v>1013</v>
      </c>
      <c r="B2703" t="str">
        <f>VLOOKUP(Tabla1[[#This Row],[Code]],[1]!Tabla4[#Data],2,FALSE)</f>
        <v>Cartucho Eco Sol Max 3 Cyan 220cc</v>
      </c>
      <c r="C2703">
        <v>10</v>
      </c>
      <c r="D2703" t="s">
        <v>66</v>
      </c>
      <c r="E2703" t="str">
        <f>VLOOKUP(Tabla1[[#This Row],[Cód. Atributo]],[1]!Tabla5[#Data],6,FALSE)</f>
        <v>Color</v>
      </c>
      <c r="F2703">
        <v>2</v>
      </c>
      <c r="G2703">
        <v>3</v>
      </c>
      <c r="H2703" t="s">
        <v>69</v>
      </c>
      <c r="I2703" t="str">
        <f>VLOOKUP(Tabla1[[#This Row],[Code]],'[1]Articulos Precio'!$A:$E,5,FALSE)</f>
        <v>A0001043</v>
      </c>
    </row>
    <row r="2704" spans="1:9" x14ac:dyDescent="0.25">
      <c r="A2704" t="s">
        <v>1014</v>
      </c>
      <c r="B2704" t="str">
        <f>VLOOKUP(Tabla1[[#This Row],[Code]],[1]!Tabla4[#Data],2,FALSE)</f>
        <v>Cartucho Eco Sol Max 3 Negro 220cc</v>
      </c>
      <c r="C2704">
        <v>9</v>
      </c>
      <c r="D2704" t="s">
        <v>62</v>
      </c>
      <c r="E2704" t="str">
        <f>VLOOKUP(Tabla1[[#This Row],[Cód. Atributo]],[1]!Tabla5[#Data],6,FALSE)</f>
        <v>Select</v>
      </c>
      <c r="F2704">
        <v>1</v>
      </c>
      <c r="G2704">
        <v>1</v>
      </c>
      <c r="H2704" t="s">
        <v>995</v>
      </c>
      <c r="I2704" t="str">
        <f>VLOOKUP(Tabla1[[#This Row],[Code]],'[1]Articulos Precio'!$A:$E,5,FALSE)</f>
        <v>A0001043</v>
      </c>
    </row>
    <row r="2705" spans="1:9" x14ac:dyDescent="0.25">
      <c r="A2705" t="s">
        <v>1014</v>
      </c>
      <c r="B2705" t="str">
        <f>VLOOKUP(Tabla1[[#This Row],[Code]],[1]!Tabla4[#Data],2,FALSE)</f>
        <v>Cartucho Eco Sol Max 3 Negro 220cc</v>
      </c>
      <c r="C2705">
        <v>10</v>
      </c>
      <c r="D2705" t="s">
        <v>66</v>
      </c>
      <c r="E2705" t="str">
        <f>VLOOKUP(Tabla1[[#This Row],[Cód. Atributo]],[1]!Tabla5[#Data],6,FALSE)</f>
        <v>Color</v>
      </c>
      <c r="F2705">
        <v>2</v>
      </c>
      <c r="G2705">
        <v>8</v>
      </c>
      <c r="H2705" t="s">
        <v>77</v>
      </c>
      <c r="I2705" t="str">
        <f>VLOOKUP(Tabla1[[#This Row],[Code]],'[1]Articulos Precio'!$A:$E,5,FALSE)</f>
        <v>A0001043</v>
      </c>
    </row>
    <row r="2706" spans="1:9" x14ac:dyDescent="0.25">
      <c r="A2706" t="s">
        <v>1015</v>
      </c>
      <c r="B2706" t="str">
        <f>VLOOKUP(Tabla1[[#This Row],[Code]],[1]!Tabla4[#Data],2,FALSE)</f>
        <v>Cartucho Eco Sol Max 3 Amarillo 500cc</v>
      </c>
      <c r="C2706">
        <v>9</v>
      </c>
      <c r="D2706" t="s">
        <v>62</v>
      </c>
      <c r="E2706" t="str">
        <f>VLOOKUP(Tabla1[[#This Row],[Cód. Atributo]],[1]!Tabla5[#Data],6,FALSE)</f>
        <v>Select</v>
      </c>
      <c r="F2706">
        <v>1</v>
      </c>
      <c r="G2706">
        <v>3</v>
      </c>
      <c r="H2706" t="s">
        <v>1016</v>
      </c>
      <c r="I2706" t="str">
        <f>VLOOKUP(Tabla1[[#This Row],[Code]],'[1]Articulos Precio'!$A:$E,5,FALSE)</f>
        <v>A0001043</v>
      </c>
    </row>
    <row r="2707" spans="1:9" x14ac:dyDescent="0.25">
      <c r="A2707" t="s">
        <v>1015</v>
      </c>
      <c r="B2707" t="str">
        <f>VLOOKUP(Tabla1[[#This Row],[Code]],[1]!Tabla4[#Data],2,FALSE)</f>
        <v>Cartucho Eco Sol Max 3 Amarillo 500cc</v>
      </c>
      <c r="C2707">
        <v>10</v>
      </c>
      <c r="D2707" t="s">
        <v>66</v>
      </c>
      <c r="E2707" t="str">
        <f>VLOOKUP(Tabla1[[#This Row],[Cód. Atributo]],[1]!Tabla5[#Data],6,FALSE)</f>
        <v>Color</v>
      </c>
      <c r="F2707">
        <v>2</v>
      </c>
      <c r="G2707">
        <v>1</v>
      </c>
      <c r="H2707" t="s">
        <v>67</v>
      </c>
      <c r="I2707" t="str">
        <f>VLOOKUP(Tabla1[[#This Row],[Code]],'[1]Articulos Precio'!$A:$E,5,FALSE)</f>
        <v>A0001043</v>
      </c>
    </row>
    <row r="2708" spans="1:9" x14ac:dyDescent="0.25">
      <c r="A2708" t="s">
        <v>1017</v>
      </c>
      <c r="B2708" t="str">
        <f>VLOOKUP(Tabla1[[#This Row],[Code]],[1]!Tabla4[#Data],2,FALSE)</f>
        <v>Cartucho Eco Sol Max 3 Light Cyan 500cc</v>
      </c>
      <c r="C2708">
        <v>9</v>
      </c>
      <c r="D2708" t="s">
        <v>62</v>
      </c>
      <c r="E2708" t="str">
        <f>VLOOKUP(Tabla1[[#This Row],[Cód. Atributo]],[1]!Tabla5[#Data],6,FALSE)</f>
        <v>Select</v>
      </c>
      <c r="F2708">
        <v>1</v>
      </c>
      <c r="G2708">
        <v>3</v>
      </c>
      <c r="H2708" t="s">
        <v>1016</v>
      </c>
      <c r="I2708" t="str">
        <f>VLOOKUP(Tabla1[[#This Row],[Code]],'[1]Articulos Precio'!$A:$E,5,FALSE)</f>
        <v>A0001043</v>
      </c>
    </row>
    <row r="2709" spans="1:9" x14ac:dyDescent="0.25">
      <c r="A2709" t="s">
        <v>1017</v>
      </c>
      <c r="B2709" t="str">
        <f>VLOOKUP(Tabla1[[#This Row],[Code]],[1]!Tabla4[#Data],2,FALSE)</f>
        <v>Cartucho Eco Sol Max 3 Light Cyan 500cc</v>
      </c>
      <c r="C2709">
        <v>10</v>
      </c>
      <c r="D2709" t="s">
        <v>66</v>
      </c>
      <c r="E2709" t="str">
        <f>VLOOKUP(Tabla1[[#This Row],[Cód. Atributo]],[1]!Tabla5[#Data],6,FALSE)</f>
        <v>Color</v>
      </c>
      <c r="F2709">
        <v>2</v>
      </c>
      <c r="G2709">
        <v>4</v>
      </c>
      <c r="H2709" t="s">
        <v>71</v>
      </c>
      <c r="I2709" t="str">
        <f>VLOOKUP(Tabla1[[#This Row],[Code]],'[1]Articulos Precio'!$A:$E,5,FALSE)</f>
        <v>A0001043</v>
      </c>
    </row>
    <row r="2710" spans="1:9" x14ac:dyDescent="0.25">
      <c r="A2710" t="s">
        <v>1018</v>
      </c>
      <c r="B2710" t="str">
        <f>VLOOKUP(Tabla1[[#This Row],[Code]],[1]!Tabla4[#Data],2,FALSE)</f>
        <v>Cartucho Eco Sol Max 3 Light Magenta 500cc</v>
      </c>
      <c r="C2710">
        <v>9</v>
      </c>
      <c r="D2710" t="s">
        <v>62</v>
      </c>
      <c r="E2710" t="str">
        <f>VLOOKUP(Tabla1[[#This Row],[Cód. Atributo]],[1]!Tabla5[#Data],6,FALSE)</f>
        <v>Select</v>
      </c>
      <c r="F2710">
        <v>1</v>
      </c>
      <c r="G2710">
        <v>3</v>
      </c>
      <c r="H2710" t="s">
        <v>1016</v>
      </c>
      <c r="I2710" t="str">
        <f>VLOOKUP(Tabla1[[#This Row],[Code]],'[1]Articulos Precio'!$A:$E,5,FALSE)</f>
        <v>A0001043</v>
      </c>
    </row>
    <row r="2711" spans="1:9" x14ac:dyDescent="0.25">
      <c r="A2711" t="s">
        <v>1018</v>
      </c>
      <c r="B2711" t="str">
        <f>VLOOKUP(Tabla1[[#This Row],[Code]],[1]!Tabla4[#Data],2,FALSE)</f>
        <v>Cartucho Eco Sol Max 3 Light Magenta 500cc</v>
      </c>
      <c r="C2711">
        <v>10</v>
      </c>
      <c r="D2711" t="s">
        <v>66</v>
      </c>
      <c r="E2711" t="str">
        <f>VLOOKUP(Tabla1[[#This Row],[Cód. Atributo]],[1]!Tabla5[#Data],6,FALSE)</f>
        <v>Color</v>
      </c>
      <c r="F2711">
        <v>2</v>
      </c>
      <c r="G2711">
        <v>5</v>
      </c>
      <c r="H2711" t="s">
        <v>73</v>
      </c>
      <c r="I2711" t="str">
        <f>VLOOKUP(Tabla1[[#This Row],[Code]],'[1]Articulos Precio'!$A:$E,5,FALSE)</f>
        <v>A0001043</v>
      </c>
    </row>
    <row r="2712" spans="1:9" x14ac:dyDescent="0.25">
      <c r="A2712" t="s">
        <v>1019</v>
      </c>
      <c r="B2712" t="str">
        <f>VLOOKUP(Tabla1[[#This Row],[Code]],[1]!Tabla4[#Data],2,FALSE)</f>
        <v>Cartucho Eco Sol Max 3 Magenta 500cc</v>
      </c>
      <c r="C2712">
        <v>9</v>
      </c>
      <c r="D2712" t="s">
        <v>62</v>
      </c>
      <c r="E2712" t="str">
        <f>VLOOKUP(Tabla1[[#This Row],[Cód. Atributo]],[1]!Tabla5[#Data],6,FALSE)</f>
        <v>Select</v>
      </c>
      <c r="F2712">
        <v>1</v>
      </c>
      <c r="G2712">
        <v>3</v>
      </c>
      <c r="H2712" t="s">
        <v>1016</v>
      </c>
      <c r="I2712" t="str">
        <f>VLOOKUP(Tabla1[[#This Row],[Code]],'[1]Articulos Precio'!$A:$E,5,FALSE)</f>
        <v>A0001043</v>
      </c>
    </row>
    <row r="2713" spans="1:9" x14ac:dyDescent="0.25">
      <c r="A2713" t="s">
        <v>1019</v>
      </c>
      <c r="B2713" t="str">
        <f>VLOOKUP(Tabla1[[#This Row],[Code]],[1]!Tabla4[#Data],2,FALSE)</f>
        <v>Cartucho Eco Sol Max 3 Magenta 500cc</v>
      </c>
      <c r="C2713">
        <v>10</v>
      </c>
      <c r="D2713" t="s">
        <v>66</v>
      </c>
      <c r="E2713" t="str">
        <f>VLOOKUP(Tabla1[[#This Row],[Cód. Atributo]],[1]!Tabla5[#Data],6,FALSE)</f>
        <v>Color</v>
      </c>
      <c r="F2713">
        <v>2</v>
      </c>
      <c r="G2713">
        <v>7</v>
      </c>
      <c r="H2713" t="s">
        <v>75</v>
      </c>
      <c r="I2713" t="str">
        <f>VLOOKUP(Tabla1[[#This Row],[Code]],'[1]Articulos Precio'!$A:$E,5,FALSE)</f>
        <v>A0001043</v>
      </c>
    </row>
    <row r="2714" spans="1:9" x14ac:dyDescent="0.25">
      <c r="A2714" t="s">
        <v>1020</v>
      </c>
      <c r="B2714" t="str">
        <f>VLOOKUP(Tabla1[[#This Row],[Code]],[1]!Tabla4[#Data],2,FALSE)</f>
        <v>Cartucho Eco Sol Max 3 Cyan 500cc</v>
      </c>
      <c r="C2714">
        <v>9</v>
      </c>
      <c r="D2714" t="s">
        <v>62</v>
      </c>
      <c r="E2714" t="str">
        <f>VLOOKUP(Tabla1[[#This Row],[Cód. Atributo]],[1]!Tabla5[#Data],6,FALSE)</f>
        <v>Select</v>
      </c>
      <c r="F2714">
        <v>1</v>
      </c>
      <c r="G2714">
        <v>3</v>
      </c>
      <c r="H2714" t="s">
        <v>1016</v>
      </c>
      <c r="I2714" t="str">
        <f>VLOOKUP(Tabla1[[#This Row],[Code]],'[1]Articulos Precio'!$A:$E,5,FALSE)</f>
        <v>A0001043</v>
      </c>
    </row>
    <row r="2715" spans="1:9" x14ac:dyDescent="0.25">
      <c r="A2715" t="s">
        <v>1020</v>
      </c>
      <c r="B2715" t="str">
        <f>VLOOKUP(Tabla1[[#This Row],[Code]],[1]!Tabla4[#Data],2,FALSE)</f>
        <v>Cartucho Eco Sol Max 3 Cyan 500cc</v>
      </c>
      <c r="C2715">
        <v>10</v>
      </c>
      <c r="D2715" t="s">
        <v>66</v>
      </c>
      <c r="E2715" t="str">
        <f>VLOOKUP(Tabla1[[#This Row],[Cód. Atributo]],[1]!Tabla5[#Data],6,FALSE)</f>
        <v>Color</v>
      </c>
      <c r="F2715">
        <v>2</v>
      </c>
      <c r="G2715">
        <v>3</v>
      </c>
      <c r="H2715" t="s">
        <v>69</v>
      </c>
      <c r="I2715" t="str">
        <f>VLOOKUP(Tabla1[[#This Row],[Code]],'[1]Articulos Precio'!$A:$E,5,FALSE)</f>
        <v>A0001043</v>
      </c>
    </row>
    <row r="2716" spans="1:9" x14ac:dyDescent="0.25">
      <c r="A2716" t="s">
        <v>1021</v>
      </c>
      <c r="B2716" t="str">
        <f>VLOOKUP(Tabla1[[#This Row],[Code]],[1]!Tabla4[#Data],2,FALSE)</f>
        <v>Cartucho Eco Sol Max 3 Negro 500cc</v>
      </c>
      <c r="C2716">
        <v>9</v>
      </c>
      <c r="D2716" t="s">
        <v>62</v>
      </c>
      <c r="E2716" t="str">
        <f>VLOOKUP(Tabla1[[#This Row],[Cód. Atributo]],[1]!Tabla5[#Data],6,FALSE)</f>
        <v>Select</v>
      </c>
      <c r="F2716">
        <v>1</v>
      </c>
      <c r="G2716">
        <v>3</v>
      </c>
      <c r="H2716" t="s">
        <v>1016</v>
      </c>
      <c r="I2716" t="str">
        <f>VLOOKUP(Tabla1[[#This Row],[Code]],'[1]Articulos Precio'!$A:$E,5,FALSE)</f>
        <v>A0001043</v>
      </c>
    </row>
    <row r="2717" spans="1:9" x14ac:dyDescent="0.25">
      <c r="A2717" t="s">
        <v>1021</v>
      </c>
      <c r="B2717" t="str">
        <f>VLOOKUP(Tabla1[[#This Row],[Code]],[1]!Tabla4[#Data],2,FALSE)</f>
        <v>Cartucho Eco Sol Max 3 Negro 500cc</v>
      </c>
      <c r="C2717">
        <v>10</v>
      </c>
      <c r="D2717" t="s">
        <v>66</v>
      </c>
      <c r="E2717" t="str">
        <f>VLOOKUP(Tabla1[[#This Row],[Cód. Atributo]],[1]!Tabla5[#Data],6,FALSE)</f>
        <v>Color</v>
      </c>
      <c r="F2717">
        <v>2</v>
      </c>
      <c r="G2717">
        <v>8</v>
      </c>
      <c r="H2717" t="s">
        <v>77</v>
      </c>
      <c r="I2717" t="str">
        <f>VLOOKUP(Tabla1[[#This Row],[Code]],'[1]Articulos Precio'!$A:$E,5,FALSE)</f>
        <v>A0001043</v>
      </c>
    </row>
    <row r="2718" spans="1:9" x14ac:dyDescent="0.25">
      <c r="A2718" t="s">
        <v>1022</v>
      </c>
      <c r="B2718" t="str">
        <f>VLOOKUP(Tabla1[[#This Row],[Code]],[1]!Tabla4[#Data],2,FALSE)</f>
        <v>Cartucho Eco Sol Max 3 Light Cyan 220cc</v>
      </c>
      <c r="C2718">
        <v>9</v>
      </c>
      <c r="D2718" t="s">
        <v>62</v>
      </c>
      <c r="E2718" t="str">
        <f>VLOOKUP(Tabla1[[#This Row],[Cód. Atributo]],[1]!Tabla5[#Data],6,FALSE)</f>
        <v>Select</v>
      </c>
      <c r="F2718">
        <v>1</v>
      </c>
      <c r="G2718">
        <v>1</v>
      </c>
      <c r="H2718" t="s">
        <v>995</v>
      </c>
      <c r="I2718" t="str">
        <f>VLOOKUP(Tabla1[[#This Row],[Code]],'[1]Articulos Precio'!$A:$E,5,FALSE)</f>
        <v>A0001043</v>
      </c>
    </row>
    <row r="2719" spans="1:9" x14ac:dyDescent="0.25">
      <c r="A2719" t="s">
        <v>1022</v>
      </c>
      <c r="B2719" t="str">
        <f>VLOOKUP(Tabla1[[#This Row],[Code]],[1]!Tabla4[#Data],2,FALSE)</f>
        <v>Cartucho Eco Sol Max 3 Light Cyan 220cc</v>
      </c>
      <c r="C2719">
        <v>10</v>
      </c>
      <c r="D2719" t="s">
        <v>66</v>
      </c>
      <c r="E2719" t="str">
        <f>VLOOKUP(Tabla1[[#This Row],[Cód. Atributo]],[1]!Tabla5[#Data],6,FALSE)</f>
        <v>Color</v>
      </c>
      <c r="F2719">
        <v>2</v>
      </c>
      <c r="G2719">
        <v>4</v>
      </c>
      <c r="H2719" t="s">
        <v>71</v>
      </c>
      <c r="I2719" t="str">
        <f>VLOOKUP(Tabla1[[#This Row],[Code]],'[1]Articulos Precio'!$A:$E,5,FALSE)</f>
        <v>A0001043</v>
      </c>
    </row>
    <row r="2720" spans="1:9" x14ac:dyDescent="0.25">
      <c r="A2720" t="s">
        <v>1023</v>
      </c>
      <c r="B2720" t="str">
        <f>VLOOKUP(Tabla1[[#This Row],[Code]],[1]!Tabla4[#Data],2,FALSE)</f>
        <v>Cartucho Eco Sol Max 3 Light Negro 500cc</v>
      </c>
      <c r="C2720">
        <v>9</v>
      </c>
      <c r="D2720" t="s">
        <v>62</v>
      </c>
      <c r="E2720" t="str">
        <f>VLOOKUP(Tabla1[[#This Row],[Cód. Atributo]],[1]!Tabla5[#Data],6,FALSE)</f>
        <v>Select</v>
      </c>
      <c r="F2720">
        <v>1</v>
      </c>
      <c r="G2720">
        <v>3</v>
      </c>
      <c r="H2720" t="s">
        <v>1016</v>
      </c>
      <c r="I2720" t="str">
        <f>VLOOKUP(Tabla1[[#This Row],[Code]],'[1]Articulos Precio'!$A:$E,5,FALSE)</f>
        <v>A0001043</v>
      </c>
    </row>
    <row r="2721" spans="1:9" x14ac:dyDescent="0.25">
      <c r="A2721" t="s">
        <v>1023</v>
      </c>
      <c r="B2721" t="str">
        <f>VLOOKUP(Tabla1[[#This Row],[Code]],[1]!Tabla4[#Data],2,FALSE)</f>
        <v>Cartucho Eco Sol Max 3 Light Negro 500cc</v>
      </c>
      <c r="C2721">
        <v>10</v>
      </c>
      <c r="D2721" t="s">
        <v>66</v>
      </c>
      <c r="E2721" t="str">
        <f>VLOOKUP(Tabla1[[#This Row],[Cód. Atributo]],[1]!Tabla5[#Data],6,FALSE)</f>
        <v>Color</v>
      </c>
      <c r="F2721">
        <v>2</v>
      </c>
      <c r="G2721">
        <v>6</v>
      </c>
      <c r="H2721" t="s">
        <v>1008</v>
      </c>
      <c r="I2721" t="str">
        <f>VLOOKUP(Tabla1[[#This Row],[Code]],'[1]Articulos Precio'!$A:$E,5,FALSE)</f>
        <v>A0001043</v>
      </c>
    </row>
    <row r="2722" spans="1:9" x14ac:dyDescent="0.25">
      <c r="A2722" t="s">
        <v>1024</v>
      </c>
      <c r="B2722" t="str">
        <f>VLOOKUP(Tabla1[[#This Row],[Code]],[1]!Tabla4[#Data],2,FALSE)</f>
        <v>Rollo Metaguard MG 850 brillo (Antigraffiti) 1,37x50m</v>
      </c>
      <c r="C2722">
        <v>3</v>
      </c>
      <c r="D2722" t="s">
        <v>108</v>
      </c>
      <c r="E2722" t="str">
        <f>VLOOKUP(Tabla1[[#This Row],[Cód. Atributo]],[1]!Tabla5[#Data],6,FALSE)</f>
        <v>Select</v>
      </c>
      <c r="F2722">
        <v>1</v>
      </c>
      <c r="G2722">
        <v>3</v>
      </c>
      <c r="H2722" t="s">
        <v>117</v>
      </c>
      <c r="I2722">
        <f>VLOOKUP(Tabla1[[#This Row],[Code]],'[1]Articulos Precio'!$A:$E,5,FALSE)</f>
        <v>0</v>
      </c>
    </row>
    <row r="2723" spans="1:9" x14ac:dyDescent="0.25">
      <c r="A2723" t="s">
        <v>1024</v>
      </c>
      <c r="B2723" t="str">
        <f>VLOOKUP(Tabla1[[#This Row],[Code]],[1]!Tabla4[#Data],2,FALSE)</f>
        <v>Rollo Metaguard MG 850 brillo (Antigraffiti) 1,37x50m</v>
      </c>
      <c r="C2723">
        <v>23</v>
      </c>
      <c r="D2723" t="s">
        <v>90</v>
      </c>
      <c r="E2723" t="str">
        <f>VLOOKUP(Tabla1[[#This Row],[Cód. Atributo]],[1]!Tabla5[#Data],6,FALSE)</f>
        <v>Select</v>
      </c>
      <c r="F2723">
        <v>2</v>
      </c>
      <c r="G2723">
        <v>2</v>
      </c>
      <c r="H2723" t="s">
        <v>136</v>
      </c>
      <c r="I2723">
        <f>VLOOKUP(Tabla1[[#This Row],[Code]],'[1]Articulos Precio'!$A:$E,5,FALSE)</f>
        <v>0</v>
      </c>
    </row>
    <row r="2724" spans="1:9" x14ac:dyDescent="0.25">
      <c r="A2724" t="s">
        <v>1024</v>
      </c>
      <c r="B2724" t="str">
        <f>VLOOKUP(Tabla1[[#This Row],[Code]],[1]!Tabla4[#Data],2,FALSE)</f>
        <v>Rollo Metaguard MG 850 brillo (Antigraffiti) 1,37x50m</v>
      </c>
      <c r="C2724">
        <v>25</v>
      </c>
      <c r="D2724" t="s">
        <v>94</v>
      </c>
      <c r="E2724" t="str">
        <f>VLOOKUP(Tabla1[[#This Row],[Cód. Atributo]],[1]!Tabla5[#Data],6,FALSE)</f>
        <v>Select</v>
      </c>
      <c r="F2724">
        <v>3</v>
      </c>
      <c r="G2724">
        <v>4</v>
      </c>
      <c r="H2724" t="s">
        <v>137</v>
      </c>
      <c r="I2724">
        <f>VLOOKUP(Tabla1[[#This Row],[Code]],'[1]Articulos Precio'!$A:$E,5,FALSE)</f>
        <v>0</v>
      </c>
    </row>
    <row r="2725" spans="1:9" x14ac:dyDescent="0.25">
      <c r="A2725" t="s">
        <v>1024</v>
      </c>
      <c r="B2725" t="str">
        <f>VLOOKUP(Tabla1[[#This Row],[Code]],[1]!Tabla4[#Data],2,FALSE)</f>
        <v>Rollo Metaguard MG 850 brillo (Antigraffiti) 1,37x50m</v>
      </c>
      <c r="C2725">
        <v>30</v>
      </c>
      <c r="D2725" t="s">
        <v>184</v>
      </c>
      <c r="E2725" t="str">
        <f>VLOOKUP(Tabla1[[#This Row],[Cód. Atributo]],[1]!Tabla5[#Data],6,FALSE)</f>
        <v>Select</v>
      </c>
      <c r="F2725">
        <v>4</v>
      </c>
      <c r="G2725">
        <v>1</v>
      </c>
      <c r="H2725" t="s">
        <v>1025</v>
      </c>
      <c r="I2725">
        <f>VLOOKUP(Tabla1[[#This Row],[Code]],'[1]Articulos Precio'!$A:$E,5,FALSE)</f>
        <v>0</v>
      </c>
    </row>
    <row r="2726" spans="1:9" x14ac:dyDescent="0.25">
      <c r="A2726" t="s">
        <v>1026</v>
      </c>
      <c r="B2726" t="str">
        <f>VLOOKUP(Tabla1[[#This Row],[Code]],[1]!Tabla4[#Data],2,FALSE)</f>
        <v>Rollo Vinilo Microperforado 1,37x50</v>
      </c>
      <c r="C2726">
        <v>3</v>
      </c>
      <c r="D2726" t="s">
        <v>108</v>
      </c>
      <c r="E2726" t="str">
        <f>VLOOKUP(Tabla1[[#This Row],[Cód. Atributo]],[1]!Tabla5[#Data],6,FALSE)</f>
        <v>Select</v>
      </c>
      <c r="F2726">
        <v>2</v>
      </c>
      <c r="G2726">
        <v>3</v>
      </c>
      <c r="H2726" t="s">
        <v>117</v>
      </c>
      <c r="I2726">
        <f>VLOOKUP(Tabla1[[#This Row],[Code]],'[1]Articulos Precio'!$A:$E,5,FALSE)</f>
        <v>0</v>
      </c>
    </row>
    <row r="2727" spans="1:9" x14ac:dyDescent="0.25">
      <c r="A2727" t="s">
        <v>1026</v>
      </c>
      <c r="B2727" t="str">
        <f>VLOOKUP(Tabla1[[#This Row],[Code]],[1]!Tabla4[#Data],2,FALSE)</f>
        <v>Rollo Vinilo Microperforado 1,37x50</v>
      </c>
      <c r="C2727">
        <v>23</v>
      </c>
      <c r="D2727" t="s">
        <v>90</v>
      </c>
      <c r="E2727" t="str">
        <f>VLOOKUP(Tabla1[[#This Row],[Cód. Atributo]],[1]!Tabla5[#Data],6,FALSE)</f>
        <v>Select</v>
      </c>
      <c r="F2727">
        <v>3</v>
      </c>
      <c r="G2727">
        <v>1</v>
      </c>
      <c r="H2727" t="s">
        <v>110</v>
      </c>
      <c r="I2727">
        <f>VLOOKUP(Tabla1[[#This Row],[Code]],'[1]Articulos Precio'!$A:$E,5,FALSE)</f>
        <v>0</v>
      </c>
    </row>
    <row r="2728" spans="1:9" x14ac:dyDescent="0.25">
      <c r="A2728" t="s">
        <v>1026</v>
      </c>
      <c r="B2728" t="str">
        <f>VLOOKUP(Tabla1[[#This Row],[Code]],[1]!Tabla4[#Data],2,FALSE)</f>
        <v>Rollo Vinilo Microperforado 1,37x50</v>
      </c>
      <c r="C2728">
        <v>25</v>
      </c>
      <c r="D2728" t="s">
        <v>94</v>
      </c>
      <c r="E2728" t="str">
        <f>VLOOKUP(Tabla1[[#This Row],[Cód. Atributo]],[1]!Tabla5[#Data],6,FALSE)</f>
        <v>Select</v>
      </c>
      <c r="F2728">
        <v>4</v>
      </c>
      <c r="G2728">
        <v>1</v>
      </c>
      <c r="H2728" t="s">
        <v>161</v>
      </c>
      <c r="I2728">
        <f>VLOOKUP(Tabla1[[#This Row],[Code]],'[1]Articulos Precio'!$A:$E,5,FALSE)</f>
        <v>0</v>
      </c>
    </row>
    <row r="2729" spans="1:9" x14ac:dyDescent="0.25">
      <c r="A2729" t="s">
        <v>1026</v>
      </c>
      <c r="B2729" t="str">
        <f>VLOOKUP(Tabla1[[#This Row],[Code]],[1]!Tabla4[#Data],2,FALSE)</f>
        <v>Rollo Vinilo Microperforado 1,37x50</v>
      </c>
      <c r="C2729">
        <v>26</v>
      </c>
      <c r="D2729" t="s">
        <v>112</v>
      </c>
      <c r="E2729" t="str">
        <f>VLOOKUP(Tabla1[[#This Row],[Cód. Atributo]],[1]!Tabla5[#Data],6,FALSE)</f>
        <v>Select</v>
      </c>
      <c r="F2729">
        <v>5</v>
      </c>
      <c r="G2729">
        <v>4</v>
      </c>
      <c r="H2729" t="s">
        <v>1027</v>
      </c>
      <c r="I2729">
        <f>VLOOKUP(Tabla1[[#This Row],[Code]],'[1]Articulos Precio'!$A:$E,5,FALSE)</f>
        <v>0</v>
      </c>
    </row>
    <row r="2730" spans="1:9" x14ac:dyDescent="0.25">
      <c r="A2730" t="s">
        <v>1028</v>
      </c>
      <c r="B2730" t="str">
        <f>VLOOKUP(Tabla1[[#This Row],[Code]],[1]!Tabla4[#Data],2,FALSE)</f>
        <v>Cartucho Eco Sol Max 3 Light Negro 220cc</v>
      </c>
      <c r="C2730">
        <v>10</v>
      </c>
      <c r="D2730" t="s">
        <v>66</v>
      </c>
      <c r="E2730" t="str">
        <f>VLOOKUP(Tabla1[[#This Row],[Cód. Atributo]],[1]!Tabla5[#Data],6,FALSE)</f>
        <v>Color</v>
      </c>
      <c r="F2730">
        <v>1</v>
      </c>
      <c r="G2730">
        <v>6</v>
      </c>
      <c r="H2730" t="s">
        <v>1008</v>
      </c>
      <c r="I2730" t="str">
        <f>VLOOKUP(Tabla1[[#This Row],[Code]],'[1]Articulos Precio'!$A:$E,5,FALSE)</f>
        <v>A0001043</v>
      </c>
    </row>
    <row r="2731" spans="1:9" x14ac:dyDescent="0.25">
      <c r="A2731" t="s">
        <v>1028</v>
      </c>
      <c r="B2731" t="str">
        <f>VLOOKUP(Tabla1[[#This Row],[Code]],[1]!Tabla4[#Data],2,FALSE)</f>
        <v>Cartucho Eco Sol Max 3 Light Negro 220cc</v>
      </c>
      <c r="C2731">
        <v>9</v>
      </c>
      <c r="D2731" t="s">
        <v>62</v>
      </c>
      <c r="E2731" t="str">
        <f>VLOOKUP(Tabla1[[#This Row],[Cód. Atributo]],[1]!Tabla5[#Data],6,FALSE)</f>
        <v>Select</v>
      </c>
      <c r="F2731">
        <v>2</v>
      </c>
      <c r="G2731">
        <v>1</v>
      </c>
      <c r="H2731" t="s">
        <v>995</v>
      </c>
      <c r="I2731" t="str">
        <f>VLOOKUP(Tabla1[[#This Row],[Code]],'[1]Articulos Precio'!$A:$E,5,FALSE)</f>
        <v>A0001043</v>
      </c>
    </row>
    <row r="2732" spans="1:9" x14ac:dyDescent="0.25">
      <c r="A2732" t="s">
        <v>1029</v>
      </c>
      <c r="B2732" t="str">
        <f>VLOOKUP(Tabla1[[#This Row],[Code]],[1]!Tabla4[#Data],2,FALSE)</f>
        <v>Plotter Impresión y Corte Roland TrueVis VG2-640</v>
      </c>
      <c r="C2732">
        <v>42</v>
      </c>
      <c r="D2732" t="s">
        <v>1030</v>
      </c>
      <c r="E2732" t="str">
        <f>VLOOKUP(Tabla1[[#This Row],[Cód. Atributo]],[1]!Tabla5[#Data],6,FALSE)</f>
        <v>Select</v>
      </c>
      <c r="F2732">
        <v>1</v>
      </c>
      <c r="G2732">
        <v>3</v>
      </c>
      <c r="H2732" t="s">
        <v>1031</v>
      </c>
      <c r="I2732">
        <f>VLOOKUP(Tabla1[[#This Row],[Code]],'[1]Articulos Precio'!$A:$E,5,FALSE)</f>
        <v>0</v>
      </c>
    </row>
    <row r="2733" spans="1:9" x14ac:dyDescent="0.25">
      <c r="A2733" t="s">
        <v>1032</v>
      </c>
      <c r="B2733" t="str">
        <f>VLOOKUP(Tabla1[[#This Row],[Code]],[1]!Tabla4[#Data],2,FALSE)</f>
        <v>Plotter Impresión Roland VersaExpress RF-640</v>
      </c>
      <c r="C2733">
        <v>42</v>
      </c>
      <c r="D2733" t="s">
        <v>1030</v>
      </c>
      <c r="E2733" t="str">
        <f>VLOOKUP(Tabla1[[#This Row],[Cód. Atributo]],[1]!Tabla5[#Data],6,FALSE)</f>
        <v>Select</v>
      </c>
      <c r="F2733">
        <v>1</v>
      </c>
      <c r="G2733">
        <v>3</v>
      </c>
      <c r="H2733" t="s">
        <v>1031</v>
      </c>
      <c r="I2733">
        <f>VLOOKUP(Tabla1[[#This Row],[Code]],'[1]Articulos Precio'!$A:$E,5,FALSE)</f>
        <v>0</v>
      </c>
    </row>
    <row r="2734" spans="1:9" x14ac:dyDescent="0.25">
      <c r="A2734" t="s">
        <v>1033</v>
      </c>
      <c r="B2734" t="str">
        <f>VLOOKUP(Tabla1[[#This Row],[Code]],[1]!Tabla4[#Data],2,FALSE)</f>
        <v>Plotter Impresión Roland Texart RT-640</v>
      </c>
      <c r="C2734">
        <v>42</v>
      </c>
      <c r="D2734" t="s">
        <v>1030</v>
      </c>
      <c r="E2734" t="str">
        <f>VLOOKUP(Tabla1[[#This Row],[Cód. Atributo]],[1]!Tabla5[#Data],6,FALSE)</f>
        <v>Select</v>
      </c>
      <c r="F2734">
        <v>1</v>
      </c>
      <c r="G2734">
        <v>3</v>
      </c>
      <c r="H2734" t="s">
        <v>1031</v>
      </c>
      <c r="I2734">
        <f>VLOOKUP(Tabla1[[#This Row],[Code]],'[1]Articulos Precio'!$A:$E,5,FALSE)</f>
        <v>0</v>
      </c>
    </row>
    <row r="2735" spans="1:9" x14ac:dyDescent="0.25">
      <c r="A2735" t="s">
        <v>1034</v>
      </c>
      <c r="B2735" t="str">
        <f>VLOOKUP(Tabla1[[#This Row],[Code]],[1]!Tabla4[#Data],2,FALSE)</f>
        <v>Plotter Corte Roland GS2-24</v>
      </c>
      <c r="C2735">
        <v>42</v>
      </c>
      <c r="D2735" t="s">
        <v>1030</v>
      </c>
      <c r="E2735" t="str">
        <f>VLOOKUP(Tabla1[[#This Row],[Cód. Atributo]],[1]!Tabla5[#Data],6,FALSE)</f>
        <v>Select</v>
      </c>
      <c r="F2735">
        <v>1</v>
      </c>
      <c r="G2735">
        <v>1</v>
      </c>
      <c r="H2735" t="s">
        <v>1035</v>
      </c>
      <c r="I2735">
        <f>VLOOKUP(Tabla1[[#This Row],[Code]],'[1]Articulos Precio'!$A:$E,5,FALSE)</f>
        <v>0</v>
      </c>
    </row>
    <row r="2736" spans="1:9" x14ac:dyDescent="0.25">
      <c r="A2736" t="s">
        <v>1036</v>
      </c>
      <c r="B2736" t="str">
        <f>VLOOKUP(Tabla1[[#This Row],[Code]],[1]!Tabla4[#Data],2,FALSE)</f>
        <v>Plotter Impresión con Cinta Roland UV LEJ-640S-B150</v>
      </c>
      <c r="C2736">
        <v>42</v>
      </c>
      <c r="D2736" t="s">
        <v>1030</v>
      </c>
      <c r="E2736" t="str">
        <f>VLOOKUP(Tabla1[[#This Row],[Cód. Atributo]],[1]!Tabla5[#Data],6,FALSE)</f>
        <v>Select</v>
      </c>
      <c r="F2736">
        <v>1</v>
      </c>
      <c r="G2736">
        <v>3</v>
      </c>
      <c r="H2736" t="s">
        <v>1031</v>
      </c>
      <c r="I2736">
        <f>VLOOKUP(Tabla1[[#This Row],[Code]],'[1]Articulos Precio'!$A:$E,5,FALSE)</f>
        <v>0</v>
      </c>
    </row>
    <row r="2737" spans="1:9" x14ac:dyDescent="0.25">
      <c r="A2737" t="s">
        <v>1037</v>
      </c>
      <c r="B2737" t="str">
        <f>VLOOKUP(Tabla1[[#This Row],[Code]],[1]!Tabla4[#Data],2,FALSE)</f>
        <v>Plotter Impresión con Mesa Plana UV LEJ-640S-F200</v>
      </c>
      <c r="C2737">
        <v>42</v>
      </c>
      <c r="D2737" t="s">
        <v>1030</v>
      </c>
      <c r="E2737" t="str">
        <f>VLOOKUP(Tabla1[[#This Row],[Cód. Atributo]],[1]!Tabla5[#Data],6,FALSE)</f>
        <v>Select</v>
      </c>
      <c r="F2737">
        <v>1</v>
      </c>
      <c r="G2737">
        <v>3</v>
      </c>
      <c r="H2737" t="s">
        <v>1031</v>
      </c>
      <c r="I2737">
        <f>VLOOKUP(Tabla1[[#This Row],[Code]],'[1]Articulos Precio'!$A:$E,5,FALSE)</f>
        <v>0</v>
      </c>
    </row>
    <row r="2738" spans="1:9" x14ac:dyDescent="0.25">
      <c r="A2738" t="s">
        <v>1038</v>
      </c>
      <c r="B2738" t="str">
        <f>VLOOKUP(Tabla1[[#This Row],[Code]],[1]!Tabla4[#Data],2,FALSE)</f>
        <v>6701409010 - Assy, Head Inkjet Sol VS-640</v>
      </c>
      <c r="C2738">
        <v>100</v>
      </c>
      <c r="D2738" t="s">
        <v>979</v>
      </c>
      <c r="E2738" t="e">
        <f>VLOOKUP(Tabla1[[#This Row],[Cód. Atributo]],[1]!Tabla5[#Data],6,FALSE)</f>
        <v>#N/A</v>
      </c>
      <c r="F2738">
        <v>1</v>
      </c>
      <c r="G2738">
        <v>1</v>
      </c>
      <c r="I2738">
        <f>VLOOKUP(Tabla1[[#This Row],[Code]],'[1]Articulos Precio'!$A:$E,5,FALSE)</f>
        <v>0</v>
      </c>
    </row>
    <row r="2739" spans="1:9" x14ac:dyDescent="0.25">
      <c r="A2739" t="s">
        <v>1039</v>
      </c>
      <c r="B2739" t="str">
        <f>VLOOKUP(Tabla1[[#This Row],[Code]],[1]!Tabla4[#Data],2,FALSE)</f>
        <v>Gx-24 Pad Cutter</v>
      </c>
      <c r="C2739">
        <v>100</v>
      </c>
      <c r="D2739" t="s">
        <v>979</v>
      </c>
      <c r="E2739" t="e">
        <f>VLOOKUP(Tabla1[[#This Row],[Cód. Atributo]],[1]!Tabla5[#Data],6,FALSE)</f>
        <v>#N/A</v>
      </c>
      <c r="F2739">
        <v>1</v>
      </c>
      <c r="G2739">
        <v>1</v>
      </c>
      <c r="I2739">
        <f>VLOOKUP(Tabla1[[#This Row],[Code]],'[1]Articulos Precio'!$A:$E,5,FALSE)</f>
        <v>0</v>
      </c>
    </row>
    <row r="2740" spans="1:9" x14ac:dyDescent="0.25">
      <c r="A2740" t="s">
        <v>1040</v>
      </c>
      <c r="B2740" t="str">
        <f>VLOOKUP(Tabla1[[#This Row],[Code]],[1]!Tabla4[#Data],2,FALSE)</f>
        <v>Cartucho Ecopure 440ml EM1 Amarillo</v>
      </c>
      <c r="C2740">
        <v>9</v>
      </c>
      <c r="D2740" t="s">
        <v>62</v>
      </c>
      <c r="E2740" t="str">
        <f>VLOOKUP(Tabla1[[#This Row],[Cód. Atributo]],[1]!Tabla5[#Data],6,FALSE)</f>
        <v>Select</v>
      </c>
      <c r="F2740">
        <v>1</v>
      </c>
      <c r="G2740">
        <v>2</v>
      </c>
      <c r="H2740" t="s">
        <v>63</v>
      </c>
      <c r="I2740" t="str">
        <f>VLOOKUP(Tabla1[[#This Row],[Code]],'[1]Articulos Precio'!$A:$E,5,FALSE)</f>
        <v>A0001234</v>
      </c>
    </row>
    <row r="2741" spans="1:9" x14ac:dyDescent="0.25">
      <c r="A2741" t="s">
        <v>1040</v>
      </c>
      <c r="B2741" t="str">
        <f>VLOOKUP(Tabla1[[#This Row],[Code]],[1]!Tabla4[#Data],2,FALSE)</f>
        <v>Cartucho Ecopure 440ml EM1 Amarillo</v>
      </c>
      <c r="C2741">
        <v>43</v>
      </c>
      <c r="D2741" t="s">
        <v>64</v>
      </c>
      <c r="E2741" t="str">
        <f>VLOOKUP(Tabla1[[#This Row],[Cód. Atributo]],[1]!Tabla5[#Data],6,FALSE)</f>
        <v>Select</v>
      </c>
      <c r="F2741">
        <v>2</v>
      </c>
      <c r="G2741">
        <v>1</v>
      </c>
      <c r="H2741" t="s">
        <v>1041</v>
      </c>
      <c r="I2741" t="str">
        <f>VLOOKUP(Tabla1[[#This Row],[Code]],'[1]Articulos Precio'!$A:$E,5,FALSE)</f>
        <v>A0001234</v>
      </c>
    </row>
    <row r="2742" spans="1:9" x14ac:dyDescent="0.25">
      <c r="A2742" t="s">
        <v>1040</v>
      </c>
      <c r="B2742" t="str">
        <f>VLOOKUP(Tabla1[[#This Row],[Code]],[1]!Tabla4[#Data],2,FALSE)</f>
        <v>Cartucho Ecopure 440ml EM1 Amarillo</v>
      </c>
      <c r="C2742">
        <v>10</v>
      </c>
      <c r="D2742" t="s">
        <v>66</v>
      </c>
      <c r="E2742" t="str">
        <f>VLOOKUP(Tabla1[[#This Row],[Cód. Atributo]],[1]!Tabla5[#Data],6,FALSE)</f>
        <v>Color</v>
      </c>
      <c r="F2742">
        <v>3</v>
      </c>
      <c r="G2742">
        <v>1</v>
      </c>
      <c r="H2742" t="s">
        <v>67</v>
      </c>
      <c r="I2742" t="str">
        <f>VLOOKUP(Tabla1[[#This Row],[Code]],'[1]Articulos Precio'!$A:$E,5,FALSE)</f>
        <v>A0001234</v>
      </c>
    </row>
    <row r="2743" spans="1:9" x14ac:dyDescent="0.25">
      <c r="A2743" t="s">
        <v>1042</v>
      </c>
      <c r="B2743" t="str">
        <f>VLOOKUP(Tabla1[[#This Row],[Code]],[1]!Tabla4[#Data],2,FALSE)</f>
        <v>Cartucho Ecopure 440ml EM1 Magenta</v>
      </c>
      <c r="C2743">
        <v>9</v>
      </c>
      <c r="D2743" t="s">
        <v>62</v>
      </c>
      <c r="E2743" t="str">
        <f>VLOOKUP(Tabla1[[#This Row],[Cód. Atributo]],[1]!Tabla5[#Data],6,FALSE)</f>
        <v>Select</v>
      </c>
      <c r="F2743">
        <v>1</v>
      </c>
      <c r="G2743">
        <v>2</v>
      </c>
      <c r="H2743" t="s">
        <v>63</v>
      </c>
      <c r="I2743" t="str">
        <f>VLOOKUP(Tabla1[[#This Row],[Code]],'[1]Articulos Precio'!$A:$E,5,FALSE)</f>
        <v>A0001234</v>
      </c>
    </row>
    <row r="2744" spans="1:9" x14ac:dyDescent="0.25">
      <c r="A2744" t="s">
        <v>1042</v>
      </c>
      <c r="B2744" t="str">
        <f>VLOOKUP(Tabla1[[#This Row],[Code]],[1]!Tabla4[#Data],2,FALSE)</f>
        <v>Cartucho Ecopure 440ml EM1 Magenta</v>
      </c>
      <c r="C2744">
        <v>43</v>
      </c>
      <c r="D2744" t="s">
        <v>64</v>
      </c>
      <c r="E2744" t="str">
        <f>VLOOKUP(Tabla1[[#This Row],[Cód. Atributo]],[1]!Tabla5[#Data],6,FALSE)</f>
        <v>Select</v>
      </c>
      <c r="F2744">
        <v>2</v>
      </c>
      <c r="G2744">
        <v>1</v>
      </c>
      <c r="H2744" t="s">
        <v>1041</v>
      </c>
      <c r="I2744" t="str">
        <f>VLOOKUP(Tabla1[[#This Row],[Code]],'[1]Articulos Precio'!$A:$E,5,FALSE)</f>
        <v>A0001234</v>
      </c>
    </row>
    <row r="2745" spans="1:9" x14ac:dyDescent="0.25">
      <c r="A2745" t="s">
        <v>1042</v>
      </c>
      <c r="B2745" t="str">
        <f>VLOOKUP(Tabla1[[#This Row],[Code]],[1]!Tabla4[#Data],2,FALSE)</f>
        <v>Cartucho Ecopure 440ml EM1 Magenta</v>
      </c>
      <c r="C2745">
        <v>10</v>
      </c>
      <c r="D2745" t="s">
        <v>66</v>
      </c>
      <c r="E2745" t="str">
        <f>VLOOKUP(Tabla1[[#This Row],[Cód. Atributo]],[1]!Tabla5[#Data],6,FALSE)</f>
        <v>Color</v>
      </c>
      <c r="F2745">
        <v>3</v>
      </c>
      <c r="G2745">
        <v>7</v>
      </c>
      <c r="H2745" t="s">
        <v>75</v>
      </c>
      <c r="I2745" t="str">
        <f>VLOOKUP(Tabla1[[#This Row],[Code]],'[1]Articulos Precio'!$A:$E,5,FALSE)</f>
        <v>A0001234</v>
      </c>
    </row>
    <row r="2746" spans="1:9" x14ac:dyDescent="0.25">
      <c r="A2746" t="s">
        <v>980</v>
      </c>
      <c r="B2746" t="str">
        <f>VLOOKUP(Tabla1[[#This Row],[Code]],[1]!Tabla4[#Data],2,FALSE)</f>
        <v>M2 Metamark M7 178 Azul Vikingo 0,61 x 50m</v>
      </c>
      <c r="C2746">
        <v>25</v>
      </c>
      <c r="D2746" t="s">
        <v>94</v>
      </c>
      <c r="E2746" t="str">
        <f>VLOOKUP(Tabla1[[#This Row],[Cód. Atributo]],[1]!Tabla5[#Data],6,FALSE)</f>
        <v>Select</v>
      </c>
      <c r="F2746">
        <v>5</v>
      </c>
      <c r="G2746">
        <v>4</v>
      </c>
      <c r="H2746" t="s">
        <v>137</v>
      </c>
      <c r="I2746" t="str">
        <f>VLOOKUP(Tabla1[[#This Row],[Code]],'[1]Articulos Precio'!$A:$E,5,FALSE)</f>
        <v>A0000103</v>
      </c>
    </row>
    <row r="2747" spans="1:9" x14ac:dyDescent="0.25">
      <c r="A2747" t="s">
        <v>980</v>
      </c>
      <c r="B2747" t="str">
        <f>VLOOKUP(Tabla1[[#This Row],[Code]],[1]!Tabla4[#Data],2,FALSE)</f>
        <v>M2 Metamark M7 178 Azul Vikingo 0,61 x 50m</v>
      </c>
      <c r="C2747">
        <v>24</v>
      </c>
      <c r="D2747" t="s">
        <v>96</v>
      </c>
      <c r="E2747" t="str">
        <f>VLOOKUP(Tabla1[[#This Row],[Cód. Atributo]],[1]!Tabla5[#Data],6,FALSE)</f>
        <v>Select</v>
      </c>
      <c r="F2747">
        <v>6</v>
      </c>
      <c r="G2747">
        <v>2</v>
      </c>
      <c r="H2747" t="s">
        <v>266</v>
      </c>
      <c r="I2747" t="str">
        <f>VLOOKUP(Tabla1[[#This Row],[Code]],'[1]Articulos Precio'!$A:$E,5,FALSE)</f>
        <v>A0000103</v>
      </c>
    </row>
    <row r="2748" spans="1:9" x14ac:dyDescent="0.25">
      <c r="A2748" t="s">
        <v>1043</v>
      </c>
      <c r="B2748" t="str">
        <f>VLOOKUP(Tabla1[[#This Row],[Code]],[1]!Tabla4[#Data],2,FALSE)</f>
        <v>M2 Metamark M7 178 Azul Vikingo 1,22 x 50m</v>
      </c>
      <c r="C2748">
        <v>8</v>
      </c>
      <c r="D2748" t="s">
        <v>86</v>
      </c>
      <c r="E2748" t="str">
        <f>VLOOKUP(Tabla1[[#This Row],[Cód. Atributo]],[1]!Tabla5[#Data],6,FALSE)</f>
        <v>Select</v>
      </c>
      <c r="F2748">
        <v>1</v>
      </c>
      <c r="G2748">
        <v>2</v>
      </c>
      <c r="H2748" t="s">
        <v>268</v>
      </c>
      <c r="I2748" t="str">
        <f>VLOOKUP(Tabla1[[#This Row],[Code]],'[1]Articulos Precio'!$A:$E,5,FALSE)</f>
        <v>A0000103</v>
      </c>
    </row>
    <row r="2749" spans="1:9" x14ac:dyDescent="0.25">
      <c r="A2749" t="s">
        <v>1043</v>
      </c>
      <c r="B2749" t="str">
        <f>VLOOKUP(Tabla1[[#This Row],[Code]],[1]!Tabla4[#Data],2,FALSE)</f>
        <v>M2 Metamark M7 178 Azul Vikingo 1,22 x 50m</v>
      </c>
      <c r="C2749">
        <v>13</v>
      </c>
      <c r="D2749" t="s">
        <v>491</v>
      </c>
      <c r="E2749" t="str">
        <f>VLOOKUP(Tabla1[[#This Row],[Cód. Atributo]],[1]!Tabla5[#Data],6,FALSE)</f>
        <v>Color</v>
      </c>
      <c r="F2749">
        <v>2</v>
      </c>
      <c r="G2749">
        <v>46</v>
      </c>
      <c r="H2749" t="s">
        <v>981</v>
      </c>
      <c r="I2749" t="str">
        <f>VLOOKUP(Tabla1[[#This Row],[Code]],'[1]Articulos Precio'!$A:$E,5,FALSE)</f>
        <v>A0000103</v>
      </c>
    </row>
    <row r="2750" spans="1:9" x14ac:dyDescent="0.25">
      <c r="A2750" t="s">
        <v>1043</v>
      </c>
      <c r="B2750" t="str">
        <f>VLOOKUP(Tabla1[[#This Row],[Code]],[1]!Tabla4[#Data],2,FALSE)</f>
        <v>M2 Metamark M7 178 Azul Vikingo 1,22 x 50m</v>
      </c>
      <c r="C2750">
        <v>23</v>
      </c>
      <c r="D2750" t="s">
        <v>90</v>
      </c>
      <c r="E2750" t="str">
        <f>VLOOKUP(Tabla1[[#This Row],[Cód. Atributo]],[1]!Tabla5[#Data],6,FALSE)</f>
        <v>Select</v>
      </c>
      <c r="F2750">
        <v>3</v>
      </c>
      <c r="G2750">
        <v>2</v>
      </c>
      <c r="H2750" t="s">
        <v>136</v>
      </c>
      <c r="I2750" t="str">
        <f>VLOOKUP(Tabla1[[#This Row],[Code]],'[1]Articulos Precio'!$A:$E,5,FALSE)</f>
        <v>A0000103</v>
      </c>
    </row>
    <row r="2751" spans="1:9" x14ac:dyDescent="0.25">
      <c r="A2751" t="s">
        <v>1043</v>
      </c>
      <c r="B2751" t="str">
        <f>VLOOKUP(Tabla1[[#This Row],[Code]],[1]!Tabla4[#Data],2,FALSE)</f>
        <v>M2 Metamark M7 178 Azul Vikingo 1,22 x 50m</v>
      </c>
      <c r="C2751">
        <v>28</v>
      </c>
      <c r="D2751" t="s">
        <v>92</v>
      </c>
      <c r="E2751" t="str">
        <f>VLOOKUP(Tabla1[[#This Row],[Cód. Atributo]],[1]!Tabla5[#Data],6,FALSE)</f>
        <v>Select</v>
      </c>
      <c r="F2751">
        <v>4</v>
      </c>
      <c r="G2751">
        <v>1</v>
      </c>
      <c r="H2751" t="s">
        <v>93</v>
      </c>
      <c r="I2751" t="str">
        <f>VLOOKUP(Tabla1[[#This Row],[Code]],'[1]Articulos Precio'!$A:$E,5,FALSE)</f>
        <v>A0000103</v>
      </c>
    </row>
    <row r="2752" spans="1:9" x14ac:dyDescent="0.25">
      <c r="A2752" t="s">
        <v>1044</v>
      </c>
      <c r="B2752" t="str">
        <f>VLOOKUP(Tabla1[[#This Row],[Code]],[1]!Tabla4[#Data],2,FALSE)</f>
        <v>Cartucho Ecopure 440ml EM1 Cyan</v>
      </c>
      <c r="C2752">
        <v>9</v>
      </c>
      <c r="D2752" t="s">
        <v>62</v>
      </c>
      <c r="E2752" t="str">
        <f>VLOOKUP(Tabla1[[#This Row],[Cód. Atributo]],[1]!Tabla5[#Data],6,FALSE)</f>
        <v>Select</v>
      </c>
      <c r="F2752">
        <v>1</v>
      </c>
      <c r="G2752">
        <v>2</v>
      </c>
      <c r="H2752" t="s">
        <v>63</v>
      </c>
      <c r="I2752" t="str">
        <f>VLOOKUP(Tabla1[[#This Row],[Code]],'[1]Articulos Precio'!$A:$E,5,FALSE)</f>
        <v>A0001234</v>
      </c>
    </row>
    <row r="2753" spans="1:9" x14ac:dyDescent="0.25">
      <c r="A2753" t="s">
        <v>1044</v>
      </c>
      <c r="B2753" t="str">
        <f>VLOOKUP(Tabla1[[#This Row],[Code]],[1]!Tabla4[#Data],2,FALSE)</f>
        <v>Cartucho Ecopure 440ml EM1 Cyan</v>
      </c>
      <c r="C2753">
        <v>43</v>
      </c>
      <c r="D2753" t="s">
        <v>64</v>
      </c>
      <c r="E2753" t="str">
        <f>VLOOKUP(Tabla1[[#This Row],[Cód. Atributo]],[1]!Tabla5[#Data],6,FALSE)</f>
        <v>Select</v>
      </c>
      <c r="F2753">
        <v>2</v>
      </c>
      <c r="G2753">
        <v>1</v>
      </c>
      <c r="H2753" t="s">
        <v>1041</v>
      </c>
      <c r="I2753" t="str">
        <f>VLOOKUP(Tabla1[[#This Row],[Code]],'[1]Articulos Precio'!$A:$E,5,FALSE)</f>
        <v>A0001234</v>
      </c>
    </row>
    <row r="2754" spans="1:9" x14ac:dyDescent="0.25">
      <c r="A2754" t="s">
        <v>1044</v>
      </c>
      <c r="B2754" t="str">
        <f>VLOOKUP(Tabla1[[#This Row],[Code]],[1]!Tabla4[#Data],2,FALSE)</f>
        <v>Cartucho Ecopure 440ml EM1 Cyan</v>
      </c>
      <c r="C2754">
        <v>10</v>
      </c>
      <c r="D2754" t="s">
        <v>66</v>
      </c>
      <c r="E2754" t="str">
        <f>VLOOKUP(Tabla1[[#This Row],[Cód. Atributo]],[1]!Tabla5[#Data],6,FALSE)</f>
        <v>Color</v>
      </c>
      <c r="F2754">
        <v>3</v>
      </c>
      <c r="G2754">
        <v>3</v>
      </c>
      <c r="H2754" t="s">
        <v>69</v>
      </c>
      <c r="I2754" t="str">
        <f>VLOOKUP(Tabla1[[#This Row],[Code]],'[1]Articulos Precio'!$A:$E,5,FALSE)</f>
        <v>A0001234</v>
      </c>
    </row>
    <row r="2755" spans="1:9" x14ac:dyDescent="0.25">
      <c r="A2755" t="s">
        <v>1045</v>
      </c>
      <c r="B2755" t="str">
        <f>VLOOKUP(Tabla1[[#This Row],[Code]],[1]!Tabla4[#Data],2,FALSE)</f>
        <v>Cartucho Ecopure 440ml EM1 Light Cyan</v>
      </c>
      <c r="C2755">
        <v>9</v>
      </c>
      <c r="D2755" t="s">
        <v>62</v>
      </c>
      <c r="E2755" t="str">
        <f>VLOOKUP(Tabla1[[#This Row],[Cód. Atributo]],[1]!Tabla5[#Data],6,FALSE)</f>
        <v>Select</v>
      </c>
      <c r="F2755">
        <v>1</v>
      </c>
      <c r="G2755">
        <v>2</v>
      </c>
      <c r="H2755" t="s">
        <v>63</v>
      </c>
      <c r="I2755" t="str">
        <f>VLOOKUP(Tabla1[[#This Row],[Code]],'[1]Articulos Precio'!$A:$E,5,FALSE)</f>
        <v>A0001234</v>
      </c>
    </row>
    <row r="2756" spans="1:9" x14ac:dyDescent="0.25">
      <c r="A2756" t="s">
        <v>1045</v>
      </c>
      <c r="B2756" t="str">
        <f>VLOOKUP(Tabla1[[#This Row],[Code]],[1]!Tabla4[#Data],2,FALSE)</f>
        <v>Cartucho Ecopure 440ml EM1 Light Cyan</v>
      </c>
      <c r="C2756">
        <v>43</v>
      </c>
      <c r="D2756" t="s">
        <v>64</v>
      </c>
      <c r="E2756" t="str">
        <f>VLOOKUP(Tabla1[[#This Row],[Cód. Atributo]],[1]!Tabla5[#Data],6,FALSE)</f>
        <v>Select</v>
      </c>
      <c r="F2756">
        <v>2</v>
      </c>
      <c r="G2756">
        <v>1</v>
      </c>
      <c r="H2756" t="s">
        <v>1041</v>
      </c>
      <c r="I2756" t="str">
        <f>VLOOKUP(Tabla1[[#This Row],[Code]],'[1]Articulos Precio'!$A:$E,5,FALSE)</f>
        <v>A0001234</v>
      </c>
    </row>
    <row r="2757" spans="1:9" x14ac:dyDescent="0.25">
      <c r="A2757" t="s">
        <v>1045</v>
      </c>
      <c r="B2757" t="str">
        <f>VLOOKUP(Tabla1[[#This Row],[Code]],[1]!Tabla4[#Data],2,FALSE)</f>
        <v>Cartucho Ecopure 440ml EM1 Light Cyan</v>
      </c>
      <c r="C2757">
        <v>10</v>
      </c>
      <c r="D2757" t="s">
        <v>66</v>
      </c>
      <c r="E2757" t="str">
        <f>VLOOKUP(Tabla1[[#This Row],[Cód. Atributo]],[1]!Tabla5[#Data],6,FALSE)</f>
        <v>Color</v>
      </c>
      <c r="F2757">
        <v>3</v>
      </c>
      <c r="G2757">
        <v>4</v>
      </c>
      <c r="H2757" t="s">
        <v>71</v>
      </c>
      <c r="I2757" t="str">
        <f>VLOOKUP(Tabla1[[#This Row],[Code]],'[1]Articulos Precio'!$A:$E,5,FALSE)</f>
        <v>A0001234</v>
      </c>
    </row>
    <row r="2758" spans="1:9" x14ac:dyDescent="0.25">
      <c r="A2758" t="s">
        <v>1046</v>
      </c>
      <c r="B2758" t="str">
        <f>VLOOKUP(Tabla1[[#This Row],[Code]],[1]!Tabla4[#Data],2,FALSE)</f>
        <v>Cartucho Ecopure 440ml EM1 Light Magenta</v>
      </c>
      <c r="C2758">
        <v>9</v>
      </c>
      <c r="D2758" t="s">
        <v>62</v>
      </c>
      <c r="E2758" t="str">
        <f>VLOOKUP(Tabla1[[#This Row],[Cód. Atributo]],[1]!Tabla5[#Data],6,FALSE)</f>
        <v>Select</v>
      </c>
      <c r="F2758">
        <v>1</v>
      </c>
      <c r="G2758">
        <v>2</v>
      </c>
      <c r="H2758" t="s">
        <v>63</v>
      </c>
      <c r="I2758" t="str">
        <f>VLOOKUP(Tabla1[[#This Row],[Code]],'[1]Articulos Precio'!$A:$E,5,FALSE)</f>
        <v>A0001234</v>
      </c>
    </row>
    <row r="2759" spans="1:9" x14ac:dyDescent="0.25">
      <c r="A2759" t="s">
        <v>1046</v>
      </c>
      <c r="B2759" t="str">
        <f>VLOOKUP(Tabla1[[#This Row],[Code]],[1]!Tabla4[#Data],2,FALSE)</f>
        <v>Cartucho Ecopure 440ml EM1 Light Magenta</v>
      </c>
      <c r="C2759">
        <v>43</v>
      </c>
      <c r="D2759" t="s">
        <v>64</v>
      </c>
      <c r="E2759" t="str">
        <f>VLOOKUP(Tabla1[[#This Row],[Cód. Atributo]],[1]!Tabla5[#Data],6,FALSE)</f>
        <v>Select</v>
      </c>
      <c r="F2759">
        <v>2</v>
      </c>
      <c r="G2759">
        <v>1</v>
      </c>
      <c r="H2759" t="s">
        <v>1041</v>
      </c>
      <c r="I2759" t="str">
        <f>VLOOKUP(Tabla1[[#This Row],[Code]],'[1]Articulos Precio'!$A:$E,5,FALSE)</f>
        <v>A0001234</v>
      </c>
    </row>
    <row r="2760" spans="1:9" x14ac:dyDescent="0.25">
      <c r="A2760" t="s">
        <v>1046</v>
      </c>
      <c r="B2760" t="str">
        <f>VLOOKUP(Tabla1[[#This Row],[Code]],[1]!Tabla4[#Data],2,FALSE)</f>
        <v>Cartucho Ecopure 440ml EM1 Light Magenta</v>
      </c>
      <c r="C2760">
        <v>10</v>
      </c>
      <c r="D2760" t="s">
        <v>66</v>
      </c>
      <c r="E2760" t="str">
        <f>VLOOKUP(Tabla1[[#This Row],[Cód. Atributo]],[1]!Tabla5[#Data],6,FALSE)</f>
        <v>Color</v>
      </c>
      <c r="F2760">
        <v>3</v>
      </c>
      <c r="G2760">
        <v>5</v>
      </c>
      <c r="H2760" t="s">
        <v>73</v>
      </c>
      <c r="I2760" t="str">
        <f>VLOOKUP(Tabla1[[#This Row],[Code]],'[1]Articulos Precio'!$A:$E,5,FALSE)</f>
        <v>A0001234</v>
      </c>
    </row>
    <row r="2761" spans="1:9" x14ac:dyDescent="0.25">
      <c r="A2761" t="s">
        <v>1047</v>
      </c>
      <c r="B2761" t="str">
        <f>VLOOKUP(Tabla1[[#This Row],[Code]],[1]!Tabla4[#Data],2,FALSE)</f>
        <v>Cartucho Ecopure 440ml EM1 Negro</v>
      </c>
      <c r="C2761">
        <v>9</v>
      </c>
      <c r="D2761" t="s">
        <v>62</v>
      </c>
      <c r="E2761" t="str">
        <f>VLOOKUP(Tabla1[[#This Row],[Cód. Atributo]],[1]!Tabla5[#Data],6,FALSE)</f>
        <v>Select</v>
      </c>
      <c r="F2761">
        <v>1</v>
      </c>
      <c r="G2761">
        <v>2</v>
      </c>
      <c r="H2761" t="s">
        <v>63</v>
      </c>
      <c r="I2761" t="str">
        <f>VLOOKUP(Tabla1[[#This Row],[Code]],'[1]Articulos Precio'!$A:$E,5,FALSE)</f>
        <v>A0001234</v>
      </c>
    </row>
    <row r="2762" spans="1:9" x14ac:dyDescent="0.25">
      <c r="A2762" t="s">
        <v>1047</v>
      </c>
      <c r="B2762" t="str">
        <f>VLOOKUP(Tabla1[[#This Row],[Code]],[1]!Tabla4[#Data],2,FALSE)</f>
        <v>Cartucho Ecopure 440ml EM1 Negro</v>
      </c>
      <c r="C2762">
        <v>43</v>
      </c>
      <c r="D2762" t="s">
        <v>64</v>
      </c>
      <c r="E2762" t="str">
        <f>VLOOKUP(Tabla1[[#This Row],[Cód. Atributo]],[1]!Tabla5[#Data],6,FALSE)</f>
        <v>Select</v>
      </c>
      <c r="F2762">
        <v>2</v>
      </c>
      <c r="G2762">
        <v>1</v>
      </c>
      <c r="H2762" t="s">
        <v>1041</v>
      </c>
      <c r="I2762" t="str">
        <f>VLOOKUP(Tabla1[[#This Row],[Code]],'[1]Articulos Precio'!$A:$E,5,FALSE)</f>
        <v>A0001234</v>
      </c>
    </row>
    <row r="2763" spans="1:9" x14ac:dyDescent="0.25">
      <c r="A2763" t="s">
        <v>1047</v>
      </c>
      <c r="B2763" t="str">
        <f>VLOOKUP(Tabla1[[#This Row],[Code]],[1]!Tabla4[#Data],2,FALSE)</f>
        <v>Cartucho Ecopure 440ml EM1 Negro</v>
      </c>
      <c r="C2763">
        <v>10</v>
      </c>
      <c r="D2763" t="s">
        <v>66</v>
      </c>
      <c r="E2763" t="str">
        <f>VLOOKUP(Tabla1[[#This Row],[Cód. Atributo]],[1]!Tabla5[#Data],6,FALSE)</f>
        <v>Color</v>
      </c>
      <c r="F2763">
        <v>3</v>
      </c>
      <c r="G2763">
        <v>8</v>
      </c>
      <c r="H2763" t="s">
        <v>77</v>
      </c>
      <c r="I2763" t="str">
        <f>VLOOKUP(Tabla1[[#This Row],[Code]],'[1]Articulos Precio'!$A:$E,5,FALSE)</f>
        <v>A0001234</v>
      </c>
    </row>
    <row r="2764" spans="1:9" x14ac:dyDescent="0.25">
      <c r="A2764" t="s">
        <v>1043</v>
      </c>
      <c r="B2764" t="str">
        <f>VLOOKUP(Tabla1[[#This Row],[Code]],[1]!Tabla4[#Data],2,FALSE)</f>
        <v>M2 Metamark M7 178 Azul Vikingo 1,22 x 50m</v>
      </c>
      <c r="C2764">
        <v>25</v>
      </c>
      <c r="D2764" t="s">
        <v>94</v>
      </c>
      <c r="E2764" t="str">
        <f>VLOOKUP(Tabla1[[#This Row],[Cód. Atributo]],[1]!Tabla5[#Data],6,FALSE)</f>
        <v>Select</v>
      </c>
      <c r="F2764">
        <v>5</v>
      </c>
      <c r="G2764">
        <v>4</v>
      </c>
      <c r="H2764" t="s">
        <v>137</v>
      </c>
      <c r="I2764" t="str">
        <f>VLOOKUP(Tabla1[[#This Row],[Code]],'[1]Articulos Precio'!$A:$E,5,FALSE)</f>
        <v>A0000103</v>
      </c>
    </row>
    <row r="2765" spans="1:9" x14ac:dyDescent="0.25">
      <c r="A2765" t="s">
        <v>1043</v>
      </c>
      <c r="B2765" t="str">
        <f>VLOOKUP(Tabla1[[#This Row],[Code]],[1]!Tabla4[#Data],2,FALSE)</f>
        <v>M2 Metamark M7 178 Azul Vikingo 1,22 x 50m</v>
      </c>
      <c r="C2765">
        <v>24</v>
      </c>
      <c r="D2765" t="s">
        <v>96</v>
      </c>
      <c r="E2765" t="str">
        <f>VLOOKUP(Tabla1[[#This Row],[Cód. Atributo]],[1]!Tabla5[#Data],6,FALSE)</f>
        <v>Select</v>
      </c>
      <c r="F2765">
        <v>6</v>
      </c>
      <c r="G2765">
        <v>2</v>
      </c>
      <c r="H2765" t="s">
        <v>266</v>
      </c>
      <c r="I2765" t="str">
        <f>VLOOKUP(Tabla1[[#This Row],[Code]],'[1]Articulos Precio'!$A:$E,5,FALSE)</f>
        <v>A0000103</v>
      </c>
    </row>
    <row r="2766" spans="1:9" x14ac:dyDescent="0.25">
      <c r="A2766" t="s">
        <v>1048</v>
      </c>
      <c r="B2766" t="str">
        <f>VLOOKUP(Tabla1[[#This Row],[Code]],[1]!Tabla4[#Data],2,FALSE)</f>
        <v>M2 Metamark M7 179 Flor de Melocotón 1,22 x 50m</v>
      </c>
      <c r="C2766">
        <v>8</v>
      </c>
      <c r="D2766" t="s">
        <v>86</v>
      </c>
      <c r="E2766" t="str">
        <f>VLOOKUP(Tabla1[[#This Row],[Cód. Atributo]],[1]!Tabla5[#Data],6,FALSE)</f>
        <v>Select</v>
      </c>
      <c r="F2766">
        <v>1</v>
      </c>
      <c r="G2766">
        <v>2</v>
      </c>
      <c r="H2766" t="s">
        <v>268</v>
      </c>
      <c r="I2766" t="str">
        <f>VLOOKUP(Tabla1[[#This Row],[Code]],'[1]Articulos Precio'!$A:$E,5,FALSE)</f>
        <v>A0000103</v>
      </c>
    </row>
    <row r="2767" spans="1:9" x14ac:dyDescent="0.25">
      <c r="A2767" t="s">
        <v>1048</v>
      </c>
      <c r="B2767" t="str">
        <f>VLOOKUP(Tabla1[[#This Row],[Code]],[1]!Tabla4[#Data],2,FALSE)</f>
        <v>M2 Metamark M7 179 Flor de Melocotón 1,22 x 50m</v>
      </c>
      <c r="C2767">
        <v>13</v>
      </c>
      <c r="D2767" t="s">
        <v>491</v>
      </c>
      <c r="E2767" t="str">
        <f>VLOOKUP(Tabla1[[#This Row],[Cód. Atributo]],[1]!Tabla5[#Data],6,FALSE)</f>
        <v>Color</v>
      </c>
      <c r="F2767">
        <v>2</v>
      </c>
      <c r="G2767">
        <v>80</v>
      </c>
      <c r="H2767" t="s">
        <v>1049</v>
      </c>
      <c r="I2767" t="str">
        <f>VLOOKUP(Tabla1[[#This Row],[Code]],'[1]Articulos Precio'!$A:$E,5,FALSE)</f>
        <v>A0000103</v>
      </c>
    </row>
    <row r="2768" spans="1:9" x14ac:dyDescent="0.25">
      <c r="A2768" t="s">
        <v>1048</v>
      </c>
      <c r="B2768" t="str">
        <f>VLOOKUP(Tabla1[[#This Row],[Code]],[1]!Tabla4[#Data],2,FALSE)</f>
        <v>M2 Metamark M7 179 Flor de Melocotón 1,22 x 50m</v>
      </c>
      <c r="C2768">
        <v>23</v>
      </c>
      <c r="D2768" t="s">
        <v>90</v>
      </c>
      <c r="E2768" t="str">
        <f>VLOOKUP(Tabla1[[#This Row],[Cód. Atributo]],[1]!Tabla5[#Data],6,FALSE)</f>
        <v>Select</v>
      </c>
      <c r="F2768">
        <v>3</v>
      </c>
      <c r="G2768">
        <v>2</v>
      </c>
      <c r="H2768" t="s">
        <v>136</v>
      </c>
      <c r="I2768" t="str">
        <f>VLOOKUP(Tabla1[[#This Row],[Code]],'[1]Articulos Precio'!$A:$E,5,FALSE)</f>
        <v>A0000103</v>
      </c>
    </row>
    <row r="2769" spans="1:9" x14ac:dyDescent="0.25">
      <c r="A2769" t="s">
        <v>1048</v>
      </c>
      <c r="B2769" t="str">
        <f>VLOOKUP(Tabla1[[#This Row],[Code]],[1]!Tabla4[#Data],2,FALSE)</f>
        <v>M2 Metamark M7 179 Flor de Melocotón 1,22 x 50m</v>
      </c>
      <c r="C2769">
        <v>28</v>
      </c>
      <c r="D2769" t="s">
        <v>92</v>
      </c>
      <c r="E2769" t="str">
        <f>VLOOKUP(Tabla1[[#This Row],[Cód. Atributo]],[1]!Tabla5[#Data],6,FALSE)</f>
        <v>Select</v>
      </c>
      <c r="F2769">
        <v>4</v>
      </c>
      <c r="G2769">
        <v>1</v>
      </c>
      <c r="H2769" t="s">
        <v>93</v>
      </c>
      <c r="I2769" t="str">
        <f>VLOOKUP(Tabla1[[#This Row],[Code]],'[1]Articulos Precio'!$A:$E,5,FALSE)</f>
        <v>A0000103</v>
      </c>
    </row>
    <row r="2770" spans="1:9" x14ac:dyDescent="0.25">
      <c r="A2770" t="s">
        <v>1048</v>
      </c>
      <c r="B2770" t="str">
        <f>VLOOKUP(Tabla1[[#This Row],[Code]],[1]!Tabla4[#Data],2,FALSE)</f>
        <v>M2 Metamark M7 179 Flor de Melocotón 1,22 x 50m</v>
      </c>
      <c r="C2770">
        <v>25</v>
      </c>
      <c r="D2770" t="s">
        <v>94</v>
      </c>
      <c r="E2770" t="str">
        <f>VLOOKUP(Tabla1[[#This Row],[Cód. Atributo]],[1]!Tabla5[#Data],6,FALSE)</f>
        <v>Select</v>
      </c>
      <c r="F2770">
        <v>5</v>
      </c>
      <c r="G2770">
        <v>4</v>
      </c>
      <c r="H2770" t="s">
        <v>137</v>
      </c>
      <c r="I2770" t="str">
        <f>VLOOKUP(Tabla1[[#This Row],[Code]],'[1]Articulos Precio'!$A:$E,5,FALSE)</f>
        <v>A0000103</v>
      </c>
    </row>
    <row r="2771" spans="1:9" x14ac:dyDescent="0.25">
      <c r="A2771" t="s">
        <v>1048</v>
      </c>
      <c r="B2771" t="str">
        <f>VLOOKUP(Tabla1[[#This Row],[Code]],[1]!Tabla4[#Data],2,FALSE)</f>
        <v>M2 Metamark M7 179 Flor de Melocotón 1,22 x 50m</v>
      </c>
      <c r="C2771">
        <v>24</v>
      </c>
      <c r="D2771" t="s">
        <v>96</v>
      </c>
      <c r="E2771" t="str">
        <f>VLOOKUP(Tabla1[[#This Row],[Cód. Atributo]],[1]!Tabla5[#Data],6,FALSE)</f>
        <v>Select</v>
      </c>
      <c r="F2771">
        <v>6</v>
      </c>
      <c r="G2771">
        <v>2</v>
      </c>
      <c r="H2771" t="s">
        <v>266</v>
      </c>
      <c r="I2771" t="str">
        <f>VLOOKUP(Tabla1[[#This Row],[Code]],'[1]Articulos Precio'!$A:$E,5,FALSE)</f>
        <v>A0000103</v>
      </c>
    </row>
    <row r="2772" spans="1:9" x14ac:dyDescent="0.25">
      <c r="A2772" t="s">
        <v>1050</v>
      </c>
      <c r="B2772" t="str">
        <f>VLOOKUP(Tabla1[[#This Row],[Code]],[1]!Tabla4[#Data],2,FALSE)</f>
        <v>M2 Metamark M7 180 Lila 0,61 x 50m</v>
      </c>
      <c r="C2772">
        <v>8</v>
      </c>
      <c r="D2772" t="s">
        <v>86</v>
      </c>
      <c r="E2772" t="str">
        <f>VLOOKUP(Tabla1[[#This Row],[Cód. Atributo]],[1]!Tabla5[#Data],6,FALSE)</f>
        <v>Select</v>
      </c>
      <c r="F2772">
        <v>1</v>
      </c>
      <c r="G2772">
        <v>1</v>
      </c>
      <c r="H2772" t="s">
        <v>263</v>
      </c>
      <c r="I2772" t="str">
        <f>VLOOKUP(Tabla1[[#This Row],[Code]],'[1]Articulos Precio'!$A:$E,5,FALSE)</f>
        <v>A0000103</v>
      </c>
    </row>
    <row r="2773" spans="1:9" x14ac:dyDescent="0.25">
      <c r="A2773" t="s">
        <v>1050</v>
      </c>
      <c r="B2773" t="str">
        <f>VLOOKUP(Tabla1[[#This Row],[Code]],[1]!Tabla4[#Data],2,FALSE)</f>
        <v>M2 Metamark M7 180 Lila 0,61 x 50m</v>
      </c>
      <c r="C2773">
        <v>13</v>
      </c>
      <c r="D2773" t="s">
        <v>491</v>
      </c>
      <c r="E2773" t="str">
        <f>VLOOKUP(Tabla1[[#This Row],[Cód. Atributo]],[1]!Tabla5[#Data],6,FALSE)</f>
        <v>Color</v>
      </c>
      <c r="F2773">
        <v>2</v>
      </c>
      <c r="G2773">
        <v>47</v>
      </c>
      <c r="H2773" t="s">
        <v>1051</v>
      </c>
      <c r="I2773" t="str">
        <f>VLOOKUP(Tabla1[[#This Row],[Code]],'[1]Articulos Precio'!$A:$E,5,FALSE)</f>
        <v>A0000103</v>
      </c>
    </row>
    <row r="2774" spans="1:9" x14ac:dyDescent="0.25">
      <c r="A2774" t="s">
        <v>1050</v>
      </c>
      <c r="B2774" t="str">
        <f>VLOOKUP(Tabla1[[#This Row],[Code]],[1]!Tabla4[#Data],2,FALSE)</f>
        <v>M2 Metamark M7 180 Lila 0,61 x 50m</v>
      </c>
      <c r="C2774">
        <v>23</v>
      </c>
      <c r="D2774" t="s">
        <v>90</v>
      </c>
      <c r="E2774" t="str">
        <f>VLOOKUP(Tabla1[[#This Row],[Cód. Atributo]],[1]!Tabla5[#Data],6,FALSE)</f>
        <v>Select</v>
      </c>
      <c r="F2774">
        <v>3</v>
      </c>
      <c r="G2774">
        <v>2</v>
      </c>
      <c r="H2774" t="s">
        <v>136</v>
      </c>
      <c r="I2774" t="str">
        <f>VLOOKUP(Tabla1[[#This Row],[Code]],'[1]Articulos Precio'!$A:$E,5,FALSE)</f>
        <v>A0000103</v>
      </c>
    </row>
    <row r="2775" spans="1:9" x14ac:dyDescent="0.25">
      <c r="A2775" t="s">
        <v>1050</v>
      </c>
      <c r="B2775" t="str">
        <f>VLOOKUP(Tabla1[[#This Row],[Code]],[1]!Tabla4[#Data],2,FALSE)</f>
        <v>M2 Metamark M7 180 Lila 0,61 x 50m</v>
      </c>
      <c r="C2775">
        <v>28</v>
      </c>
      <c r="D2775" t="s">
        <v>92</v>
      </c>
      <c r="E2775" t="str">
        <f>VLOOKUP(Tabla1[[#This Row],[Cód. Atributo]],[1]!Tabla5[#Data],6,FALSE)</f>
        <v>Select</v>
      </c>
      <c r="F2775">
        <v>4</v>
      </c>
      <c r="G2775">
        <v>1</v>
      </c>
      <c r="H2775" t="s">
        <v>93</v>
      </c>
      <c r="I2775" t="str">
        <f>VLOOKUP(Tabla1[[#This Row],[Code]],'[1]Articulos Precio'!$A:$E,5,FALSE)</f>
        <v>A0000103</v>
      </c>
    </row>
    <row r="2776" spans="1:9" x14ac:dyDescent="0.25">
      <c r="A2776" t="s">
        <v>1052</v>
      </c>
      <c r="B2776" t="str">
        <f>VLOOKUP(Tabla1[[#This Row],[Code]],[1]!Tabla4[#Data],2,FALSE)</f>
        <v>Cartucho Ecopure 880ml EM1 Amarillo</v>
      </c>
      <c r="C2776">
        <v>9</v>
      </c>
      <c r="D2776" t="s">
        <v>62</v>
      </c>
      <c r="E2776" t="str">
        <f>VLOOKUP(Tabla1[[#This Row],[Cód. Atributo]],[1]!Tabla5[#Data],6,FALSE)</f>
        <v>Select</v>
      </c>
      <c r="F2776">
        <v>1</v>
      </c>
      <c r="G2776">
        <v>4</v>
      </c>
      <c r="H2776" t="s">
        <v>79</v>
      </c>
      <c r="I2776" t="str">
        <f>VLOOKUP(Tabla1[[#This Row],[Code]],'[1]Articulos Precio'!$A:$E,5,FALSE)</f>
        <v>A0001246</v>
      </c>
    </row>
    <row r="2777" spans="1:9" x14ac:dyDescent="0.25">
      <c r="A2777" t="s">
        <v>1052</v>
      </c>
      <c r="B2777" t="str">
        <f>VLOOKUP(Tabla1[[#This Row],[Code]],[1]!Tabla4[#Data],2,FALSE)</f>
        <v>Cartucho Ecopure 880ml EM1 Amarillo</v>
      </c>
      <c r="C2777">
        <v>43</v>
      </c>
      <c r="D2777" t="s">
        <v>64</v>
      </c>
      <c r="E2777" t="str">
        <f>VLOOKUP(Tabla1[[#This Row],[Cód. Atributo]],[1]!Tabla5[#Data],6,FALSE)</f>
        <v>Select</v>
      </c>
      <c r="F2777">
        <v>2</v>
      </c>
      <c r="G2777">
        <v>1</v>
      </c>
      <c r="H2777" t="s">
        <v>1041</v>
      </c>
      <c r="I2777" t="str">
        <f>VLOOKUP(Tabla1[[#This Row],[Code]],'[1]Articulos Precio'!$A:$E,5,FALSE)</f>
        <v>A0001246</v>
      </c>
    </row>
    <row r="2778" spans="1:9" x14ac:dyDescent="0.25">
      <c r="A2778" t="s">
        <v>1052</v>
      </c>
      <c r="B2778" t="str">
        <f>VLOOKUP(Tabla1[[#This Row],[Code]],[1]!Tabla4[#Data],2,FALSE)</f>
        <v>Cartucho Ecopure 880ml EM1 Amarillo</v>
      </c>
      <c r="C2778">
        <v>10</v>
      </c>
      <c r="D2778" t="s">
        <v>66</v>
      </c>
      <c r="E2778" t="str">
        <f>VLOOKUP(Tabla1[[#This Row],[Cód. Atributo]],[1]!Tabla5[#Data],6,FALSE)</f>
        <v>Color</v>
      </c>
      <c r="F2778">
        <v>3</v>
      </c>
      <c r="G2778">
        <v>1</v>
      </c>
      <c r="H2778" t="s">
        <v>67</v>
      </c>
      <c r="I2778" t="str">
        <f>VLOOKUP(Tabla1[[#This Row],[Code]],'[1]Articulos Precio'!$A:$E,5,FALSE)</f>
        <v>A0001246</v>
      </c>
    </row>
    <row r="2779" spans="1:9" x14ac:dyDescent="0.25">
      <c r="A2779" t="s">
        <v>1053</v>
      </c>
      <c r="B2779" t="str">
        <f>VLOOKUP(Tabla1[[#This Row],[Code]],[1]!Tabla4[#Data],2,FALSE)</f>
        <v>Cartucho Ecopure 880ml EM1 Cyan</v>
      </c>
      <c r="C2779">
        <v>9</v>
      </c>
      <c r="D2779" t="s">
        <v>62</v>
      </c>
      <c r="E2779" t="str">
        <f>VLOOKUP(Tabla1[[#This Row],[Cód. Atributo]],[1]!Tabla5[#Data],6,FALSE)</f>
        <v>Select</v>
      </c>
      <c r="F2779">
        <v>1</v>
      </c>
      <c r="G2779">
        <v>4</v>
      </c>
      <c r="H2779" t="s">
        <v>79</v>
      </c>
      <c r="I2779" t="str">
        <f>VLOOKUP(Tabla1[[#This Row],[Code]],'[1]Articulos Precio'!$A:$E,5,FALSE)</f>
        <v>A0001246</v>
      </c>
    </row>
    <row r="2780" spans="1:9" x14ac:dyDescent="0.25">
      <c r="A2780" t="s">
        <v>1053</v>
      </c>
      <c r="B2780" t="str">
        <f>VLOOKUP(Tabla1[[#This Row],[Code]],[1]!Tabla4[#Data],2,FALSE)</f>
        <v>Cartucho Ecopure 880ml EM1 Cyan</v>
      </c>
      <c r="C2780">
        <v>43</v>
      </c>
      <c r="D2780" t="s">
        <v>64</v>
      </c>
      <c r="E2780" t="str">
        <f>VLOOKUP(Tabla1[[#This Row],[Cód. Atributo]],[1]!Tabla5[#Data],6,FALSE)</f>
        <v>Select</v>
      </c>
      <c r="F2780">
        <v>2</v>
      </c>
      <c r="G2780">
        <v>1</v>
      </c>
      <c r="H2780" t="s">
        <v>1041</v>
      </c>
      <c r="I2780" t="str">
        <f>VLOOKUP(Tabla1[[#This Row],[Code]],'[1]Articulos Precio'!$A:$E,5,FALSE)</f>
        <v>A0001246</v>
      </c>
    </row>
    <row r="2781" spans="1:9" x14ac:dyDescent="0.25">
      <c r="A2781" t="s">
        <v>1053</v>
      </c>
      <c r="B2781" t="str">
        <f>VLOOKUP(Tabla1[[#This Row],[Code]],[1]!Tabla4[#Data],2,FALSE)</f>
        <v>Cartucho Ecopure 880ml EM1 Cyan</v>
      </c>
      <c r="C2781">
        <v>10</v>
      </c>
      <c r="D2781" t="s">
        <v>66</v>
      </c>
      <c r="E2781" t="str">
        <f>VLOOKUP(Tabla1[[#This Row],[Cód. Atributo]],[1]!Tabla5[#Data],6,FALSE)</f>
        <v>Color</v>
      </c>
      <c r="F2781">
        <v>3</v>
      </c>
      <c r="G2781">
        <v>3</v>
      </c>
      <c r="H2781" t="s">
        <v>69</v>
      </c>
      <c r="I2781" t="str">
        <f>VLOOKUP(Tabla1[[#This Row],[Code]],'[1]Articulos Precio'!$A:$E,5,FALSE)</f>
        <v>A0001246</v>
      </c>
    </row>
    <row r="2782" spans="1:9" x14ac:dyDescent="0.25">
      <c r="A2782" t="s">
        <v>1054</v>
      </c>
      <c r="B2782" t="str">
        <f>VLOOKUP(Tabla1[[#This Row],[Code]],[1]!Tabla4[#Data],2,FALSE)</f>
        <v>Cartucho Ecopure 880ml EM1 Light Cyan</v>
      </c>
      <c r="C2782">
        <v>9</v>
      </c>
      <c r="D2782" t="s">
        <v>62</v>
      </c>
      <c r="E2782" t="str">
        <f>VLOOKUP(Tabla1[[#This Row],[Cód. Atributo]],[1]!Tabla5[#Data],6,FALSE)</f>
        <v>Select</v>
      </c>
      <c r="F2782">
        <v>1</v>
      </c>
      <c r="G2782">
        <v>4</v>
      </c>
      <c r="H2782" t="s">
        <v>79</v>
      </c>
      <c r="I2782" t="str">
        <f>VLOOKUP(Tabla1[[#This Row],[Code]],'[1]Articulos Precio'!$A:$E,5,FALSE)</f>
        <v>A0001246</v>
      </c>
    </row>
    <row r="2783" spans="1:9" x14ac:dyDescent="0.25">
      <c r="A2783" t="s">
        <v>1054</v>
      </c>
      <c r="B2783" t="str">
        <f>VLOOKUP(Tabla1[[#This Row],[Code]],[1]!Tabla4[#Data],2,FALSE)</f>
        <v>Cartucho Ecopure 880ml EM1 Light Cyan</v>
      </c>
      <c r="C2783">
        <v>43</v>
      </c>
      <c r="D2783" t="s">
        <v>64</v>
      </c>
      <c r="E2783" t="str">
        <f>VLOOKUP(Tabla1[[#This Row],[Cód. Atributo]],[1]!Tabla5[#Data],6,FALSE)</f>
        <v>Select</v>
      </c>
      <c r="F2783">
        <v>2</v>
      </c>
      <c r="G2783">
        <v>1</v>
      </c>
      <c r="H2783" t="s">
        <v>1041</v>
      </c>
      <c r="I2783" t="str">
        <f>VLOOKUP(Tabla1[[#This Row],[Code]],'[1]Articulos Precio'!$A:$E,5,FALSE)</f>
        <v>A0001246</v>
      </c>
    </row>
    <row r="2784" spans="1:9" x14ac:dyDescent="0.25">
      <c r="A2784" t="s">
        <v>1054</v>
      </c>
      <c r="B2784" t="str">
        <f>VLOOKUP(Tabla1[[#This Row],[Code]],[1]!Tabla4[#Data],2,FALSE)</f>
        <v>Cartucho Ecopure 880ml EM1 Light Cyan</v>
      </c>
      <c r="C2784">
        <v>10</v>
      </c>
      <c r="D2784" t="s">
        <v>66</v>
      </c>
      <c r="E2784" t="str">
        <f>VLOOKUP(Tabla1[[#This Row],[Cód. Atributo]],[1]!Tabla5[#Data],6,FALSE)</f>
        <v>Color</v>
      </c>
      <c r="F2784">
        <v>3</v>
      </c>
      <c r="G2784">
        <v>4</v>
      </c>
      <c r="H2784" t="s">
        <v>71</v>
      </c>
      <c r="I2784" t="str">
        <f>VLOOKUP(Tabla1[[#This Row],[Code]],'[1]Articulos Precio'!$A:$E,5,FALSE)</f>
        <v>A0001246</v>
      </c>
    </row>
    <row r="2785" spans="1:9" x14ac:dyDescent="0.25">
      <c r="A2785" t="s">
        <v>1055</v>
      </c>
      <c r="B2785" t="str">
        <f>VLOOKUP(Tabla1[[#This Row],[Code]],[1]!Tabla4[#Data],2,FALSE)</f>
        <v>Cartucho Ecopure 880ml EM1 Light Magenta</v>
      </c>
      <c r="C2785">
        <v>9</v>
      </c>
      <c r="D2785" t="s">
        <v>62</v>
      </c>
      <c r="E2785" t="str">
        <f>VLOOKUP(Tabla1[[#This Row],[Cód. Atributo]],[1]!Tabla5[#Data],6,FALSE)</f>
        <v>Select</v>
      </c>
      <c r="F2785">
        <v>1</v>
      </c>
      <c r="G2785">
        <v>4</v>
      </c>
      <c r="H2785" t="s">
        <v>79</v>
      </c>
      <c r="I2785" t="str">
        <f>VLOOKUP(Tabla1[[#This Row],[Code]],'[1]Articulos Precio'!$A:$E,5,FALSE)</f>
        <v>A0001246</v>
      </c>
    </row>
    <row r="2786" spans="1:9" x14ac:dyDescent="0.25">
      <c r="A2786" t="s">
        <v>1055</v>
      </c>
      <c r="B2786" t="str">
        <f>VLOOKUP(Tabla1[[#This Row],[Code]],[1]!Tabla4[#Data],2,FALSE)</f>
        <v>Cartucho Ecopure 880ml EM1 Light Magenta</v>
      </c>
      <c r="C2786">
        <v>43</v>
      </c>
      <c r="D2786" t="s">
        <v>64</v>
      </c>
      <c r="E2786" t="str">
        <f>VLOOKUP(Tabla1[[#This Row],[Cód. Atributo]],[1]!Tabla5[#Data],6,FALSE)</f>
        <v>Select</v>
      </c>
      <c r="F2786">
        <v>2</v>
      </c>
      <c r="G2786">
        <v>1</v>
      </c>
      <c r="H2786" t="s">
        <v>1041</v>
      </c>
      <c r="I2786" t="str">
        <f>VLOOKUP(Tabla1[[#This Row],[Code]],'[1]Articulos Precio'!$A:$E,5,FALSE)</f>
        <v>A0001246</v>
      </c>
    </row>
    <row r="2787" spans="1:9" x14ac:dyDescent="0.25">
      <c r="A2787" t="s">
        <v>1055</v>
      </c>
      <c r="B2787" t="str">
        <f>VLOOKUP(Tabla1[[#This Row],[Code]],[1]!Tabla4[#Data],2,FALSE)</f>
        <v>Cartucho Ecopure 880ml EM1 Light Magenta</v>
      </c>
      <c r="C2787">
        <v>10</v>
      </c>
      <c r="D2787" t="s">
        <v>66</v>
      </c>
      <c r="E2787" t="str">
        <f>VLOOKUP(Tabla1[[#This Row],[Cód. Atributo]],[1]!Tabla5[#Data],6,FALSE)</f>
        <v>Color</v>
      </c>
      <c r="F2787">
        <v>3</v>
      </c>
      <c r="G2787">
        <v>5</v>
      </c>
      <c r="H2787" t="s">
        <v>73</v>
      </c>
      <c r="I2787" t="str">
        <f>VLOOKUP(Tabla1[[#This Row],[Code]],'[1]Articulos Precio'!$A:$E,5,FALSE)</f>
        <v>A0001246</v>
      </c>
    </row>
    <row r="2788" spans="1:9" x14ac:dyDescent="0.25">
      <c r="A2788" t="s">
        <v>1056</v>
      </c>
      <c r="B2788" t="str">
        <f>VLOOKUP(Tabla1[[#This Row],[Code]],[1]!Tabla4[#Data],2,FALSE)</f>
        <v>Cartucho Ecopure 880ml EM1 Magenta</v>
      </c>
      <c r="C2788">
        <v>9</v>
      </c>
      <c r="D2788" t="s">
        <v>62</v>
      </c>
      <c r="E2788" t="str">
        <f>VLOOKUP(Tabla1[[#This Row],[Cód. Atributo]],[1]!Tabla5[#Data],6,FALSE)</f>
        <v>Select</v>
      </c>
      <c r="F2788">
        <v>1</v>
      </c>
      <c r="G2788">
        <v>4</v>
      </c>
      <c r="H2788" t="s">
        <v>79</v>
      </c>
      <c r="I2788" t="str">
        <f>VLOOKUP(Tabla1[[#This Row],[Code]],'[1]Articulos Precio'!$A:$E,5,FALSE)</f>
        <v>A0001246</v>
      </c>
    </row>
    <row r="2789" spans="1:9" x14ac:dyDescent="0.25">
      <c r="A2789" t="s">
        <v>1056</v>
      </c>
      <c r="B2789" t="str">
        <f>VLOOKUP(Tabla1[[#This Row],[Code]],[1]!Tabla4[#Data],2,FALSE)</f>
        <v>Cartucho Ecopure 880ml EM1 Magenta</v>
      </c>
      <c r="C2789">
        <v>43</v>
      </c>
      <c r="D2789" t="s">
        <v>64</v>
      </c>
      <c r="E2789" t="str">
        <f>VLOOKUP(Tabla1[[#This Row],[Cód. Atributo]],[1]!Tabla5[#Data],6,FALSE)</f>
        <v>Select</v>
      </c>
      <c r="F2789">
        <v>2</v>
      </c>
      <c r="G2789">
        <v>1</v>
      </c>
      <c r="H2789" t="s">
        <v>1041</v>
      </c>
      <c r="I2789" t="str">
        <f>VLOOKUP(Tabla1[[#This Row],[Code]],'[1]Articulos Precio'!$A:$E,5,FALSE)</f>
        <v>A0001246</v>
      </c>
    </row>
    <row r="2790" spans="1:9" x14ac:dyDescent="0.25">
      <c r="A2790" t="s">
        <v>1056</v>
      </c>
      <c r="B2790" t="str">
        <f>VLOOKUP(Tabla1[[#This Row],[Code]],[1]!Tabla4[#Data],2,FALSE)</f>
        <v>Cartucho Ecopure 880ml EM1 Magenta</v>
      </c>
      <c r="C2790">
        <v>10</v>
      </c>
      <c r="D2790" t="s">
        <v>66</v>
      </c>
      <c r="E2790" t="str">
        <f>VLOOKUP(Tabla1[[#This Row],[Cód. Atributo]],[1]!Tabla5[#Data],6,FALSE)</f>
        <v>Color</v>
      </c>
      <c r="F2790">
        <v>3</v>
      </c>
      <c r="G2790">
        <v>7</v>
      </c>
      <c r="H2790" t="s">
        <v>75</v>
      </c>
      <c r="I2790" t="str">
        <f>VLOOKUP(Tabla1[[#This Row],[Code]],'[1]Articulos Precio'!$A:$E,5,FALSE)</f>
        <v>A0001246</v>
      </c>
    </row>
    <row r="2791" spans="1:9" x14ac:dyDescent="0.25">
      <c r="A2791" t="s">
        <v>1057</v>
      </c>
      <c r="B2791" t="str">
        <f>VLOOKUP(Tabla1[[#This Row],[Code]],[1]!Tabla4[#Data],2,FALSE)</f>
        <v>Cartucho Ecopure 880ml EM1 Negro</v>
      </c>
      <c r="C2791">
        <v>9</v>
      </c>
      <c r="D2791" t="s">
        <v>62</v>
      </c>
      <c r="E2791" t="str">
        <f>VLOOKUP(Tabla1[[#This Row],[Cód. Atributo]],[1]!Tabla5[#Data],6,FALSE)</f>
        <v>Select</v>
      </c>
      <c r="F2791">
        <v>1</v>
      </c>
      <c r="G2791">
        <v>4</v>
      </c>
      <c r="H2791" t="s">
        <v>79</v>
      </c>
      <c r="I2791" t="str">
        <f>VLOOKUP(Tabla1[[#This Row],[Code]],'[1]Articulos Precio'!$A:$E,5,FALSE)</f>
        <v>A0001246</v>
      </c>
    </row>
    <row r="2792" spans="1:9" x14ac:dyDescent="0.25">
      <c r="A2792" t="s">
        <v>1057</v>
      </c>
      <c r="B2792" t="str">
        <f>VLOOKUP(Tabla1[[#This Row],[Code]],[1]!Tabla4[#Data],2,FALSE)</f>
        <v>Cartucho Ecopure 880ml EM1 Negro</v>
      </c>
      <c r="C2792">
        <v>43</v>
      </c>
      <c r="D2792" t="s">
        <v>64</v>
      </c>
      <c r="E2792" t="str">
        <f>VLOOKUP(Tabla1[[#This Row],[Cód. Atributo]],[1]!Tabla5[#Data],6,FALSE)</f>
        <v>Select</v>
      </c>
      <c r="F2792">
        <v>2</v>
      </c>
      <c r="G2792">
        <v>1</v>
      </c>
      <c r="H2792" t="s">
        <v>1041</v>
      </c>
      <c r="I2792" t="str">
        <f>VLOOKUP(Tabla1[[#This Row],[Code]],'[1]Articulos Precio'!$A:$E,5,FALSE)</f>
        <v>A0001246</v>
      </c>
    </row>
    <row r="2793" spans="1:9" x14ac:dyDescent="0.25">
      <c r="A2793" t="s">
        <v>1057</v>
      </c>
      <c r="B2793" t="str">
        <f>VLOOKUP(Tabla1[[#This Row],[Code]],[1]!Tabla4[#Data],2,FALSE)</f>
        <v>Cartucho Ecopure 880ml EM1 Negro</v>
      </c>
      <c r="C2793">
        <v>10</v>
      </c>
      <c r="D2793" t="s">
        <v>66</v>
      </c>
      <c r="E2793" t="str">
        <f>VLOOKUP(Tabla1[[#This Row],[Cód. Atributo]],[1]!Tabla5[#Data],6,FALSE)</f>
        <v>Color</v>
      </c>
      <c r="F2793">
        <v>3</v>
      </c>
      <c r="G2793">
        <v>8</v>
      </c>
      <c r="H2793" t="s">
        <v>77</v>
      </c>
      <c r="I2793" t="str">
        <f>VLOOKUP(Tabla1[[#This Row],[Code]],'[1]Articulos Precio'!$A:$E,5,FALSE)</f>
        <v>A0001246</v>
      </c>
    </row>
    <row r="2794" spans="1:9" x14ac:dyDescent="0.25">
      <c r="A2794" t="s">
        <v>1050</v>
      </c>
      <c r="B2794" t="str">
        <f>VLOOKUP(Tabla1[[#This Row],[Code]],[1]!Tabla4[#Data],2,FALSE)</f>
        <v>M2 Metamark M7 180 Lila 0,61 x 50m</v>
      </c>
      <c r="C2794">
        <v>25</v>
      </c>
      <c r="D2794" t="s">
        <v>94</v>
      </c>
      <c r="E2794" t="str">
        <f>VLOOKUP(Tabla1[[#This Row],[Cód. Atributo]],[1]!Tabla5[#Data],6,FALSE)</f>
        <v>Select</v>
      </c>
      <c r="F2794">
        <v>5</v>
      </c>
      <c r="G2794">
        <v>4</v>
      </c>
      <c r="H2794" t="s">
        <v>137</v>
      </c>
      <c r="I2794" t="str">
        <f>VLOOKUP(Tabla1[[#This Row],[Code]],'[1]Articulos Precio'!$A:$E,5,FALSE)</f>
        <v>A0000103</v>
      </c>
    </row>
    <row r="2795" spans="1:9" x14ac:dyDescent="0.25">
      <c r="A2795" t="s">
        <v>1050</v>
      </c>
      <c r="B2795" t="str">
        <f>VLOOKUP(Tabla1[[#This Row],[Code]],[1]!Tabla4[#Data],2,FALSE)</f>
        <v>M2 Metamark M7 180 Lila 0,61 x 50m</v>
      </c>
      <c r="C2795">
        <v>24</v>
      </c>
      <c r="D2795" t="s">
        <v>96</v>
      </c>
      <c r="E2795" t="str">
        <f>VLOOKUP(Tabla1[[#This Row],[Cód. Atributo]],[1]!Tabla5[#Data],6,FALSE)</f>
        <v>Select</v>
      </c>
      <c r="F2795">
        <v>6</v>
      </c>
      <c r="G2795">
        <v>2</v>
      </c>
      <c r="H2795" t="s">
        <v>266</v>
      </c>
      <c r="I2795" t="str">
        <f>VLOOKUP(Tabla1[[#This Row],[Code]],'[1]Articulos Precio'!$A:$E,5,FALSE)</f>
        <v>A0000103</v>
      </c>
    </row>
    <row r="2796" spans="1:9" x14ac:dyDescent="0.25">
      <c r="A2796" t="s">
        <v>1058</v>
      </c>
      <c r="B2796" t="str">
        <f>VLOOKUP(Tabla1[[#This Row],[Code]],[1]!Tabla4[#Data],2,FALSE)</f>
        <v>M2 Metamark M7 180 Lila 1,22 x 50m</v>
      </c>
      <c r="C2796">
        <v>8</v>
      </c>
      <c r="D2796" t="s">
        <v>86</v>
      </c>
      <c r="E2796" t="str">
        <f>VLOOKUP(Tabla1[[#This Row],[Cód. Atributo]],[1]!Tabla5[#Data],6,FALSE)</f>
        <v>Select</v>
      </c>
      <c r="F2796">
        <v>1</v>
      </c>
      <c r="G2796">
        <v>2</v>
      </c>
      <c r="H2796" t="s">
        <v>268</v>
      </c>
      <c r="I2796" t="str">
        <f>VLOOKUP(Tabla1[[#This Row],[Code]],'[1]Articulos Precio'!$A:$E,5,FALSE)</f>
        <v>A0000103</v>
      </c>
    </row>
    <row r="2797" spans="1:9" x14ac:dyDescent="0.25">
      <c r="A2797" t="s">
        <v>1058</v>
      </c>
      <c r="B2797" t="str">
        <f>VLOOKUP(Tabla1[[#This Row],[Code]],[1]!Tabla4[#Data],2,FALSE)</f>
        <v>M2 Metamark M7 180 Lila 1,22 x 50m</v>
      </c>
      <c r="C2797">
        <v>13</v>
      </c>
      <c r="D2797" t="s">
        <v>491</v>
      </c>
      <c r="E2797" t="str">
        <f>VLOOKUP(Tabla1[[#This Row],[Cód. Atributo]],[1]!Tabla5[#Data],6,FALSE)</f>
        <v>Color</v>
      </c>
      <c r="F2797">
        <v>2</v>
      </c>
      <c r="G2797">
        <v>47</v>
      </c>
      <c r="H2797" t="s">
        <v>1051</v>
      </c>
      <c r="I2797" t="str">
        <f>VLOOKUP(Tabla1[[#This Row],[Code]],'[1]Articulos Precio'!$A:$E,5,FALSE)</f>
        <v>A0000103</v>
      </c>
    </row>
    <row r="2798" spans="1:9" x14ac:dyDescent="0.25">
      <c r="A2798" t="s">
        <v>1058</v>
      </c>
      <c r="B2798" t="str">
        <f>VLOOKUP(Tabla1[[#This Row],[Code]],[1]!Tabla4[#Data],2,FALSE)</f>
        <v>M2 Metamark M7 180 Lila 1,22 x 50m</v>
      </c>
      <c r="C2798">
        <v>23</v>
      </c>
      <c r="D2798" t="s">
        <v>90</v>
      </c>
      <c r="E2798" t="str">
        <f>VLOOKUP(Tabla1[[#This Row],[Cód. Atributo]],[1]!Tabla5[#Data],6,FALSE)</f>
        <v>Select</v>
      </c>
      <c r="F2798">
        <v>3</v>
      </c>
      <c r="G2798">
        <v>2</v>
      </c>
      <c r="H2798" t="s">
        <v>136</v>
      </c>
      <c r="I2798" t="str">
        <f>VLOOKUP(Tabla1[[#This Row],[Code]],'[1]Articulos Precio'!$A:$E,5,FALSE)</f>
        <v>A0000103</v>
      </c>
    </row>
    <row r="2799" spans="1:9" x14ac:dyDescent="0.25">
      <c r="A2799" t="s">
        <v>1058</v>
      </c>
      <c r="B2799" t="str">
        <f>VLOOKUP(Tabla1[[#This Row],[Code]],[1]!Tabla4[#Data],2,FALSE)</f>
        <v>M2 Metamark M7 180 Lila 1,22 x 50m</v>
      </c>
      <c r="C2799">
        <v>28</v>
      </c>
      <c r="D2799" t="s">
        <v>92</v>
      </c>
      <c r="E2799" t="str">
        <f>VLOOKUP(Tabla1[[#This Row],[Cód. Atributo]],[1]!Tabla5[#Data],6,FALSE)</f>
        <v>Select</v>
      </c>
      <c r="F2799">
        <v>4</v>
      </c>
      <c r="G2799">
        <v>1</v>
      </c>
      <c r="H2799" t="s">
        <v>93</v>
      </c>
      <c r="I2799" t="str">
        <f>VLOOKUP(Tabla1[[#This Row],[Code]],'[1]Articulos Precio'!$A:$E,5,FALSE)</f>
        <v>A0000103</v>
      </c>
    </row>
    <row r="2800" spans="1:9" x14ac:dyDescent="0.25">
      <c r="A2800" t="s">
        <v>1058</v>
      </c>
      <c r="B2800" t="str">
        <f>VLOOKUP(Tabla1[[#This Row],[Code]],[1]!Tabla4[#Data],2,FALSE)</f>
        <v>M2 Metamark M7 180 Lila 1,22 x 50m</v>
      </c>
      <c r="C2800">
        <v>25</v>
      </c>
      <c r="D2800" t="s">
        <v>94</v>
      </c>
      <c r="E2800" t="str">
        <f>VLOOKUP(Tabla1[[#This Row],[Cód. Atributo]],[1]!Tabla5[#Data],6,FALSE)</f>
        <v>Select</v>
      </c>
      <c r="F2800">
        <v>5</v>
      </c>
      <c r="G2800">
        <v>4</v>
      </c>
      <c r="H2800" t="s">
        <v>137</v>
      </c>
      <c r="I2800" t="str">
        <f>VLOOKUP(Tabla1[[#This Row],[Code]],'[1]Articulos Precio'!$A:$E,5,FALSE)</f>
        <v>A0000103</v>
      </c>
    </row>
    <row r="2801" spans="1:9" x14ac:dyDescent="0.25">
      <c r="A2801" t="s">
        <v>1058</v>
      </c>
      <c r="B2801" t="str">
        <f>VLOOKUP(Tabla1[[#This Row],[Code]],[1]!Tabla4[#Data],2,FALSE)</f>
        <v>M2 Metamark M7 180 Lila 1,22 x 50m</v>
      </c>
      <c r="C2801">
        <v>24</v>
      </c>
      <c r="D2801" t="s">
        <v>96</v>
      </c>
      <c r="E2801" t="str">
        <f>VLOOKUP(Tabla1[[#This Row],[Cód. Atributo]],[1]!Tabla5[#Data],6,FALSE)</f>
        <v>Select</v>
      </c>
      <c r="F2801">
        <v>6</v>
      </c>
      <c r="G2801">
        <v>2</v>
      </c>
      <c r="H2801" t="s">
        <v>266</v>
      </c>
      <c r="I2801" t="str">
        <f>VLOOKUP(Tabla1[[#This Row],[Code]],'[1]Articulos Precio'!$A:$E,5,FALSE)</f>
        <v>A0000103</v>
      </c>
    </row>
    <row r="2802" spans="1:9" x14ac:dyDescent="0.25">
      <c r="A2802" t="s">
        <v>1059</v>
      </c>
      <c r="B2802" t="str">
        <f>VLOOKUP(Tabla1[[#This Row],[Code]],[1]!Tabla4[#Data],2,FALSE)</f>
        <v>M2 Metamark M7 181 Rosa 0,61 x 50m</v>
      </c>
      <c r="C2802">
        <v>8</v>
      </c>
      <c r="D2802" t="s">
        <v>86</v>
      </c>
      <c r="E2802" t="str">
        <f>VLOOKUP(Tabla1[[#This Row],[Cód. Atributo]],[1]!Tabla5[#Data],6,FALSE)</f>
        <v>Select</v>
      </c>
      <c r="F2802">
        <v>1</v>
      </c>
      <c r="G2802">
        <v>1</v>
      </c>
      <c r="H2802" t="s">
        <v>263</v>
      </c>
      <c r="I2802" t="str">
        <f>VLOOKUP(Tabla1[[#This Row],[Code]],'[1]Articulos Precio'!$A:$E,5,FALSE)</f>
        <v>A0000103</v>
      </c>
    </row>
    <row r="2803" spans="1:9" x14ac:dyDescent="0.25">
      <c r="A2803" t="s">
        <v>1059</v>
      </c>
      <c r="B2803" t="str">
        <f>VLOOKUP(Tabla1[[#This Row],[Code]],[1]!Tabla4[#Data],2,FALSE)</f>
        <v>M2 Metamark M7 181 Rosa 0,61 x 50m</v>
      </c>
      <c r="C2803">
        <v>13</v>
      </c>
      <c r="D2803" t="s">
        <v>491</v>
      </c>
      <c r="E2803" t="str">
        <f>VLOOKUP(Tabla1[[#This Row],[Cód. Atributo]],[1]!Tabla5[#Data],6,FALSE)</f>
        <v>Color</v>
      </c>
      <c r="F2803">
        <v>2</v>
      </c>
      <c r="G2803">
        <v>48</v>
      </c>
      <c r="H2803" t="s">
        <v>1060</v>
      </c>
      <c r="I2803" t="str">
        <f>VLOOKUP(Tabla1[[#This Row],[Code]],'[1]Articulos Precio'!$A:$E,5,FALSE)</f>
        <v>A0000103</v>
      </c>
    </row>
    <row r="2804" spans="1:9" x14ac:dyDescent="0.25">
      <c r="A2804" t="s">
        <v>1059</v>
      </c>
      <c r="B2804" t="str">
        <f>VLOOKUP(Tabla1[[#This Row],[Code]],[1]!Tabla4[#Data],2,FALSE)</f>
        <v>M2 Metamark M7 181 Rosa 0,61 x 50m</v>
      </c>
      <c r="C2804">
        <v>23</v>
      </c>
      <c r="D2804" t="s">
        <v>90</v>
      </c>
      <c r="E2804" t="str">
        <f>VLOOKUP(Tabla1[[#This Row],[Cód. Atributo]],[1]!Tabla5[#Data],6,FALSE)</f>
        <v>Select</v>
      </c>
      <c r="F2804">
        <v>3</v>
      </c>
      <c r="G2804">
        <v>2</v>
      </c>
      <c r="H2804" t="s">
        <v>136</v>
      </c>
      <c r="I2804" t="str">
        <f>VLOOKUP(Tabla1[[#This Row],[Code]],'[1]Articulos Precio'!$A:$E,5,FALSE)</f>
        <v>A0000103</v>
      </c>
    </row>
    <row r="2805" spans="1:9" x14ac:dyDescent="0.25">
      <c r="A2805" t="s">
        <v>1059</v>
      </c>
      <c r="B2805" t="str">
        <f>VLOOKUP(Tabla1[[#This Row],[Code]],[1]!Tabla4[#Data],2,FALSE)</f>
        <v>M2 Metamark M7 181 Rosa 0,61 x 50m</v>
      </c>
      <c r="C2805">
        <v>28</v>
      </c>
      <c r="D2805" t="s">
        <v>92</v>
      </c>
      <c r="E2805" t="str">
        <f>VLOOKUP(Tabla1[[#This Row],[Cód. Atributo]],[1]!Tabla5[#Data],6,FALSE)</f>
        <v>Select</v>
      </c>
      <c r="F2805">
        <v>4</v>
      </c>
      <c r="G2805">
        <v>1</v>
      </c>
      <c r="H2805" t="s">
        <v>93</v>
      </c>
      <c r="I2805" t="str">
        <f>VLOOKUP(Tabla1[[#This Row],[Code]],'[1]Articulos Precio'!$A:$E,5,FALSE)</f>
        <v>A0000103</v>
      </c>
    </row>
    <row r="2806" spans="1:9" x14ac:dyDescent="0.25">
      <c r="A2806" t="s">
        <v>1059</v>
      </c>
      <c r="B2806" t="str">
        <f>VLOOKUP(Tabla1[[#This Row],[Code]],[1]!Tabla4[#Data],2,FALSE)</f>
        <v>M2 Metamark M7 181 Rosa 0,61 x 50m</v>
      </c>
      <c r="C2806">
        <v>25</v>
      </c>
      <c r="D2806" t="s">
        <v>94</v>
      </c>
      <c r="E2806" t="str">
        <f>VLOOKUP(Tabla1[[#This Row],[Cód. Atributo]],[1]!Tabla5[#Data],6,FALSE)</f>
        <v>Select</v>
      </c>
      <c r="F2806">
        <v>5</v>
      </c>
      <c r="G2806">
        <v>4</v>
      </c>
      <c r="H2806" t="s">
        <v>137</v>
      </c>
      <c r="I2806" t="str">
        <f>VLOOKUP(Tabla1[[#This Row],[Code]],'[1]Articulos Precio'!$A:$E,5,FALSE)</f>
        <v>A0000103</v>
      </c>
    </row>
    <row r="2807" spans="1:9" x14ac:dyDescent="0.25">
      <c r="A2807" t="s">
        <v>1059</v>
      </c>
      <c r="B2807" t="str">
        <f>VLOOKUP(Tabla1[[#This Row],[Code]],[1]!Tabla4[#Data],2,FALSE)</f>
        <v>M2 Metamark M7 181 Rosa 0,61 x 50m</v>
      </c>
      <c r="C2807">
        <v>24</v>
      </c>
      <c r="D2807" t="s">
        <v>96</v>
      </c>
      <c r="E2807" t="str">
        <f>VLOOKUP(Tabla1[[#This Row],[Cód. Atributo]],[1]!Tabla5[#Data],6,FALSE)</f>
        <v>Select</v>
      </c>
      <c r="F2807">
        <v>6</v>
      </c>
      <c r="G2807">
        <v>2</v>
      </c>
      <c r="H2807" t="s">
        <v>266</v>
      </c>
      <c r="I2807" t="str">
        <f>VLOOKUP(Tabla1[[#This Row],[Code]],'[1]Articulos Precio'!$A:$E,5,FALSE)</f>
        <v>A0000103</v>
      </c>
    </row>
    <row r="2808" spans="1:9" x14ac:dyDescent="0.25">
      <c r="A2808" t="s">
        <v>1061</v>
      </c>
      <c r="B2808" t="str">
        <f>VLOOKUP(Tabla1[[#This Row],[Code]],[1]!Tabla4[#Data],2,FALSE)</f>
        <v>M2 Metamark M7 181 Rosa 1,22 x 50m</v>
      </c>
      <c r="C2808">
        <v>8</v>
      </c>
      <c r="D2808" t="s">
        <v>86</v>
      </c>
      <c r="E2808" t="str">
        <f>VLOOKUP(Tabla1[[#This Row],[Cód. Atributo]],[1]!Tabla5[#Data],6,FALSE)</f>
        <v>Select</v>
      </c>
      <c r="F2808">
        <v>1</v>
      </c>
      <c r="G2808">
        <v>2</v>
      </c>
      <c r="H2808" t="s">
        <v>268</v>
      </c>
      <c r="I2808" t="str">
        <f>VLOOKUP(Tabla1[[#This Row],[Code]],'[1]Articulos Precio'!$A:$E,5,FALSE)</f>
        <v>A0000103</v>
      </c>
    </row>
    <row r="2809" spans="1:9" x14ac:dyDescent="0.25">
      <c r="A2809" t="s">
        <v>1061</v>
      </c>
      <c r="B2809" t="str">
        <f>VLOOKUP(Tabla1[[#This Row],[Code]],[1]!Tabla4[#Data],2,FALSE)</f>
        <v>M2 Metamark M7 181 Rosa 1,22 x 50m</v>
      </c>
      <c r="C2809">
        <v>13</v>
      </c>
      <c r="D2809" t="s">
        <v>491</v>
      </c>
      <c r="E2809" t="str">
        <f>VLOOKUP(Tabla1[[#This Row],[Cód. Atributo]],[1]!Tabla5[#Data],6,FALSE)</f>
        <v>Color</v>
      </c>
      <c r="F2809">
        <v>2</v>
      </c>
      <c r="G2809">
        <v>48</v>
      </c>
      <c r="H2809" t="s">
        <v>1060</v>
      </c>
      <c r="I2809" t="str">
        <f>VLOOKUP(Tabla1[[#This Row],[Code]],'[1]Articulos Precio'!$A:$E,5,FALSE)</f>
        <v>A0000103</v>
      </c>
    </row>
    <row r="2810" spans="1:9" x14ac:dyDescent="0.25">
      <c r="A2810" t="s">
        <v>1061</v>
      </c>
      <c r="B2810" t="str">
        <f>VLOOKUP(Tabla1[[#This Row],[Code]],[1]!Tabla4[#Data],2,FALSE)</f>
        <v>M2 Metamark M7 181 Rosa 1,22 x 50m</v>
      </c>
      <c r="C2810">
        <v>23</v>
      </c>
      <c r="D2810" t="s">
        <v>90</v>
      </c>
      <c r="E2810" t="str">
        <f>VLOOKUP(Tabla1[[#This Row],[Cód. Atributo]],[1]!Tabla5[#Data],6,FALSE)</f>
        <v>Select</v>
      </c>
      <c r="F2810">
        <v>3</v>
      </c>
      <c r="G2810">
        <v>2</v>
      </c>
      <c r="H2810" t="s">
        <v>136</v>
      </c>
      <c r="I2810" t="str">
        <f>VLOOKUP(Tabla1[[#This Row],[Code]],'[1]Articulos Precio'!$A:$E,5,FALSE)</f>
        <v>A0000103</v>
      </c>
    </row>
    <row r="2811" spans="1:9" x14ac:dyDescent="0.25">
      <c r="A2811" t="s">
        <v>1061</v>
      </c>
      <c r="B2811" t="str">
        <f>VLOOKUP(Tabla1[[#This Row],[Code]],[1]!Tabla4[#Data],2,FALSE)</f>
        <v>M2 Metamark M7 181 Rosa 1,22 x 50m</v>
      </c>
      <c r="C2811">
        <v>28</v>
      </c>
      <c r="D2811" t="s">
        <v>92</v>
      </c>
      <c r="E2811" t="str">
        <f>VLOOKUP(Tabla1[[#This Row],[Cód. Atributo]],[1]!Tabla5[#Data],6,FALSE)</f>
        <v>Select</v>
      </c>
      <c r="F2811">
        <v>4</v>
      </c>
      <c r="G2811">
        <v>1</v>
      </c>
      <c r="H2811" t="s">
        <v>93</v>
      </c>
      <c r="I2811" t="str">
        <f>VLOOKUP(Tabla1[[#This Row],[Code]],'[1]Articulos Precio'!$A:$E,5,FALSE)</f>
        <v>A0000103</v>
      </c>
    </row>
    <row r="2812" spans="1:9" x14ac:dyDescent="0.25">
      <c r="A2812" t="s">
        <v>1062</v>
      </c>
      <c r="B2812" t="str">
        <f>VLOOKUP(Tabla1[[#This Row],[Code]],[1]!Tabla4[#Data],2,FALSE)</f>
        <v>1000006713 - Pad Cutter VS-640</v>
      </c>
      <c r="C2812">
        <v>100</v>
      </c>
      <c r="D2812" t="s">
        <v>979</v>
      </c>
      <c r="E2812" t="e">
        <f>VLOOKUP(Tabla1[[#This Row],[Cód. Atributo]],[1]!Tabla5[#Data],6,FALSE)</f>
        <v>#N/A</v>
      </c>
      <c r="F2812">
        <v>1</v>
      </c>
      <c r="G2812">
        <v>1</v>
      </c>
      <c r="I2812">
        <f>VLOOKUP(Tabla1[[#This Row],[Code]],'[1]Articulos Precio'!$A:$E,5,FALSE)</f>
        <v>0</v>
      </c>
    </row>
    <row r="2813" spans="1:9" x14ac:dyDescent="0.25">
      <c r="A2813" t="s">
        <v>1063</v>
      </c>
      <c r="B2813" t="str">
        <f>VLOOKUP(Tabla1[[#This Row],[Code]],[1]!Tabla4[#Data],2,FALSE)</f>
        <v>1000009646 - Pad Cutter XR-640</v>
      </c>
      <c r="C2813">
        <v>100</v>
      </c>
      <c r="D2813" t="s">
        <v>979</v>
      </c>
      <c r="E2813" t="e">
        <f>VLOOKUP(Tabla1[[#This Row],[Cód. Atributo]],[1]!Tabla5[#Data],6,FALSE)</f>
        <v>#N/A</v>
      </c>
      <c r="F2813">
        <v>1</v>
      </c>
      <c r="G2813">
        <v>1</v>
      </c>
      <c r="I2813">
        <f>VLOOKUP(Tabla1[[#This Row],[Code]],'[1]Articulos Precio'!$A:$E,5,FALSE)</f>
        <v>0</v>
      </c>
    </row>
    <row r="2814" spans="1:9" x14ac:dyDescent="0.25">
      <c r="A2814" t="s">
        <v>1061</v>
      </c>
      <c r="B2814" t="str">
        <f>VLOOKUP(Tabla1[[#This Row],[Code]],[1]!Tabla4[#Data],2,FALSE)</f>
        <v>M2 Metamark M7 181 Rosa 1,22 x 50m</v>
      </c>
      <c r="C2814">
        <v>25</v>
      </c>
      <c r="D2814" t="s">
        <v>94</v>
      </c>
      <c r="E2814" t="str">
        <f>VLOOKUP(Tabla1[[#This Row],[Cód. Atributo]],[1]!Tabla5[#Data],6,FALSE)</f>
        <v>Select</v>
      </c>
      <c r="F2814">
        <v>5</v>
      </c>
      <c r="G2814">
        <v>4</v>
      </c>
      <c r="H2814" t="s">
        <v>137</v>
      </c>
      <c r="I2814" t="str">
        <f>VLOOKUP(Tabla1[[#This Row],[Code]],'[1]Articulos Precio'!$A:$E,5,FALSE)</f>
        <v>A0000103</v>
      </c>
    </row>
    <row r="2815" spans="1:9" x14ac:dyDescent="0.25">
      <c r="A2815" t="s">
        <v>1061</v>
      </c>
      <c r="B2815" t="str">
        <f>VLOOKUP(Tabla1[[#This Row],[Code]],[1]!Tabla4[#Data],2,FALSE)</f>
        <v>M2 Metamark M7 181 Rosa 1,22 x 50m</v>
      </c>
      <c r="C2815">
        <v>24</v>
      </c>
      <c r="D2815" t="s">
        <v>96</v>
      </c>
      <c r="E2815" t="str">
        <f>VLOOKUP(Tabla1[[#This Row],[Cód. Atributo]],[1]!Tabla5[#Data],6,FALSE)</f>
        <v>Select</v>
      </c>
      <c r="F2815">
        <v>6</v>
      </c>
      <c r="G2815">
        <v>2</v>
      </c>
      <c r="H2815" t="s">
        <v>266</v>
      </c>
      <c r="I2815" t="str">
        <f>VLOOKUP(Tabla1[[#This Row],[Code]],'[1]Articulos Precio'!$A:$E,5,FALSE)</f>
        <v>A0000103</v>
      </c>
    </row>
    <row r="2816" spans="1:9" x14ac:dyDescent="0.25">
      <c r="A2816" t="s">
        <v>1064</v>
      </c>
      <c r="B2816" t="str">
        <f>VLOOKUP(Tabla1[[#This Row],[Code]],[1]!Tabla4[#Data],2,FALSE)</f>
        <v>M2 Metamark M7 182 Magenta 0,61 x 50m</v>
      </c>
      <c r="C2816">
        <v>8</v>
      </c>
      <c r="D2816" t="s">
        <v>86</v>
      </c>
      <c r="E2816" t="str">
        <f>VLOOKUP(Tabla1[[#This Row],[Cód. Atributo]],[1]!Tabla5[#Data],6,FALSE)</f>
        <v>Select</v>
      </c>
      <c r="F2816">
        <v>1</v>
      </c>
      <c r="G2816">
        <v>1</v>
      </c>
      <c r="H2816" t="s">
        <v>263</v>
      </c>
      <c r="I2816" t="str">
        <f>VLOOKUP(Tabla1[[#This Row],[Code]],'[1]Articulos Precio'!$A:$E,5,FALSE)</f>
        <v>A0000103</v>
      </c>
    </row>
    <row r="2817" spans="1:9" x14ac:dyDescent="0.25">
      <c r="A2817" t="s">
        <v>1064</v>
      </c>
      <c r="B2817" t="str">
        <f>VLOOKUP(Tabla1[[#This Row],[Code]],[1]!Tabla4[#Data],2,FALSE)</f>
        <v>M2 Metamark M7 182 Magenta 0,61 x 50m</v>
      </c>
      <c r="C2817">
        <v>13</v>
      </c>
      <c r="D2817" t="s">
        <v>491</v>
      </c>
      <c r="E2817" t="str">
        <f>VLOOKUP(Tabla1[[#This Row],[Cód. Atributo]],[1]!Tabla5[#Data],6,FALSE)</f>
        <v>Color</v>
      </c>
      <c r="F2817">
        <v>2</v>
      </c>
      <c r="G2817">
        <v>49</v>
      </c>
      <c r="H2817" t="s">
        <v>1065</v>
      </c>
      <c r="I2817" t="str">
        <f>VLOOKUP(Tabla1[[#This Row],[Code]],'[1]Articulos Precio'!$A:$E,5,FALSE)</f>
        <v>A0000103</v>
      </c>
    </row>
    <row r="2818" spans="1:9" x14ac:dyDescent="0.25">
      <c r="A2818" t="s">
        <v>1064</v>
      </c>
      <c r="B2818" t="str">
        <f>VLOOKUP(Tabla1[[#This Row],[Code]],[1]!Tabla4[#Data],2,FALSE)</f>
        <v>M2 Metamark M7 182 Magenta 0,61 x 50m</v>
      </c>
      <c r="C2818">
        <v>23</v>
      </c>
      <c r="D2818" t="s">
        <v>90</v>
      </c>
      <c r="E2818" t="str">
        <f>VLOOKUP(Tabla1[[#This Row],[Cód. Atributo]],[1]!Tabla5[#Data],6,FALSE)</f>
        <v>Select</v>
      </c>
      <c r="F2818">
        <v>3</v>
      </c>
      <c r="G2818">
        <v>2</v>
      </c>
      <c r="H2818" t="s">
        <v>136</v>
      </c>
      <c r="I2818" t="str">
        <f>VLOOKUP(Tabla1[[#This Row],[Code]],'[1]Articulos Precio'!$A:$E,5,FALSE)</f>
        <v>A0000103</v>
      </c>
    </row>
    <row r="2819" spans="1:9" x14ac:dyDescent="0.25">
      <c r="A2819" t="s">
        <v>1064</v>
      </c>
      <c r="B2819" t="str">
        <f>VLOOKUP(Tabla1[[#This Row],[Code]],[1]!Tabla4[#Data],2,FALSE)</f>
        <v>M2 Metamark M7 182 Magenta 0,61 x 50m</v>
      </c>
      <c r="C2819">
        <v>28</v>
      </c>
      <c r="D2819" t="s">
        <v>92</v>
      </c>
      <c r="E2819" t="str">
        <f>VLOOKUP(Tabla1[[#This Row],[Cód. Atributo]],[1]!Tabla5[#Data],6,FALSE)</f>
        <v>Select</v>
      </c>
      <c r="F2819">
        <v>4</v>
      </c>
      <c r="G2819">
        <v>1</v>
      </c>
      <c r="H2819" t="s">
        <v>93</v>
      </c>
      <c r="I2819" t="str">
        <f>VLOOKUP(Tabla1[[#This Row],[Code]],'[1]Articulos Precio'!$A:$E,5,FALSE)</f>
        <v>A0000103</v>
      </c>
    </row>
    <row r="2820" spans="1:9" x14ac:dyDescent="0.25">
      <c r="A2820" t="s">
        <v>1064</v>
      </c>
      <c r="B2820" t="str">
        <f>VLOOKUP(Tabla1[[#This Row],[Code]],[1]!Tabla4[#Data],2,FALSE)</f>
        <v>M2 Metamark M7 182 Magenta 0,61 x 50m</v>
      </c>
      <c r="C2820">
        <v>25</v>
      </c>
      <c r="D2820" t="s">
        <v>94</v>
      </c>
      <c r="E2820" t="str">
        <f>VLOOKUP(Tabla1[[#This Row],[Cód. Atributo]],[1]!Tabla5[#Data],6,FALSE)</f>
        <v>Select</v>
      </c>
      <c r="F2820">
        <v>5</v>
      </c>
      <c r="G2820">
        <v>4</v>
      </c>
      <c r="H2820" t="s">
        <v>137</v>
      </c>
      <c r="I2820" t="str">
        <f>VLOOKUP(Tabla1[[#This Row],[Code]],'[1]Articulos Precio'!$A:$E,5,FALSE)</f>
        <v>A0000103</v>
      </c>
    </row>
    <row r="2821" spans="1:9" x14ac:dyDescent="0.25">
      <c r="A2821" t="s">
        <v>1064</v>
      </c>
      <c r="B2821" t="str">
        <f>VLOOKUP(Tabla1[[#This Row],[Code]],[1]!Tabla4[#Data],2,FALSE)</f>
        <v>M2 Metamark M7 182 Magenta 0,61 x 50m</v>
      </c>
      <c r="C2821">
        <v>24</v>
      </c>
      <c r="D2821" t="s">
        <v>96</v>
      </c>
      <c r="E2821" t="str">
        <f>VLOOKUP(Tabla1[[#This Row],[Cód. Atributo]],[1]!Tabla5[#Data],6,FALSE)</f>
        <v>Select</v>
      </c>
      <c r="F2821">
        <v>6</v>
      </c>
      <c r="G2821">
        <v>2</v>
      </c>
      <c r="H2821" t="s">
        <v>266</v>
      </c>
      <c r="I2821" t="str">
        <f>VLOOKUP(Tabla1[[#This Row],[Code]],'[1]Articulos Precio'!$A:$E,5,FALSE)</f>
        <v>A0000103</v>
      </c>
    </row>
    <row r="2822" spans="1:9" x14ac:dyDescent="0.25">
      <c r="A2822" t="s">
        <v>1066</v>
      </c>
      <c r="B2822" t="str">
        <f>VLOOKUP(Tabla1[[#This Row],[Code]],[1]!Tabla4[#Data],2,FALSE)</f>
        <v>M2 Metamark M7 182 Magenta 1,22 x 50m</v>
      </c>
      <c r="C2822">
        <v>8</v>
      </c>
      <c r="D2822" t="s">
        <v>86</v>
      </c>
      <c r="E2822" t="str">
        <f>VLOOKUP(Tabla1[[#This Row],[Cód. Atributo]],[1]!Tabla5[#Data],6,FALSE)</f>
        <v>Select</v>
      </c>
      <c r="F2822">
        <v>1</v>
      </c>
      <c r="G2822">
        <v>2</v>
      </c>
      <c r="H2822" t="s">
        <v>268</v>
      </c>
      <c r="I2822" t="str">
        <f>VLOOKUP(Tabla1[[#This Row],[Code]],'[1]Articulos Precio'!$A:$E,5,FALSE)</f>
        <v>A0000103</v>
      </c>
    </row>
    <row r="2823" spans="1:9" x14ac:dyDescent="0.25">
      <c r="A2823" t="s">
        <v>1066</v>
      </c>
      <c r="B2823" t="str">
        <f>VLOOKUP(Tabla1[[#This Row],[Code]],[1]!Tabla4[#Data],2,FALSE)</f>
        <v>M2 Metamark M7 182 Magenta 1,22 x 50m</v>
      </c>
      <c r="C2823">
        <v>13</v>
      </c>
      <c r="D2823" t="s">
        <v>491</v>
      </c>
      <c r="E2823" t="str">
        <f>VLOOKUP(Tabla1[[#This Row],[Cód. Atributo]],[1]!Tabla5[#Data],6,FALSE)</f>
        <v>Color</v>
      </c>
      <c r="F2823">
        <v>2</v>
      </c>
      <c r="G2823">
        <v>49</v>
      </c>
      <c r="H2823" t="s">
        <v>1065</v>
      </c>
      <c r="I2823" t="str">
        <f>VLOOKUP(Tabla1[[#This Row],[Code]],'[1]Articulos Precio'!$A:$E,5,FALSE)</f>
        <v>A0000103</v>
      </c>
    </row>
    <row r="2824" spans="1:9" x14ac:dyDescent="0.25">
      <c r="A2824" t="s">
        <v>1066</v>
      </c>
      <c r="B2824" t="str">
        <f>VLOOKUP(Tabla1[[#This Row],[Code]],[1]!Tabla4[#Data],2,FALSE)</f>
        <v>M2 Metamark M7 182 Magenta 1,22 x 50m</v>
      </c>
      <c r="C2824">
        <v>23</v>
      </c>
      <c r="D2824" t="s">
        <v>90</v>
      </c>
      <c r="E2824" t="str">
        <f>VLOOKUP(Tabla1[[#This Row],[Cód. Atributo]],[1]!Tabla5[#Data],6,FALSE)</f>
        <v>Select</v>
      </c>
      <c r="F2824">
        <v>3</v>
      </c>
      <c r="G2824">
        <v>2</v>
      </c>
      <c r="H2824" t="s">
        <v>136</v>
      </c>
      <c r="I2824" t="str">
        <f>VLOOKUP(Tabla1[[#This Row],[Code]],'[1]Articulos Precio'!$A:$E,5,FALSE)</f>
        <v>A0000103</v>
      </c>
    </row>
    <row r="2825" spans="1:9" x14ac:dyDescent="0.25">
      <c r="A2825" t="s">
        <v>1066</v>
      </c>
      <c r="B2825" t="str">
        <f>VLOOKUP(Tabla1[[#This Row],[Code]],[1]!Tabla4[#Data],2,FALSE)</f>
        <v>M2 Metamark M7 182 Magenta 1,22 x 50m</v>
      </c>
      <c r="C2825">
        <v>28</v>
      </c>
      <c r="D2825" t="s">
        <v>92</v>
      </c>
      <c r="E2825" t="str">
        <f>VLOOKUP(Tabla1[[#This Row],[Cód. Atributo]],[1]!Tabla5[#Data],6,FALSE)</f>
        <v>Select</v>
      </c>
      <c r="F2825">
        <v>4</v>
      </c>
      <c r="G2825">
        <v>1</v>
      </c>
      <c r="H2825" t="s">
        <v>93</v>
      </c>
      <c r="I2825" t="str">
        <f>VLOOKUP(Tabla1[[#This Row],[Code]],'[1]Articulos Precio'!$A:$E,5,FALSE)</f>
        <v>A0000103</v>
      </c>
    </row>
    <row r="2826" spans="1:9" x14ac:dyDescent="0.25">
      <c r="A2826" t="s">
        <v>1066</v>
      </c>
      <c r="B2826" t="str">
        <f>VLOOKUP(Tabla1[[#This Row],[Code]],[1]!Tabla4[#Data],2,FALSE)</f>
        <v>M2 Metamark M7 182 Magenta 1,22 x 50m</v>
      </c>
      <c r="C2826">
        <v>25</v>
      </c>
      <c r="D2826" t="s">
        <v>94</v>
      </c>
      <c r="E2826" t="str">
        <f>VLOOKUP(Tabla1[[#This Row],[Cód. Atributo]],[1]!Tabla5[#Data],6,FALSE)</f>
        <v>Select</v>
      </c>
      <c r="F2826">
        <v>5</v>
      </c>
      <c r="G2826">
        <v>4</v>
      </c>
      <c r="H2826" t="s">
        <v>137</v>
      </c>
      <c r="I2826" t="str">
        <f>VLOOKUP(Tabla1[[#This Row],[Code]],'[1]Articulos Precio'!$A:$E,5,FALSE)</f>
        <v>A0000103</v>
      </c>
    </row>
    <row r="2827" spans="1:9" x14ac:dyDescent="0.25">
      <c r="A2827" t="s">
        <v>1066</v>
      </c>
      <c r="B2827" t="str">
        <f>VLOOKUP(Tabla1[[#This Row],[Code]],[1]!Tabla4[#Data],2,FALSE)</f>
        <v>M2 Metamark M7 182 Magenta 1,22 x 50m</v>
      </c>
      <c r="C2827">
        <v>24</v>
      </c>
      <c r="D2827" t="s">
        <v>96</v>
      </c>
      <c r="E2827" t="str">
        <f>VLOOKUP(Tabla1[[#This Row],[Cód. Atributo]],[1]!Tabla5[#Data],6,FALSE)</f>
        <v>Select</v>
      </c>
      <c r="F2827">
        <v>6</v>
      </c>
      <c r="G2827">
        <v>2</v>
      </c>
      <c r="H2827" t="s">
        <v>266</v>
      </c>
      <c r="I2827" t="str">
        <f>VLOOKUP(Tabla1[[#This Row],[Code]],'[1]Articulos Precio'!$A:$E,5,FALSE)</f>
        <v>A0000103</v>
      </c>
    </row>
    <row r="2828" spans="1:9" x14ac:dyDescent="0.25">
      <c r="A2828" t="s">
        <v>1067</v>
      </c>
      <c r="B2828" t="str">
        <f>VLOOKUP(Tabla1[[#This Row],[Code]],[1]!Tabla4[#Data],2,FALSE)</f>
        <v>M2 Metamark M7 183 Violeta 0,61 x 50m</v>
      </c>
      <c r="C2828">
        <v>8</v>
      </c>
      <c r="D2828" t="s">
        <v>86</v>
      </c>
      <c r="E2828" t="str">
        <f>VLOOKUP(Tabla1[[#This Row],[Cód. Atributo]],[1]!Tabla5[#Data],6,FALSE)</f>
        <v>Select</v>
      </c>
      <c r="F2828">
        <v>1</v>
      </c>
      <c r="G2828">
        <v>1</v>
      </c>
      <c r="H2828" t="s">
        <v>263</v>
      </c>
      <c r="I2828" t="str">
        <f>VLOOKUP(Tabla1[[#This Row],[Code]],'[1]Articulos Precio'!$A:$E,5,FALSE)</f>
        <v>A0000103</v>
      </c>
    </row>
    <row r="2829" spans="1:9" x14ac:dyDescent="0.25">
      <c r="A2829" t="s">
        <v>1067</v>
      </c>
      <c r="B2829" t="str">
        <f>VLOOKUP(Tabla1[[#This Row],[Code]],[1]!Tabla4[#Data],2,FALSE)</f>
        <v>M2 Metamark M7 183 Violeta 0,61 x 50m</v>
      </c>
      <c r="C2829">
        <v>13</v>
      </c>
      <c r="D2829" t="s">
        <v>491</v>
      </c>
      <c r="E2829" t="str">
        <f>VLOOKUP(Tabla1[[#This Row],[Cód. Atributo]],[1]!Tabla5[#Data],6,FALSE)</f>
        <v>Color</v>
      </c>
      <c r="F2829">
        <v>2</v>
      </c>
      <c r="G2829">
        <v>50</v>
      </c>
      <c r="H2829" t="s">
        <v>1068</v>
      </c>
      <c r="I2829" t="str">
        <f>VLOOKUP(Tabla1[[#This Row],[Code]],'[1]Articulos Precio'!$A:$E,5,FALSE)</f>
        <v>A0000103</v>
      </c>
    </row>
    <row r="2830" spans="1:9" x14ac:dyDescent="0.25">
      <c r="A2830" t="s">
        <v>1067</v>
      </c>
      <c r="B2830" t="str">
        <f>VLOOKUP(Tabla1[[#This Row],[Code]],[1]!Tabla4[#Data],2,FALSE)</f>
        <v>M2 Metamark M7 183 Violeta 0,61 x 50m</v>
      </c>
      <c r="C2830">
        <v>23</v>
      </c>
      <c r="D2830" t="s">
        <v>90</v>
      </c>
      <c r="E2830" t="str">
        <f>VLOOKUP(Tabla1[[#This Row],[Cód. Atributo]],[1]!Tabla5[#Data],6,FALSE)</f>
        <v>Select</v>
      </c>
      <c r="F2830">
        <v>3</v>
      </c>
      <c r="G2830">
        <v>2</v>
      </c>
      <c r="H2830" t="s">
        <v>136</v>
      </c>
      <c r="I2830" t="str">
        <f>VLOOKUP(Tabla1[[#This Row],[Code]],'[1]Articulos Precio'!$A:$E,5,FALSE)</f>
        <v>A0000103</v>
      </c>
    </row>
    <row r="2831" spans="1:9" x14ac:dyDescent="0.25">
      <c r="A2831" t="s">
        <v>1067</v>
      </c>
      <c r="B2831" t="str">
        <f>VLOOKUP(Tabla1[[#This Row],[Code]],[1]!Tabla4[#Data],2,FALSE)</f>
        <v>M2 Metamark M7 183 Violeta 0,61 x 50m</v>
      </c>
      <c r="C2831">
        <v>28</v>
      </c>
      <c r="D2831" t="s">
        <v>92</v>
      </c>
      <c r="E2831" t="str">
        <f>VLOOKUP(Tabla1[[#This Row],[Cód. Atributo]],[1]!Tabla5[#Data],6,FALSE)</f>
        <v>Select</v>
      </c>
      <c r="F2831">
        <v>4</v>
      </c>
      <c r="G2831">
        <v>1</v>
      </c>
      <c r="H2831" t="s">
        <v>93</v>
      </c>
      <c r="I2831" t="str">
        <f>VLOOKUP(Tabla1[[#This Row],[Code]],'[1]Articulos Precio'!$A:$E,5,FALSE)</f>
        <v>A0000103</v>
      </c>
    </row>
    <row r="2832" spans="1:9" x14ac:dyDescent="0.25">
      <c r="A2832" t="s">
        <v>1067</v>
      </c>
      <c r="B2832" t="str">
        <f>VLOOKUP(Tabla1[[#This Row],[Code]],[1]!Tabla4[#Data],2,FALSE)</f>
        <v>M2 Metamark M7 183 Violeta 0,61 x 50m</v>
      </c>
      <c r="C2832">
        <v>25</v>
      </c>
      <c r="D2832" t="s">
        <v>94</v>
      </c>
      <c r="E2832" t="str">
        <f>VLOOKUP(Tabla1[[#This Row],[Cód. Atributo]],[1]!Tabla5[#Data],6,FALSE)</f>
        <v>Select</v>
      </c>
      <c r="F2832">
        <v>5</v>
      </c>
      <c r="G2832">
        <v>4</v>
      </c>
      <c r="H2832" t="s">
        <v>137</v>
      </c>
      <c r="I2832" t="str">
        <f>VLOOKUP(Tabla1[[#This Row],[Code]],'[1]Articulos Precio'!$A:$E,5,FALSE)</f>
        <v>A0000103</v>
      </c>
    </row>
    <row r="2833" spans="1:9" x14ac:dyDescent="0.25">
      <c r="A2833" t="s">
        <v>1067</v>
      </c>
      <c r="B2833" t="str">
        <f>VLOOKUP(Tabla1[[#This Row],[Code]],[1]!Tabla4[#Data],2,FALSE)</f>
        <v>M2 Metamark M7 183 Violeta 0,61 x 50m</v>
      </c>
      <c r="C2833">
        <v>24</v>
      </c>
      <c r="D2833" t="s">
        <v>96</v>
      </c>
      <c r="E2833" t="str">
        <f>VLOOKUP(Tabla1[[#This Row],[Cód. Atributo]],[1]!Tabla5[#Data],6,FALSE)</f>
        <v>Select</v>
      </c>
      <c r="F2833">
        <v>6</v>
      </c>
      <c r="G2833">
        <v>2</v>
      </c>
      <c r="H2833" t="s">
        <v>266</v>
      </c>
      <c r="I2833" t="str">
        <f>VLOOKUP(Tabla1[[#This Row],[Code]],'[1]Articulos Precio'!$A:$E,5,FALSE)</f>
        <v>A0000103</v>
      </c>
    </row>
    <row r="2834" spans="1:9" x14ac:dyDescent="0.25">
      <c r="A2834" t="s">
        <v>1069</v>
      </c>
      <c r="B2834" t="str">
        <f>VLOOKUP(Tabla1[[#This Row],[Code]],[1]!Tabla4[#Data],2,FALSE)</f>
        <v>M2 Metamark M7 183 Violeta 1,22 x 50m</v>
      </c>
      <c r="C2834">
        <v>8</v>
      </c>
      <c r="D2834" t="s">
        <v>86</v>
      </c>
      <c r="E2834" t="str">
        <f>VLOOKUP(Tabla1[[#This Row],[Cód. Atributo]],[1]!Tabla5[#Data],6,FALSE)</f>
        <v>Select</v>
      </c>
      <c r="F2834">
        <v>1</v>
      </c>
      <c r="G2834">
        <v>2</v>
      </c>
      <c r="H2834" t="s">
        <v>268</v>
      </c>
      <c r="I2834" t="str">
        <f>VLOOKUP(Tabla1[[#This Row],[Code]],'[1]Articulos Precio'!$A:$E,5,FALSE)</f>
        <v>A0000103</v>
      </c>
    </row>
    <row r="2835" spans="1:9" x14ac:dyDescent="0.25">
      <c r="A2835" t="s">
        <v>1069</v>
      </c>
      <c r="B2835" t="str">
        <f>VLOOKUP(Tabla1[[#This Row],[Code]],[1]!Tabla4[#Data],2,FALSE)</f>
        <v>M2 Metamark M7 183 Violeta 1,22 x 50m</v>
      </c>
      <c r="C2835">
        <v>13</v>
      </c>
      <c r="D2835" t="s">
        <v>491</v>
      </c>
      <c r="E2835" t="str">
        <f>VLOOKUP(Tabla1[[#This Row],[Cód. Atributo]],[1]!Tabla5[#Data],6,FALSE)</f>
        <v>Color</v>
      </c>
      <c r="F2835">
        <v>2</v>
      </c>
      <c r="G2835">
        <v>50</v>
      </c>
      <c r="H2835" t="s">
        <v>1068</v>
      </c>
      <c r="I2835" t="str">
        <f>VLOOKUP(Tabla1[[#This Row],[Code]],'[1]Articulos Precio'!$A:$E,5,FALSE)</f>
        <v>A0000103</v>
      </c>
    </row>
    <row r="2836" spans="1:9" x14ac:dyDescent="0.25">
      <c r="A2836" t="s">
        <v>1069</v>
      </c>
      <c r="B2836" t="str">
        <f>VLOOKUP(Tabla1[[#This Row],[Code]],[1]!Tabla4[#Data],2,FALSE)</f>
        <v>M2 Metamark M7 183 Violeta 1,22 x 50m</v>
      </c>
      <c r="C2836">
        <v>23</v>
      </c>
      <c r="D2836" t="s">
        <v>90</v>
      </c>
      <c r="E2836" t="str">
        <f>VLOOKUP(Tabla1[[#This Row],[Cód. Atributo]],[1]!Tabla5[#Data],6,FALSE)</f>
        <v>Select</v>
      </c>
      <c r="F2836">
        <v>3</v>
      </c>
      <c r="G2836">
        <v>2</v>
      </c>
      <c r="H2836" t="s">
        <v>136</v>
      </c>
      <c r="I2836" t="str">
        <f>VLOOKUP(Tabla1[[#This Row],[Code]],'[1]Articulos Precio'!$A:$E,5,FALSE)</f>
        <v>A0000103</v>
      </c>
    </row>
    <row r="2837" spans="1:9" x14ac:dyDescent="0.25">
      <c r="A2837" t="s">
        <v>1069</v>
      </c>
      <c r="B2837" t="str">
        <f>VLOOKUP(Tabla1[[#This Row],[Code]],[1]!Tabla4[#Data],2,FALSE)</f>
        <v>M2 Metamark M7 183 Violeta 1,22 x 50m</v>
      </c>
      <c r="C2837">
        <v>28</v>
      </c>
      <c r="D2837" t="s">
        <v>92</v>
      </c>
      <c r="E2837" t="str">
        <f>VLOOKUP(Tabla1[[#This Row],[Cód. Atributo]],[1]!Tabla5[#Data],6,FALSE)</f>
        <v>Select</v>
      </c>
      <c r="F2837">
        <v>4</v>
      </c>
      <c r="G2837">
        <v>1</v>
      </c>
      <c r="H2837" t="s">
        <v>93</v>
      </c>
      <c r="I2837" t="str">
        <f>VLOOKUP(Tabla1[[#This Row],[Code]],'[1]Articulos Precio'!$A:$E,5,FALSE)</f>
        <v>A0000103</v>
      </c>
    </row>
    <row r="2838" spans="1:9" x14ac:dyDescent="0.25">
      <c r="A2838" t="s">
        <v>1069</v>
      </c>
      <c r="B2838" t="str">
        <f>VLOOKUP(Tabla1[[#This Row],[Code]],[1]!Tabla4[#Data],2,FALSE)</f>
        <v>M2 Metamark M7 183 Violeta 1,22 x 50m</v>
      </c>
      <c r="C2838">
        <v>25</v>
      </c>
      <c r="D2838" t="s">
        <v>94</v>
      </c>
      <c r="E2838" t="str">
        <f>VLOOKUP(Tabla1[[#This Row],[Cód. Atributo]],[1]!Tabla5[#Data],6,FALSE)</f>
        <v>Select</v>
      </c>
      <c r="F2838">
        <v>5</v>
      </c>
      <c r="G2838">
        <v>4</v>
      </c>
      <c r="H2838" t="s">
        <v>137</v>
      </c>
      <c r="I2838" t="str">
        <f>VLOOKUP(Tabla1[[#This Row],[Code]],'[1]Articulos Precio'!$A:$E,5,FALSE)</f>
        <v>A0000103</v>
      </c>
    </row>
    <row r="2839" spans="1:9" x14ac:dyDescent="0.25">
      <c r="A2839" t="s">
        <v>1069</v>
      </c>
      <c r="B2839" t="str">
        <f>VLOOKUP(Tabla1[[#This Row],[Code]],[1]!Tabla4[#Data],2,FALSE)</f>
        <v>M2 Metamark M7 183 Violeta 1,22 x 50m</v>
      </c>
      <c r="C2839">
        <v>24</v>
      </c>
      <c r="D2839" t="s">
        <v>96</v>
      </c>
      <c r="E2839" t="str">
        <f>VLOOKUP(Tabla1[[#This Row],[Cód. Atributo]],[1]!Tabla5[#Data],6,FALSE)</f>
        <v>Select</v>
      </c>
      <c r="F2839">
        <v>6</v>
      </c>
      <c r="G2839">
        <v>2</v>
      </c>
      <c r="H2839" t="s">
        <v>266</v>
      </c>
      <c r="I2839" t="str">
        <f>VLOOKUP(Tabla1[[#This Row],[Code]],'[1]Articulos Precio'!$A:$E,5,FALSE)</f>
        <v>A0000103</v>
      </c>
    </row>
    <row r="2840" spans="1:9" x14ac:dyDescent="0.25">
      <c r="A2840" t="s">
        <v>1070</v>
      </c>
      <c r="B2840" t="str">
        <f>VLOOKUP(Tabla1[[#This Row],[Code]],[1]!Tabla4[#Data],2,FALSE)</f>
        <v>M2 Metamark M7 184 Malva 0,61 x 50m</v>
      </c>
      <c r="C2840">
        <v>8</v>
      </c>
      <c r="D2840" t="s">
        <v>86</v>
      </c>
      <c r="E2840" t="str">
        <f>VLOOKUP(Tabla1[[#This Row],[Cód. Atributo]],[1]!Tabla5[#Data],6,FALSE)</f>
        <v>Select</v>
      </c>
      <c r="F2840">
        <v>1</v>
      </c>
      <c r="G2840">
        <v>1</v>
      </c>
      <c r="H2840" t="s">
        <v>263</v>
      </c>
      <c r="I2840" t="str">
        <f>VLOOKUP(Tabla1[[#This Row],[Code]],'[1]Articulos Precio'!$A:$E,5,FALSE)</f>
        <v>A0000103</v>
      </c>
    </row>
    <row r="2841" spans="1:9" x14ac:dyDescent="0.25">
      <c r="A2841" t="s">
        <v>1070</v>
      </c>
      <c r="B2841" t="str">
        <f>VLOOKUP(Tabla1[[#This Row],[Code]],[1]!Tabla4[#Data],2,FALSE)</f>
        <v>M2 Metamark M7 184 Malva 0,61 x 50m</v>
      </c>
      <c r="C2841">
        <v>13</v>
      </c>
      <c r="D2841" t="s">
        <v>491</v>
      </c>
      <c r="E2841" t="str">
        <f>VLOOKUP(Tabla1[[#This Row],[Cód. Atributo]],[1]!Tabla5[#Data],6,FALSE)</f>
        <v>Color</v>
      </c>
      <c r="F2841">
        <v>2</v>
      </c>
      <c r="G2841">
        <v>51</v>
      </c>
      <c r="H2841" t="s">
        <v>1071</v>
      </c>
      <c r="I2841" t="str">
        <f>VLOOKUP(Tabla1[[#This Row],[Code]],'[1]Articulos Precio'!$A:$E,5,FALSE)</f>
        <v>A0000103</v>
      </c>
    </row>
    <row r="2842" spans="1:9" x14ac:dyDescent="0.25">
      <c r="A2842" t="s">
        <v>1070</v>
      </c>
      <c r="B2842" t="str">
        <f>VLOOKUP(Tabla1[[#This Row],[Code]],[1]!Tabla4[#Data],2,FALSE)</f>
        <v>M2 Metamark M7 184 Malva 0,61 x 50m</v>
      </c>
      <c r="C2842">
        <v>23</v>
      </c>
      <c r="D2842" t="s">
        <v>90</v>
      </c>
      <c r="E2842" t="str">
        <f>VLOOKUP(Tabla1[[#This Row],[Cód. Atributo]],[1]!Tabla5[#Data],6,FALSE)</f>
        <v>Select</v>
      </c>
      <c r="F2842">
        <v>3</v>
      </c>
      <c r="G2842">
        <v>2</v>
      </c>
      <c r="H2842" t="s">
        <v>136</v>
      </c>
      <c r="I2842" t="str">
        <f>VLOOKUP(Tabla1[[#This Row],[Code]],'[1]Articulos Precio'!$A:$E,5,FALSE)</f>
        <v>A0000103</v>
      </c>
    </row>
    <row r="2843" spans="1:9" x14ac:dyDescent="0.25">
      <c r="A2843" t="s">
        <v>1070</v>
      </c>
      <c r="B2843" t="str">
        <f>VLOOKUP(Tabla1[[#This Row],[Code]],[1]!Tabla4[#Data],2,FALSE)</f>
        <v>M2 Metamark M7 184 Malva 0,61 x 50m</v>
      </c>
      <c r="C2843">
        <v>28</v>
      </c>
      <c r="D2843" t="s">
        <v>92</v>
      </c>
      <c r="E2843" t="str">
        <f>VLOOKUP(Tabla1[[#This Row],[Cód. Atributo]],[1]!Tabla5[#Data],6,FALSE)</f>
        <v>Select</v>
      </c>
      <c r="F2843">
        <v>4</v>
      </c>
      <c r="G2843">
        <v>1</v>
      </c>
      <c r="H2843" t="s">
        <v>93</v>
      </c>
      <c r="I2843" t="str">
        <f>VLOOKUP(Tabla1[[#This Row],[Code]],'[1]Articulos Precio'!$A:$E,5,FALSE)</f>
        <v>A0000103</v>
      </c>
    </row>
    <row r="2844" spans="1:9" x14ac:dyDescent="0.25">
      <c r="A2844" t="s">
        <v>1070</v>
      </c>
      <c r="B2844" t="str">
        <f>VLOOKUP(Tabla1[[#This Row],[Code]],[1]!Tabla4[#Data],2,FALSE)</f>
        <v>M2 Metamark M7 184 Malva 0,61 x 50m</v>
      </c>
      <c r="C2844">
        <v>25</v>
      </c>
      <c r="D2844" t="s">
        <v>94</v>
      </c>
      <c r="E2844" t="str">
        <f>VLOOKUP(Tabla1[[#This Row],[Cód. Atributo]],[1]!Tabla5[#Data],6,FALSE)</f>
        <v>Select</v>
      </c>
      <c r="F2844">
        <v>5</v>
      </c>
      <c r="G2844">
        <v>4</v>
      </c>
      <c r="H2844" t="s">
        <v>137</v>
      </c>
      <c r="I2844" t="str">
        <f>VLOOKUP(Tabla1[[#This Row],[Code]],'[1]Articulos Precio'!$A:$E,5,FALSE)</f>
        <v>A0000103</v>
      </c>
    </row>
    <row r="2845" spans="1:9" x14ac:dyDescent="0.25">
      <c r="A2845" t="s">
        <v>1070</v>
      </c>
      <c r="B2845" t="str">
        <f>VLOOKUP(Tabla1[[#This Row],[Code]],[1]!Tabla4[#Data],2,FALSE)</f>
        <v>M2 Metamark M7 184 Malva 0,61 x 50m</v>
      </c>
      <c r="C2845">
        <v>24</v>
      </c>
      <c r="D2845" t="s">
        <v>96</v>
      </c>
      <c r="E2845" t="str">
        <f>VLOOKUP(Tabla1[[#This Row],[Cód. Atributo]],[1]!Tabla5[#Data],6,FALSE)</f>
        <v>Select</v>
      </c>
      <c r="F2845">
        <v>6</v>
      </c>
      <c r="G2845">
        <v>2</v>
      </c>
      <c r="H2845" t="s">
        <v>266</v>
      </c>
      <c r="I2845" t="str">
        <f>VLOOKUP(Tabla1[[#This Row],[Code]],'[1]Articulos Precio'!$A:$E,5,FALSE)</f>
        <v>A0000103</v>
      </c>
    </row>
    <row r="2846" spans="1:9" x14ac:dyDescent="0.25">
      <c r="A2846" t="s">
        <v>1072</v>
      </c>
      <c r="B2846" t="str">
        <f>VLOOKUP(Tabla1[[#This Row],[Code]],[1]!Tabla4[#Data],2,FALSE)</f>
        <v>M2 Metamark M7 184 Malva 1,22 x 50m</v>
      </c>
      <c r="C2846">
        <v>8</v>
      </c>
      <c r="D2846" t="s">
        <v>86</v>
      </c>
      <c r="E2846" t="str">
        <f>VLOOKUP(Tabla1[[#This Row],[Cód. Atributo]],[1]!Tabla5[#Data],6,FALSE)</f>
        <v>Select</v>
      </c>
      <c r="F2846">
        <v>1</v>
      </c>
      <c r="G2846">
        <v>2</v>
      </c>
      <c r="H2846" t="s">
        <v>268</v>
      </c>
      <c r="I2846" t="str">
        <f>VLOOKUP(Tabla1[[#This Row],[Code]],'[1]Articulos Precio'!$A:$E,5,FALSE)</f>
        <v>A0000103</v>
      </c>
    </row>
    <row r="2847" spans="1:9" x14ac:dyDescent="0.25">
      <c r="A2847" t="s">
        <v>1072</v>
      </c>
      <c r="B2847" t="str">
        <f>VLOOKUP(Tabla1[[#This Row],[Code]],[1]!Tabla4[#Data],2,FALSE)</f>
        <v>M2 Metamark M7 184 Malva 1,22 x 50m</v>
      </c>
      <c r="C2847">
        <v>13</v>
      </c>
      <c r="D2847" t="s">
        <v>491</v>
      </c>
      <c r="E2847" t="str">
        <f>VLOOKUP(Tabla1[[#This Row],[Cód. Atributo]],[1]!Tabla5[#Data],6,FALSE)</f>
        <v>Color</v>
      </c>
      <c r="F2847">
        <v>2</v>
      </c>
      <c r="G2847">
        <v>51</v>
      </c>
      <c r="H2847" t="s">
        <v>1071</v>
      </c>
      <c r="I2847" t="str">
        <f>VLOOKUP(Tabla1[[#This Row],[Code]],'[1]Articulos Precio'!$A:$E,5,FALSE)</f>
        <v>A0000103</v>
      </c>
    </row>
    <row r="2848" spans="1:9" x14ac:dyDescent="0.25">
      <c r="A2848" t="s">
        <v>1072</v>
      </c>
      <c r="B2848" t="str">
        <f>VLOOKUP(Tabla1[[#This Row],[Code]],[1]!Tabla4[#Data],2,FALSE)</f>
        <v>M2 Metamark M7 184 Malva 1,22 x 50m</v>
      </c>
      <c r="C2848">
        <v>23</v>
      </c>
      <c r="D2848" t="s">
        <v>90</v>
      </c>
      <c r="E2848" t="str">
        <f>VLOOKUP(Tabla1[[#This Row],[Cód. Atributo]],[1]!Tabla5[#Data],6,FALSE)</f>
        <v>Select</v>
      </c>
      <c r="F2848">
        <v>3</v>
      </c>
      <c r="G2848">
        <v>2</v>
      </c>
      <c r="H2848" t="s">
        <v>136</v>
      </c>
      <c r="I2848" t="str">
        <f>VLOOKUP(Tabla1[[#This Row],[Code]],'[1]Articulos Precio'!$A:$E,5,FALSE)</f>
        <v>A0000103</v>
      </c>
    </row>
    <row r="2849" spans="1:9" x14ac:dyDescent="0.25">
      <c r="A2849" t="s">
        <v>1072</v>
      </c>
      <c r="B2849" t="str">
        <f>VLOOKUP(Tabla1[[#This Row],[Code]],[1]!Tabla4[#Data],2,FALSE)</f>
        <v>M2 Metamark M7 184 Malva 1,22 x 50m</v>
      </c>
      <c r="C2849">
        <v>28</v>
      </c>
      <c r="D2849" t="s">
        <v>92</v>
      </c>
      <c r="E2849" t="str">
        <f>VLOOKUP(Tabla1[[#This Row],[Cód. Atributo]],[1]!Tabla5[#Data],6,FALSE)</f>
        <v>Select</v>
      </c>
      <c r="F2849">
        <v>4</v>
      </c>
      <c r="G2849">
        <v>1</v>
      </c>
      <c r="H2849" t="s">
        <v>93</v>
      </c>
      <c r="I2849" t="str">
        <f>VLOOKUP(Tabla1[[#This Row],[Code]],'[1]Articulos Precio'!$A:$E,5,FALSE)</f>
        <v>A0000103</v>
      </c>
    </row>
    <row r="2850" spans="1:9" x14ac:dyDescent="0.25">
      <c r="A2850" t="s">
        <v>1072</v>
      </c>
      <c r="B2850" t="str">
        <f>VLOOKUP(Tabla1[[#This Row],[Code]],[1]!Tabla4[#Data],2,FALSE)</f>
        <v>M2 Metamark M7 184 Malva 1,22 x 50m</v>
      </c>
      <c r="C2850">
        <v>25</v>
      </c>
      <c r="D2850" t="s">
        <v>94</v>
      </c>
      <c r="E2850" t="str">
        <f>VLOOKUP(Tabla1[[#This Row],[Cód. Atributo]],[1]!Tabla5[#Data],6,FALSE)</f>
        <v>Select</v>
      </c>
      <c r="F2850">
        <v>5</v>
      </c>
      <c r="G2850">
        <v>4</v>
      </c>
      <c r="H2850" t="s">
        <v>137</v>
      </c>
      <c r="I2850" t="str">
        <f>VLOOKUP(Tabla1[[#This Row],[Code]],'[1]Articulos Precio'!$A:$E,5,FALSE)</f>
        <v>A0000103</v>
      </c>
    </row>
    <row r="2851" spans="1:9" x14ac:dyDescent="0.25">
      <c r="A2851" t="s">
        <v>1072</v>
      </c>
      <c r="B2851" t="str">
        <f>VLOOKUP(Tabla1[[#This Row],[Code]],[1]!Tabla4[#Data],2,FALSE)</f>
        <v>M2 Metamark M7 184 Malva 1,22 x 50m</v>
      </c>
      <c r="C2851">
        <v>24</v>
      </c>
      <c r="D2851" t="s">
        <v>96</v>
      </c>
      <c r="E2851" t="str">
        <f>VLOOKUP(Tabla1[[#This Row],[Cód. Atributo]],[1]!Tabla5[#Data],6,FALSE)</f>
        <v>Select</v>
      </c>
      <c r="F2851">
        <v>6</v>
      </c>
      <c r="G2851">
        <v>2</v>
      </c>
      <c r="H2851" t="s">
        <v>266</v>
      </c>
      <c r="I2851" t="str">
        <f>VLOOKUP(Tabla1[[#This Row],[Code]],'[1]Articulos Precio'!$A:$E,5,FALSE)</f>
        <v>A0000103</v>
      </c>
    </row>
    <row r="2852" spans="1:9" x14ac:dyDescent="0.25">
      <c r="A2852" t="s">
        <v>1073</v>
      </c>
      <c r="B2852" t="str">
        <f>VLOOKUP(Tabla1[[#This Row],[Code]],[1]!Tabla4[#Data],2,FALSE)</f>
        <v>M2 Metamark M7 185 Azul Oscuro 0,61 x 50m</v>
      </c>
      <c r="C2852">
        <v>8</v>
      </c>
      <c r="D2852" t="s">
        <v>86</v>
      </c>
      <c r="E2852" t="str">
        <f>VLOOKUP(Tabla1[[#This Row],[Cód. Atributo]],[1]!Tabla5[#Data],6,FALSE)</f>
        <v>Select</v>
      </c>
      <c r="F2852">
        <v>1</v>
      </c>
      <c r="G2852">
        <v>1</v>
      </c>
      <c r="H2852" t="s">
        <v>263</v>
      </c>
      <c r="I2852" t="str">
        <f>VLOOKUP(Tabla1[[#This Row],[Code]],'[1]Articulos Precio'!$A:$E,5,FALSE)</f>
        <v>A0000103</v>
      </c>
    </row>
    <row r="2853" spans="1:9" x14ac:dyDescent="0.25">
      <c r="A2853" t="s">
        <v>1073</v>
      </c>
      <c r="B2853" t="str">
        <f>VLOOKUP(Tabla1[[#This Row],[Code]],[1]!Tabla4[#Data],2,FALSE)</f>
        <v>M2 Metamark M7 185 Azul Oscuro 0,61 x 50m</v>
      </c>
      <c r="C2853">
        <v>13</v>
      </c>
      <c r="D2853" t="s">
        <v>491</v>
      </c>
      <c r="E2853" t="str">
        <f>VLOOKUP(Tabla1[[#This Row],[Cód. Atributo]],[1]!Tabla5[#Data],6,FALSE)</f>
        <v>Color</v>
      </c>
      <c r="F2853">
        <v>2</v>
      </c>
      <c r="G2853">
        <v>81</v>
      </c>
      <c r="H2853" t="s">
        <v>1074</v>
      </c>
      <c r="I2853" t="str">
        <f>VLOOKUP(Tabla1[[#This Row],[Code]],'[1]Articulos Precio'!$A:$E,5,FALSE)</f>
        <v>A0000103</v>
      </c>
    </row>
    <row r="2854" spans="1:9" x14ac:dyDescent="0.25">
      <c r="A2854" t="s">
        <v>1073</v>
      </c>
      <c r="B2854" t="str">
        <f>VLOOKUP(Tabla1[[#This Row],[Code]],[1]!Tabla4[#Data],2,FALSE)</f>
        <v>M2 Metamark M7 185 Azul Oscuro 0,61 x 50m</v>
      </c>
      <c r="C2854">
        <v>23</v>
      </c>
      <c r="D2854" t="s">
        <v>90</v>
      </c>
      <c r="E2854" t="str">
        <f>VLOOKUP(Tabla1[[#This Row],[Cód. Atributo]],[1]!Tabla5[#Data],6,FALSE)</f>
        <v>Select</v>
      </c>
      <c r="F2854">
        <v>3</v>
      </c>
      <c r="G2854">
        <v>2</v>
      </c>
      <c r="H2854" t="s">
        <v>136</v>
      </c>
      <c r="I2854" t="str">
        <f>VLOOKUP(Tabla1[[#This Row],[Code]],'[1]Articulos Precio'!$A:$E,5,FALSE)</f>
        <v>A0000103</v>
      </c>
    </row>
    <row r="2855" spans="1:9" x14ac:dyDescent="0.25">
      <c r="A2855" t="s">
        <v>1073</v>
      </c>
      <c r="B2855" t="str">
        <f>VLOOKUP(Tabla1[[#This Row],[Code]],[1]!Tabla4[#Data],2,FALSE)</f>
        <v>M2 Metamark M7 185 Azul Oscuro 0,61 x 50m</v>
      </c>
      <c r="C2855">
        <v>28</v>
      </c>
      <c r="D2855" t="s">
        <v>92</v>
      </c>
      <c r="E2855" t="str">
        <f>VLOOKUP(Tabla1[[#This Row],[Cód. Atributo]],[1]!Tabla5[#Data],6,FALSE)</f>
        <v>Select</v>
      </c>
      <c r="F2855">
        <v>4</v>
      </c>
      <c r="G2855">
        <v>1</v>
      </c>
      <c r="H2855" t="s">
        <v>93</v>
      </c>
      <c r="I2855" t="str">
        <f>VLOOKUP(Tabla1[[#This Row],[Code]],'[1]Articulos Precio'!$A:$E,5,FALSE)</f>
        <v>A0000103</v>
      </c>
    </row>
    <row r="2856" spans="1:9" x14ac:dyDescent="0.25">
      <c r="A2856" t="s">
        <v>1073</v>
      </c>
      <c r="B2856" t="str">
        <f>VLOOKUP(Tabla1[[#This Row],[Code]],[1]!Tabla4[#Data],2,FALSE)</f>
        <v>M2 Metamark M7 185 Azul Oscuro 0,61 x 50m</v>
      </c>
      <c r="C2856">
        <v>25</v>
      </c>
      <c r="D2856" t="s">
        <v>94</v>
      </c>
      <c r="E2856" t="str">
        <f>VLOOKUP(Tabla1[[#This Row],[Cód. Atributo]],[1]!Tabla5[#Data],6,FALSE)</f>
        <v>Select</v>
      </c>
      <c r="F2856">
        <v>5</v>
      </c>
      <c r="G2856">
        <v>4</v>
      </c>
      <c r="H2856" t="s">
        <v>137</v>
      </c>
      <c r="I2856" t="str">
        <f>VLOOKUP(Tabla1[[#This Row],[Code]],'[1]Articulos Precio'!$A:$E,5,FALSE)</f>
        <v>A0000103</v>
      </c>
    </row>
    <row r="2857" spans="1:9" x14ac:dyDescent="0.25">
      <c r="A2857" t="s">
        <v>1073</v>
      </c>
      <c r="B2857" t="str">
        <f>VLOOKUP(Tabla1[[#This Row],[Code]],[1]!Tabla4[#Data],2,FALSE)</f>
        <v>M2 Metamark M7 185 Azul Oscuro 0,61 x 50m</v>
      </c>
      <c r="C2857">
        <v>24</v>
      </c>
      <c r="D2857" t="s">
        <v>96</v>
      </c>
      <c r="E2857" t="str">
        <f>VLOOKUP(Tabla1[[#This Row],[Cód. Atributo]],[1]!Tabla5[#Data],6,FALSE)</f>
        <v>Select</v>
      </c>
      <c r="F2857">
        <v>6</v>
      </c>
      <c r="G2857">
        <v>2</v>
      </c>
      <c r="H2857" t="s">
        <v>266</v>
      </c>
      <c r="I2857" t="str">
        <f>VLOOKUP(Tabla1[[#This Row],[Code]],'[1]Articulos Precio'!$A:$E,5,FALSE)</f>
        <v>A0000103</v>
      </c>
    </row>
    <row r="2858" spans="1:9" x14ac:dyDescent="0.25">
      <c r="A2858" t="s">
        <v>1075</v>
      </c>
      <c r="B2858" t="str">
        <f>VLOOKUP(Tabla1[[#This Row],[Code]],[1]!Tabla4[#Data],2,FALSE)</f>
        <v>M2 Metamark M7 185 Azul Oscuro 1,22 x 50m</v>
      </c>
      <c r="C2858">
        <v>8</v>
      </c>
      <c r="D2858" t="s">
        <v>86</v>
      </c>
      <c r="E2858" t="str">
        <f>VLOOKUP(Tabla1[[#This Row],[Cód. Atributo]],[1]!Tabla5[#Data],6,FALSE)</f>
        <v>Select</v>
      </c>
      <c r="F2858">
        <v>1</v>
      </c>
      <c r="G2858">
        <v>2</v>
      </c>
      <c r="H2858" t="s">
        <v>268</v>
      </c>
      <c r="I2858" t="str">
        <f>VLOOKUP(Tabla1[[#This Row],[Code]],'[1]Articulos Precio'!$A:$E,5,FALSE)</f>
        <v>A0000103</v>
      </c>
    </row>
    <row r="2859" spans="1:9" x14ac:dyDescent="0.25">
      <c r="A2859" t="s">
        <v>1075</v>
      </c>
      <c r="B2859" t="str">
        <f>VLOOKUP(Tabla1[[#This Row],[Code]],[1]!Tabla4[#Data],2,FALSE)</f>
        <v>M2 Metamark M7 185 Azul Oscuro 1,22 x 50m</v>
      </c>
      <c r="C2859">
        <v>13</v>
      </c>
      <c r="D2859" t="s">
        <v>491</v>
      </c>
      <c r="E2859" t="str">
        <f>VLOOKUP(Tabla1[[#This Row],[Cód. Atributo]],[1]!Tabla5[#Data],6,FALSE)</f>
        <v>Color</v>
      </c>
      <c r="F2859">
        <v>2</v>
      </c>
      <c r="G2859">
        <v>81</v>
      </c>
      <c r="H2859" t="s">
        <v>1074</v>
      </c>
      <c r="I2859" t="str">
        <f>VLOOKUP(Tabla1[[#This Row],[Code]],'[1]Articulos Precio'!$A:$E,5,FALSE)</f>
        <v>A0000103</v>
      </c>
    </row>
    <row r="2860" spans="1:9" x14ac:dyDescent="0.25">
      <c r="A2860" t="s">
        <v>1075</v>
      </c>
      <c r="B2860" t="str">
        <f>VLOOKUP(Tabla1[[#This Row],[Code]],[1]!Tabla4[#Data],2,FALSE)</f>
        <v>M2 Metamark M7 185 Azul Oscuro 1,22 x 50m</v>
      </c>
      <c r="C2860">
        <v>23</v>
      </c>
      <c r="D2860" t="s">
        <v>90</v>
      </c>
      <c r="E2860" t="str">
        <f>VLOOKUP(Tabla1[[#This Row],[Cód. Atributo]],[1]!Tabla5[#Data],6,FALSE)</f>
        <v>Select</v>
      </c>
      <c r="F2860">
        <v>3</v>
      </c>
      <c r="G2860">
        <v>2</v>
      </c>
      <c r="H2860" t="s">
        <v>136</v>
      </c>
      <c r="I2860" t="str">
        <f>VLOOKUP(Tabla1[[#This Row],[Code]],'[1]Articulos Precio'!$A:$E,5,FALSE)</f>
        <v>A0000103</v>
      </c>
    </row>
    <row r="2861" spans="1:9" x14ac:dyDescent="0.25">
      <c r="A2861" t="s">
        <v>1075</v>
      </c>
      <c r="B2861" t="str">
        <f>VLOOKUP(Tabla1[[#This Row],[Code]],[1]!Tabla4[#Data],2,FALSE)</f>
        <v>M2 Metamark M7 185 Azul Oscuro 1,22 x 50m</v>
      </c>
      <c r="C2861">
        <v>28</v>
      </c>
      <c r="D2861" t="s">
        <v>92</v>
      </c>
      <c r="E2861" t="str">
        <f>VLOOKUP(Tabla1[[#This Row],[Cód. Atributo]],[1]!Tabla5[#Data],6,FALSE)</f>
        <v>Select</v>
      </c>
      <c r="F2861">
        <v>4</v>
      </c>
      <c r="G2861">
        <v>1</v>
      </c>
      <c r="H2861" t="s">
        <v>93</v>
      </c>
      <c r="I2861" t="str">
        <f>VLOOKUP(Tabla1[[#This Row],[Code]],'[1]Articulos Precio'!$A:$E,5,FALSE)</f>
        <v>A0000103</v>
      </c>
    </row>
    <row r="2862" spans="1:9" x14ac:dyDescent="0.25">
      <c r="A2862" t="s">
        <v>1075</v>
      </c>
      <c r="B2862" t="str">
        <f>VLOOKUP(Tabla1[[#This Row],[Code]],[1]!Tabla4[#Data],2,FALSE)</f>
        <v>M2 Metamark M7 185 Azul Oscuro 1,22 x 50m</v>
      </c>
      <c r="C2862">
        <v>25</v>
      </c>
      <c r="D2862" t="s">
        <v>94</v>
      </c>
      <c r="E2862" t="str">
        <f>VLOOKUP(Tabla1[[#This Row],[Cód. Atributo]],[1]!Tabla5[#Data],6,FALSE)</f>
        <v>Select</v>
      </c>
      <c r="F2862">
        <v>5</v>
      </c>
      <c r="G2862">
        <v>4</v>
      </c>
      <c r="H2862" t="s">
        <v>137</v>
      </c>
      <c r="I2862" t="str">
        <f>VLOOKUP(Tabla1[[#This Row],[Code]],'[1]Articulos Precio'!$A:$E,5,FALSE)</f>
        <v>A0000103</v>
      </c>
    </row>
    <row r="2863" spans="1:9" x14ac:dyDescent="0.25">
      <c r="A2863" t="s">
        <v>1075</v>
      </c>
      <c r="B2863" t="str">
        <f>VLOOKUP(Tabla1[[#This Row],[Code]],[1]!Tabla4[#Data],2,FALSE)</f>
        <v>M2 Metamark M7 185 Azul Oscuro 1,22 x 50m</v>
      </c>
      <c r="C2863">
        <v>24</v>
      </c>
      <c r="D2863" t="s">
        <v>96</v>
      </c>
      <c r="E2863" t="str">
        <f>VLOOKUP(Tabla1[[#This Row],[Cód. Atributo]],[1]!Tabla5[#Data],6,FALSE)</f>
        <v>Select</v>
      </c>
      <c r="F2863">
        <v>6</v>
      </c>
      <c r="G2863">
        <v>2</v>
      </c>
      <c r="H2863" t="s">
        <v>266</v>
      </c>
      <c r="I2863" t="str">
        <f>VLOOKUP(Tabla1[[#This Row],[Code]],'[1]Articulos Precio'!$A:$E,5,FALSE)</f>
        <v>A0000103</v>
      </c>
    </row>
    <row r="2864" spans="1:9" x14ac:dyDescent="0.25">
      <c r="A2864" t="s">
        <v>1076</v>
      </c>
      <c r="B2864" t="str">
        <f>VLOOKUP(Tabla1[[#This Row],[Code]],[1]!Tabla4[#Data],2,FALSE)</f>
        <v>M2 Metamark M7 186 Lavanda 0,61 x 50m</v>
      </c>
      <c r="C2864">
        <v>8</v>
      </c>
      <c r="D2864" t="s">
        <v>86</v>
      </c>
      <c r="E2864" t="str">
        <f>VLOOKUP(Tabla1[[#This Row],[Cód. Atributo]],[1]!Tabla5[#Data],6,FALSE)</f>
        <v>Select</v>
      </c>
      <c r="F2864">
        <v>1</v>
      </c>
      <c r="G2864">
        <v>1</v>
      </c>
      <c r="H2864" t="s">
        <v>263</v>
      </c>
      <c r="I2864" t="str">
        <f>VLOOKUP(Tabla1[[#This Row],[Code]],'[1]Articulos Precio'!$A:$E,5,FALSE)</f>
        <v>A0000103</v>
      </c>
    </row>
    <row r="2865" spans="1:9" x14ac:dyDescent="0.25">
      <c r="A2865" t="s">
        <v>1076</v>
      </c>
      <c r="B2865" t="str">
        <f>VLOOKUP(Tabla1[[#This Row],[Code]],[1]!Tabla4[#Data],2,FALSE)</f>
        <v>M2 Metamark M7 186 Lavanda 0,61 x 50m</v>
      </c>
      <c r="C2865">
        <v>13</v>
      </c>
      <c r="D2865" t="s">
        <v>491</v>
      </c>
      <c r="E2865" t="str">
        <f>VLOOKUP(Tabla1[[#This Row],[Cód. Atributo]],[1]!Tabla5[#Data],6,FALSE)</f>
        <v>Color</v>
      </c>
      <c r="F2865">
        <v>2</v>
      </c>
      <c r="G2865">
        <v>82</v>
      </c>
      <c r="H2865" t="s">
        <v>1077</v>
      </c>
      <c r="I2865" t="str">
        <f>VLOOKUP(Tabla1[[#This Row],[Code]],'[1]Articulos Precio'!$A:$E,5,FALSE)</f>
        <v>A0000103</v>
      </c>
    </row>
    <row r="2866" spans="1:9" x14ac:dyDescent="0.25">
      <c r="A2866" t="s">
        <v>1076</v>
      </c>
      <c r="B2866" t="str">
        <f>VLOOKUP(Tabla1[[#This Row],[Code]],[1]!Tabla4[#Data],2,FALSE)</f>
        <v>M2 Metamark M7 186 Lavanda 0,61 x 50m</v>
      </c>
      <c r="C2866">
        <v>23</v>
      </c>
      <c r="D2866" t="s">
        <v>90</v>
      </c>
      <c r="E2866" t="str">
        <f>VLOOKUP(Tabla1[[#This Row],[Cód. Atributo]],[1]!Tabla5[#Data],6,FALSE)</f>
        <v>Select</v>
      </c>
      <c r="F2866">
        <v>3</v>
      </c>
      <c r="G2866">
        <v>2</v>
      </c>
      <c r="H2866" t="s">
        <v>136</v>
      </c>
      <c r="I2866" t="str">
        <f>VLOOKUP(Tabla1[[#This Row],[Code]],'[1]Articulos Precio'!$A:$E,5,FALSE)</f>
        <v>A0000103</v>
      </c>
    </row>
    <row r="2867" spans="1:9" x14ac:dyDescent="0.25">
      <c r="A2867" t="s">
        <v>1076</v>
      </c>
      <c r="B2867" t="str">
        <f>VLOOKUP(Tabla1[[#This Row],[Code]],[1]!Tabla4[#Data],2,FALSE)</f>
        <v>M2 Metamark M7 186 Lavanda 0,61 x 50m</v>
      </c>
      <c r="C2867">
        <v>28</v>
      </c>
      <c r="D2867" t="s">
        <v>92</v>
      </c>
      <c r="E2867" t="str">
        <f>VLOOKUP(Tabla1[[#This Row],[Cód. Atributo]],[1]!Tabla5[#Data],6,FALSE)</f>
        <v>Select</v>
      </c>
      <c r="F2867">
        <v>4</v>
      </c>
      <c r="G2867">
        <v>1</v>
      </c>
      <c r="H2867" t="s">
        <v>93</v>
      </c>
      <c r="I2867" t="str">
        <f>VLOOKUP(Tabla1[[#This Row],[Code]],'[1]Articulos Precio'!$A:$E,5,FALSE)</f>
        <v>A0000103</v>
      </c>
    </row>
    <row r="2868" spans="1:9" x14ac:dyDescent="0.25">
      <c r="A2868" t="s">
        <v>1076</v>
      </c>
      <c r="B2868" t="str">
        <f>VLOOKUP(Tabla1[[#This Row],[Code]],[1]!Tabla4[#Data],2,FALSE)</f>
        <v>M2 Metamark M7 186 Lavanda 0,61 x 50m</v>
      </c>
      <c r="C2868">
        <v>25</v>
      </c>
      <c r="D2868" t="s">
        <v>94</v>
      </c>
      <c r="E2868" t="str">
        <f>VLOOKUP(Tabla1[[#This Row],[Cód. Atributo]],[1]!Tabla5[#Data],6,FALSE)</f>
        <v>Select</v>
      </c>
      <c r="F2868">
        <v>5</v>
      </c>
      <c r="G2868">
        <v>4</v>
      </c>
      <c r="H2868" t="s">
        <v>137</v>
      </c>
      <c r="I2868" t="str">
        <f>VLOOKUP(Tabla1[[#This Row],[Code]],'[1]Articulos Precio'!$A:$E,5,FALSE)</f>
        <v>A0000103</v>
      </c>
    </row>
    <row r="2869" spans="1:9" x14ac:dyDescent="0.25">
      <c r="A2869" t="s">
        <v>1076</v>
      </c>
      <c r="B2869" t="str">
        <f>VLOOKUP(Tabla1[[#This Row],[Code]],[1]!Tabla4[#Data],2,FALSE)</f>
        <v>M2 Metamark M7 186 Lavanda 0,61 x 50m</v>
      </c>
      <c r="C2869">
        <v>24</v>
      </c>
      <c r="D2869" t="s">
        <v>96</v>
      </c>
      <c r="E2869" t="str">
        <f>VLOOKUP(Tabla1[[#This Row],[Cód. Atributo]],[1]!Tabla5[#Data],6,FALSE)</f>
        <v>Select</v>
      </c>
      <c r="F2869">
        <v>6</v>
      </c>
      <c r="G2869">
        <v>2</v>
      </c>
      <c r="H2869" t="s">
        <v>266</v>
      </c>
      <c r="I2869" t="str">
        <f>VLOOKUP(Tabla1[[#This Row],[Code]],'[1]Articulos Precio'!$A:$E,5,FALSE)</f>
        <v>A0000103</v>
      </c>
    </row>
    <row r="2870" spans="1:9" x14ac:dyDescent="0.25">
      <c r="A2870" t="s">
        <v>1078</v>
      </c>
      <c r="B2870" t="str">
        <f>VLOOKUP(Tabla1[[#This Row],[Code]],[1]!Tabla4[#Data],2,FALSE)</f>
        <v>M2 Metamark M7 186 Lavanda 1,22 x 50m</v>
      </c>
      <c r="C2870">
        <v>8</v>
      </c>
      <c r="D2870" t="s">
        <v>86</v>
      </c>
      <c r="E2870" t="str">
        <f>VLOOKUP(Tabla1[[#This Row],[Cód. Atributo]],[1]!Tabla5[#Data],6,FALSE)</f>
        <v>Select</v>
      </c>
      <c r="F2870">
        <v>1</v>
      </c>
      <c r="G2870">
        <v>2</v>
      </c>
      <c r="H2870" t="s">
        <v>268</v>
      </c>
      <c r="I2870" t="str">
        <f>VLOOKUP(Tabla1[[#This Row],[Code]],'[1]Articulos Precio'!$A:$E,5,FALSE)</f>
        <v>A0000103</v>
      </c>
    </row>
    <row r="2871" spans="1:9" x14ac:dyDescent="0.25">
      <c r="A2871" t="s">
        <v>1078</v>
      </c>
      <c r="B2871" t="str">
        <f>VLOOKUP(Tabla1[[#This Row],[Code]],[1]!Tabla4[#Data],2,FALSE)</f>
        <v>M2 Metamark M7 186 Lavanda 1,22 x 50m</v>
      </c>
      <c r="C2871">
        <v>13</v>
      </c>
      <c r="D2871" t="s">
        <v>491</v>
      </c>
      <c r="E2871" t="str">
        <f>VLOOKUP(Tabla1[[#This Row],[Cód. Atributo]],[1]!Tabla5[#Data],6,FALSE)</f>
        <v>Color</v>
      </c>
      <c r="F2871">
        <v>2</v>
      </c>
      <c r="G2871">
        <v>82</v>
      </c>
      <c r="H2871" t="s">
        <v>1077</v>
      </c>
      <c r="I2871" t="str">
        <f>VLOOKUP(Tabla1[[#This Row],[Code]],'[1]Articulos Precio'!$A:$E,5,FALSE)</f>
        <v>A0000103</v>
      </c>
    </row>
    <row r="2872" spans="1:9" x14ac:dyDescent="0.25">
      <c r="A2872" t="s">
        <v>1078</v>
      </c>
      <c r="B2872" t="str">
        <f>VLOOKUP(Tabla1[[#This Row],[Code]],[1]!Tabla4[#Data],2,FALSE)</f>
        <v>M2 Metamark M7 186 Lavanda 1,22 x 50m</v>
      </c>
      <c r="C2872">
        <v>23</v>
      </c>
      <c r="D2872" t="s">
        <v>90</v>
      </c>
      <c r="E2872" t="str">
        <f>VLOOKUP(Tabla1[[#This Row],[Cód. Atributo]],[1]!Tabla5[#Data],6,FALSE)</f>
        <v>Select</v>
      </c>
      <c r="F2872">
        <v>3</v>
      </c>
      <c r="G2872">
        <v>2</v>
      </c>
      <c r="H2872" t="s">
        <v>136</v>
      </c>
      <c r="I2872" t="str">
        <f>VLOOKUP(Tabla1[[#This Row],[Code]],'[1]Articulos Precio'!$A:$E,5,FALSE)</f>
        <v>A0000103</v>
      </c>
    </row>
    <row r="2873" spans="1:9" x14ac:dyDescent="0.25">
      <c r="A2873" t="s">
        <v>1078</v>
      </c>
      <c r="B2873" t="str">
        <f>VLOOKUP(Tabla1[[#This Row],[Code]],[1]!Tabla4[#Data],2,FALSE)</f>
        <v>M2 Metamark M7 186 Lavanda 1,22 x 50m</v>
      </c>
      <c r="C2873">
        <v>28</v>
      </c>
      <c r="D2873" t="s">
        <v>92</v>
      </c>
      <c r="E2873" t="str">
        <f>VLOOKUP(Tabla1[[#This Row],[Cód. Atributo]],[1]!Tabla5[#Data],6,FALSE)</f>
        <v>Select</v>
      </c>
      <c r="F2873">
        <v>4</v>
      </c>
      <c r="G2873">
        <v>1</v>
      </c>
      <c r="H2873" t="s">
        <v>93</v>
      </c>
      <c r="I2873" t="str">
        <f>VLOOKUP(Tabla1[[#This Row],[Code]],'[1]Articulos Precio'!$A:$E,5,FALSE)</f>
        <v>A0000103</v>
      </c>
    </row>
    <row r="2874" spans="1:9" x14ac:dyDescent="0.25">
      <c r="A2874" t="s">
        <v>1078</v>
      </c>
      <c r="B2874" t="str">
        <f>VLOOKUP(Tabla1[[#This Row],[Code]],[1]!Tabla4[#Data],2,FALSE)</f>
        <v>M2 Metamark M7 186 Lavanda 1,22 x 50m</v>
      </c>
      <c r="C2874">
        <v>25</v>
      </c>
      <c r="D2874" t="s">
        <v>94</v>
      </c>
      <c r="E2874" t="str">
        <f>VLOOKUP(Tabla1[[#This Row],[Cód. Atributo]],[1]!Tabla5[#Data],6,FALSE)</f>
        <v>Select</v>
      </c>
      <c r="F2874">
        <v>5</v>
      </c>
      <c r="G2874">
        <v>4</v>
      </c>
      <c r="H2874" t="s">
        <v>137</v>
      </c>
      <c r="I2874" t="str">
        <f>VLOOKUP(Tabla1[[#This Row],[Code]],'[1]Articulos Precio'!$A:$E,5,FALSE)</f>
        <v>A0000103</v>
      </c>
    </row>
    <row r="2875" spans="1:9" x14ac:dyDescent="0.25">
      <c r="A2875" t="s">
        <v>1078</v>
      </c>
      <c r="B2875" t="str">
        <f>VLOOKUP(Tabla1[[#This Row],[Code]],[1]!Tabla4[#Data],2,FALSE)</f>
        <v>M2 Metamark M7 186 Lavanda 1,22 x 50m</v>
      </c>
      <c r="C2875">
        <v>24</v>
      </c>
      <c r="D2875" t="s">
        <v>96</v>
      </c>
      <c r="E2875" t="str">
        <f>VLOOKUP(Tabla1[[#This Row],[Cód. Atributo]],[1]!Tabla5[#Data],6,FALSE)</f>
        <v>Select</v>
      </c>
      <c r="F2875">
        <v>6</v>
      </c>
      <c r="G2875">
        <v>2</v>
      </c>
      <c r="H2875" t="s">
        <v>266</v>
      </c>
      <c r="I2875" t="str">
        <f>VLOOKUP(Tabla1[[#This Row],[Code]],'[1]Articulos Precio'!$A:$E,5,FALSE)</f>
        <v>A0000103</v>
      </c>
    </row>
    <row r="2876" spans="1:9" x14ac:dyDescent="0.25">
      <c r="A2876" t="s">
        <v>1079</v>
      </c>
      <c r="B2876" t="str">
        <f>VLOOKUP(Tabla1[[#This Row],[Code]],[1]!Tabla4[#Data],2,FALSE)</f>
        <v>M2 Metamark M7 187 Violeta Oscuro 0,61 x 50m</v>
      </c>
      <c r="C2876">
        <v>8</v>
      </c>
      <c r="D2876" t="s">
        <v>86</v>
      </c>
      <c r="E2876" t="str">
        <f>VLOOKUP(Tabla1[[#This Row],[Cód. Atributo]],[1]!Tabla5[#Data],6,FALSE)</f>
        <v>Select</v>
      </c>
      <c r="F2876">
        <v>1</v>
      </c>
      <c r="G2876">
        <v>1</v>
      </c>
      <c r="H2876" t="s">
        <v>263</v>
      </c>
      <c r="I2876" t="str">
        <f>VLOOKUP(Tabla1[[#This Row],[Code]],'[1]Articulos Precio'!$A:$E,5,FALSE)</f>
        <v>A0000103</v>
      </c>
    </row>
    <row r="2877" spans="1:9" x14ac:dyDescent="0.25">
      <c r="A2877" t="s">
        <v>1079</v>
      </c>
      <c r="B2877" t="str">
        <f>VLOOKUP(Tabla1[[#This Row],[Code]],[1]!Tabla4[#Data],2,FALSE)</f>
        <v>M2 Metamark M7 187 Violeta Oscuro 0,61 x 50m</v>
      </c>
      <c r="C2877">
        <v>13</v>
      </c>
      <c r="D2877" t="s">
        <v>491</v>
      </c>
      <c r="E2877" t="str">
        <f>VLOOKUP(Tabla1[[#This Row],[Cód. Atributo]],[1]!Tabla5[#Data],6,FALSE)</f>
        <v>Color</v>
      </c>
      <c r="F2877">
        <v>2</v>
      </c>
      <c r="G2877">
        <v>83</v>
      </c>
      <c r="H2877" t="s">
        <v>1080</v>
      </c>
      <c r="I2877" t="str">
        <f>VLOOKUP(Tabla1[[#This Row],[Code]],'[1]Articulos Precio'!$A:$E,5,FALSE)</f>
        <v>A0000103</v>
      </c>
    </row>
    <row r="2878" spans="1:9" x14ac:dyDescent="0.25">
      <c r="A2878" t="s">
        <v>1079</v>
      </c>
      <c r="B2878" t="str">
        <f>VLOOKUP(Tabla1[[#This Row],[Code]],[1]!Tabla4[#Data],2,FALSE)</f>
        <v>M2 Metamark M7 187 Violeta Oscuro 0,61 x 50m</v>
      </c>
      <c r="C2878">
        <v>23</v>
      </c>
      <c r="D2878" t="s">
        <v>90</v>
      </c>
      <c r="E2878" t="str">
        <f>VLOOKUP(Tabla1[[#This Row],[Cód. Atributo]],[1]!Tabla5[#Data],6,FALSE)</f>
        <v>Select</v>
      </c>
      <c r="F2878">
        <v>3</v>
      </c>
      <c r="G2878">
        <v>2</v>
      </c>
      <c r="H2878" t="s">
        <v>136</v>
      </c>
      <c r="I2878" t="str">
        <f>VLOOKUP(Tabla1[[#This Row],[Code]],'[1]Articulos Precio'!$A:$E,5,FALSE)</f>
        <v>A0000103</v>
      </c>
    </row>
    <row r="2879" spans="1:9" x14ac:dyDescent="0.25">
      <c r="A2879" t="s">
        <v>1079</v>
      </c>
      <c r="B2879" t="str">
        <f>VLOOKUP(Tabla1[[#This Row],[Code]],[1]!Tabla4[#Data],2,FALSE)</f>
        <v>M2 Metamark M7 187 Violeta Oscuro 0,61 x 50m</v>
      </c>
      <c r="C2879">
        <v>28</v>
      </c>
      <c r="D2879" t="s">
        <v>92</v>
      </c>
      <c r="E2879" t="str">
        <f>VLOOKUP(Tabla1[[#This Row],[Cód. Atributo]],[1]!Tabla5[#Data],6,FALSE)</f>
        <v>Select</v>
      </c>
      <c r="F2879">
        <v>4</v>
      </c>
      <c r="G2879">
        <v>1</v>
      </c>
      <c r="H2879" t="s">
        <v>93</v>
      </c>
      <c r="I2879" t="str">
        <f>VLOOKUP(Tabla1[[#This Row],[Code]],'[1]Articulos Precio'!$A:$E,5,FALSE)</f>
        <v>A0000103</v>
      </c>
    </row>
    <row r="2880" spans="1:9" x14ac:dyDescent="0.25">
      <c r="A2880" t="s">
        <v>1079</v>
      </c>
      <c r="B2880" t="str">
        <f>VLOOKUP(Tabla1[[#This Row],[Code]],[1]!Tabla4[#Data],2,FALSE)</f>
        <v>M2 Metamark M7 187 Violeta Oscuro 0,61 x 50m</v>
      </c>
      <c r="C2880">
        <v>25</v>
      </c>
      <c r="D2880" t="s">
        <v>94</v>
      </c>
      <c r="E2880" t="str">
        <f>VLOOKUP(Tabla1[[#This Row],[Cód. Atributo]],[1]!Tabla5[#Data],6,FALSE)</f>
        <v>Select</v>
      </c>
      <c r="F2880">
        <v>5</v>
      </c>
      <c r="G2880">
        <v>4</v>
      </c>
      <c r="H2880" t="s">
        <v>137</v>
      </c>
      <c r="I2880" t="str">
        <f>VLOOKUP(Tabla1[[#This Row],[Code]],'[1]Articulos Precio'!$A:$E,5,FALSE)</f>
        <v>A0000103</v>
      </c>
    </row>
    <row r="2881" spans="1:9" x14ac:dyDescent="0.25">
      <c r="A2881" t="s">
        <v>1079</v>
      </c>
      <c r="B2881" t="str">
        <f>VLOOKUP(Tabla1[[#This Row],[Code]],[1]!Tabla4[#Data],2,FALSE)</f>
        <v>M2 Metamark M7 187 Violeta Oscuro 0,61 x 50m</v>
      </c>
      <c r="C2881">
        <v>24</v>
      </c>
      <c r="D2881" t="s">
        <v>96</v>
      </c>
      <c r="E2881" t="str">
        <f>VLOOKUP(Tabla1[[#This Row],[Cód. Atributo]],[1]!Tabla5[#Data],6,FALSE)</f>
        <v>Select</v>
      </c>
      <c r="F2881">
        <v>6</v>
      </c>
      <c r="G2881">
        <v>2</v>
      </c>
      <c r="H2881" t="s">
        <v>266</v>
      </c>
      <c r="I2881" t="str">
        <f>VLOOKUP(Tabla1[[#This Row],[Code]],'[1]Articulos Precio'!$A:$E,5,FALSE)</f>
        <v>A0000103</v>
      </c>
    </row>
    <row r="2882" spans="1:9" x14ac:dyDescent="0.25">
      <c r="A2882" t="s">
        <v>1081</v>
      </c>
      <c r="B2882" t="str">
        <f>VLOOKUP(Tabla1[[#This Row],[Code]],[1]!Tabla4[#Data],2,FALSE)</f>
        <v>M2 Metamark M7 187 Violeta Oscuro 1,22 x 50m</v>
      </c>
      <c r="C2882">
        <v>8</v>
      </c>
      <c r="D2882" t="s">
        <v>86</v>
      </c>
      <c r="E2882" t="str">
        <f>VLOOKUP(Tabla1[[#This Row],[Cód. Atributo]],[1]!Tabla5[#Data],6,FALSE)</f>
        <v>Select</v>
      </c>
      <c r="F2882">
        <v>1</v>
      </c>
      <c r="G2882">
        <v>2</v>
      </c>
      <c r="H2882" t="s">
        <v>268</v>
      </c>
      <c r="I2882" t="str">
        <f>VLOOKUP(Tabla1[[#This Row],[Code]],'[1]Articulos Precio'!$A:$E,5,FALSE)</f>
        <v>A0000103</v>
      </c>
    </row>
    <row r="2883" spans="1:9" x14ac:dyDescent="0.25">
      <c r="A2883" t="s">
        <v>1081</v>
      </c>
      <c r="B2883" t="str">
        <f>VLOOKUP(Tabla1[[#This Row],[Code]],[1]!Tabla4[#Data],2,FALSE)</f>
        <v>M2 Metamark M7 187 Violeta Oscuro 1,22 x 50m</v>
      </c>
      <c r="C2883">
        <v>13</v>
      </c>
      <c r="D2883" t="s">
        <v>491</v>
      </c>
      <c r="E2883" t="str">
        <f>VLOOKUP(Tabla1[[#This Row],[Cód. Atributo]],[1]!Tabla5[#Data],6,FALSE)</f>
        <v>Color</v>
      </c>
      <c r="F2883">
        <v>2</v>
      </c>
      <c r="G2883">
        <v>83</v>
      </c>
      <c r="H2883" t="s">
        <v>1080</v>
      </c>
      <c r="I2883" t="str">
        <f>VLOOKUP(Tabla1[[#This Row],[Code]],'[1]Articulos Precio'!$A:$E,5,FALSE)</f>
        <v>A0000103</v>
      </c>
    </row>
    <row r="2884" spans="1:9" x14ac:dyDescent="0.25">
      <c r="A2884" t="s">
        <v>1081</v>
      </c>
      <c r="B2884" t="str">
        <f>VLOOKUP(Tabla1[[#This Row],[Code]],[1]!Tabla4[#Data],2,FALSE)</f>
        <v>M2 Metamark M7 187 Violeta Oscuro 1,22 x 50m</v>
      </c>
      <c r="C2884">
        <v>23</v>
      </c>
      <c r="D2884" t="s">
        <v>90</v>
      </c>
      <c r="E2884" t="str">
        <f>VLOOKUP(Tabla1[[#This Row],[Cód. Atributo]],[1]!Tabla5[#Data],6,FALSE)</f>
        <v>Select</v>
      </c>
      <c r="F2884">
        <v>3</v>
      </c>
      <c r="G2884">
        <v>2</v>
      </c>
      <c r="H2884" t="s">
        <v>136</v>
      </c>
      <c r="I2884" t="str">
        <f>VLOOKUP(Tabla1[[#This Row],[Code]],'[1]Articulos Precio'!$A:$E,5,FALSE)</f>
        <v>A0000103</v>
      </c>
    </row>
    <row r="2885" spans="1:9" x14ac:dyDescent="0.25">
      <c r="A2885" t="s">
        <v>1081</v>
      </c>
      <c r="B2885" t="str">
        <f>VLOOKUP(Tabla1[[#This Row],[Code]],[1]!Tabla4[#Data],2,FALSE)</f>
        <v>M2 Metamark M7 187 Violeta Oscuro 1,22 x 50m</v>
      </c>
      <c r="C2885">
        <v>28</v>
      </c>
      <c r="D2885" t="s">
        <v>92</v>
      </c>
      <c r="E2885" t="str">
        <f>VLOOKUP(Tabla1[[#This Row],[Cód. Atributo]],[1]!Tabla5[#Data],6,FALSE)</f>
        <v>Select</v>
      </c>
      <c r="F2885">
        <v>4</v>
      </c>
      <c r="G2885">
        <v>1</v>
      </c>
      <c r="H2885" t="s">
        <v>93</v>
      </c>
      <c r="I2885" t="str">
        <f>VLOOKUP(Tabla1[[#This Row],[Code]],'[1]Articulos Precio'!$A:$E,5,FALSE)</f>
        <v>A0000103</v>
      </c>
    </row>
    <row r="2886" spans="1:9" x14ac:dyDescent="0.25">
      <c r="A2886" t="s">
        <v>1081</v>
      </c>
      <c r="B2886" t="str">
        <f>VLOOKUP(Tabla1[[#This Row],[Code]],[1]!Tabla4[#Data],2,FALSE)</f>
        <v>M2 Metamark M7 187 Violeta Oscuro 1,22 x 50m</v>
      </c>
      <c r="C2886">
        <v>25</v>
      </c>
      <c r="D2886" t="s">
        <v>94</v>
      </c>
      <c r="E2886" t="str">
        <f>VLOOKUP(Tabla1[[#This Row],[Cód. Atributo]],[1]!Tabla5[#Data],6,FALSE)</f>
        <v>Select</v>
      </c>
      <c r="F2886">
        <v>5</v>
      </c>
      <c r="G2886">
        <v>4</v>
      </c>
      <c r="H2886" t="s">
        <v>137</v>
      </c>
      <c r="I2886" t="str">
        <f>VLOOKUP(Tabla1[[#This Row],[Code]],'[1]Articulos Precio'!$A:$E,5,FALSE)</f>
        <v>A0000103</v>
      </c>
    </row>
    <row r="2887" spans="1:9" x14ac:dyDescent="0.25">
      <c r="A2887" t="s">
        <v>1081</v>
      </c>
      <c r="B2887" t="str">
        <f>VLOOKUP(Tabla1[[#This Row],[Code]],[1]!Tabla4[#Data],2,FALSE)</f>
        <v>M2 Metamark M7 187 Violeta Oscuro 1,22 x 50m</v>
      </c>
      <c r="C2887">
        <v>24</v>
      </c>
      <c r="D2887" t="s">
        <v>96</v>
      </c>
      <c r="E2887" t="str">
        <f>VLOOKUP(Tabla1[[#This Row],[Cód. Atributo]],[1]!Tabla5[#Data],6,FALSE)</f>
        <v>Select</v>
      </c>
      <c r="F2887">
        <v>6</v>
      </c>
      <c r="G2887">
        <v>2</v>
      </c>
      <c r="H2887" t="s">
        <v>266</v>
      </c>
      <c r="I2887" t="str">
        <f>VLOOKUP(Tabla1[[#This Row],[Code]],'[1]Articulos Precio'!$A:$E,5,FALSE)</f>
        <v>A0000103</v>
      </c>
    </row>
    <row r="2888" spans="1:9" x14ac:dyDescent="0.25">
      <c r="A2888" t="s">
        <v>1082</v>
      </c>
      <c r="B2888" t="str">
        <f>VLOOKUP(Tabla1[[#This Row],[Code]],[1]!Tabla4[#Data],2,FALSE)</f>
        <v>M2 Metamark M7 188 Aguamarina 0,61 x 50m</v>
      </c>
      <c r="C2888">
        <v>8</v>
      </c>
      <c r="D2888" t="s">
        <v>86</v>
      </c>
      <c r="E2888" t="str">
        <f>VLOOKUP(Tabla1[[#This Row],[Cód. Atributo]],[1]!Tabla5[#Data],6,FALSE)</f>
        <v>Select</v>
      </c>
      <c r="F2888">
        <v>1</v>
      </c>
      <c r="G2888">
        <v>1</v>
      </c>
      <c r="H2888" t="s">
        <v>263</v>
      </c>
      <c r="I2888" t="str">
        <f>VLOOKUP(Tabla1[[#This Row],[Code]],'[1]Articulos Precio'!$A:$E,5,FALSE)</f>
        <v>A0000103</v>
      </c>
    </row>
    <row r="2889" spans="1:9" x14ac:dyDescent="0.25">
      <c r="A2889" t="s">
        <v>1082</v>
      </c>
      <c r="B2889" t="str">
        <f>VLOOKUP(Tabla1[[#This Row],[Code]],[1]!Tabla4[#Data],2,FALSE)</f>
        <v>M2 Metamark M7 188 Aguamarina 0,61 x 50m</v>
      </c>
      <c r="C2889">
        <v>13</v>
      </c>
      <c r="D2889" t="s">
        <v>491</v>
      </c>
      <c r="E2889" t="str">
        <f>VLOOKUP(Tabla1[[#This Row],[Cód. Atributo]],[1]!Tabla5[#Data],6,FALSE)</f>
        <v>Color</v>
      </c>
      <c r="F2889">
        <v>2</v>
      </c>
      <c r="G2889">
        <v>84</v>
      </c>
      <c r="H2889" t="s">
        <v>1083</v>
      </c>
      <c r="I2889" t="str">
        <f>VLOOKUP(Tabla1[[#This Row],[Code]],'[1]Articulos Precio'!$A:$E,5,FALSE)</f>
        <v>A0000103</v>
      </c>
    </row>
    <row r="2890" spans="1:9" x14ac:dyDescent="0.25">
      <c r="A2890" t="s">
        <v>1082</v>
      </c>
      <c r="B2890" t="str">
        <f>VLOOKUP(Tabla1[[#This Row],[Code]],[1]!Tabla4[#Data],2,FALSE)</f>
        <v>M2 Metamark M7 188 Aguamarina 0,61 x 50m</v>
      </c>
      <c r="C2890">
        <v>23</v>
      </c>
      <c r="D2890" t="s">
        <v>90</v>
      </c>
      <c r="E2890" t="str">
        <f>VLOOKUP(Tabla1[[#This Row],[Cód. Atributo]],[1]!Tabla5[#Data],6,FALSE)</f>
        <v>Select</v>
      </c>
      <c r="F2890">
        <v>3</v>
      </c>
      <c r="G2890">
        <v>2</v>
      </c>
      <c r="H2890" t="s">
        <v>136</v>
      </c>
      <c r="I2890" t="str">
        <f>VLOOKUP(Tabla1[[#This Row],[Code]],'[1]Articulos Precio'!$A:$E,5,FALSE)</f>
        <v>A0000103</v>
      </c>
    </row>
    <row r="2891" spans="1:9" x14ac:dyDescent="0.25">
      <c r="A2891" t="s">
        <v>1082</v>
      </c>
      <c r="B2891" t="str">
        <f>VLOOKUP(Tabla1[[#This Row],[Code]],[1]!Tabla4[#Data],2,FALSE)</f>
        <v>M2 Metamark M7 188 Aguamarina 0,61 x 50m</v>
      </c>
      <c r="C2891">
        <v>28</v>
      </c>
      <c r="D2891" t="s">
        <v>92</v>
      </c>
      <c r="E2891" t="str">
        <f>VLOOKUP(Tabla1[[#This Row],[Cód. Atributo]],[1]!Tabla5[#Data],6,FALSE)</f>
        <v>Select</v>
      </c>
      <c r="F2891">
        <v>4</v>
      </c>
      <c r="G2891">
        <v>1</v>
      </c>
      <c r="H2891" t="s">
        <v>93</v>
      </c>
      <c r="I2891" t="str">
        <f>VLOOKUP(Tabla1[[#This Row],[Code]],'[1]Articulos Precio'!$A:$E,5,FALSE)</f>
        <v>A0000103</v>
      </c>
    </row>
    <row r="2892" spans="1:9" x14ac:dyDescent="0.25">
      <c r="A2892" t="s">
        <v>1082</v>
      </c>
      <c r="B2892" t="str">
        <f>VLOOKUP(Tabla1[[#This Row],[Code]],[1]!Tabla4[#Data],2,FALSE)</f>
        <v>M2 Metamark M7 188 Aguamarina 0,61 x 50m</v>
      </c>
      <c r="C2892">
        <v>25</v>
      </c>
      <c r="D2892" t="s">
        <v>94</v>
      </c>
      <c r="E2892" t="str">
        <f>VLOOKUP(Tabla1[[#This Row],[Cód. Atributo]],[1]!Tabla5[#Data],6,FALSE)</f>
        <v>Select</v>
      </c>
      <c r="F2892">
        <v>5</v>
      </c>
      <c r="G2892">
        <v>4</v>
      </c>
      <c r="H2892" t="s">
        <v>137</v>
      </c>
      <c r="I2892" t="str">
        <f>VLOOKUP(Tabla1[[#This Row],[Code]],'[1]Articulos Precio'!$A:$E,5,FALSE)</f>
        <v>A0000103</v>
      </c>
    </row>
    <row r="2893" spans="1:9" x14ac:dyDescent="0.25">
      <c r="A2893" t="s">
        <v>1082</v>
      </c>
      <c r="B2893" t="str">
        <f>VLOOKUP(Tabla1[[#This Row],[Code]],[1]!Tabla4[#Data],2,FALSE)</f>
        <v>M2 Metamark M7 188 Aguamarina 0,61 x 50m</v>
      </c>
      <c r="C2893">
        <v>24</v>
      </c>
      <c r="D2893" t="s">
        <v>96</v>
      </c>
      <c r="E2893" t="str">
        <f>VLOOKUP(Tabla1[[#This Row],[Cód. Atributo]],[1]!Tabla5[#Data],6,FALSE)</f>
        <v>Select</v>
      </c>
      <c r="F2893">
        <v>6</v>
      </c>
      <c r="G2893">
        <v>2</v>
      </c>
      <c r="H2893" t="s">
        <v>266</v>
      </c>
      <c r="I2893" t="str">
        <f>VLOOKUP(Tabla1[[#This Row],[Code]],'[1]Articulos Precio'!$A:$E,5,FALSE)</f>
        <v>A0000103</v>
      </c>
    </row>
    <row r="2894" spans="1:9" x14ac:dyDescent="0.25">
      <c r="A2894" t="s">
        <v>1084</v>
      </c>
      <c r="B2894" t="str">
        <f>VLOOKUP(Tabla1[[#This Row],[Code]],[1]!Tabla4[#Data],2,FALSE)</f>
        <v>M2 Metamark M7 188 Aguamarina 1,22 x 50m</v>
      </c>
      <c r="C2894">
        <v>8</v>
      </c>
      <c r="D2894" t="s">
        <v>86</v>
      </c>
      <c r="E2894" t="str">
        <f>VLOOKUP(Tabla1[[#This Row],[Cód. Atributo]],[1]!Tabla5[#Data],6,FALSE)</f>
        <v>Select</v>
      </c>
      <c r="F2894">
        <v>1</v>
      </c>
      <c r="G2894">
        <v>2</v>
      </c>
      <c r="H2894" t="s">
        <v>268</v>
      </c>
      <c r="I2894" t="str">
        <f>VLOOKUP(Tabla1[[#This Row],[Code]],'[1]Articulos Precio'!$A:$E,5,FALSE)</f>
        <v>A0000103</v>
      </c>
    </row>
    <row r="2895" spans="1:9" x14ac:dyDescent="0.25">
      <c r="A2895" t="s">
        <v>1084</v>
      </c>
      <c r="B2895" t="str">
        <f>VLOOKUP(Tabla1[[#This Row],[Code]],[1]!Tabla4[#Data],2,FALSE)</f>
        <v>M2 Metamark M7 188 Aguamarina 1,22 x 50m</v>
      </c>
      <c r="C2895">
        <v>13</v>
      </c>
      <c r="D2895" t="s">
        <v>491</v>
      </c>
      <c r="E2895" t="str">
        <f>VLOOKUP(Tabla1[[#This Row],[Cód. Atributo]],[1]!Tabla5[#Data],6,FALSE)</f>
        <v>Color</v>
      </c>
      <c r="F2895">
        <v>2</v>
      </c>
      <c r="G2895">
        <v>84</v>
      </c>
      <c r="H2895" t="s">
        <v>1083</v>
      </c>
      <c r="I2895" t="str">
        <f>VLOOKUP(Tabla1[[#This Row],[Code]],'[1]Articulos Precio'!$A:$E,5,FALSE)</f>
        <v>A0000103</v>
      </c>
    </row>
    <row r="2896" spans="1:9" x14ac:dyDescent="0.25">
      <c r="A2896" t="s">
        <v>1084</v>
      </c>
      <c r="B2896" t="str">
        <f>VLOOKUP(Tabla1[[#This Row],[Code]],[1]!Tabla4[#Data],2,FALSE)</f>
        <v>M2 Metamark M7 188 Aguamarina 1,22 x 50m</v>
      </c>
      <c r="C2896">
        <v>23</v>
      </c>
      <c r="D2896" t="s">
        <v>90</v>
      </c>
      <c r="E2896" t="str">
        <f>VLOOKUP(Tabla1[[#This Row],[Cód. Atributo]],[1]!Tabla5[#Data],6,FALSE)</f>
        <v>Select</v>
      </c>
      <c r="F2896">
        <v>3</v>
      </c>
      <c r="G2896">
        <v>2</v>
      </c>
      <c r="H2896" t="s">
        <v>136</v>
      </c>
      <c r="I2896" t="str">
        <f>VLOOKUP(Tabla1[[#This Row],[Code]],'[1]Articulos Precio'!$A:$E,5,FALSE)</f>
        <v>A0000103</v>
      </c>
    </row>
    <row r="2897" spans="1:9" x14ac:dyDescent="0.25">
      <c r="A2897" t="s">
        <v>1084</v>
      </c>
      <c r="B2897" t="str">
        <f>VLOOKUP(Tabla1[[#This Row],[Code]],[1]!Tabla4[#Data],2,FALSE)</f>
        <v>M2 Metamark M7 188 Aguamarina 1,22 x 50m</v>
      </c>
      <c r="C2897">
        <v>28</v>
      </c>
      <c r="D2897" t="s">
        <v>92</v>
      </c>
      <c r="E2897" t="str">
        <f>VLOOKUP(Tabla1[[#This Row],[Cód. Atributo]],[1]!Tabla5[#Data],6,FALSE)</f>
        <v>Select</v>
      </c>
      <c r="F2897">
        <v>4</v>
      </c>
      <c r="G2897">
        <v>1</v>
      </c>
      <c r="H2897" t="s">
        <v>93</v>
      </c>
      <c r="I2897" t="str">
        <f>VLOOKUP(Tabla1[[#This Row],[Code]],'[1]Articulos Precio'!$A:$E,5,FALSE)</f>
        <v>A0000103</v>
      </c>
    </row>
    <row r="2898" spans="1:9" x14ac:dyDescent="0.25">
      <c r="A2898" t="s">
        <v>1084</v>
      </c>
      <c r="B2898" t="str">
        <f>VLOOKUP(Tabla1[[#This Row],[Code]],[1]!Tabla4[#Data],2,FALSE)</f>
        <v>M2 Metamark M7 188 Aguamarina 1,22 x 50m</v>
      </c>
      <c r="C2898">
        <v>25</v>
      </c>
      <c r="D2898" t="s">
        <v>94</v>
      </c>
      <c r="E2898" t="str">
        <f>VLOOKUP(Tabla1[[#This Row],[Cód. Atributo]],[1]!Tabla5[#Data],6,FALSE)</f>
        <v>Select</v>
      </c>
      <c r="F2898">
        <v>5</v>
      </c>
      <c r="G2898">
        <v>4</v>
      </c>
      <c r="H2898" t="s">
        <v>137</v>
      </c>
      <c r="I2898" t="str">
        <f>VLOOKUP(Tabla1[[#This Row],[Code]],'[1]Articulos Precio'!$A:$E,5,FALSE)</f>
        <v>A0000103</v>
      </c>
    </row>
    <row r="2899" spans="1:9" x14ac:dyDescent="0.25">
      <c r="A2899" t="s">
        <v>1084</v>
      </c>
      <c r="B2899" t="str">
        <f>VLOOKUP(Tabla1[[#This Row],[Code]],[1]!Tabla4[#Data],2,FALSE)</f>
        <v>M2 Metamark M7 188 Aguamarina 1,22 x 50m</v>
      </c>
      <c r="C2899">
        <v>24</v>
      </c>
      <c r="D2899" t="s">
        <v>96</v>
      </c>
      <c r="E2899" t="str">
        <f>VLOOKUP(Tabla1[[#This Row],[Cód. Atributo]],[1]!Tabla5[#Data],6,FALSE)</f>
        <v>Select</v>
      </c>
      <c r="F2899">
        <v>6</v>
      </c>
      <c r="G2899">
        <v>2</v>
      </c>
      <c r="H2899" t="s">
        <v>266</v>
      </c>
      <c r="I2899" t="str">
        <f>VLOOKUP(Tabla1[[#This Row],[Code]],'[1]Articulos Precio'!$A:$E,5,FALSE)</f>
        <v>A0000103</v>
      </c>
    </row>
    <row r="2900" spans="1:9" x14ac:dyDescent="0.25">
      <c r="A2900" t="s">
        <v>1085</v>
      </c>
      <c r="B2900" t="str">
        <f>VLOOKUP(Tabla1[[#This Row],[Code]],[1]!Tabla4[#Data],2,FALSE)</f>
        <v>M2 Metamark M7 190 Plata 0,61 x 50m</v>
      </c>
      <c r="C2900">
        <v>8</v>
      </c>
      <c r="D2900" t="s">
        <v>86</v>
      </c>
      <c r="E2900" t="str">
        <f>VLOOKUP(Tabla1[[#This Row],[Cód. Atributo]],[1]!Tabla5[#Data],6,FALSE)</f>
        <v>Select</v>
      </c>
      <c r="F2900">
        <v>1</v>
      </c>
      <c r="G2900">
        <v>1</v>
      </c>
      <c r="H2900" t="s">
        <v>263</v>
      </c>
      <c r="I2900" t="str">
        <f>VLOOKUP(Tabla1[[#This Row],[Code]],'[1]Articulos Precio'!$A:$E,5,FALSE)</f>
        <v>A0000103</v>
      </c>
    </row>
    <row r="2901" spans="1:9" x14ac:dyDescent="0.25">
      <c r="A2901" t="s">
        <v>1085</v>
      </c>
      <c r="B2901" t="str">
        <f>VLOOKUP(Tabla1[[#This Row],[Code]],[1]!Tabla4[#Data],2,FALSE)</f>
        <v>M2 Metamark M7 190 Plata 0,61 x 50m</v>
      </c>
      <c r="C2901">
        <v>13</v>
      </c>
      <c r="D2901" t="s">
        <v>491</v>
      </c>
      <c r="E2901" t="str">
        <f>VLOOKUP(Tabla1[[#This Row],[Cód. Atributo]],[1]!Tabla5[#Data],6,FALSE)</f>
        <v>Color</v>
      </c>
      <c r="F2901">
        <v>2</v>
      </c>
      <c r="G2901">
        <v>52</v>
      </c>
      <c r="H2901" t="s">
        <v>1086</v>
      </c>
      <c r="I2901" t="str">
        <f>VLOOKUP(Tabla1[[#This Row],[Code]],'[1]Articulos Precio'!$A:$E,5,FALSE)</f>
        <v>A0000103</v>
      </c>
    </row>
    <row r="2902" spans="1:9" x14ac:dyDescent="0.25">
      <c r="A2902" t="s">
        <v>1085</v>
      </c>
      <c r="B2902" t="str">
        <f>VLOOKUP(Tabla1[[#This Row],[Code]],[1]!Tabla4[#Data],2,FALSE)</f>
        <v>M2 Metamark M7 190 Plata 0,61 x 50m</v>
      </c>
      <c r="C2902">
        <v>23</v>
      </c>
      <c r="D2902" t="s">
        <v>90</v>
      </c>
      <c r="E2902" t="str">
        <f>VLOOKUP(Tabla1[[#This Row],[Cód. Atributo]],[1]!Tabla5[#Data],6,FALSE)</f>
        <v>Select</v>
      </c>
      <c r="F2902">
        <v>3</v>
      </c>
      <c r="G2902">
        <v>2</v>
      </c>
      <c r="H2902" t="s">
        <v>136</v>
      </c>
      <c r="I2902" t="str">
        <f>VLOOKUP(Tabla1[[#This Row],[Code]],'[1]Articulos Precio'!$A:$E,5,FALSE)</f>
        <v>A0000103</v>
      </c>
    </row>
    <row r="2903" spans="1:9" x14ac:dyDescent="0.25">
      <c r="A2903" t="s">
        <v>1085</v>
      </c>
      <c r="B2903" t="str">
        <f>VLOOKUP(Tabla1[[#This Row],[Code]],[1]!Tabla4[#Data],2,FALSE)</f>
        <v>M2 Metamark M7 190 Plata 0,61 x 50m</v>
      </c>
      <c r="C2903">
        <v>28</v>
      </c>
      <c r="D2903" t="s">
        <v>92</v>
      </c>
      <c r="E2903" t="str">
        <f>VLOOKUP(Tabla1[[#This Row],[Cód. Atributo]],[1]!Tabla5[#Data],6,FALSE)</f>
        <v>Select</v>
      </c>
      <c r="F2903">
        <v>4</v>
      </c>
      <c r="G2903">
        <v>1</v>
      </c>
      <c r="H2903" t="s">
        <v>93</v>
      </c>
      <c r="I2903" t="str">
        <f>VLOOKUP(Tabla1[[#This Row],[Code]],'[1]Articulos Precio'!$A:$E,5,FALSE)</f>
        <v>A0000103</v>
      </c>
    </row>
    <row r="2904" spans="1:9" x14ac:dyDescent="0.25">
      <c r="A2904" t="s">
        <v>1085</v>
      </c>
      <c r="B2904" t="str">
        <f>VLOOKUP(Tabla1[[#This Row],[Code]],[1]!Tabla4[#Data],2,FALSE)</f>
        <v>M2 Metamark M7 190 Plata 0,61 x 50m</v>
      </c>
      <c r="C2904">
        <v>25</v>
      </c>
      <c r="D2904" t="s">
        <v>94</v>
      </c>
      <c r="E2904" t="str">
        <f>VLOOKUP(Tabla1[[#This Row],[Cód. Atributo]],[1]!Tabla5[#Data],6,FALSE)</f>
        <v>Select</v>
      </c>
      <c r="F2904">
        <v>5</v>
      </c>
      <c r="G2904">
        <v>4</v>
      </c>
      <c r="H2904" t="s">
        <v>137</v>
      </c>
      <c r="I2904" t="str">
        <f>VLOOKUP(Tabla1[[#This Row],[Code]],'[1]Articulos Precio'!$A:$E,5,FALSE)</f>
        <v>A0000103</v>
      </c>
    </row>
    <row r="2905" spans="1:9" x14ac:dyDescent="0.25">
      <c r="A2905" t="s">
        <v>1085</v>
      </c>
      <c r="B2905" t="str">
        <f>VLOOKUP(Tabla1[[#This Row],[Code]],[1]!Tabla4[#Data],2,FALSE)</f>
        <v>M2 Metamark M7 190 Plata 0,61 x 50m</v>
      </c>
      <c r="C2905">
        <v>24</v>
      </c>
      <c r="D2905" t="s">
        <v>96</v>
      </c>
      <c r="E2905" t="str">
        <f>VLOOKUP(Tabla1[[#This Row],[Cód. Atributo]],[1]!Tabla5[#Data],6,FALSE)</f>
        <v>Select</v>
      </c>
      <c r="F2905">
        <v>6</v>
      </c>
      <c r="G2905">
        <v>2</v>
      </c>
      <c r="H2905" t="s">
        <v>266</v>
      </c>
      <c r="I2905" t="str">
        <f>VLOOKUP(Tabla1[[#This Row],[Code]],'[1]Articulos Precio'!$A:$E,5,FALSE)</f>
        <v>A0000103</v>
      </c>
    </row>
    <row r="2906" spans="1:9" x14ac:dyDescent="0.25">
      <c r="A2906" t="s">
        <v>1087</v>
      </c>
      <c r="B2906" t="str">
        <f>VLOOKUP(Tabla1[[#This Row],[Code]],[1]!Tabla4[#Data],2,FALSE)</f>
        <v>M2 Metamark M7 190 Plata 1,22 x 50m</v>
      </c>
      <c r="C2906">
        <v>8</v>
      </c>
      <c r="D2906" t="s">
        <v>86</v>
      </c>
      <c r="E2906" t="str">
        <f>VLOOKUP(Tabla1[[#This Row],[Cód. Atributo]],[1]!Tabla5[#Data],6,FALSE)</f>
        <v>Select</v>
      </c>
      <c r="F2906">
        <v>1</v>
      </c>
      <c r="G2906">
        <v>2</v>
      </c>
      <c r="H2906" t="s">
        <v>268</v>
      </c>
      <c r="I2906" t="str">
        <f>VLOOKUP(Tabla1[[#This Row],[Code]],'[1]Articulos Precio'!$A:$E,5,FALSE)</f>
        <v>A0000103</v>
      </c>
    </row>
    <row r="2907" spans="1:9" x14ac:dyDescent="0.25">
      <c r="A2907" t="s">
        <v>1087</v>
      </c>
      <c r="B2907" t="str">
        <f>VLOOKUP(Tabla1[[#This Row],[Code]],[1]!Tabla4[#Data],2,FALSE)</f>
        <v>M2 Metamark M7 190 Plata 1,22 x 50m</v>
      </c>
      <c r="C2907">
        <v>13</v>
      </c>
      <c r="D2907" t="s">
        <v>491</v>
      </c>
      <c r="E2907" t="str">
        <f>VLOOKUP(Tabla1[[#This Row],[Cód. Atributo]],[1]!Tabla5[#Data],6,FALSE)</f>
        <v>Color</v>
      </c>
      <c r="F2907">
        <v>2</v>
      </c>
      <c r="G2907">
        <v>52</v>
      </c>
      <c r="H2907" t="s">
        <v>1086</v>
      </c>
      <c r="I2907" t="str">
        <f>VLOOKUP(Tabla1[[#This Row],[Code]],'[1]Articulos Precio'!$A:$E,5,FALSE)</f>
        <v>A0000103</v>
      </c>
    </row>
    <row r="2908" spans="1:9" x14ac:dyDescent="0.25">
      <c r="A2908" t="s">
        <v>1087</v>
      </c>
      <c r="B2908" t="str">
        <f>VLOOKUP(Tabla1[[#This Row],[Code]],[1]!Tabla4[#Data],2,FALSE)</f>
        <v>M2 Metamark M7 190 Plata 1,22 x 50m</v>
      </c>
      <c r="C2908">
        <v>23</v>
      </c>
      <c r="D2908" t="s">
        <v>90</v>
      </c>
      <c r="E2908" t="str">
        <f>VLOOKUP(Tabla1[[#This Row],[Cód. Atributo]],[1]!Tabla5[#Data],6,FALSE)</f>
        <v>Select</v>
      </c>
      <c r="F2908">
        <v>3</v>
      </c>
      <c r="G2908">
        <v>2</v>
      </c>
      <c r="H2908" t="s">
        <v>136</v>
      </c>
      <c r="I2908" t="str">
        <f>VLOOKUP(Tabla1[[#This Row],[Code]],'[1]Articulos Precio'!$A:$E,5,FALSE)</f>
        <v>A0000103</v>
      </c>
    </row>
    <row r="2909" spans="1:9" x14ac:dyDescent="0.25">
      <c r="A2909" t="s">
        <v>1087</v>
      </c>
      <c r="B2909" t="str">
        <f>VLOOKUP(Tabla1[[#This Row],[Code]],[1]!Tabla4[#Data],2,FALSE)</f>
        <v>M2 Metamark M7 190 Plata 1,22 x 50m</v>
      </c>
      <c r="C2909">
        <v>28</v>
      </c>
      <c r="D2909" t="s">
        <v>92</v>
      </c>
      <c r="E2909" t="str">
        <f>VLOOKUP(Tabla1[[#This Row],[Cód. Atributo]],[1]!Tabla5[#Data],6,FALSE)</f>
        <v>Select</v>
      </c>
      <c r="F2909">
        <v>4</v>
      </c>
      <c r="G2909">
        <v>1</v>
      </c>
      <c r="H2909" t="s">
        <v>93</v>
      </c>
      <c r="I2909" t="str">
        <f>VLOOKUP(Tabla1[[#This Row],[Code]],'[1]Articulos Precio'!$A:$E,5,FALSE)</f>
        <v>A0000103</v>
      </c>
    </row>
    <row r="2910" spans="1:9" x14ac:dyDescent="0.25">
      <c r="A2910" t="s">
        <v>1087</v>
      </c>
      <c r="B2910" t="str">
        <f>VLOOKUP(Tabla1[[#This Row],[Code]],[1]!Tabla4[#Data],2,FALSE)</f>
        <v>M2 Metamark M7 190 Plata 1,22 x 50m</v>
      </c>
      <c r="C2910">
        <v>25</v>
      </c>
      <c r="D2910" t="s">
        <v>94</v>
      </c>
      <c r="E2910" t="str">
        <f>VLOOKUP(Tabla1[[#This Row],[Cód. Atributo]],[1]!Tabla5[#Data],6,FALSE)</f>
        <v>Select</v>
      </c>
      <c r="F2910">
        <v>5</v>
      </c>
      <c r="G2910">
        <v>4</v>
      </c>
      <c r="H2910" t="s">
        <v>137</v>
      </c>
      <c r="I2910" t="str">
        <f>VLOOKUP(Tabla1[[#This Row],[Code]],'[1]Articulos Precio'!$A:$E,5,FALSE)</f>
        <v>A0000103</v>
      </c>
    </row>
    <row r="2911" spans="1:9" x14ac:dyDescent="0.25">
      <c r="A2911" t="s">
        <v>1087</v>
      </c>
      <c r="B2911" t="str">
        <f>VLOOKUP(Tabla1[[#This Row],[Code]],[1]!Tabla4[#Data],2,FALSE)</f>
        <v>M2 Metamark M7 190 Plata 1,22 x 50m</v>
      </c>
      <c r="C2911">
        <v>24</v>
      </c>
      <c r="D2911" t="s">
        <v>96</v>
      </c>
      <c r="E2911" t="str">
        <f>VLOOKUP(Tabla1[[#This Row],[Cód. Atributo]],[1]!Tabla5[#Data],6,FALSE)</f>
        <v>Select</v>
      </c>
      <c r="F2911">
        <v>6</v>
      </c>
      <c r="G2911">
        <v>2</v>
      </c>
      <c r="H2911" t="s">
        <v>266</v>
      </c>
      <c r="I2911" t="str">
        <f>VLOOKUP(Tabla1[[#This Row],[Code]],'[1]Articulos Precio'!$A:$E,5,FALSE)</f>
        <v>A0000103</v>
      </c>
    </row>
    <row r="2912" spans="1:9" x14ac:dyDescent="0.25">
      <c r="A2912" t="s">
        <v>1088</v>
      </c>
      <c r="B2912" t="str">
        <f>VLOOKUP(Tabla1[[#This Row],[Code]],[1]!Tabla4[#Data],2,FALSE)</f>
        <v>M2 Metamark M7 191 Oro 0,61 x 50m</v>
      </c>
      <c r="C2912">
        <v>8</v>
      </c>
      <c r="D2912" t="s">
        <v>86</v>
      </c>
      <c r="E2912" t="str">
        <f>VLOOKUP(Tabla1[[#This Row],[Cód. Atributo]],[1]!Tabla5[#Data],6,FALSE)</f>
        <v>Select</v>
      </c>
      <c r="F2912">
        <v>1</v>
      </c>
      <c r="G2912">
        <v>1</v>
      </c>
      <c r="H2912" t="s">
        <v>263</v>
      </c>
      <c r="I2912" t="str">
        <f>VLOOKUP(Tabla1[[#This Row],[Code]],'[1]Articulos Precio'!$A:$E,5,FALSE)</f>
        <v>A0000103</v>
      </c>
    </row>
    <row r="2913" spans="1:9" x14ac:dyDescent="0.25">
      <c r="A2913" t="s">
        <v>1088</v>
      </c>
      <c r="B2913" t="str">
        <f>VLOOKUP(Tabla1[[#This Row],[Code]],[1]!Tabla4[#Data],2,FALSE)</f>
        <v>M2 Metamark M7 191 Oro 0,61 x 50m</v>
      </c>
      <c r="C2913">
        <v>13</v>
      </c>
      <c r="D2913" t="s">
        <v>491</v>
      </c>
      <c r="E2913" t="str">
        <f>VLOOKUP(Tabla1[[#This Row],[Cód. Atributo]],[1]!Tabla5[#Data],6,FALSE)</f>
        <v>Color</v>
      </c>
      <c r="F2913">
        <v>2</v>
      </c>
      <c r="G2913">
        <v>53</v>
      </c>
      <c r="H2913" t="s">
        <v>1089</v>
      </c>
      <c r="I2913" t="str">
        <f>VLOOKUP(Tabla1[[#This Row],[Code]],'[1]Articulos Precio'!$A:$E,5,FALSE)</f>
        <v>A0000103</v>
      </c>
    </row>
    <row r="2914" spans="1:9" x14ac:dyDescent="0.25">
      <c r="A2914" t="s">
        <v>1088</v>
      </c>
      <c r="B2914" t="str">
        <f>VLOOKUP(Tabla1[[#This Row],[Code]],[1]!Tabla4[#Data],2,FALSE)</f>
        <v>M2 Metamark M7 191 Oro 0,61 x 50m</v>
      </c>
      <c r="C2914">
        <v>23</v>
      </c>
      <c r="D2914" t="s">
        <v>90</v>
      </c>
      <c r="E2914" t="str">
        <f>VLOOKUP(Tabla1[[#This Row],[Cód. Atributo]],[1]!Tabla5[#Data],6,FALSE)</f>
        <v>Select</v>
      </c>
      <c r="F2914">
        <v>3</v>
      </c>
      <c r="G2914">
        <v>2</v>
      </c>
      <c r="H2914" t="s">
        <v>136</v>
      </c>
      <c r="I2914" t="str">
        <f>VLOOKUP(Tabla1[[#This Row],[Code]],'[1]Articulos Precio'!$A:$E,5,FALSE)</f>
        <v>A0000103</v>
      </c>
    </row>
    <row r="2915" spans="1:9" x14ac:dyDescent="0.25">
      <c r="A2915" t="s">
        <v>1088</v>
      </c>
      <c r="B2915" t="str">
        <f>VLOOKUP(Tabla1[[#This Row],[Code]],[1]!Tabla4[#Data],2,FALSE)</f>
        <v>M2 Metamark M7 191 Oro 0,61 x 50m</v>
      </c>
      <c r="C2915">
        <v>28</v>
      </c>
      <c r="D2915" t="s">
        <v>92</v>
      </c>
      <c r="E2915" t="str">
        <f>VLOOKUP(Tabla1[[#This Row],[Cód. Atributo]],[1]!Tabla5[#Data],6,FALSE)</f>
        <v>Select</v>
      </c>
      <c r="F2915">
        <v>4</v>
      </c>
      <c r="G2915">
        <v>1</v>
      </c>
      <c r="H2915" t="s">
        <v>93</v>
      </c>
      <c r="I2915" t="str">
        <f>VLOOKUP(Tabla1[[#This Row],[Code]],'[1]Articulos Precio'!$A:$E,5,FALSE)</f>
        <v>A0000103</v>
      </c>
    </row>
    <row r="2916" spans="1:9" x14ac:dyDescent="0.25">
      <c r="A2916" t="s">
        <v>1088</v>
      </c>
      <c r="B2916" t="str">
        <f>VLOOKUP(Tabla1[[#This Row],[Code]],[1]!Tabla4[#Data],2,FALSE)</f>
        <v>M2 Metamark M7 191 Oro 0,61 x 50m</v>
      </c>
      <c r="C2916">
        <v>25</v>
      </c>
      <c r="D2916" t="s">
        <v>94</v>
      </c>
      <c r="E2916" t="str">
        <f>VLOOKUP(Tabla1[[#This Row],[Cód. Atributo]],[1]!Tabla5[#Data],6,FALSE)</f>
        <v>Select</v>
      </c>
      <c r="F2916">
        <v>5</v>
      </c>
      <c r="G2916">
        <v>4</v>
      </c>
      <c r="H2916" t="s">
        <v>137</v>
      </c>
      <c r="I2916" t="str">
        <f>VLOOKUP(Tabla1[[#This Row],[Code]],'[1]Articulos Precio'!$A:$E,5,FALSE)</f>
        <v>A0000103</v>
      </c>
    </row>
    <row r="2917" spans="1:9" x14ac:dyDescent="0.25">
      <c r="A2917" t="s">
        <v>1088</v>
      </c>
      <c r="B2917" t="str">
        <f>VLOOKUP(Tabla1[[#This Row],[Code]],[1]!Tabla4[#Data],2,FALSE)</f>
        <v>M2 Metamark M7 191 Oro 0,61 x 50m</v>
      </c>
      <c r="C2917">
        <v>24</v>
      </c>
      <c r="D2917" t="s">
        <v>96</v>
      </c>
      <c r="E2917" t="str">
        <f>VLOOKUP(Tabla1[[#This Row],[Cód. Atributo]],[1]!Tabla5[#Data],6,FALSE)</f>
        <v>Select</v>
      </c>
      <c r="F2917">
        <v>6</v>
      </c>
      <c r="G2917">
        <v>2</v>
      </c>
      <c r="H2917" t="s">
        <v>266</v>
      </c>
      <c r="I2917" t="str">
        <f>VLOOKUP(Tabla1[[#This Row],[Code]],'[1]Articulos Precio'!$A:$E,5,FALSE)</f>
        <v>A0000103</v>
      </c>
    </row>
    <row r="2918" spans="1:9" x14ac:dyDescent="0.25">
      <c r="A2918" t="s">
        <v>1090</v>
      </c>
      <c r="B2918" t="str">
        <f>VLOOKUP(Tabla1[[#This Row],[Code]],[1]!Tabla4[#Data],2,FALSE)</f>
        <v>M2 Metamark M7 191 Oro 1,22 x 50m</v>
      </c>
      <c r="C2918">
        <v>8</v>
      </c>
      <c r="D2918" t="s">
        <v>86</v>
      </c>
      <c r="E2918" t="str">
        <f>VLOOKUP(Tabla1[[#This Row],[Cód. Atributo]],[1]!Tabla5[#Data],6,FALSE)</f>
        <v>Select</v>
      </c>
      <c r="F2918">
        <v>1</v>
      </c>
      <c r="G2918">
        <v>2</v>
      </c>
      <c r="H2918" t="s">
        <v>268</v>
      </c>
      <c r="I2918" t="str">
        <f>VLOOKUP(Tabla1[[#This Row],[Code]],'[1]Articulos Precio'!$A:$E,5,FALSE)</f>
        <v>A0000103</v>
      </c>
    </row>
    <row r="2919" spans="1:9" x14ac:dyDescent="0.25">
      <c r="A2919" t="s">
        <v>1090</v>
      </c>
      <c r="B2919" t="str">
        <f>VLOOKUP(Tabla1[[#This Row],[Code]],[1]!Tabla4[#Data],2,FALSE)</f>
        <v>M2 Metamark M7 191 Oro 1,22 x 50m</v>
      </c>
      <c r="C2919">
        <v>13</v>
      </c>
      <c r="D2919" t="s">
        <v>491</v>
      </c>
      <c r="E2919" t="str">
        <f>VLOOKUP(Tabla1[[#This Row],[Cód. Atributo]],[1]!Tabla5[#Data],6,FALSE)</f>
        <v>Color</v>
      </c>
      <c r="F2919">
        <v>2</v>
      </c>
      <c r="G2919">
        <v>53</v>
      </c>
      <c r="H2919" t="s">
        <v>1089</v>
      </c>
      <c r="I2919" t="str">
        <f>VLOOKUP(Tabla1[[#This Row],[Code]],'[1]Articulos Precio'!$A:$E,5,FALSE)</f>
        <v>A0000103</v>
      </c>
    </row>
    <row r="2920" spans="1:9" x14ac:dyDescent="0.25">
      <c r="A2920" t="s">
        <v>1090</v>
      </c>
      <c r="B2920" t="str">
        <f>VLOOKUP(Tabla1[[#This Row],[Code]],[1]!Tabla4[#Data],2,FALSE)</f>
        <v>M2 Metamark M7 191 Oro 1,22 x 50m</v>
      </c>
      <c r="C2920">
        <v>23</v>
      </c>
      <c r="D2920" t="s">
        <v>90</v>
      </c>
      <c r="E2920" t="str">
        <f>VLOOKUP(Tabla1[[#This Row],[Cód. Atributo]],[1]!Tabla5[#Data],6,FALSE)</f>
        <v>Select</v>
      </c>
      <c r="F2920">
        <v>3</v>
      </c>
      <c r="G2920">
        <v>2</v>
      </c>
      <c r="H2920" t="s">
        <v>136</v>
      </c>
      <c r="I2920" t="str">
        <f>VLOOKUP(Tabla1[[#This Row],[Code]],'[1]Articulos Precio'!$A:$E,5,FALSE)</f>
        <v>A0000103</v>
      </c>
    </row>
    <row r="2921" spans="1:9" x14ac:dyDescent="0.25">
      <c r="A2921" t="s">
        <v>1090</v>
      </c>
      <c r="B2921" t="str">
        <f>VLOOKUP(Tabla1[[#This Row],[Code]],[1]!Tabla4[#Data],2,FALSE)</f>
        <v>M2 Metamark M7 191 Oro 1,22 x 50m</v>
      </c>
      <c r="C2921">
        <v>28</v>
      </c>
      <c r="D2921" t="s">
        <v>92</v>
      </c>
      <c r="E2921" t="str">
        <f>VLOOKUP(Tabla1[[#This Row],[Cód. Atributo]],[1]!Tabla5[#Data],6,FALSE)</f>
        <v>Select</v>
      </c>
      <c r="F2921">
        <v>4</v>
      </c>
      <c r="G2921">
        <v>1</v>
      </c>
      <c r="H2921" t="s">
        <v>93</v>
      </c>
      <c r="I2921" t="str">
        <f>VLOOKUP(Tabla1[[#This Row],[Code]],'[1]Articulos Precio'!$A:$E,5,FALSE)</f>
        <v>A0000103</v>
      </c>
    </row>
    <row r="2922" spans="1:9" x14ac:dyDescent="0.25">
      <c r="A2922" t="s">
        <v>1090</v>
      </c>
      <c r="B2922" t="str">
        <f>VLOOKUP(Tabla1[[#This Row],[Code]],[1]!Tabla4[#Data],2,FALSE)</f>
        <v>M2 Metamark M7 191 Oro 1,22 x 50m</v>
      </c>
      <c r="C2922">
        <v>25</v>
      </c>
      <c r="D2922" t="s">
        <v>94</v>
      </c>
      <c r="E2922" t="str">
        <f>VLOOKUP(Tabla1[[#This Row],[Cód. Atributo]],[1]!Tabla5[#Data],6,FALSE)</f>
        <v>Select</v>
      </c>
      <c r="F2922">
        <v>5</v>
      </c>
      <c r="G2922">
        <v>4</v>
      </c>
      <c r="H2922" t="s">
        <v>137</v>
      </c>
      <c r="I2922" t="str">
        <f>VLOOKUP(Tabla1[[#This Row],[Code]],'[1]Articulos Precio'!$A:$E,5,FALSE)</f>
        <v>A0000103</v>
      </c>
    </row>
    <row r="2923" spans="1:9" x14ac:dyDescent="0.25">
      <c r="A2923" t="s">
        <v>1090</v>
      </c>
      <c r="B2923" t="str">
        <f>VLOOKUP(Tabla1[[#This Row],[Code]],[1]!Tabla4[#Data],2,FALSE)</f>
        <v>M2 Metamark M7 191 Oro 1,22 x 50m</v>
      </c>
      <c r="C2923">
        <v>24</v>
      </c>
      <c r="D2923" t="s">
        <v>96</v>
      </c>
      <c r="E2923" t="str">
        <f>VLOOKUP(Tabla1[[#This Row],[Cód. Atributo]],[1]!Tabla5[#Data],6,FALSE)</f>
        <v>Select</v>
      </c>
      <c r="F2923">
        <v>6</v>
      </c>
      <c r="G2923">
        <v>2</v>
      </c>
      <c r="H2923" t="s">
        <v>266</v>
      </c>
      <c r="I2923" t="str">
        <f>VLOOKUP(Tabla1[[#This Row],[Code]],'[1]Articulos Precio'!$A:$E,5,FALSE)</f>
        <v>A0000103</v>
      </c>
    </row>
    <row r="2924" spans="1:9" x14ac:dyDescent="0.25">
      <c r="A2924" t="s">
        <v>1091</v>
      </c>
      <c r="B2924" t="str">
        <f>VLOOKUP(Tabla1[[#This Row],[Code]],[1]!Tabla4[#Data],2,FALSE)</f>
        <v>M2 Metamark M7 192 Gris Carbón 0,61 x 50m</v>
      </c>
      <c r="C2924">
        <v>8</v>
      </c>
      <c r="D2924" t="s">
        <v>86</v>
      </c>
      <c r="E2924" t="str">
        <f>VLOOKUP(Tabla1[[#This Row],[Cód. Atributo]],[1]!Tabla5[#Data],6,FALSE)</f>
        <v>Select</v>
      </c>
      <c r="F2924">
        <v>1</v>
      </c>
      <c r="G2924">
        <v>1</v>
      </c>
      <c r="H2924" t="s">
        <v>263</v>
      </c>
      <c r="I2924" t="str">
        <f>VLOOKUP(Tabla1[[#This Row],[Code]],'[1]Articulos Precio'!$A:$E,5,FALSE)</f>
        <v>A0000103</v>
      </c>
    </row>
    <row r="2925" spans="1:9" x14ac:dyDescent="0.25">
      <c r="A2925" t="s">
        <v>1091</v>
      </c>
      <c r="B2925" t="str">
        <f>VLOOKUP(Tabla1[[#This Row],[Code]],[1]!Tabla4[#Data],2,FALSE)</f>
        <v>M2 Metamark M7 192 Gris Carbón 0,61 x 50m</v>
      </c>
      <c r="C2925">
        <v>13</v>
      </c>
      <c r="D2925" t="s">
        <v>491</v>
      </c>
      <c r="E2925" t="str">
        <f>VLOOKUP(Tabla1[[#This Row],[Cód. Atributo]],[1]!Tabla5[#Data],6,FALSE)</f>
        <v>Color</v>
      </c>
      <c r="F2925">
        <v>2</v>
      </c>
      <c r="G2925">
        <v>54</v>
      </c>
      <c r="H2925" t="s">
        <v>1092</v>
      </c>
      <c r="I2925" t="str">
        <f>VLOOKUP(Tabla1[[#This Row],[Code]],'[1]Articulos Precio'!$A:$E,5,FALSE)</f>
        <v>A0000103</v>
      </c>
    </row>
    <row r="2926" spans="1:9" x14ac:dyDescent="0.25">
      <c r="A2926" t="s">
        <v>1091</v>
      </c>
      <c r="B2926" t="str">
        <f>VLOOKUP(Tabla1[[#This Row],[Code]],[1]!Tabla4[#Data],2,FALSE)</f>
        <v>M2 Metamark M7 192 Gris Carbón 0,61 x 50m</v>
      </c>
      <c r="C2926">
        <v>23</v>
      </c>
      <c r="D2926" t="s">
        <v>90</v>
      </c>
      <c r="E2926" t="str">
        <f>VLOOKUP(Tabla1[[#This Row],[Cód. Atributo]],[1]!Tabla5[#Data],6,FALSE)</f>
        <v>Select</v>
      </c>
      <c r="F2926">
        <v>3</v>
      </c>
      <c r="G2926">
        <v>2</v>
      </c>
      <c r="H2926" t="s">
        <v>136</v>
      </c>
      <c r="I2926" t="str">
        <f>VLOOKUP(Tabla1[[#This Row],[Code]],'[1]Articulos Precio'!$A:$E,5,FALSE)</f>
        <v>A0000103</v>
      </c>
    </row>
    <row r="2927" spans="1:9" x14ac:dyDescent="0.25">
      <c r="A2927" t="s">
        <v>1091</v>
      </c>
      <c r="B2927" t="str">
        <f>VLOOKUP(Tabla1[[#This Row],[Code]],[1]!Tabla4[#Data],2,FALSE)</f>
        <v>M2 Metamark M7 192 Gris Carbón 0,61 x 50m</v>
      </c>
      <c r="C2927">
        <v>28</v>
      </c>
      <c r="D2927" t="s">
        <v>92</v>
      </c>
      <c r="E2927" t="str">
        <f>VLOOKUP(Tabla1[[#This Row],[Cód. Atributo]],[1]!Tabla5[#Data],6,FALSE)</f>
        <v>Select</v>
      </c>
      <c r="F2927">
        <v>4</v>
      </c>
      <c r="G2927">
        <v>1</v>
      </c>
      <c r="H2927" t="s">
        <v>93</v>
      </c>
      <c r="I2927" t="str">
        <f>VLOOKUP(Tabla1[[#This Row],[Code]],'[1]Articulos Precio'!$A:$E,5,FALSE)</f>
        <v>A0000103</v>
      </c>
    </row>
    <row r="2928" spans="1:9" x14ac:dyDescent="0.25">
      <c r="A2928" t="s">
        <v>1091</v>
      </c>
      <c r="B2928" t="str">
        <f>VLOOKUP(Tabla1[[#This Row],[Code]],[1]!Tabla4[#Data],2,FALSE)</f>
        <v>M2 Metamark M7 192 Gris Carbón 0,61 x 50m</v>
      </c>
      <c r="C2928">
        <v>25</v>
      </c>
      <c r="D2928" t="s">
        <v>94</v>
      </c>
      <c r="E2928" t="str">
        <f>VLOOKUP(Tabla1[[#This Row],[Cód. Atributo]],[1]!Tabla5[#Data],6,FALSE)</f>
        <v>Select</v>
      </c>
      <c r="F2928">
        <v>5</v>
      </c>
      <c r="G2928">
        <v>4</v>
      </c>
      <c r="H2928" t="s">
        <v>137</v>
      </c>
      <c r="I2928" t="str">
        <f>VLOOKUP(Tabla1[[#This Row],[Code]],'[1]Articulos Precio'!$A:$E,5,FALSE)</f>
        <v>A0000103</v>
      </c>
    </row>
    <row r="2929" spans="1:9" x14ac:dyDescent="0.25">
      <c r="A2929" t="s">
        <v>1091</v>
      </c>
      <c r="B2929" t="str">
        <f>VLOOKUP(Tabla1[[#This Row],[Code]],[1]!Tabla4[#Data],2,FALSE)</f>
        <v>M2 Metamark M7 192 Gris Carbón 0,61 x 50m</v>
      </c>
      <c r="C2929">
        <v>24</v>
      </c>
      <c r="D2929" t="s">
        <v>96</v>
      </c>
      <c r="E2929" t="str">
        <f>VLOOKUP(Tabla1[[#This Row],[Cód. Atributo]],[1]!Tabla5[#Data],6,FALSE)</f>
        <v>Select</v>
      </c>
      <c r="F2929">
        <v>6</v>
      </c>
      <c r="G2929">
        <v>2</v>
      </c>
      <c r="H2929" t="s">
        <v>266</v>
      </c>
      <c r="I2929" t="str">
        <f>VLOOKUP(Tabla1[[#This Row],[Code]],'[1]Articulos Precio'!$A:$E,5,FALSE)</f>
        <v>A0000103</v>
      </c>
    </row>
    <row r="2930" spans="1:9" x14ac:dyDescent="0.25">
      <c r="A2930" t="s">
        <v>1093</v>
      </c>
      <c r="B2930" t="str">
        <f>VLOOKUP(Tabla1[[#This Row],[Code]],[1]!Tabla4[#Data],2,FALSE)</f>
        <v>M2 Metamark M7 192 Gris Carbón 1,22 x 50m</v>
      </c>
      <c r="C2930">
        <v>8</v>
      </c>
      <c r="D2930" t="s">
        <v>86</v>
      </c>
      <c r="E2930" t="str">
        <f>VLOOKUP(Tabla1[[#This Row],[Cód. Atributo]],[1]!Tabla5[#Data],6,FALSE)</f>
        <v>Select</v>
      </c>
      <c r="F2930">
        <v>1</v>
      </c>
      <c r="G2930">
        <v>2</v>
      </c>
      <c r="H2930" t="s">
        <v>268</v>
      </c>
      <c r="I2930" t="str">
        <f>VLOOKUP(Tabla1[[#This Row],[Code]],'[1]Articulos Precio'!$A:$E,5,FALSE)</f>
        <v>A0000103</v>
      </c>
    </row>
    <row r="2931" spans="1:9" x14ac:dyDescent="0.25">
      <c r="A2931" t="s">
        <v>1093</v>
      </c>
      <c r="B2931" t="str">
        <f>VLOOKUP(Tabla1[[#This Row],[Code]],[1]!Tabla4[#Data],2,FALSE)</f>
        <v>M2 Metamark M7 192 Gris Carbón 1,22 x 50m</v>
      </c>
      <c r="C2931">
        <v>13</v>
      </c>
      <c r="D2931" t="s">
        <v>491</v>
      </c>
      <c r="E2931" t="str">
        <f>VLOOKUP(Tabla1[[#This Row],[Cód. Atributo]],[1]!Tabla5[#Data],6,FALSE)</f>
        <v>Color</v>
      </c>
      <c r="F2931">
        <v>2</v>
      </c>
      <c r="G2931">
        <v>54</v>
      </c>
      <c r="H2931" t="s">
        <v>1092</v>
      </c>
      <c r="I2931" t="str">
        <f>VLOOKUP(Tabla1[[#This Row],[Code]],'[1]Articulos Precio'!$A:$E,5,FALSE)</f>
        <v>A0000103</v>
      </c>
    </row>
    <row r="2932" spans="1:9" x14ac:dyDescent="0.25">
      <c r="A2932" t="s">
        <v>1093</v>
      </c>
      <c r="B2932" t="str">
        <f>VLOOKUP(Tabla1[[#This Row],[Code]],[1]!Tabla4[#Data],2,FALSE)</f>
        <v>M2 Metamark M7 192 Gris Carbón 1,22 x 50m</v>
      </c>
      <c r="C2932">
        <v>23</v>
      </c>
      <c r="D2932" t="s">
        <v>90</v>
      </c>
      <c r="E2932" t="str">
        <f>VLOOKUP(Tabla1[[#This Row],[Cód. Atributo]],[1]!Tabla5[#Data],6,FALSE)</f>
        <v>Select</v>
      </c>
      <c r="F2932">
        <v>3</v>
      </c>
      <c r="G2932">
        <v>2</v>
      </c>
      <c r="H2932" t="s">
        <v>136</v>
      </c>
      <c r="I2932" t="str">
        <f>VLOOKUP(Tabla1[[#This Row],[Code]],'[1]Articulos Precio'!$A:$E,5,FALSE)</f>
        <v>A0000103</v>
      </c>
    </row>
    <row r="2933" spans="1:9" x14ac:dyDescent="0.25">
      <c r="A2933" t="s">
        <v>1093</v>
      </c>
      <c r="B2933" t="str">
        <f>VLOOKUP(Tabla1[[#This Row],[Code]],[1]!Tabla4[#Data],2,FALSE)</f>
        <v>M2 Metamark M7 192 Gris Carbón 1,22 x 50m</v>
      </c>
      <c r="C2933">
        <v>28</v>
      </c>
      <c r="D2933" t="s">
        <v>92</v>
      </c>
      <c r="E2933" t="str">
        <f>VLOOKUP(Tabla1[[#This Row],[Cód. Atributo]],[1]!Tabla5[#Data],6,FALSE)</f>
        <v>Select</v>
      </c>
      <c r="F2933">
        <v>4</v>
      </c>
      <c r="G2933">
        <v>1</v>
      </c>
      <c r="H2933" t="s">
        <v>93</v>
      </c>
      <c r="I2933" t="str">
        <f>VLOOKUP(Tabla1[[#This Row],[Code]],'[1]Articulos Precio'!$A:$E,5,FALSE)</f>
        <v>A0000103</v>
      </c>
    </row>
    <row r="2934" spans="1:9" x14ac:dyDescent="0.25">
      <c r="A2934" t="s">
        <v>1093</v>
      </c>
      <c r="B2934" t="str">
        <f>VLOOKUP(Tabla1[[#This Row],[Code]],[1]!Tabla4[#Data],2,FALSE)</f>
        <v>M2 Metamark M7 192 Gris Carbón 1,22 x 50m</v>
      </c>
      <c r="C2934">
        <v>25</v>
      </c>
      <c r="D2934" t="s">
        <v>94</v>
      </c>
      <c r="E2934" t="str">
        <f>VLOOKUP(Tabla1[[#This Row],[Cód. Atributo]],[1]!Tabla5[#Data],6,FALSE)</f>
        <v>Select</v>
      </c>
      <c r="F2934">
        <v>5</v>
      </c>
      <c r="G2934">
        <v>4</v>
      </c>
      <c r="H2934" t="s">
        <v>137</v>
      </c>
      <c r="I2934" t="str">
        <f>VLOOKUP(Tabla1[[#This Row],[Code]],'[1]Articulos Precio'!$A:$E,5,FALSE)</f>
        <v>A0000103</v>
      </c>
    </row>
    <row r="2935" spans="1:9" x14ac:dyDescent="0.25">
      <c r="A2935" t="s">
        <v>1093</v>
      </c>
      <c r="B2935" t="str">
        <f>VLOOKUP(Tabla1[[#This Row],[Code]],[1]!Tabla4[#Data],2,FALSE)</f>
        <v>M2 Metamark M7 192 Gris Carbón 1,22 x 50m</v>
      </c>
      <c r="C2935">
        <v>24</v>
      </c>
      <c r="D2935" t="s">
        <v>96</v>
      </c>
      <c r="E2935" t="str">
        <f>VLOOKUP(Tabla1[[#This Row],[Cód. Atributo]],[1]!Tabla5[#Data],6,FALSE)</f>
        <v>Select</v>
      </c>
      <c r="F2935">
        <v>6</v>
      </c>
      <c r="G2935">
        <v>2</v>
      </c>
      <c r="H2935" t="s">
        <v>266</v>
      </c>
      <c r="I2935" t="str">
        <f>VLOOKUP(Tabla1[[#This Row],[Code]],'[1]Articulos Precio'!$A:$E,5,FALSE)</f>
        <v>A0000103</v>
      </c>
    </row>
    <row r="2936" spans="1:9" x14ac:dyDescent="0.25">
      <c r="A2936" t="s">
        <v>1094</v>
      </c>
      <c r="B2936" t="str">
        <f>VLOOKUP(Tabla1[[#This Row],[Code]],[1]!Tabla4[#Data],2,FALSE)</f>
        <v>M2 Metamark M7 193 Gunmetal 0,61 x 50m</v>
      </c>
      <c r="C2936">
        <v>8</v>
      </c>
      <c r="D2936" t="s">
        <v>86</v>
      </c>
      <c r="E2936" t="str">
        <f>VLOOKUP(Tabla1[[#This Row],[Cód. Atributo]],[1]!Tabla5[#Data],6,FALSE)</f>
        <v>Select</v>
      </c>
      <c r="F2936">
        <v>1</v>
      </c>
      <c r="G2936">
        <v>1</v>
      </c>
      <c r="H2936" t="s">
        <v>263</v>
      </c>
      <c r="I2936" t="str">
        <f>VLOOKUP(Tabla1[[#This Row],[Code]],'[1]Articulos Precio'!$A:$E,5,FALSE)</f>
        <v>A0000103</v>
      </c>
    </row>
    <row r="2937" spans="1:9" x14ac:dyDescent="0.25">
      <c r="A2937" t="s">
        <v>1094</v>
      </c>
      <c r="B2937" t="str">
        <f>VLOOKUP(Tabla1[[#This Row],[Code]],[1]!Tabla4[#Data],2,FALSE)</f>
        <v>M2 Metamark M7 193 Gunmetal 0,61 x 50m</v>
      </c>
      <c r="C2937">
        <v>13</v>
      </c>
      <c r="D2937" t="s">
        <v>491</v>
      </c>
      <c r="E2937" t="str">
        <f>VLOOKUP(Tabla1[[#This Row],[Cód. Atributo]],[1]!Tabla5[#Data],6,FALSE)</f>
        <v>Color</v>
      </c>
      <c r="F2937">
        <v>2</v>
      </c>
      <c r="G2937">
        <v>85</v>
      </c>
      <c r="H2937" t="s">
        <v>1095</v>
      </c>
      <c r="I2937" t="str">
        <f>VLOOKUP(Tabla1[[#This Row],[Code]],'[1]Articulos Precio'!$A:$E,5,FALSE)</f>
        <v>A0000103</v>
      </c>
    </row>
    <row r="2938" spans="1:9" x14ac:dyDescent="0.25">
      <c r="A2938" t="s">
        <v>1094</v>
      </c>
      <c r="B2938" t="str">
        <f>VLOOKUP(Tabla1[[#This Row],[Code]],[1]!Tabla4[#Data],2,FALSE)</f>
        <v>M2 Metamark M7 193 Gunmetal 0,61 x 50m</v>
      </c>
      <c r="C2938">
        <v>23</v>
      </c>
      <c r="D2938" t="s">
        <v>90</v>
      </c>
      <c r="E2938" t="str">
        <f>VLOOKUP(Tabla1[[#This Row],[Cód. Atributo]],[1]!Tabla5[#Data],6,FALSE)</f>
        <v>Select</v>
      </c>
      <c r="F2938">
        <v>3</v>
      </c>
      <c r="G2938">
        <v>2</v>
      </c>
      <c r="H2938" t="s">
        <v>136</v>
      </c>
      <c r="I2938" t="str">
        <f>VLOOKUP(Tabla1[[#This Row],[Code]],'[1]Articulos Precio'!$A:$E,5,FALSE)</f>
        <v>A0000103</v>
      </c>
    </row>
    <row r="2939" spans="1:9" x14ac:dyDescent="0.25">
      <c r="A2939" t="s">
        <v>1094</v>
      </c>
      <c r="B2939" t="str">
        <f>VLOOKUP(Tabla1[[#This Row],[Code]],[1]!Tabla4[#Data],2,FALSE)</f>
        <v>M2 Metamark M7 193 Gunmetal 0,61 x 50m</v>
      </c>
      <c r="C2939">
        <v>28</v>
      </c>
      <c r="D2939" t="s">
        <v>92</v>
      </c>
      <c r="E2939" t="str">
        <f>VLOOKUP(Tabla1[[#This Row],[Cód. Atributo]],[1]!Tabla5[#Data],6,FALSE)</f>
        <v>Select</v>
      </c>
      <c r="F2939">
        <v>4</v>
      </c>
      <c r="G2939">
        <v>1</v>
      </c>
      <c r="H2939" t="s">
        <v>93</v>
      </c>
      <c r="I2939" t="str">
        <f>VLOOKUP(Tabla1[[#This Row],[Code]],'[1]Articulos Precio'!$A:$E,5,FALSE)</f>
        <v>A0000103</v>
      </c>
    </row>
    <row r="2940" spans="1:9" x14ac:dyDescent="0.25">
      <c r="A2940" t="s">
        <v>1094</v>
      </c>
      <c r="B2940" t="str">
        <f>VLOOKUP(Tabla1[[#This Row],[Code]],[1]!Tabla4[#Data],2,FALSE)</f>
        <v>M2 Metamark M7 193 Gunmetal 0,61 x 50m</v>
      </c>
      <c r="C2940">
        <v>25</v>
      </c>
      <c r="D2940" t="s">
        <v>94</v>
      </c>
      <c r="E2940" t="str">
        <f>VLOOKUP(Tabla1[[#This Row],[Cód. Atributo]],[1]!Tabla5[#Data],6,FALSE)</f>
        <v>Select</v>
      </c>
      <c r="F2940">
        <v>5</v>
      </c>
      <c r="G2940">
        <v>4</v>
      </c>
      <c r="H2940" t="s">
        <v>137</v>
      </c>
      <c r="I2940" t="str">
        <f>VLOOKUP(Tabla1[[#This Row],[Code]],'[1]Articulos Precio'!$A:$E,5,FALSE)</f>
        <v>A0000103</v>
      </c>
    </row>
    <row r="2941" spans="1:9" x14ac:dyDescent="0.25">
      <c r="A2941" t="s">
        <v>1094</v>
      </c>
      <c r="B2941" t="str">
        <f>VLOOKUP(Tabla1[[#This Row],[Code]],[1]!Tabla4[#Data],2,FALSE)</f>
        <v>M2 Metamark M7 193 Gunmetal 0,61 x 50m</v>
      </c>
      <c r="C2941">
        <v>24</v>
      </c>
      <c r="D2941" t="s">
        <v>96</v>
      </c>
      <c r="E2941" t="str">
        <f>VLOOKUP(Tabla1[[#This Row],[Cód. Atributo]],[1]!Tabla5[#Data],6,FALSE)</f>
        <v>Select</v>
      </c>
      <c r="F2941">
        <v>6</v>
      </c>
      <c r="G2941">
        <v>2</v>
      </c>
      <c r="H2941" t="s">
        <v>266</v>
      </c>
      <c r="I2941" t="str">
        <f>VLOOKUP(Tabla1[[#This Row],[Code]],'[1]Articulos Precio'!$A:$E,5,FALSE)</f>
        <v>A0000103</v>
      </c>
    </row>
    <row r="2942" spans="1:9" x14ac:dyDescent="0.25">
      <c r="A2942" t="s">
        <v>1096</v>
      </c>
      <c r="B2942" t="str">
        <f>VLOOKUP(Tabla1[[#This Row],[Code]],[1]!Tabla4[#Data],2,FALSE)</f>
        <v>M2 Metamark M7 193 Gunmetal 1,22 x 50m</v>
      </c>
      <c r="C2942">
        <v>8</v>
      </c>
      <c r="D2942" t="s">
        <v>86</v>
      </c>
      <c r="E2942" t="str">
        <f>VLOOKUP(Tabla1[[#This Row],[Cód. Atributo]],[1]!Tabla5[#Data],6,FALSE)</f>
        <v>Select</v>
      </c>
      <c r="F2942">
        <v>1</v>
      </c>
      <c r="G2942">
        <v>2</v>
      </c>
      <c r="H2942" t="s">
        <v>268</v>
      </c>
      <c r="I2942" t="str">
        <f>VLOOKUP(Tabla1[[#This Row],[Code]],'[1]Articulos Precio'!$A:$E,5,FALSE)</f>
        <v>A0000103</v>
      </c>
    </row>
    <row r="2943" spans="1:9" x14ac:dyDescent="0.25">
      <c r="A2943" t="s">
        <v>1096</v>
      </c>
      <c r="B2943" t="str">
        <f>VLOOKUP(Tabla1[[#This Row],[Code]],[1]!Tabla4[#Data],2,FALSE)</f>
        <v>M2 Metamark M7 193 Gunmetal 1,22 x 50m</v>
      </c>
      <c r="C2943">
        <v>13</v>
      </c>
      <c r="D2943" t="s">
        <v>491</v>
      </c>
      <c r="E2943" t="str">
        <f>VLOOKUP(Tabla1[[#This Row],[Cód. Atributo]],[1]!Tabla5[#Data],6,FALSE)</f>
        <v>Color</v>
      </c>
      <c r="F2943">
        <v>2</v>
      </c>
      <c r="G2943">
        <v>85</v>
      </c>
      <c r="H2943" t="s">
        <v>1095</v>
      </c>
      <c r="I2943" t="str">
        <f>VLOOKUP(Tabla1[[#This Row],[Code]],'[1]Articulos Precio'!$A:$E,5,FALSE)</f>
        <v>A0000103</v>
      </c>
    </row>
    <row r="2944" spans="1:9" x14ac:dyDescent="0.25">
      <c r="A2944" t="s">
        <v>1096</v>
      </c>
      <c r="B2944" t="str">
        <f>VLOOKUP(Tabla1[[#This Row],[Code]],[1]!Tabla4[#Data],2,FALSE)</f>
        <v>M2 Metamark M7 193 Gunmetal 1,22 x 50m</v>
      </c>
      <c r="C2944">
        <v>23</v>
      </c>
      <c r="D2944" t="s">
        <v>90</v>
      </c>
      <c r="E2944" t="str">
        <f>VLOOKUP(Tabla1[[#This Row],[Cód. Atributo]],[1]!Tabla5[#Data],6,FALSE)</f>
        <v>Select</v>
      </c>
      <c r="F2944">
        <v>3</v>
      </c>
      <c r="G2944">
        <v>2</v>
      </c>
      <c r="H2944" t="s">
        <v>136</v>
      </c>
      <c r="I2944" t="str">
        <f>VLOOKUP(Tabla1[[#This Row],[Code]],'[1]Articulos Precio'!$A:$E,5,FALSE)</f>
        <v>A0000103</v>
      </c>
    </row>
    <row r="2945" spans="1:9" x14ac:dyDescent="0.25">
      <c r="A2945" t="s">
        <v>1096</v>
      </c>
      <c r="B2945" t="str">
        <f>VLOOKUP(Tabla1[[#This Row],[Code]],[1]!Tabla4[#Data],2,FALSE)</f>
        <v>M2 Metamark M7 193 Gunmetal 1,22 x 50m</v>
      </c>
      <c r="C2945">
        <v>28</v>
      </c>
      <c r="D2945" t="s">
        <v>92</v>
      </c>
      <c r="E2945" t="str">
        <f>VLOOKUP(Tabla1[[#This Row],[Cód. Atributo]],[1]!Tabla5[#Data],6,FALSE)</f>
        <v>Select</v>
      </c>
      <c r="F2945">
        <v>4</v>
      </c>
      <c r="G2945">
        <v>1</v>
      </c>
      <c r="H2945" t="s">
        <v>93</v>
      </c>
      <c r="I2945" t="str">
        <f>VLOOKUP(Tabla1[[#This Row],[Code]],'[1]Articulos Precio'!$A:$E,5,FALSE)</f>
        <v>A0000103</v>
      </c>
    </row>
    <row r="2946" spans="1:9" x14ac:dyDescent="0.25">
      <c r="A2946" t="s">
        <v>1096</v>
      </c>
      <c r="B2946" t="str">
        <f>VLOOKUP(Tabla1[[#This Row],[Code]],[1]!Tabla4[#Data],2,FALSE)</f>
        <v>M2 Metamark M7 193 Gunmetal 1,22 x 50m</v>
      </c>
      <c r="C2946">
        <v>25</v>
      </c>
      <c r="D2946" t="s">
        <v>94</v>
      </c>
      <c r="E2946" t="str">
        <f>VLOOKUP(Tabla1[[#This Row],[Cód. Atributo]],[1]!Tabla5[#Data],6,FALSE)</f>
        <v>Select</v>
      </c>
      <c r="F2946">
        <v>5</v>
      </c>
      <c r="G2946">
        <v>4</v>
      </c>
      <c r="H2946" t="s">
        <v>137</v>
      </c>
      <c r="I2946" t="str">
        <f>VLOOKUP(Tabla1[[#This Row],[Code]],'[1]Articulos Precio'!$A:$E,5,FALSE)</f>
        <v>A0000103</v>
      </c>
    </row>
    <row r="2947" spans="1:9" x14ac:dyDescent="0.25">
      <c r="A2947" t="s">
        <v>1096</v>
      </c>
      <c r="B2947" t="str">
        <f>VLOOKUP(Tabla1[[#This Row],[Code]],[1]!Tabla4[#Data],2,FALSE)</f>
        <v>M2 Metamark M7 193 Gunmetal 1,22 x 50m</v>
      </c>
      <c r="C2947">
        <v>24</v>
      </c>
      <c r="D2947" t="s">
        <v>96</v>
      </c>
      <c r="E2947" t="str">
        <f>VLOOKUP(Tabla1[[#This Row],[Cód. Atributo]],[1]!Tabla5[#Data],6,FALSE)</f>
        <v>Select</v>
      </c>
      <c r="F2947">
        <v>6</v>
      </c>
      <c r="G2947">
        <v>2</v>
      </c>
      <c r="H2947" t="s">
        <v>266</v>
      </c>
      <c r="I2947" t="str">
        <f>VLOOKUP(Tabla1[[#This Row],[Code]],'[1]Articulos Precio'!$A:$E,5,FALSE)</f>
        <v>A0000103</v>
      </c>
    </row>
    <row r="2948" spans="1:9" x14ac:dyDescent="0.25">
      <c r="A2948" t="s">
        <v>1097</v>
      </c>
      <c r="B2948" t="str">
        <f>VLOOKUP(Tabla1[[#This Row],[Code]],[1]!Tabla4[#Data],2,FALSE)</f>
        <v>M2 Metamark M7 194 Acero 0,61 x 50m</v>
      </c>
      <c r="C2948">
        <v>8</v>
      </c>
      <c r="D2948" t="s">
        <v>86</v>
      </c>
      <c r="E2948" t="str">
        <f>VLOOKUP(Tabla1[[#This Row],[Cód. Atributo]],[1]!Tabla5[#Data],6,FALSE)</f>
        <v>Select</v>
      </c>
      <c r="F2948">
        <v>1</v>
      </c>
      <c r="G2948">
        <v>1</v>
      </c>
      <c r="H2948" t="s">
        <v>263</v>
      </c>
      <c r="I2948" t="str">
        <f>VLOOKUP(Tabla1[[#This Row],[Code]],'[1]Articulos Precio'!$A:$E,5,FALSE)</f>
        <v>A0000103</v>
      </c>
    </row>
    <row r="2949" spans="1:9" x14ac:dyDescent="0.25">
      <c r="A2949" t="s">
        <v>1097</v>
      </c>
      <c r="B2949" t="str">
        <f>VLOOKUP(Tabla1[[#This Row],[Code]],[1]!Tabla4[#Data],2,FALSE)</f>
        <v>M2 Metamark M7 194 Acero 0,61 x 50m</v>
      </c>
      <c r="C2949">
        <v>13</v>
      </c>
      <c r="D2949" t="s">
        <v>491</v>
      </c>
      <c r="E2949" t="str">
        <f>VLOOKUP(Tabla1[[#This Row],[Cód. Atributo]],[1]!Tabla5[#Data],6,FALSE)</f>
        <v>Color</v>
      </c>
      <c r="F2949">
        <v>2</v>
      </c>
      <c r="G2949">
        <v>86</v>
      </c>
      <c r="H2949" t="s">
        <v>1098</v>
      </c>
      <c r="I2949" t="str">
        <f>VLOOKUP(Tabla1[[#This Row],[Code]],'[1]Articulos Precio'!$A:$E,5,FALSE)</f>
        <v>A0000103</v>
      </c>
    </row>
    <row r="2950" spans="1:9" x14ac:dyDescent="0.25">
      <c r="A2950" t="s">
        <v>1097</v>
      </c>
      <c r="B2950" t="str">
        <f>VLOOKUP(Tabla1[[#This Row],[Code]],[1]!Tabla4[#Data],2,FALSE)</f>
        <v>M2 Metamark M7 194 Acero 0,61 x 50m</v>
      </c>
      <c r="C2950">
        <v>23</v>
      </c>
      <c r="D2950" t="s">
        <v>90</v>
      </c>
      <c r="E2950" t="str">
        <f>VLOOKUP(Tabla1[[#This Row],[Cód. Atributo]],[1]!Tabla5[#Data],6,FALSE)</f>
        <v>Select</v>
      </c>
      <c r="F2950">
        <v>3</v>
      </c>
      <c r="G2950">
        <v>2</v>
      </c>
      <c r="H2950" t="s">
        <v>136</v>
      </c>
      <c r="I2950" t="str">
        <f>VLOOKUP(Tabla1[[#This Row],[Code]],'[1]Articulos Precio'!$A:$E,5,FALSE)</f>
        <v>A0000103</v>
      </c>
    </row>
    <row r="2951" spans="1:9" x14ac:dyDescent="0.25">
      <c r="A2951" t="s">
        <v>1097</v>
      </c>
      <c r="B2951" t="str">
        <f>VLOOKUP(Tabla1[[#This Row],[Code]],[1]!Tabla4[#Data],2,FALSE)</f>
        <v>M2 Metamark M7 194 Acero 0,61 x 50m</v>
      </c>
      <c r="C2951">
        <v>28</v>
      </c>
      <c r="D2951" t="s">
        <v>92</v>
      </c>
      <c r="E2951" t="str">
        <f>VLOOKUP(Tabla1[[#This Row],[Cód. Atributo]],[1]!Tabla5[#Data],6,FALSE)</f>
        <v>Select</v>
      </c>
      <c r="F2951">
        <v>4</v>
      </c>
      <c r="G2951">
        <v>1</v>
      </c>
      <c r="H2951" t="s">
        <v>93</v>
      </c>
      <c r="I2951" t="str">
        <f>VLOOKUP(Tabla1[[#This Row],[Code]],'[1]Articulos Precio'!$A:$E,5,FALSE)</f>
        <v>A0000103</v>
      </c>
    </row>
    <row r="2952" spans="1:9" x14ac:dyDescent="0.25">
      <c r="A2952" t="s">
        <v>1097</v>
      </c>
      <c r="B2952" t="str">
        <f>VLOOKUP(Tabla1[[#This Row],[Code]],[1]!Tabla4[#Data],2,FALSE)</f>
        <v>M2 Metamark M7 194 Acero 0,61 x 50m</v>
      </c>
      <c r="C2952">
        <v>25</v>
      </c>
      <c r="D2952" t="s">
        <v>94</v>
      </c>
      <c r="E2952" t="str">
        <f>VLOOKUP(Tabla1[[#This Row],[Cód. Atributo]],[1]!Tabla5[#Data],6,FALSE)</f>
        <v>Select</v>
      </c>
      <c r="F2952">
        <v>5</v>
      </c>
      <c r="G2952">
        <v>4</v>
      </c>
      <c r="H2952" t="s">
        <v>137</v>
      </c>
      <c r="I2952" t="str">
        <f>VLOOKUP(Tabla1[[#This Row],[Code]],'[1]Articulos Precio'!$A:$E,5,FALSE)</f>
        <v>A0000103</v>
      </c>
    </row>
    <row r="2953" spans="1:9" x14ac:dyDescent="0.25">
      <c r="A2953" t="s">
        <v>1097</v>
      </c>
      <c r="B2953" t="str">
        <f>VLOOKUP(Tabla1[[#This Row],[Code]],[1]!Tabla4[#Data],2,FALSE)</f>
        <v>M2 Metamark M7 194 Acero 0,61 x 50m</v>
      </c>
      <c r="C2953">
        <v>24</v>
      </c>
      <c r="D2953" t="s">
        <v>96</v>
      </c>
      <c r="E2953" t="str">
        <f>VLOOKUP(Tabla1[[#This Row],[Cód. Atributo]],[1]!Tabla5[#Data],6,FALSE)</f>
        <v>Select</v>
      </c>
      <c r="F2953">
        <v>6</v>
      </c>
      <c r="G2953">
        <v>2</v>
      </c>
      <c r="H2953" t="s">
        <v>266</v>
      </c>
      <c r="I2953" t="str">
        <f>VLOOKUP(Tabla1[[#This Row],[Code]],'[1]Articulos Precio'!$A:$E,5,FALSE)</f>
        <v>A0000103</v>
      </c>
    </row>
    <row r="2954" spans="1:9" x14ac:dyDescent="0.25">
      <c r="A2954" t="s">
        <v>1099</v>
      </c>
      <c r="B2954" t="str">
        <f>VLOOKUP(Tabla1[[#This Row],[Code]],[1]!Tabla4[#Data],2,FALSE)</f>
        <v>M2 Metamark M7 194 Acero 1,22 x 50m</v>
      </c>
      <c r="C2954">
        <v>8</v>
      </c>
      <c r="D2954" t="s">
        <v>86</v>
      </c>
      <c r="E2954" t="str">
        <f>VLOOKUP(Tabla1[[#This Row],[Cód. Atributo]],[1]!Tabla5[#Data],6,FALSE)</f>
        <v>Select</v>
      </c>
      <c r="F2954">
        <v>1</v>
      </c>
      <c r="G2954">
        <v>2</v>
      </c>
      <c r="H2954" t="s">
        <v>268</v>
      </c>
      <c r="I2954" t="str">
        <f>VLOOKUP(Tabla1[[#This Row],[Code]],'[1]Articulos Precio'!$A:$E,5,FALSE)</f>
        <v>A0000103</v>
      </c>
    </row>
    <row r="2955" spans="1:9" x14ac:dyDescent="0.25">
      <c r="A2955" t="s">
        <v>1099</v>
      </c>
      <c r="B2955" t="str">
        <f>VLOOKUP(Tabla1[[#This Row],[Code]],[1]!Tabla4[#Data],2,FALSE)</f>
        <v>M2 Metamark M7 194 Acero 1,22 x 50m</v>
      </c>
      <c r="C2955">
        <v>13</v>
      </c>
      <c r="D2955" t="s">
        <v>491</v>
      </c>
      <c r="E2955" t="str">
        <f>VLOOKUP(Tabla1[[#This Row],[Cód. Atributo]],[1]!Tabla5[#Data],6,FALSE)</f>
        <v>Color</v>
      </c>
      <c r="F2955">
        <v>2</v>
      </c>
      <c r="G2955">
        <v>86</v>
      </c>
      <c r="H2955" t="s">
        <v>1098</v>
      </c>
      <c r="I2955" t="str">
        <f>VLOOKUP(Tabla1[[#This Row],[Code]],'[1]Articulos Precio'!$A:$E,5,FALSE)</f>
        <v>A0000103</v>
      </c>
    </row>
    <row r="2956" spans="1:9" x14ac:dyDescent="0.25">
      <c r="A2956" t="s">
        <v>1099</v>
      </c>
      <c r="B2956" t="str">
        <f>VLOOKUP(Tabla1[[#This Row],[Code]],[1]!Tabla4[#Data],2,FALSE)</f>
        <v>M2 Metamark M7 194 Acero 1,22 x 50m</v>
      </c>
      <c r="C2956">
        <v>23</v>
      </c>
      <c r="D2956" t="s">
        <v>90</v>
      </c>
      <c r="E2956" t="str">
        <f>VLOOKUP(Tabla1[[#This Row],[Cód. Atributo]],[1]!Tabla5[#Data],6,FALSE)</f>
        <v>Select</v>
      </c>
      <c r="F2956">
        <v>3</v>
      </c>
      <c r="G2956">
        <v>2</v>
      </c>
      <c r="H2956" t="s">
        <v>136</v>
      </c>
      <c r="I2956" t="str">
        <f>VLOOKUP(Tabla1[[#This Row],[Code]],'[1]Articulos Precio'!$A:$E,5,FALSE)</f>
        <v>A0000103</v>
      </c>
    </row>
    <row r="2957" spans="1:9" x14ac:dyDescent="0.25">
      <c r="A2957" t="s">
        <v>1099</v>
      </c>
      <c r="B2957" t="str">
        <f>VLOOKUP(Tabla1[[#This Row],[Code]],[1]!Tabla4[#Data],2,FALSE)</f>
        <v>M2 Metamark M7 194 Acero 1,22 x 50m</v>
      </c>
      <c r="C2957">
        <v>28</v>
      </c>
      <c r="D2957" t="s">
        <v>92</v>
      </c>
      <c r="E2957" t="str">
        <f>VLOOKUP(Tabla1[[#This Row],[Cód. Atributo]],[1]!Tabla5[#Data],6,FALSE)</f>
        <v>Select</v>
      </c>
      <c r="F2957">
        <v>4</v>
      </c>
      <c r="G2957">
        <v>1</v>
      </c>
      <c r="H2957" t="s">
        <v>93</v>
      </c>
      <c r="I2957" t="str">
        <f>VLOOKUP(Tabla1[[#This Row],[Code]],'[1]Articulos Precio'!$A:$E,5,FALSE)</f>
        <v>A0000103</v>
      </c>
    </row>
    <row r="2958" spans="1:9" x14ac:dyDescent="0.25">
      <c r="A2958" t="s">
        <v>1099</v>
      </c>
      <c r="B2958" t="str">
        <f>VLOOKUP(Tabla1[[#This Row],[Code]],[1]!Tabla4[#Data],2,FALSE)</f>
        <v>M2 Metamark M7 194 Acero 1,22 x 50m</v>
      </c>
      <c r="C2958">
        <v>25</v>
      </c>
      <c r="D2958" t="s">
        <v>94</v>
      </c>
      <c r="E2958" t="str">
        <f>VLOOKUP(Tabla1[[#This Row],[Cód. Atributo]],[1]!Tabla5[#Data],6,FALSE)</f>
        <v>Select</v>
      </c>
      <c r="F2958">
        <v>5</v>
      </c>
      <c r="G2958">
        <v>4</v>
      </c>
      <c r="H2958" t="s">
        <v>137</v>
      </c>
      <c r="I2958" t="str">
        <f>VLOOKUP(Tabla1[[#This Row],[Code]],'[1]Articulos Precio'!$A:$E,5,FALSE)</f>
        <v>A0000103</v>
      </c>
    </row>
    <row r="2959" spans="1:9" x14ac:dyDescent="0.25">
      <c r="A2959" t="s">
        <v>1099</v>
      </c>
      <c r="B2959" t="str">
        <f>VLOOKUP(Tabla1[[#This Row],[Code]],[1]!Tabla4[#Data],2,FALSE)</f>
        <v>M2 Metamark M7 194 Acero 1,22 x 50m</v>
      </c>
      <c r="C2959">
        <v>24</v>
      </c>
      <c r="D2959" t="s">
        <v>96</v>
      </c>
      <c r="E2959" t="str">
        <f>VLOOKUP(Tabla1[[#This Row],[Cód. Atributo]],[1]!Tabla5[#Data],6,FALSE)</f>
        <v>Select</v>
      </c>
      <c r="F2959">
        <v>6</v>
      </c>
      <c r="G2959">
        <v>2</v>
      </c>
      <c r="H2959" t="s">
        <v>266</v>
      </c>
      <c r="I2959" t="str">
        <f>VLOOKUP(Tabla1[[#This Row],[Code]],'[1]Articulos Precio'!$A:$E,5,FALSE)</f>
        <v>A0000103</v>
      </c>
    </row>
    <row r="2960" spans="1:9" x14ac:dyDescent="0.25">
      <c r="A2960" t="s">
        <v>1100</v>
      </c>
      <c r="B2960" t="str">
        <f>VLOOKUP(Tabla1[[#This Row],[Code]],[1]!Tabla4[#Data],2,FALSE)</f>
        <v>M2 Metamark M7 195 Aluminio 0,61 x 50m</v>
      </c>
      <c r="C2960">
        <v>8</v>
      </c>
      <c r="D2960" t="s">
        <v>86</v>
      </c>
      <c r="E2960" t="str">
        <f>VLOOKUP(Tabla1[[#This Row],[Cód. Atributo]],[1]!Tabla5[#Data],6,FALSE)</f>
        <v>Select</v>
      </c>
      <c r="F2960">
        <v>1</v>
      </c>
      <c r="G2960">
        <v>1</v>
      </c>
      <c r="H2960" t="s">
        <v>263</v>
      </c>
      <c r="I2960" t="str">
        <f>VLOOKUP(Tabla1[[#This Row],[Code]],'[1]Articulos Precio'!$A:$E,5,FALSE)</f>
        <v>A0000103</v>
      </c>
    </row>
    <row r="2961" spans="1:9" x14ac:dyDescent="0.25">
      <c r="A2961" t="s">
        <v>1100</v>
      </c>
      <c r="B2961" t="str">
        <f>VLOOKUP(Tabla1[[#This Row],[Code]],[1]!Tabla4[#Data],2,FALSE)</f>
        <v>M2 Metamark M7 195 Aluminio 0,61 x 50m</v>
      </c>
      <c r="C2961">
        <v>13</v>
      </c>
      <c r="D2961" t="s">
        <v>491</v>
      </c>
      <c r="E2961" t="str">
        <f>VLOOKUP(Tabla1[[#This Row],[Cód. Atributo]],[1]!Tabla5[#Data],6,FALSE)</f>
        <v>Color</v>
      </c>
      <c r="F2961">
        <v>2</v>
      </c>
      <c r="G2961">
        <v>87</v>
      </c>
      <c r="H2961" t="s">
        <v>1101</v>
      </c>
      <c r="I2961" t="str">
        <f>VLOOKUP(Tabla1[[#This Row],[Code]],'[1]Articulos Precio'!$A:$E,5,FALSE)</f>
        <v>A0000103</v>
      </c>
    </row>
    <row r="2962" spans="1:9" x14ac:dyDescent="0.25">
      <c r="A2962" t="s">
        <v>1100</v>
      </c>
      <c r="B2962" t="str">
        <f>VLOOKUP(Tabla1[[#This Row],[Code]],[1]!Tabla4[#Data],2,FALSE)</f>
        <v>M2 Metamark M7 195 Aluminio 0,61 x 50m</v>
      </c>
      <c r="C2962">
        <v>23</v>
      </c>
      <c r="D2962" t="s">
        <v>90</v>
      </c>
      <c r="E2962" t="str">
        <f>VLOOKUP(Tabla1[[#This Row],[Cód. Atributo]],[1]!Tabla5[#Data],6,FALSE)</f>
        <v>Select</v>
      </c>
      <c r="F2962">
        <v>3</v>
      </c>
      <c r="G2962">
        <v>2</v>
      </c>
      <c r="H2962" t="s">
        <v>136</v>
      </c>
      <c r="I2962" t="str">
        <f>VLOOKUP(Tabla1[[#This Row],[Code]],'[1]Articulos Precio'!$A:$E,5,FALSE)</f>
        <v>A0000103</v>
      </c>
    </row>
    <row r="2963" spans="1:9" x14ac:dyDescent="0.25">
      <c r="A2963" t="s">
        <v>1100</v>
      </c>
      <c r="B2963" t="str">
        <f>VLOOKUP(Tabla1[[#This Row],[Code]],[1]!Tabla4[#Data],2,FALSE)</f>
        <v>M2 Metamark M7 195 Aluminio 0,61 x 50m</v>
      </c>
      <c r="C2963">
        <v>28</v>
      </c>
      <c r="D2963" t="s">
        <v>92</v>
      </c>
      <c r="E2963" t="str">
        <f>VLOOKUP(Tabla1[[#This Row],[Cód. Atributo]],[1]!Tabla5[#Data],6,FALSE)</f>
        <v>Select</v>
      </c>
      <c r="F2963">
        <v>4</v>
      </c>
      <c r="G2963">
        <v>1</v>
      </c>
      <c r="H2963" t="s">
        <v>93</v>
      </c>
      <c r="I2963" t="str">
        <f>VLOOKUP(Tabla1[[#This Row],[Code]],'[1]Articulos Precio'!$A:$E,5,FALSE)</f>
        <v>A0000103</v>
      </c>
    </row>
    <row r="2964" spans="1:9" x14ac:dyDescent="0.25">
      <c r="A2964" t="s">
        <v>1100</v>
      </c>
      <c r="B2964" t="str">
        <f>VLOOKUP(Tabla1[[#This Row],[Code]],[1]!Tabla4[#Data],2,FALSE)</f>
        <v>M2 Metamark M7 195 Aluminio 0,61 x 50m</v>
      </c>
      <c r="C2964">
        <v>25</v>
      </c>
      <c r="D2964" t="s">
        <v>94</v>
      </c>
      <c r="E2964" t="str">
        <f>VLOOKUP(Tabla1[[#This Row],[Cód. Atributo]],[1]!Tabla5[#Data],6,FALSE)</f>
        <v>Select</v>
      </c>
      <c r="F2964">
        <v>5</v>
      </c>
      <c r="G2964">
        <v>4</v>
      </c>
      <c r="H2964" t="s">
        <v>137</v>
      </c>
      <c r="I2964" t="str">
        <f>VLOOKUP(Tabla1[[#This Row],[Code]],'[1]Articulos Precio'!$A:$E,5,FALSE)</f>
        <v>A0000103</v>
      </c>
    </row>
    <row r="2965" spans="1:9" x14ac:dyDescent="0.25">
      <c r="A2965" t="s">
        <v>1100</v>
      </c>
      <c r="B2965" t="str">
        <f>VLOOKUP(Tabla1[[#This Row],[Code]],[1]!Tabla4[#Data],2,FALSE)</f>
        <v>M2 Metamark M7 195 Aluminio 0,61 x 50m</v>
      </c>
      <c r="C2965">
        <v>24</v>
      </c>
      <c r="D2965" t="s">
        <v>96</v>
      </c>
      <c r="E2965" t="str">
        <f>VLOOKUP(Tabla1[[#This Row],[Cód. Atributo]],[1]!Tabla5[#Data],6,FALSE)</f>
        <v>Select</v>
      </c>
      <c r="F2965">
        <v>6</v>
      </c>
      <c r="G2965">
        <v>2</v>
      </c>
      <c r="H2965" t="s">
        <v>266</v>
      </c>
      <c r="I2965" t="str">
        <f>VLOOKUP(Tabla1[[#This Row],[Code]],'[1]Articulos Precio'!$A:$E,5,FALSE)</f>
        <v>A0000103</v>
      </c>
    </row>
    <row r="2966" spans="1:9" x14ac:dyDescent="0.25">
      <c r="A2966" t="s">
        <v>1102</v>
      </c>
      <c r="B2966" t="str">
        <f>VLOOKUP(Tabla1[[#This Row],[Code]],[1]!Tabla4[#Data],2,FALSE)</f>
        <v>M2 Metamark M7 195 Aluminio 1,22 x 50m</v>
      </c>
      <c r="C2966">
        <v>8</v>
      </c>
      <c r="D2966" t="s">
        <v>86</v>
      </c>
      <c r="E2966" t="str">
        <f>VLOOKUP(Tabla1[[#This Row],[Cód. Atributo]],[1]!Tabla5[#Data],6,FALSE)</f>
        <v>Select</v>
      </c>
      <c r="F2966">
        <v>1</v>
      </c>
      <c r="G2966">
        <v>2</v>
      </c>
      <c r="H2966" t="s">
        <v>268</v>
      </c>
      <c r="I2966" t="str">
        <f>VLOOKUP(Tabla1[[#This Row],[Code]],'[1]Articulos Precio'!$A:$E,5,FALSE)</f>
        <v>A0000103</v>
      </c>
    </row>
    <row r="2967" spans="1:9" x14ac:dyDescent="0.25">
      <c r="A2967" t="s">
        <v>1102</v>
      </c>
      <c r="B2967" t="str">
        <f>VLOOKUP(Tabla1[[#This Row],[Code]],[1]!Tabla4[#Data],2,FALSE)</f>
        <v>M2 Metamark M7 195 Aluminio 1,22 x 50m</v>
      </c>
      <c r="C2967">
        <v>13</v>
      </c>
      <c r="D2967" t="s">
        <v>491</v>
      </c>
      <c r="E2967" t="str">
        <f>VLOOKUP(Tabla1[[#This Row],[Cód. Atributo]],[1]!Tabla5[#Data],6,FALSE)</f>
        <v>Color</v>
      </c>
      <c r="F2967">
        <v>2</v>
      </c>
      <c r="G2967">
        <v>87</v>
      </c>
      <c r="H2967" t="s">
        <v>1101</v>
      </c>
      <c r="I2967" t="str">
        <f>VLOOKUP(Tabla1[[#This Row],[Code]],'[1]Articulos Precio'!$A:$E,5,FALSE)</f>
        <v>A0000103</v>
      </c>
    </row>
    <row r="2968" spans="1:9" x14ac:dyDescent="0.25">
      <c r="A2968" t="s">
        <v>1102</v>
      </c>
      <c r="B2968" t="str">
        <f>VLOOKUP(Tabla1[[#This Row],[Code]],[1]!Tabla4[#Data],2,FALSE)</f>
        <v>M2 Metamark M7 195 Aluminio 1,22 x 50m</v>
      </c>
      <c r="C2968">
        <v>23</v>
      </c>
      <c r="D2968" t="s">
        <v>90</v>
      </c>
      <c r="E2968" t="str">
        <f>VLOOKUP(Tabla1[[#This Row],[Cód. Atributo]],[1]!Tabla5[#Data],6,FALSE)</f>
        <v>Select</v>
      </c>
      <c r="F2968">
        <v>3</v>
      </c>
      <c r="G2968">
        <v>2</v>
      </c>
      <c r="H2968" t="s">
        <v>136</v>
      </c>
      <c r="I2968" t="str">
        <f>VLOOKUP(Tabla1[[#This Row],[Code]],'[1]Articulos Precio'!$A:$E,5,FALSE)</f>
        <v>A0000103</v>
      </c>
    </row>
    <row r="2969" spans="1:9" x14ac:dyDescent="0.25">
      <c r="A2969" t="s">
        <v>1102</v>
      </c>
      <c r="B2969" t="str">
        <f>VLOOKUP(Tabla1[[#This Row],[Code]],[1]!Tabla4[#Data],2,FALSE)</f>
        <v>M2 Metamark M7 195 Aluminio 1,22 x 50m</v>
      </c>
      <c r="C2969">
        <v>28</v>
      </c>
      <c r="D2969" t="s">
        <v>92</v>
      </c>
      <c r="E2969" t="str">
        <f>VLOOKUP(Tabla1[[#This Row],[Cód. Atributo]],[1]!Tabla5[#Data],6,FALSE)</f>
        <v>Select</v>
      </c>
      <c r="F2969">
        <v>4</v>
      </c>
      <c r="G2969">
        <v>1</v>
      </c>
      <c r="H2969" t="s">
        <v>93</v>
      </c>
      <c r="I2969" t="str">
        <f>VLOOKUP(Tabla1[[#This Row],[Code]],'[1]Articulos Precio'!$A:$E,5,FALSE)</f>
        <v>A0000103</v>
      </c>
    </row>
    <row r="2970" spans="1:9" x14ac:dyDescent="0.25">
      <c r="A2970" t="s">
        <v>1102</v>
      </c>
      <c r="B2970" t="str">
        <f>VLOOKUP(Tabla1[[#This Row],[Code]],[1]!Tabla4[#Data],2,FALSE)</f>
        <v>M2 Metamark M7 195 Aluminio 1,22 x 50m</v>
      </c>
      <c r="C2970">
        <v>25</v>
      </c>
      <c r="D2970" t="s">
        <v>94</v>
      </c>
      <c r="E2970" t="str">
        <f>VLOOKUP(Tabla1[[#This Row],[Cód. Atributo]],[1]!Tabla5[#Data],6,FALSE)</f>
        <v>Select</v>
      </c>
      <c r="F2970">
        <v>5</v>
      </c>
      <c r="G2970">
        <v>4</v>
      </c>
      <c r="H2970" t="s">
        <v>137</v>
      </c>
      <c r="I2970" t="str">
        <f>VLOOKUP(Tabla1[[#This Row],[Code]],'[1]Articulos Precio'!$A:$E,5,FALSE)</f>
        <v>A0000103</v>
      </c>
    </row>
    <row r="2971" spans="1:9" x14ac:dyDescent="0.25">
      <c r="A2971" t="s">
        <v>1102</v>
      </c>
      <c r="B2971" t="str">
        <f>VLOOKUP(Tabla1[[#This Row],[Code]],[1]!Tabla4[#Data],2,FALSE)</f>
        <v>M2 Metamark M7 195 Aluminio 1,22 x 50m</v>
      </c>
      <c r="C2971">
        <v>24</v>
      </c>
      <c r="D2971" t="s">
        <v>96</v>
      </c>
      <c r="E2971" t="str">
        <f>VLOOKUP(Tabla1[[#This Row],[Cód. Atributo]],[1]!Tabla5[#Data],6,FALSE)</f>
        <v>Select</v>
      </c>
      <c r="F2971">
        <v>6</v>
      </c>
      <c r="G2971">
        <v>2</v>
      </c>
      <c r="H2971" t="s">
        <v>266</v>
      </c>
      <c r="I2971" t="str">
        <f>VLOOKUP(Tabla1[[#This Row],[Code]],'[1]Articulos Precio'!$A:$E,5,FALSE)</f>
        <v>A0000103</v>
      </c>
    </row>
    <row r="2972" spans="1:9" x14ac:dyDescent="0.25">
      <c r="A2972" t="s">
        <v>1103</v>
      </c>
      <c r="B2972" t="str">
        <f>VLOOKUP(Tabla1[[#This Row],[Code]],[1]!Tabla4[#Data],2,FALSE)</f>
        <v>M2 Metamark M7 196 Grafito 0,61 x 50m</v>
      </c>
      <c r="C2972">
        <v>8</v>
      </c>
      <c r="D2972" t="s">
        <v>86</v>
      </c>
      <c r="E2972" t="str">
        <f>VLOOKUP(Tabla1[[#This Row],[Cód. Atributo]],[1]!Tabla5[#Data],6,FALSE)</f>
        <v>Select</v>
      </c>
      <c r="F2972">
        <v>1</v>
      </c>
      <c r="G2972">
        <v>1</v>
      </c>
      <c r="H2972" t="s">
        <v>263</v>
      </c>
      <c r="I2972" t="str">
        <f>VLOOKUP(Tabla1[[#This Row],[Code]],'[1]Articulos Precio'!$A:$E,5,FALSE)</f>
        <v>A0000103</v>
      </c>
    </row>
    <row r="2973" spans="1:9" x14ac:dyDescent="0.25">
      <c r="A2973" t="s">
        <v>1103</v>
      </c>
      <c r="B2973" t="str">
        <f>VLOOKUP(Tabla1[[#This Row],[Code]],[1]!Tabla4[#Data],2,FALSE)</f>
        <v>M2 Metamark M7 196 Grafito 0,61 x 50m</v>
      </c>
      <c r="C2973">
        <v>13</v>
      </c>
      <c r="D2973" t="s">
        <v>491</v>
      </c>
      <c r="E2973" t="str">
        <f>VLOOKUP(Tabla1[[#This Row],[Cód. Atributo]],[1]!Tabla5[#Data],6,FALSE)</f>
        <v>Color</v>
      </c>
      <c r="F2973">
        <v>2</v>
      </c>
      <c r="G2973">
        <v>88</v>
      </c>
      <c r="H2973" t="s">
        <v>1104</v>
      </c>
      <c r="I2973" t="str">
        <f>VLOOKUP(Tabla1[[#This Row],[Code]],'[1]Articulos Precio'!$A:$E,5,FALSE)</f>
        <v>A0000103</v>
      </c>
    </row>
    <row r="2974" spans="1:9" x14ac:dyDescent="0.25">
      <c r="A2974" t="s">
        <v>1103</v>
      </c>
      <c r="B2974" t="str">
        <f>VLOOKUP(Tabla1[[#This Row],[Code]],[1]!Tabla4[#Data],2,FALSE)</f>
        <v>M2 Metamark M7 196 Grafito 0,61 x 50m</v>
      </c>
      <c r="C2974">
        <v>23</v>
      </c>
      <c r="D2974" t="s">
        <v>90</v>
      </c>
      <c r="E2974" t="str">
        <f>VLOOKUP(Tabla1[[#This Row],[Cód. Atributo]],[1]!Tabla5[#Data],6,FALSE)</f>
        <v>Select</v>
      </c>
      <c r="F2974">
        <v>3</v>
      </c>
      <c r="G2974">
        <v>2</v>
      </c>
      <c r="H2974" t="s">
        <v>136</v>
      </c>
      <c r="I2974" t="str">
        <f>VLOOKUP(Tabla1[[#This Row],[Code]],'[1]Articulos Precio'!$A:$E,5,FALSE)</f>
        <v>A0000103</v>
      </c>
    </row>
    <row r="2975" spans="1:9" x14ac:dyDescent="0.25">
      <c r="A2975" t="s">
        <v>1103</v>
      </c>
      <c r="B2975" t="str">
        <f>VLOOKUP(Tabla1[[#This Row],[Code]],[1]!Tabla4[#Data],2,FALSE)</f>
        <v>M2 Metamark M7 196 Grafito 0,61 x 50m</v>
      </c>
      <c r="C2975">
        <v>28</v>
      </c>
      <c r="D2975" t="s">
        <v>92</v>
      </c>
      <c r="E2975" t="str">
        <f>VLOOKUP(Tabla1[[#This Row],[Cód. Atributo]],[1]!Tabla5[#Data],6,FALSE)</f>
        <v>Select</v>
      </c>
      <c r="F2975">
        <v>4</v>
      </c>
      <c r="G2975">
        <v>1</v>
      </c>
      <c r="H2975" t="s">
        <v>93</v>
      </c>
      <c r="I2975" t="str">
        <f>VLOOKUP(Tabla1[[#This Row],[Code]],'[1]Articulos Precio'!$A:$E,5,FALSE)</f>
        <v>A0000103</v>
      </c>
    </row>
    <row r="2976" spans="1:9" x14ac:dyDescent="0.25">
      <c r="A2976" t="s">
        <v>1103</v>
      </c>
      <c r="B2976" t="str">
        <f>VLOOKUP(Tabla1[[#This Row],[Code]],[1]!Tabla4[#Data],2,FALSE)</f>
        <v>M2 Metamark M7 196 Grafito 0,61 x 50m</v>
      </c>
      <c r="C2976">
        <v>25</v>
      </c>
      <c r="D2976" t="s">
        <v>94</v>
      </c>
      <c r="E2976" t="str">
        <f>VLOOKUP(Tabla1[[#This Row],[Cód. Atributo]],[1]!Tabla5[#Data],6,FALSE)</f>
        <v>Select</v>
      </c>
      <c r="F2976">
        <v>5</v>
      </c>
      <c r="G2976">
        <v>4</v>
      </c>
      <c r="H2976" t="s">
        <v>137</v>
      </c>
      <c r="I2976" t="str">
        <f>VLOOKUP(Tabla1[[#This Row],[Code]],'[1]Articulos Precio'!$A:$E,5,FALSE)</f>
        <v>A0000103</v>
      </c>
    </row>
    <row r="2977" spans="1:9" x14ac:dyDescent="0.25">
      <c r="A2977" t="s">
        <v>1103</v>
      </c>
      <c r="B2977" t="str">
        <f>VLOOKUP(Tabla1[[#This Row],[Code]],[1]!Tabla4[#Data],2,FALSE)</f>
        <v>M2 Metamark M7 196 Grafito 0,61 x 50m</v>
      </c>
      <c r="C2977">
        <v>24</v>
      </c>
      <c r="D2977" t="s">
        <v>96</v>
      </c>
      <c r="E2977" t="str">
        <f>VLOOKUP(Tabla1[[#This Row],[Cód. Atributo]],[1]!Tabla5[#Data],6,FALSE)</f>
        <v>Select</v>
      </c>
      <c r="F2977">
        <v>6</v>
      </c>
      <c r="G2977">
        <v>2</v>
      </c>
      <c r="H2977" t="s">
        <v>266</v>
      </c>
      <c r="I2977" t="str">
        <f>VLOOKUP(Tabla1[[#This Row],[Code]],'[1]Articulos Precio'!$A:$E,5,FALSE)</f>
        <v>A0000103</v>
      </c>
    </row>
    <row r="2978" spans="1:9" x14ac:dyDescent="0.25">
      <c r="A2978" t="s">
        <v>1105</v>
      </c>
      <c r="B2978" t="str">
        <f>VLOOKUP(Tabla1[[#This Row],[Code]],[1]!Tabla4[#Data],2,FALSE)</f>
        <v>M2 Metamark M7 196 Grafito 1,22 x 50m</v>
      </c>
      <c r="C2978">
        <v>8</v>
      </c>
      <c r="D2978" t="s">
        <v>86</v>
      </c>
      <c r="E2978" t="str">
        <f>VLOOKUP(Tabla1[[#This Row],[Cód. Atributo]],[1]!Tabla5[#Data],6,FALSE)</f>
        <v>Select</v>
      </c>
      <c r="F2978">
        <v>1</v>
      </c>
      <c r="G2978">
        <v>2</v>
      </c>
      <c r="H2978" t="s">
        <v>268</v>
      </c>
      <c r="I2978" t="str">
        <f>VLOOKUP(Tabla1[[#This Row],[Code]],'[1]Articulos Precio'!$A:$E,5,FALSE)</f>
        <v>A0000103</v>
      </c>
    </row>
    <row r="2979" spans="1:9" x14ac:dyDescent="0.25">
      <c r="A2979" t="s">
        <v>1105</v>
      </c>
      <c r="B2979" t="str">
        <f>VLOOKUP(Tabla1[[#This Row],[Code]],[1]!Tabla4[#Data],2,FALSE)</f>
        <v>M2 Metamark M7 196 Grafito 1,22 x 50m</v>
      </c>
      <c r="C2979">
        <v>13</v>
      </c>
      <c r="D2979" t="s">
        <v>491</v>
      </c>
      <c r="E2979" t="str">
        <f>VLOOKUP(Tabla1[[#This Row],[Cód. Atributo]],[1]!Tabla5[#Data],6,FALSE)</f>
        <v>Color</v>
      </c>
      <c r="F2979">
        <v>2</v>
      </c>
      <c r="G2979">
        <v>88</v>
      </c>
      <c r="H2979" t="s">
        <v>1104</v>
      </c>
      <c r="I2979" t="str">
        <f>VLOOKUP(Tabla1[[#This Row],[Code]],'[1]Articulos Precio'!$A:$E,5,FALSE)</f>
        <v>A0000103</v>
      </c>
    </row>
    <row r="2980" spans="1:9" x14ac:dyDescent="0.25">
      <c r="A2980" t="s">
        <v>1105</v>
      </c>
      <c r="B2980" t="str">
        <f>VLOOKUP(Tabla1[[#This Row],[Code]],[1]!Tabla4[#Data],2,FALSE)</f>
        <v>M2 Metamark M7 196 Grafito 1,22 x 50m</v>
      </c>
      <c r="C2980">
        <v>23</v>
      </c>
      <c r="D2980" t="s">
        <v>90</v>
      </c>
      <c r="E2980" t="str">
        <f>VLOOKUP(Tabla1[[#This Row],[Cód. Atributo]],[1]!Tabla5[#Data],6,FALSE)</f>
        <v>Select</v>
      </c>
      <c r="F2980">
        <v>3</v>
      </c>
      <c r="G2980">
        <v>2</v>
      </c>
      <c r="H2980" t="s">
        <v>136</v>
      </c>
      <c r="I2980" t="str">
        <f>VLOOKUP(Tabla1[[#This Row],[Code]],'[1]Articulos Precio'!$A:$E,5,FALSE)</f>
        <v>A0000103</v>
      </c>
    </row>
    <row r="2981" spans="1:9" x14ac:dyDescent="0.25">
      <c r="A2981" t="s">
        <v>1105</v>
      </c>
      <c r="B2981" t="str">
        <f>VLOOKUP(Tabla1[[#This Row],[Code]],[1]!Tabla4[#Data],2,FALSE)</f>
        <v>M2 Metamark M7 196 Grafito 1,22 x 50m</v>
      </c>
      <c r="C2981">
        <v>28</v>
      </c>
      <c r="D2981" t="s">
        <v>92</v>
      </c>
      <c r="E2981" t="str">
        <f>VLOOKUP(Tabla1[[#This Row],[Cód. Atributo]],[1]!Tabla5[#Data],6,FALSE)</f>
        <v>Select</v>
      </c>
      <c r="F2981">
        <v>4</v>
      </c>
      <c r="G2981">
        <v>1</v>
      </c>
      <c r="H2981" t="s">
        <v>93</v>
      </c>
      <c r="I2981" t="str">
        <f>VLOOKUP(Tabla1[[#This Row],[Code]],'[1]Articulos Precio'!$A:$E,5,FALSE)</f>
        <v>A0000103</v>
      </c>
    </row>
    <row r="2982" spans="1:9" x14ac:dyDescent="0.25">
      <c r="A2982" t="s">
        <v>1105</v>
      </c>
      <c r="B2982" t="str">
        <f>VLOOKUP(Tabla1[[#This Row],[Code]],[1]!Tabla4[#Data],2,FALSE)</f>
        <v>M2 Metamark M7 196 Grafito 1,22 x 50m</v>
      </c>
      <c r="C2982">
        <v>25</v>
      </c>
      <c r="D2982" t="s">
        <v>94</v>
      </c>
      <c r="E2982" t="str">
        <f>VLOOKUP(Tabla1[[#This Row],[Cód. Atributo]],[1]!Tabla5[#Data],6,FALSE)</f>
        <v>Select</v>
      </c>
      <c r="F2982">
        <v>5</v>
      </c>
      <c r="G2982">
        <v>4</v>
      </c>
      <c r="H2982" t="s">
        <v>137</v>
      </c>
      <c r="I2982" t="str">
        <f>VLOOKUP(Tabla1[[#This Row],[Code]],'[1]Articulos Precio'!$A:$E,5,FALSE)</f>
        <v>A0000103</v>
      </c>
    </row>
    <row r="2983" spans="1:9" x14ac:dyDescent="0.25">
      <c r="A2983" t="s">
        <v>1105</v>
      </c>
      <c r="B2983" t="str">
        <f>VLOOKUP(Tabla1[[#This Row],[Code]],[1]!Tabla4[#Data],2,FALSE)</f>
        <v>M2 Metamark M7 196 Grafito 1,22 x 50m</v>
      </c>
      <c r="C2983">
        <v>24</v>
      </c>
      <c r="D2983" t="s">
        <v>96</v>
      </c>
      <c r="E2983" t="str">
        <f>VLOOKUP(Tabla1[[#This Row],[Cód. Atributo]],[1]!Tabla5[#Data],6,FALSE)</f>
        <v>Select</v>
      </c>
      <c r="F2983">
        <v>6</v>
      </c>
      <c r="G2983">
        <v>2</v>
      </c>
      <c r="H2983" t="s">
        <v>266</v>
      </c>
      <c r="I2983" t="str">
        <f>VLOOKUP(Tabla1[[#This Row],[Code]],'[1]Articulos Precio'!$A:$E,5,FALSE)</f>
        <v>A0000103</v>
      </c>
    </row>
    <row r="2984" spans="1:9" x14ac:dyDescent="0.25">
      <c r="A2984" t="s">
        <v>1106</v>
      </c>
      <c r="B2984" t="str">
        <f>VLOOKUP(Tabla1[[#This Row],[Code]],[1]!Tabla4[#Data],2,FALSE)</f>
        <v>M2 Metamark M7 197 Verde Saltamontes 0,61 x 50m</v>
      </c>
      <c r="C2984">
        <v>8</v>
      </c>
      <c r="D2984" t="s">
        <v>86</v>
      </c>
      <c r="E2984" t="str">
        <f>VLOOKUP(Tabla1[[#This Row],[Cód. Atributo]],[1]!Tabla5[#Data],6,FALSE)</f>
        <v>Select</v>
      </c>
      <c r="F2984">
        <v>1</v>
      </c>
      <c r="G2984">
        <v>1</v>
      </c>
      <c r="H2984" t="s">
        <v>263</v>
      </c>
      <c r="I2984" t="str">
        <f>VLOOKUP(Tabla1[[#This Row],[Code]],'[1]Articulos Precio'!$A:$E,5,FALSE)</f>
        <v>A0000103</v>
      </c>
    </row>
    <row r="2985" spans="1:9" x14ac:dyDescent="0.25">
      <c r="A2985" t="s">
        <v>1106</v>
      </c>
      <c r="B2985" t="str">
        <f>VLOOKUP(Tabla1[[#This Row],[Code]],[1]!Tabla4[#Data],2,FALSE)</f>
        <v>M2 Metamark M7 197 Verde Saltamontes 0,61 x 50m</v>
      </c>
      <c r="C2985">
        <v>13</v>
      </c>
      <c r="D2985" t="s">
        <v>491</v>
      </c>
      <c r="E2985" t="str">
        <f>VLOOKUP(Tabla1[[#This Row],[Cód. Atributo]],[1]!Tabla5[#Data],6,FALSE)</f>
        <v>Color</v>
      </c>
      <c r="F2985">
        <v>2</v>
      </c>
      <c r="G2985">
        <v>89</v>
      </c>
      <c r="H2985" t="s">
        <v>1107</v>
      </c>
      <c r="I2985" t="str">
        <f>VLOOKUP(Tabla1[[#This Row],[Code]],'[1]Articulos Precio'!$A:$E,5,FALSE)</f>
        <v>A0000103</v>
      </c>
    </row>
    <row r="2986" spans="1:9" x14ac:dyDescent="0.25">
      <c r="A2986" t="s">
        <v>1106</v>
      </c>
      <c r="B2986" t="str">
        <f>VLOOKUP(Tabla1[[#This Row],[Code]],[1]!Tabla4[#Data],2,FALSE)</f>
        <v>M2 Metamark M7 197 Verde Saltamontes 0,61 x 50m</v>
      </c>
      <c r="C2986">
        <v>23</v>
      </c>
      <c r="D2986" t="s">
        <v>90</v>
      </c>
      <c r="E2986" t="str">
        <f>VLOOKUP(Tabla1[[#This Row],[Cód. Atributo]],[1]!Tabla5[#Data],6,FALSE)</f>
        <v>Select</v>
      </c>
      <c r="F2986">
        <v>3</v>
      </c>
      <c r="G2986">
        <v>2</v>
      </c>
      <c r="H2986" t="s">
        <v>136</v>
      </c>
      <c r="I2986" t="str">
        <f>VLOOKUP(Tabla1[[#This Row],[Code]],'[1]Articulos Precio'!$A:$E,5,FALSE)</f>
        <v>A0000103</v>
      </c>
    </row>
    <row r="2987" spans="1:9" x14ac:dyDescent="0.25">
      <c r="A2987" t="s">
        <v>1106</v>
      </c>
      <c r="B2987" t="str">
        <f>VLOOKUP(Tabla1[[#This Row],[Code]],[1]!Tabla4[#Data],2,FALSE)</f>
        <v>M2 Metamark M7 197 Verde Saltamontes 0,61 x 50m</v>
      </c>
      <c r="C2987">
        <v>28</v>
      </c>
      <c r="D2987" t="s">
        <v>92</v>
      </c>
      <c r="E2987" t="str">
        <f>VLOOKUP(Tabla1[[#This Row],[Cód. Atributo]],[1]!Tabla5[#Data],6,FALSE)</f>
        <v>Select</v>
      </c>
      <c r="F2987">
        <v>4</v>
      </c>
      <c r="G2987">
        <v>1</v>
      </c>
      <c r="H2987" t="s">
        <v>93</v>
      </c>
      <c r="I2987" t="str">
        <f>VLOOKUP(Tabla1[[#This Row],[Code]],'[1]Articulos Precio'!$A:$E,5,FALSE)</f>
        <v>A0000103</v>
      </c>
    </row>
    <row r="2988" spans="1:9" x14ac:dyDescent="0.25">
      <c r="A2988" t="s">
        <v>1106</v>
      </c>
      <c r="B2988" t="str">
        <f>VLOOKUP(Tabla1[[#This Row],[Code]],[1]!Tabla4[#Data],2,FALSE)</f>
        <v>M2 Metamark M7 197 Verde Saltamontes 0,61 x 50m</v>
      </c>
      <c r="C2988">
        <v>25</v>
      </c>
      <c r="D2988" t="s">
        <v>94</v>
      </c>
      <c r="E2988" t="str">
        <f>VLOOKUP(Tabla1[[#This Row],[Cód. Atributo]],[1]!Tabla5[#Data],6,FALSE)</f>
        <v>Select</v>
      </c>
      <c r="F2988">
        <v>5</v>
      </c>
      <c r="G2988">
        <v>4</v>
      </c>
      <c r="H2988" t="s">
        <v>137</v>
      </c>
      <c r="I2988" t="str">
        <f>VLOOKUP(Tabla1[[#This Row],[Code]],'[1]Articulos Precio'!$A:$E,5,FALSE)</f>
        <v>A0000103</v>
      </c>
    </row>
    <row r="2989" spans="1:9" x14ac:dyDescent="0.25">
      <c r="A2989" t="s">
        <v>1106</v>
      </c>
      <c r="B2989" t="str">
        <f>VLOOKUP(Tabla1[[#This Row],[Code]],[1]!Tabla4[#Data],2,FALSE)</f>
        <v>M2 Metamark M7 197 Verde Saltamontes 0,61 x 50m</v>
      </c>
      <c r="C2989">
        <v>24</v>
      </c>
      <c r="D2989" t="s">
        <v>96</v>
      </c>
      <c r="E2989" t="str">
        <f>VLOOKUP(Tabla1[[#This Row],[Cód. Atributo]],[1]!Tabla5[#Data],6,FALSE)</f>
        <v>Select</v>
      </c>
      <c r="F2989">
        <v>6</v>
      </c>
      <c r="G2989">
        <v>2</v>
      </c>
      <c r="H2989" t="s">
        <v>266</v>
      </c>
      <c r="I2989" t="str">
        <f>VLOOKUP(Tabla1[[#This Row],[Code]],'[1]Articulos Precio'!$A:$E,5,FALSE)</f>
        <v>A0000103</v>
      </c>
    </row>
    <row r="2990" spans="1:9" x14ac:dyDescent="0.25">
      <c r="A2990" t="s">
        <v>1108</v>
      </c>
      <c r="B2990" t="str">
        <f>VLOOKUP(Tabla1[[#This Row],[Code]],[1]!Tabla4[#Data],2,FALSE)</f>
        <v>M2 Metamark M7 197 Verde Saltamontes 1,22 x 50m</v>
      </c>
      <c r="C2990">
        <v>8</v>
      </c>
      <c r="D2990" t="s">
        <v>86</v>
      </c>
      <c r="E2990" t="str">
        <f>VLOOKUP(Tabla1[[#This Row],[Cód. Atributo]],[1]!Tabla5[#Data],6,FALSE)</f>
        <v>Select</v>
      </c>
      <c r="F2990">
        <v>1</v>
      </c>
      <c r="G2990">
        <v>2</v>
      </c>
      <c r="H2990" t="s">
        <v>268</v>
      </c>
      <c r="I2990" t="str">
        <f>VLOOKUP(Tabla1[[#This Row],[Code]],'[1]Articulos Precio'!$A:$E,5,FALSE)</f>
        <v>A0000103</v>
      </c>
    </row>
    <row r="2991" spans="1:9" x14ac:dyDescent="0.25">
      <c r="A2991" t="s">
        <v>1108</v>
      </c>
      <c r="B2991" t="str">
        <f>VLOOKUP(Tabla1[[#This Row],[Code]],[1]!Tabla4[#Data],2,FALSE)</f>
        <v>M2 Metamark M7 197 Verde Saltamontes 1,22 x 50m</v>
      </c>
      <c r="C2991">
        <v>13</v>
      </c>
      <c r="D2991" t="s">
        <v>491</v>
      </c>
      <c r="E2991" t="str">
        <f>VLOOKUP(Tabla1[[#This Row],[Cód. Atributo]],[1]!Tabla5[#Data],6,FALSE)</f>
        <v>Color</v>
      </c>
      <c r="F2991">
        <v>2</v>
      </c>
      <c r="G2991">
        <v>89</v>
      </c>
      <c r="H2991" t="s">
        <v>1107</v>
      </c>
      <c r="I2991" t="str">
        <f>VLOOKUP(Tabla1[[#This Row],[Code]],'[1]Articulos Precio'!$A:$E,5,FALSE)</f>
        <v>A0000103</v>
      </c>
    </row>
    <row r="2992" spans="1:9" x14ac:dyDescent="0.25">
      <c r="A2992" t="s">
        <v>1108</v>
      </c>
      <c r="B2992" t="str">
        <f>VLOOKUP(Tabla1[[#This Row],[Code]],[1]!Tabla4[#Data],2,FALSE)</f>
        <v>M2 Metamark M7 197 Verde Saltamontes 1,22 x 50m</v>
      </c>
      <c r="C2992">
        <v>23</v>
      </c>
      <c r="D2992" t="s">
        <v>90</v>
      </c>
      <c r="E2992" t="str">
        <f>VLOOKUP(Tabla1[[#This Row],[Cód. Atributo]],[1]!Tabla5[#Data],6,FALSE)</f>
        <v>Select</v>
      </c>
      <c r="F2992">
        <v>3</v>
      </c>
      <c r="G2992">
        <v>2</v>
      </c>
      <c r="H2992" t="s">
        <v>136</v>
      </c>
      <c r="I2992" t="str">
        <f>VLOOKUP(Tabla1[[#This Row],[Code]],'[1]Articulos Precio'!$A:$E,5,FALSE)</f>
        <v>A0000103</v>
      </c>
    </row>
    <row r="2993" spans="1:9" x14ac:dyDescent="0.25">
      <c r="A2993" t="s">
        <v>1108</v>
      </c>
      <c r="B2993" t="str">
        <f>VLOOKUP(Tabla1[[#This Row],[Code]],[1]!Tabla4[#Data],2,FALSE)</f>
        <v>M2 Metamark M7 197 Verde Saltamontes 1,22 x 50m</v>
      </c>
      <c r="C2993">
        <v>28</v>
      </c>
      <c r="D2993" t="s">
        <v>92</v>
      </c>
      <c r="E2993" t="str">
        <f>VLOOKUP(Tabla1[[#This Row],[Cód. Atributo]],[1]!Tabla5[#Data],6,FALSE)</f>
        <v>Select</v>
      </c>
      <c r="F2993">
        <v>4</v>
      </c>
      <c r="G2993">
        <v>1</v>
      </c>
      <c r="H2993" t="s">
        <v>93</v>
      </c>
      <c r="I2993" t="str">
        <f>VLOOKUP(Tabla1[[#This Row],[Code]],'[1]Articulos Precio'!$A:$E,5,FALSE)</f>
        <v>A0000103</v>
      </c>
    </row>
    <row r="2994" spans="1:9" x14ac:dyDescent="0.25">
      <c r="A2994" t="s">
        <v>1108</v>
      </c>
      <c r="B2994" t="str">
        <f>VLOOKUP(Tabla1[[#This Row],[Code]],[1]!Tabla4[#Data],2,FALSE)</f>
        <v>M2 Metamark M7 197 Verde Saltamontes 1,22 x 50m</v>
      </c>
      <c r="C2994">
        <v>25</v>
      </c>
      <c r="D2994" t="s">
        <v>94</v>
      </c>
      <c r="E2994" t="str">
        <f>VLOOKUP(Tabla1[[#This Row],[Cód. Atributo]],[1]!Tabla5[#Data],6,FALSE)</f>
        <v>Select</v>
      </c>
      <c r="F2994">
        <v>5</v>
      </c>
      <c r="G2994">
        <v>4</v>
      </c>
      <c r="H2994" t="s">
        <v>137</v>
      </c>
      <c r="I2994" t="str">
        <f>VLOOKUP(Tabla1[[#This Row],[Code]],'[1]Articulos Precio'!$A:$E,5,FALSE)</f>
        <v>A0000103</v>
      </c>
    </row>
    <row r="2995" spans="1:9" x14ac:dyDescent="0.25">
      <c r="A2995" t="s">
        <v>1108</v>
      </c>
      <c r="B2995" t="str">
        <f>VLOOKUP(Tabla1[[#This Row],[Code]],[1]!Tabla4[#Data],2,FALSE)</f>
        <v>M2 Metamark M7 197 Verde Saltamontes 1,22 x 50m</v>
      </c>
      <c r="C2995">
        <v>24</v>
      </c>
      <c r="D2995" t="s">
        <v>96</v>
      </c>
      <c r="E2995" t="str">
        <f>VLOOKUP(Tabla1[[#This Row],[Cód. Atributo]],[1]!Tabla5[#Data],6,FALSE)</f>
        <v>Select</v>
      </c>
      <c r="F2995">
        <v>6</v>
      </c>
      <c r="G2995">
        <v>2</v>
      </c>
      <c r="H2995" t="s">
        <v>266</v>
      </c>
      <c r="I2995" t="str">
        <f>VLOOKUP(Tabla1[[#This Row],[Code]],'[1]Articulos Precio'!$A:$E,5,FALSE)</f>
        <v>A0000103</v>
      </c>
    </row>
    <row r="2996" spans="1:9" x14ac:dyDescent="0.25">
      <c r="A2996" t="s">
        <v>1109</v>
      </c>
      <c r="B2996" t="str">
        <f>VLOOKUP(Tabla1[[#This Row],[Code]],[1]!Tabla4[#Data],2,FALSE)</f>
        <v>M2 Metamark M7 198 Verde Natural 0,61 x 50m</v>
      </c>
      <c r="C2996">
        <v>8</v>
      </c>
      <c r="D2996" t="s">
        <v>86</v>
      </c>
      <c r="E2996" t="str">
        <f>VLOOKUP(Tabla1[[#This Row],[Cód. Atributo]],[1]!Tabla5[#Data],6,FALSE)</f>
        <v>Select</v>
      </c>
      <c r="F2996">
        <v>1</v>
      </c>
      <c r="G2996">
        <v>1</v>
      </c>
      <c r="H2996" t="s">
        <v>263</v>
      </c>
      <c r="I2996" t="str">
        <f>VLOOKUP(Tabla1[[#This Row],[Code]],'[1]Articulos Precio'!$A:$E,5,FALSE)</f>
        <v>A0000103</v>
      </c>
    </row>
    <row r="2997" spans="1:9" x14ac:dyDescent="0.25">
      <c r="A2997" t="s">
        <v>1109</v>
      </c>
      <c r="B2997" t="str">
        <f>VLOOKUP(Tabla1[[#This Row],[Code]],[1]!Tabla4[#Data],2,FALSE)</f>
        <v>M2 Metamark M7 198 Verde Natural 0,61 x 50m</v>
      </c>
      <c r="C2997">
        <v>13</v>
      </c>
      <c r="D2997" t="s">
        <v>491</v>
      </c>
      <c r="E2997" t="str">
        <f>VLOOKUP(Tabla1[[#This Row],[Cód. Atributo]],[1]!Tabla5[#Data],6,FALSE)</f>
        <v>Color</v>
      </c>
      <c r="F2997">
        <v>2</v>
      </c>
      <c r="G2997">
        <v>90</v>
      </c>
      <c r="H2997" t="s">
        <v>1110</v>
      </c>
      <c r="I2997" t="str">
        <f>VLOOKUP(Tabla1[[#This Row],[Code]],'[1]Articulos Precio'!$A:$E,5,FALSE)</f>
        <v>A0000103</v>
      </c>
    </row>
    <row r="2998" spans="1:9" x14ac:dyDescent="0.25">
      <c r="A2998" t="s">
        <v>1109</v>
      </c>
      <c r="B2998" t="str">
        <f>VLOOKUP(Tabla1[[#This Row],[Code]],[1]!Tabla4[#Data],2,FALSE)</f>
        <v>M2 Metamark M7 198 Verde Natural 0,61 x 50m</v>
      </c>
      <c r="C2998">
        <v>23</v>
      </c>
      <c r="D2998" t="s">
        <v>90</v>
      </c>
      <c r="E2998" t="str">
        <f>VLOOKUP(Tabla1[[#This Row],[Cód. Atributo]],[1]!Tabla5[#Data],6,FALSE)</f>
        <v>Select</v>
      </c>
      <c r="F2998">
        <v>3</v>
      </c>
      <c r="G2998">
        <v>2</v>
      </c>
      <c r="H2998" t="s">
        <v>136</v>
      </c>
      <c r="I2998" t="str">
        <f>VLOOKUP(Tabla1[[#This Row],[Code]],'[1]Articulos Precio'!$A:$E,5,FALSE)</f>
        <v>A0000103</v>
      </c>
    </row>
    <row r="2999" spans="1:9" x14ac:dyDescent="0.25">
      <c r="A2999" t="s">
        <v>1109</v>
      </c>
      <c r="B2999" t="str">
        <f>VLOOKUP(Tabla1[[#This Row],[Code]],[1]!Tabla4[#Data],2,FALSE)</f>
        <v>M2 Metamark M7 198 Verde Natural 0,61 x 50m</v>
      </c>
      <c r="C2999">
        <v>28</v>
      </c>
      <c r="D2999" t="s">
        <v>92</v>
      </c>
      <c r="E2999" t="str">
        <f>VLOOKUP(Tabla1[[#This Row],[Cód. Atributo]],[1]!Tabla5[#Data],6,FALSE)</f>
        <v>Select</v>
      </c>
      <c r="F2999">
        <v>4</v>
      </c>
      <c r="G2999">
        <v>1</v>
      </c>
      <c r="H2999" t="s">
        <v>93</v>
      </c>
      <c r="I2999" t="str">
        <f>VLOOKUP(Tabla1[[#This Row],[Code]],'[1]Articulos Precio'!$A:$E,5,FALSE)</f>
        <v>A0000103</v>
      </c>
    </row>
    <row r="3000" spans="1:9" x14ac:dyDescent="0.25">
      <c r="A3000" t="s">
        <v>1109</v>
      </c>
      <c r="B3000" t="str">
        <f>VLOOKUP(Tabla1[[#This Row],[Code]],[1]!Tabla4[#Data],2,FALSE)</f>
        <v>M2 Metamark M7 198 Verde Natural 0,61 x 50m</v>
      </c>
      <c r="C3000">
        <v>25</v>
      </c>
      <c r="D3000" t="s">
        <v>94</v>
      </c>
      <c r="E3000" t="str">
        <f>VLOOKUP(Tabla1[[#This Row],[Cód. Atributo]],[1]!Tabla5[#Data],6,FALSE)</f>
        <v>Select</v>
      </c>
      <c r="F3000">
        <v>5</v>
      </c>
      <c r="G3000">
        <v>4</v>
      </c>
      <c r="H3000" t="s">
        <v>137</v>
      </c>
      <c r="I3000" t="str">
        <f>VLOOKUP(Tabla1[[#This Row],[Code]],'[1]Articulos Precio'!$A:$E,5,FALSE)</f>
        <v>A0000103</v>
      </c>
    </row>
    <row r="3001" spans="1:9" x14ac:dyDescent="0.25">
      <c r="A3001" t="s">
        <v>1109</v>
      </c>
      <c r="B3001" t="str">
        <f>VLOOKUP(Tabla1[[#This Row],[Code]],[1]!Tabla4[#Data],2,FALSE)</f>
        <v>M2 Metamark M7 198 Verde Natural 0,61 x 50m</v>
      </c>
      <c r="C3001">
        <v>24</v>
      </c>
      <c r="D3001" t="s">
        <v>96</v>
      </c>
      <c r="E3001" t="str">
        <f>VLOOKUP(Tabla1[[#This Row],[Cód. Atributo]],[1]!Tabla5[#Data],6,FALSE)</f>
        <v>Select</v>
      </c>
      <c r="F3001">
        <v>6</v>
      </c>
      <c r="G3001">
        <v>2</v>
      </c>
      <c r="H3001" t="s">
        <v>266</v>
      </c>
      <c r="I3001" t="str">
        <f>VLOOKUP(Tabla1[[#This Row],[Code]],'[1]Articulos Precio'!$A:$E,5,FALSE)</f>
        <v>A0000103</v>
      </c>
    </row>
    <row r="3002" spans="1:9" x14ac:dyDescent="0.25">
      <c r="A3002" t="s">
        <v>1111</v>
      </c>
      <c r="B3002" t="str">
        <f>VLOOKUP(Tabla1[[#This Row],[Code]],[1]!Tabla4[#Data],2,FALSE)</f>
        <v>M2 Metamark M7 198 Verde Natural 1,22 x 50m</v>
      </c>
      <c r="C3002">
        <v>8</v>
      </c>
      <c r="D3002" t="s">
        <v>86</v>
      </c>
      <c r="E3002" t="str">
        <f>VLOOKUP(Tabla1[[#This Row],[Cód. Atributo]],[1]!Tabla5[#Data],6,FALSE)</f>
        <v>Select</v>
      </c>
      <c r="F3002">
        <v>1</v>
      </c>
      <c r="G3002">
        <v>2</v>
      </c>
      <c r="H3002" t="s">
        <v>268</v>
      </c>
      <c r="I3002" t="str">
        <f>VLOOKUP(Tabla1[[#This Row],[Code]],'[1]Articulos Precio'!$A:$E,5,FALSE)</f>
        <v>A0000103</v>
      </c>
    </row>
    <row r="3003" spans="1:9" x14ac:dyDescent="0.25">
      <c r="A3003" t="s">
        <v>1111</v>
      </c>
      <c r="B3003" t="str">
        <f>VLOOKUP(Tabla1[[#This Row],[Code]],[1]!Tabla4[#Data],2,FALSE)</f>
        <v>M2 Metamark M7 198 Verde Natural 1,22 x 50m</v>
      </c>
      <c r="C3003">
        <v>13</v>
      </c>
      <c r="D3003" t="s">
        <v>491</v>
      </c>
      <c r="E3003" t="str">
        <f>VLOOKUP(Tabla1[[#This Row],[Cód. Atributo]],[1]!Tabla5[#Data],6,FALSE)</f>
        <v>Color</v>
      </c>
      <c r="F3003">
        <v>2</v>
      </c>
      <c r="G3003">
        <v>90</v>
      </c>
      <c r="H3003" t="s">
        <v>1110</v>
      </c>
      <c r="I3003" t="str">
        <f>VLOOKUP(Tabla1[[#This Row],[Code]],'[1]Articulos Precio'!$A:$E,5,FALSE)</f>
        <v>A0000103</v>
      </c>
    </row>
    <row r="3004" spans="1:9" x14ac:dyDescent="0.25">
      <c r="A3004" t="s">
        <v>1111</v>
      </c>
      <c r="B3004" t="str">
        <f>VLOOKUP(Tabla1[[#This Row],[Code]],[1]!Tabla4[#Data],2,FALSE)</f>
        <v>M2 Metamark M7 198 Verde Natural 1,22 x 50m</v>
      </c>
      <c r="C3004">
        <v>23</v>
      </c>
      <c r="D3004" t="s">
        <v>90</v>
      </c>
      <c r="E3004" t="str">
        <f>VLOOKUP(Tabla1[[#This Row],[Cód. Atributo]],[1]!Tabla5[#Data],6,FALSE)</f>
        <v>Select</v>
      </c>
      <c r="F3004">
        <v>3</v>
      </c>
      <c r="G3004">
        <v>2</v>
      </c>
      <c r="H3004" t="s">
        <v>136</v>
      </c>
      <c r="I3004" t="str">
        <f>VLOOKUP(Tabla1[[#This Row],[Code]],'[1]Articulos Precio'!$A:$E,5,FALSE)</f>
        <v>A0000103</v>
      </c>
    </row>
    <row r="3005" spans="1:9" x14ac:dyDescent="0.25">
      <c r="A3005" t="s">
        <v>1111</v>
      </c>
      <c r="B3005" t="str">
        <f>VLOOKUP(Tabla1[[#This Row],[Code]],[1]!Tabla4[#Data],2,FALSE)</f>
        <v>M2 Metamark M7 198 Verde Natural 1,22 x 50m</v>
      </c>
      <c r="C3005">
        <v>28</v>
      </c>
      <c r="D3005" t="s">
        <v>92</v>
      </c>
      <c r="E3005" t="str">
        <f>VLOOKUP(Tabla1[[#This Row],[Cód. Atributo]],[1]!Tabla5[#Data],6,FALSE)</f>
        <v>Select</v>
      </c>
      <c r="F3005">
        <v>4</v>
      </c>
      <c r="G3005">
        <v>1</v>
      </c>
      <c r="H3005" t="s">
        <v>93</v>
      </c>
      <c r="I3005" t="str">
        <f>VLOOKUP(Tabla1[[#This Row],[Code]],'[1]Articulos Precio'!$A:$E,5,FALSE)</f>
        <v>A0000103</v>
      </c>
    </row>
    <row r="3006" spans="1:9" x14ac:dyDescent="0.25">
      <c r="A3006" t="s">
        <v>1111</v>
      </c>
      <c r="B3006" t="str">
        <f>VLOOKUP(Tabla1[[#This Row],[Code]],[1]!Tabla4[#Data],2,FALSE)</f>
        <v>M2 Metamark M7 198 Verde Natural 1,22 x 50m</v>
      </c>
      <c r="C3006">
        <v>25</v>
      </c>
      <c r="D3006" t="s">
        <v>94</v>
      </c>
      <c r="E3006" t="str">
        <f>VLOOKUP(Tabla1[[#This Row],[Cód. Atributo]],[1]!Tabla5[#Data],6,FALSE)</f>
        <v>Select</v>
      </c>
      <c r="F3006">
        <v>5</v>
      </c>
      <c r="G3006">
        <v>4</v>
      </c>
      <c r="H3006" t="s">
        <v>137</v>
      </c>
      <c r="I3006" t="str">
        <f>VLOOKUP(Tabla1[[#This Row],[Code]],'[1]Articulos Precio'!$A:$E,5,FALSE)</f>
        <v>A0000103</v>
      </c>
    </row>
    <row r="3007" spans="1:9" x14ac:dyDescent="0.25">
      <c r="A3007" t="s">
        <v>1111</v>
      </c>
      <c r="B3007" t="str">
        <f>VLOOKUP(Tabla1[[#This Row],[Code]],[1]!Tabla4[#Data],2,FALSE)</f>
        <v>M2 Metamark M7 198 Verde Natural 1,22 x 50m</v>
      </c>
      <c r="C3007">
        <v>24</v>
      </c>
      <c r="D3007" t="s">
        <v>96</v>
      </c>
      <c r="E3007" t="str">
        <f>VLOOKUP(Tabla1[[#This Row],[Cód. Atributo]],[1]!Tabla5[#Data],6,FALSE)</f>
        <v>Select</v>
      </c>
      <c r="F3007">
        <v>6</v>
      </c>
      <c r="G3007">
        <v>2</v>
      </c>
      <c r="H3007" t="s">
        <v>266</v>
      </c>
      <c r="I3007" t="str">
        <f>VLOOKUP(Tabla1[[#This Row],[Code]],'[1]Articulos Precio'!$A:$E,5,FALSE)</f>
        <v>A0000103</v>
      </c>
    </row>
    <row r="3008" spans="1:9" x14ac:dyDescent="0.25">
      <c r="A3008" t="s">
        <v>1112</v>
      </c>
      <c r="B3008" t="str">
        <f>VLOOKUP(Tabla1[[#This Row],[Code]],[1]!Tabla4[#Data],2,FALSE)</f>
        <v>M2 Metamark M7 199 Verde Manzana 0,61 x 50m</v>
      </c>
      <c r="C3008">
        <v>8</v>
      </c>
      <c r="D3008" t="s">
        <v>86</v>
      </c>
      <c r="E3008" t="str">
        <f>VLOOKUP(Tabla1[[#This Row],[Cód. Atributo]],[1]!Tabla5[#Data],6,FALSE)</f>
        <v>Select</v>
      </c>
      <c r="F3008">
        <v>1</v>
      </c>
      <c r="G3008">
        <v>1</v>
      </c>
      <c r="H3008" t="s">
        <v>263</v>
      </c>
      <c r="I3008" t="str">
        <f>VLOOKUP(Tabla1[[#This Row],[Code]],'[1]Articulos Precio'!$A:$E,5,FALSE)</f>
        <v>A0000103</v>
      </c>
    </row>
    <row r="3009" spans="1:9" x14ac:dyDescent="0.25">
      <c r="A3009" t="s">
        <v>1112</v>
      </c>
      <c r="B3009" t="str">
        <f>VLOOKUP(Tabla1[[#This Row],[Code]],[1]!Tabla4[#Data],2,FALSE)</f>
        <v>M2 Metamark M7 199 Verde Manzana 0,61 x 50m</v>
      </c>
      <c r="C3009">
        <v>13</v>
      </c>
      <c r="D3009" t="s">
        <v>491</v>
      </c>
      <c r="E3009" t="str">
        <f>VLOOKUP(Tabla1[[#This Row],[Cód. Atributo]],[1]!Tabla5[#Data],6,FALSE)</f>
        <v>Color</v>
      </c>
      <c r="F3009">
        <v>2</v>
      </c>
      <c r="G3009">
        <v>91</v>
      </c>
      <c r="H3009" t="s">
        <v>1113</v>
      </c>
      <c r="I3009" t="str">
        <f>VLOOKUP(Tabla1[[#This Row],[Code]],'[1]Articulos Precio'!$A:$E,5,FALSE)</f>
        <v>A0000103</v>
      </c>
    </row>
    <row r="3010" spans="1:9" x14ac:dyDescent="0.25">
      <c r="A3010" t="s">
        <v>1112</v>
      </c>
      <c r="B3010" t="str">
        <f>VLOOKUP(Tabla1[[#This Row],[Code]],[1]!Tabla4[#Data],2,FALSE)</f>
        <v>M2 Metamark M7 199 Verde Manzana 0,61 x 50m</v>
      </c>
      <c r="C3010">
        <v>23</v>
      </c>
      <c r="D3010" t="s">
        <v>90</v>
      </c>
      <c r="E3010" t="str">
        <f>VLOOKUP(Tabla1[[#This Row],[Cód. Atributo]],[1]!Tabla5[#Data],6,FALSE)</f>
        <v>Select</v>
      </c>
      <c r="F3010">
        <v>3</v>
      </c>
      <c r="G3010">
        <v>2</v>
      </c>
      <c r="H3010" t="s">
        <v>136</v>
      </c>
      <c r="I3010" t="str">
        <f>VLOOKUP(Tabla1[[#This Row],[Code]],'[1]Articulos Precio'!$A:$E,5,FALSE)</f>
        <v>A0000103</v>
      </c>
    </row>
    <row r="3011" spans="1:9" x14ac:dyDescent="0.25">
      <c r="A3011" t="s">
        <v>1112</v>
      </c>
      <c r="B3011" t="str">
        <f>VLOOKUP(Tabla1[[#This Row],[Code]],[1]!Tabla4[#Data],2,FALSE)</f>
        <v>M2 Metamark M7 199 Verde Manzana 0,61 x 50m</v>
      </c>
      <c r="C3011">
        <v>28</v>
      </c>
      <c r="D3011" t="s">
        <v>92</v>
      </c>
      <c r="E3011" t="str">
        <f>VLOOKUP(Tabla1[[#This Row],[Cód. Atributo]],[1]!Tabla5[#Data],6,FALSE)</f>
        <v>Select</v>
      </c>
      <c r="F3011">
        <v>4</v>
      </c>
      <c r="G3011">
        <v>1</v>
      </c>
      <c r="H3011" t="s">
        <v>93</v>
      </c>
      <c r="I3011" t="str">
        <f>VLOOKUP(Tabla1[[#This Row],[Code]],'[1]Articulos Precio'!$A:$E,5,FALSE)</f>
        <v>A0000103</v>
      </c>
    </row>
    <row r="3012" spans="1:9" x14ac:dyDescent="0.25">
      <c r="A3012" t="s">
        <v>1112</v>
      </c>
      <c r="B3012" t="str">
        <f>VLOOKUP(Tabla1[[#This Row],[Code]],[1]!Tabla4[#Data],2,FALSE)</f>
        <v>M2 Metamark M7 199 Verde Manzana 0,61 x 50m</v>
      </c>
      <c r="C3012">
        <v>25</v>
      </c>
      <c r="D3012" t="s">
        <v>94</v>
      </c>
      <c r="E3012" t="str">
        <f>VLOOKUP(Tabla1[[#This Row],[Cód. Atributo]],[1]!Tabla5[#Data],6,FALSE)</f>
        <v>Select</v>
      </c>
      <c r="F3012">
        <v>5</v>
      </c>
      <c r="G3012">
        <v>4</v>
      </c>
      <c r="H3012" t="s">
        <v>137</v>
      </c>
      <c r="I3012" t="str">
        <f>VLOOKUP(Tabla1[[#This Row],[Code]],'[1]Articulos Precio'!$A:$E,5,FALSE)</f>
        <v>A0000103</v>
      </c>
    </row>
    <row r="3013" spans="1:9" x14ac:dyDescent="0.25">
      <c r="A3013" t="s">
        <v>1112</v>
      </c>
      <c r="B3013" t="str">
        <f>VLOOKUP(Tabla1[[#This Row],[Code]],[1]!Tabla4[#Data],2,FALSE)</f>
        <v>M2 Metamark M7 199 Verde Manzana 0,61 x 50m</v>
      </c>
      <c r="C3013">
        <v>24</v>
      </c>
      <c r="D3013" t="s">
        <v>96</v>
      </c>
      <c r="E3013" t="str">
        <f>VLOOKUP(Tabla1[[#This Row],[Cód. Atributo]],[1]!Tabla5[#Data],6,FALSE)</f>
        <v>Select</v>
      </c>
      <c r="F3013">
        <v>6</v>
      </c>
      <c r="G3013">
        <v>2</v>
      </c>
      <c r="H3013" t="s">
        <v>266</v>
      </c>
      <c r="I3013" t="str">
        <f>VLOOKUP(Tabla1[[#This Row],[Code]],'[1]Articulos Precio'!$A:$E,5,FALSE)</f>
        <v>A0000103</v>
      </c>
    </row>
    <row r="3014" spans="1:9" x14ac:dyDescent="0.25">
      <c r="A3014" t="s">
        <v>1114</v>
      </c>
      <c r="B3014" t="str">
        <f>VLOOKUP(Tabla1[[#This Row],[Code]],[1]!Tabla4[#Data],2,FALSE)</f>
        <v>M2 Metamark M7 199 Verde Manzana 1,22 x 50m</v>
      </c>
      <c r="C3014">
        <v>8</v>
      </c>
      <c r="D3014" t="s">
        <v>86</v>
      </c>
      <c r="E3014" t="str">
        <f>VLOOKUP(Tabla1[[#This Row],[Cód. Atributo]],[1]!Tabla5[#Data],6,FALSE)</f>
        <v>Select</v>
      </c>
      <c r="F3014">
        <v>1</v>
      </c>
      <c r="G3014">
        <v>2</v>
      </c>
      <c r="H3014" t="s">
        <v>268</v>
      </c>
      <c r="I3014" t="str">
        <f>VLOOKUP(Tabla1[[#This Row],[Code]],'[1]Articulos Precio'!$A:$E,5,FALSE)</f>
        <v>A0000103</v>
      </c>
    </row>
    <row r="3015" spans="1:9" x14ac:dyDescent="0.25">
      <c r="A3015" t="s">
        <v>1114</v>
      </c>
      <c r="B3015" t="str">
        <f>VLOOKUP(Tabla1[[#This Row],[Code]],[1]!Tabla4[#Data],2,FALSE)</f>
        <v>M2 Metamark M7 199 Verde Manzana 1,22 x 50m</v>
      </c>
      <c r="C3015">
        <v>13</v>
      </c>
      <c r="D3015" t="s">
        <v>491</v>
      </c>
      <c r="E3015" t="str">
        <f>VLOOKUP(Tabla1[[#This Row],[Cód. Atributo]],[1]!Tabla5[#Data],6,FALSE)</f>
        <v>Color</v>
      </c>
      <c r="F3015">
        <v>2</v>
      </c>
      <c r="G3015">
        <v>91</v>
      </c>
      <c r="H3015" t="s">
        <v>1113</v>
      </c>
      <c r="I3015" t="str">
        <f>VLOOKUP(Tabla1[[#This Row],[Code]],'[1]Articulos Precio'!$A:$E,5,FALSE)</f>
        <v>A0000103</v>
      </c>
    </row>
    <row r="3016" spans="1:9" x14ac:dyDescent="0.25">
      <c r="A3016" t="s">
        <v>1114</v>
      </c>
      <c r="B3016" t="str">
        <f>VLOOKUP(Tabla1[[#This Row],[Code]],[1]!Tabla4[#Data],2,FALSE)</f>
        <v>M2 Metamark M7 199 Verde Manzana 1,22 x 50m</v>
      </c>
      <c r="C3016">
        <v>23</v>
      </c>
      <c r="D3016" t="s">
        <v>90</v>
      </c>
      <c r="E3016" t="str">
        <f>VLOOKUP(Tabla1[[#This Row],[Cód. Atributo]],[1]!Tabla5[#Data],6,FALSE)</f>
        <v>Select</v>
      </c>
      <c r="F3016">
        <v>3</v>
      </c>
      <c r="G3016">
        <v>2</v>
      </c>
      <c r="H3016" t="s">
        <v>136</v>
      </c>
      <c r="I3016" t="str">
        <f>VLOOKUP(Tabla1[[#This Row],[Code]],'[1]Articulos Precio'!$A:$E,5,FALSE)</f>
        <v>A0000103</v>
      </c>
    </row>
    <row r="3017" spans="1:9" x14ac:dyDescent="0.25">
      <c r="A3017" t="s">
        <v>1114</v>
      </c>
      <c r="B3017" t="str">
        <f>VLOOKUP(Tabla1[[#This Row],[Code]],[1]!Tabla4[#Data],2,FALSE)</f>
        <v>M2 Metamark M7 199 Verde Manzana 1,22 x 50m</v>
      </c>
      <c r="C3017">
        <v>28</v>
      </c>
      <c r="D3017" t="s">
        <v>92</v>
      </c>
      <c r="E3017" t="str">
        <f>VLOOKUP(Tabla1[[#This Row],[Cód. Atributo]],[1]!Tabla5[#Data],6,FALSE)</f>
        <v>Select</v>
      </c>
      <c r="F3017">
        <v>4</v>
      </c>
      <c r="G3017">
        <v>1</v>
      </c>
      <c r="H3017" t="s">
        <v>93</v>
      </c>
      <c r="I3017" t="str">
        <f>VLOOKUP(Tabla1[[#This Row],[Code]],'[1]Articulos Precio'!$A:$E,5,FALSE)</f>
        <v>A0000103</v>
      </c>
    </row>
    <row r="3018" spans="1:9" x14ac:dyDescent="0.25">
      <c r="A3018" t="s">
        <v>1114</v>
      </c>
      <c r="B3018" t="str">
        <f>VLOOKUP(Tabla1[[#This Row],[Code]],[1]!Tabla4[#Data],2,FALSE)</f>
        <v>M2 Metamark M7 199 Verde Manzana 1,22 x 50m</v>
      </c>
      <c r="C3018">
        <v>25</v>
      </c>
      <c r="D3018" t="s">
        <v>94</v>
      </c>
      <c r="E3018" t="str">
        <f>VLOOKUP(Tabla1[[#This Row],[Cód. Atributo]],[1]!Tabla5[#Data],6,FALSE)</f>
        <v>Select</v>
      </c>
      <c r="F3018">
        <v>5</v>
      </c>
      <c r="G3018">
        <v>4</v>
      </c>
      <c r="H3018" t="s">
        <v>137</v>
      </c>
      <c r="I3018" t="str">
        <f>VLOOKUP(Tabla1[[#This Row],[Code]],'[1]Articulos Precio'!$A:$E,5,FALSE)</f>
        <v>A0000103</v>
      </c>
    </row>
    <row r="3019" spans="1:9" x14ac:dyDescent="0.25">
      <c r="A3019" t="s">
        <v>1114</v>
      </c>
      <c r="B3019" t="str">
        <f>VLOOKUP(Tabla1[[#This Row],[Code]],[1]!Tabla4[#Data],2,FALSE)</f>
        <v>M2 Metamark M7 199 Verde Manzana 1,22 x 50m</v>
      </c>
      <c r="C3019">
        <v>24</v>
      </c>
      <c r="D3019" t="s">
        <v>96</v>
      </c>
      <c r="E3019" t="str">
        <f>VLOOKUP(Tabla1[[#This Row],[Cód. Atributo]],[1]!Tabla5[#Data],6,FALSE)</f>
        <v>Select</v>
      </c>
      <c r="F3019">
        <v>6</v>
      </c>
      <c r="G3019">
        <v>2</v>
      </c>
      <c r="H3019" t="s">
        <v>266</v>
      </c>
      <c r="I3019" t="str">
        <f>VLOOKUP(Tabla1[[#This Row],[Code]],'[1]Articulos Precio'!$A:$E,5,FALSE)</f>
        <v>A0000103</v>
      </c>
    </row>
    <row r="3020" spans="1:9" x14ac:dyDescent="0.25">
      <c r="A3020" t="s">
        <v>1115</v>
      </c>
      <c r="B3020" t="str">
        <f>VLOOKUP(Tabla1[[#This Row],[Code]],[1]!Tabla4[#Data],2,FALSE)</f>
        <v>M2 Metamark M7 Crystal Window Polimérico 0,61 x 50m</v>
      </c>
      <c r="C3020">
        <v>8</v>
      </c>
      <c r="D3020" t="s">
        <v>86</v>
      </c>
      <c r="E3020" t="str">
        <f>VLOOKUP(Tabla1[[#This Row],[Cód. Atributo]],[1]!Tabla5[#Data],6,FALSE)</f>
        <v>Select</v>
      </c>
      <c r="F3020">
        <v>1</v>
      </c>
      <c r="G3020">
        <v>1</v>
      </c>
      <c r="H3020" t="s">
        <v>263</v>
      </c>
      <c r="I3020" t="str">
        <f>VLOOKUP(Tabla1[[#This Row],[Code]],'[1]Articulos Precio'!$A:$E,5,FALSE)</f>
        <v>A0000535</v>
      </c>
    </row>
    <row r="3021" spans="1:9" x14ac:dyDescent="0.25">
      <c r="A3021" t="s">
        <v>1115</v>
      </c>
      <c r="B3021" t="str">
        <f>VLOOKUP(Tabla1[[#This Row],[Code]],[1]!Tabla4[#Data],2,FALSE)</f>
        <v>M2 Metamark M7 Crystal Window Polimérico 0,61 x 50m</v>
      </c>
      <c r="C3021">
        <v>24</v>
      </c>
      <c r="D3021" t="s">
        <v>96</v>
      </c>
      <c r="E3021" t="str">
        <f>VLOOKUP(Tabla1[[#This Row],[Cód. Atributo]],[1]!Tabla5[#Data],6,FALSE)</f>
        <v>Select</v>
      </c>
      <c r="F3021">
        <v>2</v>
      </c>
      <c r="G3021">
        <v>1</v>
      </c>
      <c r="H3021" t="s">
        <v>389</v>
      </c>
      <c r="I3021" t="str">
        <f>VLOOKUP(Tabla1[[#This Row],[Code]],'[1]Articulos Precio'!$A:$E,5,FALSE)</f>
        <v>A0000535</v>
      </c>
    </row>
    <row r="3022" spans="1:9" x14ac:dyDescent="0.25">
      <c r="A3022" t="s">
        <v>1115</v>
      </c>
      <c r="B3022" t="str">
        <f>VLOOKUP(Tabla1[[#This Row],[Code]],[1]!Tabla4[#Data],2,FALSE)</f>
        <v>M2 Metamark M7 Crystal Window Polimérico 0,61 x 50m</v>
      </c>
      <c r="C3022">
        <v>25</v>
      </c>
      <c r="D3022" t="s">
        <v>94</v>
      </c>
      <c r="E3022" t="str">
        <f>VLOOKUP(Tabla1[[#This Row],[Cód. Atributo]],[1]!Tabla5[#Data],6,FALSE)</f>
        <v>Select</v>
      </c>
      <c r="F3022">
        <v>3</v>
      </c>
      <c r="G3022">
        <v>4</v>
      </c>
      <c r="H3022" t="s">
        <v>137</v>
      </c>
      <c r="I3022" t="str">
        <f>VLOOKUP(Tabla1[[#This Row],[Code]],'[1]Articulos Precio'!$A:$E,5,FALSE)</f>
        <v>A0000535</v>
      </c>
    </row>
    <row r="3023" spans="1:9" x14ac:dyDescent="0.25">
      <c r="A3023" t="s">
        <v>1115</v>
      </c>
      <c r="B3023" t="str">
        <f>VLOOKUP(Tabla1[[#This Row],[Code]],[1]!Tabla4[#Data],2,FALSE)</f>
        <v>M2 Metamark M7 Crystal Window Polimérico 0,61 x 50m</v>
      </c>
      <c r="C3023">
        <v>23</v>
      </c>
      <c r="D3023" t="s">
        <v>90</v>
      </c>
      <c r="E3023" t="str">
        <f>VLOOKUP(Tabla1[[#This Row],[Cód. Atributo]],[1]!Tabla5[#Data],6,FALSE)</f>
        <v>Select</v>
      </c>
      <c r="F3023">
        <v>4</v>
      </c>
      <c r="G3023">
        <v>2</v>
      </c>
      <c r="H3023" t="s">
        <v>136</v>
      </c>
      <c r="I3023" t="str">
        <f>VLOOKUP(Tabla1[[#This Row],[Code]],'[1]Articulos Precio'!$A:$E,5,FALSE)</f>
        <v>A0000535</v>
      </c>
    </row>
    <row r="3024" spans="1:9" x14ac:dyDescent="0.25">
      <c r="A3024" t="s">
        <v>1116</v>
      </c>
      <c r="B3024" t="str">
        <f>VLOOKUP(Tabla1[[#This Row],[Code]],[1]!Tabla4[#Data],2,FALSE)</f>
        <v>M2 Metamark M7 Crystal Window Polimérico 1,22 x 50m</v>
      </c>
      <c r="C3024">
        <v>8</v>
      </c>
      <c r="D3024" t="s">
        <v>86</v>
      </c>
      <c r="E3024" t="str">
        <f>VLOOKUP(Tabla1[[#This Row],[Cód. Atributo]],[1]!Tabla5[#Data],6,FALSE)</f>
        <v>Select</v>
      </c>
      <c r="F3024">
        <v>1</v>
      </c>
      <c r="G3024">
        <v>2</v>
      </c>
      <c r="H3024" t="s">
        <v>268</v>
      </c>
      <c r="I3024" t="str">
        <f>VLOOKUP(Tabla1[[#This Row],[Code]],'[1]Articulos Precio'!$A:$E,5,FALSE)</f>
        <v>A0000535</v>
      </c>
    </row>
    <row r="3025" spans="1:9" x14ac:dyDescent="0.25">
      <c r="A3025" t="s">
        <v>1116</v>
      </c>
      <c r="B3025" t="str">
        <f>VLOOKUP(Tabla1[[#This Row],[Code]],[1]!Tabla4[#Data],2,FALSE)</f>
        <v>M2 Metamark M7 Crystal Window Polimérico 1,22 x 50m</v>
      </c>
      <c r="C3025">
        <v>24</v>
      </c>
      <c r="D3025" t="s">
        <v>96</v>
      </c>
      <c r="E3025" t="str">
        <f>VLOOKUP(Tabla1[[#This Row],[Cód. Atributo]],[1]!Tabla5[#Data],6,FALSE)</f>
        <v>Select</v>
      </c>
      <c r="F3025">
        <v>2</v>
      </c>
      <c r="G3025">
        <v>1</v>
      </c>
      <c r="H3025" t="s">
        <v>389</v>
      </c>
      <c r="I3025" t="str">
        <f>VLOOKUP(Tabla1[[#This Row],[Code]],'[1]Articulos Precio'!$A:$E,5,FALSE)</f>
        <v>A0000535</v>
      </c>
    </row>
    <row r="3026" spans="1:9" x14ac:dyDescent="0.25">
      <c r="A3026" t="s">
        <v>1116</v>
      </c>
      <c r="B3026" t="str">
        <f>VLOOKUP(Tabla1[[#This Row],[Code]],[1]!Tabla4[#Data],2,FALSE)</f>
        <v>M2 Metamark M7 Crystal Window Polimérico 1,22 x 50m</v>
      </c>
      <c r="C3026">
        <v>25</v>
      </c>
      <c r="D3026" t="s">
        <v>94</v>
      </c>
      <c r="E3026" t="str">
        <f>VLOOKUP(Tabla1[[#This Row],[Cód. Atributo]],[1]!Tabla5[#Data],6,FALSE)</f>
        <v>Select</v>
      </c>
      <c r="F3026">
        <v>3</v>
      </c>
      <c r="G3026">
        <v>4</v>
      </c>
      <c r="H3026" t="s">
        <v>137</v>
      </c>
      <c r="I3026" t="str">
        <f>VLOOKUP(Tabla1[[#This Row],[Code]],'[1]Articulos Precio'!$A:$E,5,FALSE)</f>
        <v>A0000535</v>
      </c>
    </row>
    <row r="3027" spans="1:9" x14ac:dyDescent="0.25">
      <c r="A3027" t="s">
        <v>1116</v>
      </c>
      <c r="B3027" t="str">
        <f>VLOOKUP(Tabla1[[#This Row],[Code]],[1]!Tabla4[#Data],2,FALSE)</f>
        <v>M2 Metamark M7 Crystal Window Polimérico 1,22 x 50m</v>
      </c>
      <c r="C3027">
        <v>23</v>
      </c>
      <c r="D3027" t="s">
        <v>90</v>
      </c>
      <c r="E3027" t="str">
        <f>VLOOKUP(Tabla1[[#This Row],[Cód. Atributo]],[1]!Tabla5[#Data],6,FALSE)</f>
        <v>Select</v>
      </c>
      <c r="F3027">
        <v>4</v>
      </c>
      <c r="G3027">
        <v>2</v>
      </c>
      <c r="H3027" t="s">
        <v>136</v>
      </c>
      <c r="I3027" t="str">
        <f>VLOOKUP(Tabla1[[#This Row],[Code]],'[1]Articulos Precio'!$A:$E,5,FALSE)</f>
        <v>A0000535</v>
      </c>
    </row>
    <row r="3028" spans="1:9" x14ac:dyDescent="0.25">
      <c r="A3028" t="s">
        <v>1117</v>
      </c>
      <c r="B3028" t="str">
        <f>VLOOKUP(Tabla1[[#This Row],[Code]],[1]!Tabla4[#Data],2,FALSE)</f>
        <v>M2 Metamark M7 Crystal Window Polimérico 1,60mm x 50m</v>
      </c>
      <c r="C3028">
        <v>8</v>
      </c>
      <c r="D3028" t="s">
        <v>86</v>
      </c>
      <c r="E3028" t="str">
        <f>VLOOKUP(Tabla1[[#This Row],[Cód. Atributo]],[1]!Tabla5[#Data],6,FALSE)</f>
        <v>Select</v>
      </c>
      <c r="F3028">
        <v>1</v>
      </c>
      <c r="G3028">
        <v>3</v>
      </c>
      <c r="H3028" t="s">
        <v>87</v>
      </c>
      <c r="I3028" t="str">
        <f>VLOOKUP(Tabla1[[#This Row],[Code]],'[1]Articulos Precio'!$A:$E,5,FALSE)</f>
        <v>A0000535</v>
      </c>
    </row>
    <row r="3029" spans="1:9" x14ac:dyDescent="0.25">
      <c r="A3029" t="s">
        <v>1117</v>
      </c>
      <c r="B3029" t="str">
        <f>VLOOKUP(Tabla1[[#This Row],[Code]],[1]!Tabla4[#Data],2,FALSE)</f>
        <v>M2 Metamark M7 Crystal Window Polimérico 1,60mm x 50m</v>
      </c>
      <c r="C3029">
        <v>24</v>
      </c>
      <c r="D3029" t="s">
        <v>96</v>
      </c>
      <c r="E3029" t="str">
        <f>VLOOKUP(Tabla1[[#This Row],[Cód. Atributo]],[1]!Tabla5[#Data],6,FALSE)</f>
        <v>Select</v>
      </c>
      <c r="F3029">
        <v>2</v>
      </c>
      <c r="G3029">
        <v>1</v>
      </c>
      <c r="H3029" t="s">
        <v>389</v>
      </c>
      <c r="I3029" t="str">
        <f>VLOOKUP(Tabla1[[#This Row],[Code]],'[1]Articulos Precio'!$A:$E,5,FALSE)</f>
        <v>A0000535</v>
      </c>
    </row>
    <row r="3030" spans="1:9" x14ac:dyDescent="0.25">
      <c r="A3030" t="s">
        <v>1117</v>
      </c>
      <c r="B3030" t="str">
        <f>VLOOKUP(Tabla1[[#This Row],[Code]],[1]!Tabla4[#Data],2,FALSE)</f>
        <v>M2 Metamark M7 Crystal Window Polimérico 1,60mm x 50m</v>
      </c>
      <c r="C3030">
        <v>25</v>
      </c>
      <c r="D3030" t="s">
        <v>94</v>
      </c>
      <c r="E3030" t="str">
        <f>VLOOKUP(Tabla1[[#This Row],[Cód. Atributo]],[1]!Tabla5[#Data],6,FALSE)</f>
        <v>Select</v>
      </c>
      <c r="F3030">
        <v>3</v>
      </c>
      <c r="G3030">
        <v>4</v>
      </c>
      <c r="H3030" t="s">
        <v>137</v>
      </c>
      <c r="I3030" t="str">
        <f>VLOOKUP(Tabla1[[#This Row],[Code]],'[1]Articulos Precio'!$A:$E,5,FALSE)</f>
        <v>A0000535</v>
      </c>
    </row>
    <row r="3031" spans="1:9" x14ac:dyDescent="0.25">
      <c r="A3031" t="s">
        <v>1117</v>
      </c>
      <c r="B3031" t="str">
        <f>VLOOKUP(Tabla1[[#This Row],[Code]],[1]!Tabla4[#Data],2,FALSE)</f>
        <v>M2 Metamark M7 Crystal Window Polimérico 1,60mm x 50m</v>
      </c>
      <c r="C3031">
        <v>23</v>
      </c>
      <c r="D3031" t="s">
        <v>90</v>
      </c>
      <c r="E3031" t="str">
        <f>VLOOKUP(Tabla1[[#This Row],[Cód. Atributo]],[1]!Tabla5[#Data],6,FALSE)</f>
        <v>Select</v>
      </c>
      <c r="F3031">
        <v>4</v>
      </c>
      <c r="G3031">
        <v>2</v>
      </c>
      <c r="H3031" t="s">
        <v>136</v>
      </c>
      <c r="I3031" t="str">
        <f>VLOOKUP(Tabla1[[#This Row],[Code]],'[1]Articulos Precio'!$A:$E,5,FALSE)</f>
        <v>A0000535</v>
      </c>
    </row>
    <row r="3032" spans="1:9" x14ac:dyDescent="0.25">
      <c r="A3032" t="s">
        <v>1118</v>
      </c>
      <c r="B3032" t="str">
        <f>VLOOKUP(Tabla1[[#This Row],[Code]],[1]!Tabla4[#Data],2,FALSE)</f>
        <v>M2 Metamark M7 Dusted Window Polimérico 0,61 x 50m</v>
      </c>
      <c r="C3032">
        <v>8</v>
      </c>
      <c r="D3032" t="s">
        <v>86</v>
      </c>
      <c r="E3032" t="str">
        <f>VLOOKUP(Tabla1[[#This Row],[Cód. Atributo]],[1]!Tabla5[#Data],6,FALSE)</f>
        <v>Select</v>
      </c>
      <c r="F3032">
        <v>1</v>
      </c>
      <c r="G3032">
        <v>1</v>
      </c>
      <c r="H3032" t="s">
        <v>263</v>
      </c>
      <c r="I3032" t="str">
        <f>VLOOKUP(Tabla1[[#This Row],[Code]],'[1]Articulos Precio'!$A:$E,5,FALSE)</f>
        <v>A0000536</v>
      </c>
    </row>
    <row r="3033" spans="1:9" x14ac:dyDescent="0.25">
      <c r="A3033" t="s">
        <v>1118</v>
      </c>
      <c r="B3033" t="str">
        <f>VLOOKUP(Tabla1[[#This Row],[Code]],[1]!Tabla4[#Data],2,FALSE)</f>
        <v>M2 Metamark M7 Dusted Window Polimérico 0,61 x 50m</v>
      </c>
      <c r="C3033">
        <v>24</v>
      </c>
      <c r="D3033" t="s">
        <v>96</v>
      </c>
      <c r="E3033" t="str">
        <f>VLOOKUP(Tabla1[[#This Row],[Cód. Atributo]],[1]!Tabla5[#Data],6,FALSE)</f>
        <v>Select</v>
      </c>
      <c r="F3033">
        <v>2</v>
      </c>
      <c r="G3033">
        <v>1</v>
      </c>
      <c r="H3033" t="s">
        <v>389</v>
      </c>
      <c r="I3033" t="str">
        <f>VLOOKUP(Tabla1[[#This Row],[Code]],'[1]Articulos Precio'!$A:$E,5,FALSE)</f>
        <v>A0000536</v>
      </c>
    </row>
    <row r="3034" spans="1:9" x14ac:dyDescent="0.25">
      <c r="A3034" t="s">
        <v>1118</v>
      </c>
      <c r="B3034" t="str">
        <f>VLOOKUP(Tabla1[[#This Row],[Code]],[1]!Tabla4[#Data],2,FALSE)</f>
        <v>M2 Metamark M7 Dusted Window Polimérico 0,61 x 50m</v>
      </c>
      <c r="C3034">
        <v>25</v>
      </c>
      <c r="D3034" t="s">
        <v>94</v>
      </c>
      <c r="E3034" t="str">
        <f>VLOOKUP(Tabla1[[#This Row],[Cód. Atributo]],[1]!Tabla5[#Data],6,FALSE)</f>
        <v>Select</v>
      </c>
      <c r="F3034">
        <v>3</v>
      </c>
      <c r="G3034">
        <v>4</v>
      </c>
      <c r="H3034" t="s">
        <v>137</v>
      </c>
      <c r="I3034" t="str">
        <f>VLOOKUP(Tabla1[[#This Row],[Code]],'[1]Articulos Precio'!$A:$E,5,FALSE)</f>
        <v>A0000536</v>
      </c>
    </row>
    <row r="3035" spans="1:9" x14ac:dyDescent="0.25">
      <c r="A3035" t="s">
        <v>1118</v>
      </c>
      <c r="B3035" t="str">
        <f>VLOOKUP(Tabla1[[#This Row],[Code]],[1]!Tabla4[#Data],2,FALSE)</f>
        <v>M2 Metamark M7 Dusted Window Polimérico 0,61 x 50m</v>
      </c>
      <c r="C3035">
        <v>23</v>
      </c>
      <c r="D3035" t="s">
        <v>90</v>
      </c>
      <c r="E3035" t="str">
        <f>VLOOKUP(Tabla1[[#This Row],[Cód. Atributo]],[1]!Tabla5[#Data],6,FALSE)</f>
        <v>Select</v>
      </c>
      <c r="F3035">
        <v>4</v>
      </c>
      <c r="G3035">
        <v>2</v>
      </c>
      <c r="H3035" t="s">
        <v>136</v>
      </c>
      <c r="I3035" t="str">
        <f>VLOOKUP(Tabla1[[#This Row],[Code]],'[1]Articulos Precio'!$A:$E,5,FALSE)</f>
        <v>A0000536</v>
      </c>
    </row>
    <row r="3036" spans="1:9" x14ac:dyDescent="0.25">
      <c r="A3036" t="s">
        <v>1119</v>
      </c>
      <c r="B3036" t="str">
        <f>VLOOKUP(Tabla1[[#This Row],[Code]],[1]!Tabla4[#Data],2,FALSE)</f>
        <v>M2 Metamark M7 Dusted Window Polimérico 1,60mm x 50m</v>
      </c>
      <c r="C3036">
        <v>8</v>
      </c>
      <c r="D3036" t="s">
        <v>86</v>
      </c>
      <c r="E3036" t="str">
        <f>VLOOKUP(Tabla1[[#This Row],[Cód. Atributo]],[1]!Tabla5[#Data],6,FALSE)</f>
        <v>Select</v>
      </c>
      <c r="F3036">
        <v>1</v>
      </c>
      <c r="G3036">
        <v>3</v>
      </c>
      <c r="H3036" t="s">
        <v>87</v>
      </c>
      <c r="I3036" t="str">
        <f>VLOOKUP(Tabla1[[#This Row],[Code]],'[1]Articulos Precio'!$A:$E,5,FALSE)</f>
        <v>A0000536</v>
      </c>
    </row>
    <row r="3037" spans="1:9" x14ac:dyDescent="0.25">
      <c r="A3037" t="s">
        <v>1119</v>
      </c>
      <c r="B3037" t="str">
        <f>VLOOKUP(Tabla1[[#This Row],[Code]],[1]!Tabla4[#Data],2,FALSE)</f>
        <v>M2 Metamark M7 Dusted Window Polimérico 1,60mm x 50m</v>
      </c>
      <c r="C3037">
        <v>24</v>
      </c>
      <c r="D3037" t="s">
        <v>96</v>
      </c>
      <c r="E3037" t="str">
        <f>VLOOKUP(Tabla1[[#This Row],[Cód. Atributo]],[1]!Tabla5[#Data],6,FALSE)</f>
        <v>Select</v>
      </c>
      <c r="F3037">
        <v>2</v>
      </c>
      <c r="G3037">
        <v>1</v>
      </c>
      <c r="H3037" t="s">
        <v>389</v>
      </c>
      <c r="I3037" t="str">
        <f>VLOOKUP(Tabla1[[#This Row],[Code]],'[1]Articulos Precio'!$A:$E,5,FALSE)</f>
        <v>A0000536</v>
      </c>
    </row>
    <row r="3038" spans="1:9" x14ac:dyDescent="0.25">
      <c r="A3038" t="s">
        <v>1119</v>
      </c>
      <c r="B3038" t="str">
        <f>VLOOKUP(Tabla1[[#This Row],[Code]],[1]!Tabla4[#Data],2,FALSE)</f>
        <v>M2 Metamark M7 Dusted Window Polimérico 1,60mm x 50m</v>
      </c>
      <c r="C3038">
        <v>25</v>
      </c>
      <c r="D3038" t="s">
        <v>94</v>
      </c>
      <c r="E3038" t="str">
        <f>VLOOKUP(Tabla1[[#This Row],[Cód. Atributo]],[1]!Tabla5[#Data],6,FALSE)</f>
        <v>Select</v>
      </c>
      <c r="F3038">
        <v>3</v>
      </c>
      <c r="G3038">
        <v>4</v>
      </c>
      <c r="H3038" t="s">
        <v>137</v>
      </c>
      <c r="I3038" t="str">
        <f>VLOOKUP(Tabla1[[#This Row],[Code]],'[1]Articulos Precio'!$A:$E,5,FALSE)</f>
        <v>A0000536</v>
      </c>
    </row>
    <row r="3039" spans="1:9" x14ac:dyDescent="0.25">
      <c r="A3039" t="s">
        <v>1119</v>
      </c>
      <c r="B3039" t="str">
        <f>VLOOKUP(Tabla1[[#This Row],[Code]],[1]!Tabla4[#Data],2,FALSE)</f>
        <v>M2 Metamark M7 Dusted Window Polimérico 1,60mm x 50m</v>
      </c>
      <c r="C3039">
        <v>23</v>
      </c>
      <c r="D3039" t="s">
        <v>90</v>
      </c>
      <c r="E3039" t="str">
        <f>VLOOKUP(Tabla1[[#This Row],[Cód. Atributo]],[1]!Tabla5[#Data],6,FALSE)</f>
        <v>Select</v>
      </c>
      <c r="F3039">
        <v>4</v>
      </c>
      <c r="G3039">
        <v>2</v>
      </c>
      <c r="H3039" t="s">
        <v>136</v>
      </c>
      <c r="I3039" t="str">
        <f>VLOOKUP(Tabla1[[#This Row],[Code]],'[1]Articulos Precio'!$A:$E,5,FALSE)</f>
        <v>A0000536</v>
      </c>
    </row>
    <row r="3040" spans="1:9" x14ac:dyDescent="0.25">
      <c r="A3040" t="s">
        <v>1120</v>
      </c>
      <c r="B3040" t="str">
        <f>VLOOKUP(Tabla1[[#This Row],[Code]],[1]!Tabla4[#Data],2,FALSE)</f>
        <v>M2 Metamark M7 Silver Window Polimérico 0,61 x 50m</v>
      </c>
      <c r="C3040">
        <v>8</v>
      </c>
      <c r="D3040" t="s">
        <v>86</v>
      </c>
      <c r="E3040" t="str">
        <f>VLOOKUP(Tabla1[[#This Row],[Cód. Atributo]],[1]!Tabla5[#Data],6,FALSE)</f>
        <v>Select</v>
      </c>
      <c r="F3040">
        <v>1</v>
      </c>
      <c r="G3040">
        <v>1</v>
      </c>
      <c r="H3040" t="s">
        <v>263</v>
      </c>
      <c r="I3040" t="str">
        <f>VLOOKUP(Tabla1[[#This Row],[Code]],'[1]Articulos Precio'!$A:$E,5,FALSE)</f>
        <v>A0000537</v>
      </c>
    </row>
    <row r="3041" spans="1:9" x14ac:dyDescent="0.25">
      <c r="A3041" t="s">
        <v>1120</v>
      </c>
      <c r="B3041" t="str">
        <f>VLOOKUP(Tabla1[[#This Row],[Code]],[1]!Tabla4[#Data],2,FALSE)</f>
        <v>M2 Metamark M7 Silver Window Polimérico 0,61 x 50m</v>
      </c>
      <c r="C3041">
        <v>24</v>
      </c>
      <c r="D3041" t="s">
        <v>96</v>
      </c>
      <c r="E3041" t="str">
        <f>VLOOKUP(Tabla1[[#This Row],[Cód. Atributo]],[1]!Tabla5[#Data],6,FALSE)</f>
        <v>Select</v>
      </c>
      <c r="F3041">
        <v>2</v>
      </c>
      <c r="G3041">
        <v>1</v>
      </c>
      <c r="H3041" t="s">
        <v>389</v>
      </c>
      <c r="I3041" t="str">
        <f>VLOOKUP(Tabla1[[#This Row],[Code]],'[1]Articulos Precio'!$A:$E,5,FALSE)</f>
        <v>A0000537</v>
      </c>
    </row>
    <row r="3042" spans="1:9" x14ac:dyDescent="0.25">
      <c r="A3042" t="s">
        <v>1120</v>
      </c>
      <c r="B3042" t="str">
        <f>VLOOKUP(Tabla1[[#This Row],[Code]],[1]!Tabla4[#Data],2,FALSE)</f>
        <v>M2 Metamark M7 Silver Window Polimérico 0,61 x 50m</v>
      </c>
      <c r="C3042">
        <v>25</v>
      </c>
      <c r="D3042" t="s">
        <v>94</v>
      </c>
      <c r="E3042" t="str">
        <f>VLOOKUP(Tabla1[[#This Row],[Cód. Atributo]],[1]!Tabla5[#Data],6,FALSE)</f>
        <v>Select</v>
      </c>
      <c r="F3042">
        <v>3</v>
      </c>
      <c r="G3042">
        <v>4</v>
      </c>
      <c r="H3042" t="s">
        <v>137</v>
      </c>
      <c r="I3042" t="str">
        <f>VLOOKUP(Tabla1[[#This Row],[Code]],'[1]Articulos Precio'!$A:$E,5,FALSE)</f>
        <v>A0000537</v>
      </c>
    </row>
    <row r="3043" spans="1:9" x14ac:dyDescent="0.25">
      <c r="A3043" t="s">
        <v>1120</v>
      </c>
      <c r="B3043" t="str">
        <f>VLOOKUP(Tabla1[[#This Row],[Code]],[1]!Tabla4[#Data],2,FALSE)</f>
        <v>M2 Metamark M7 Silver Window Polimérico 0,61 x 50m</v>
      </c>
      <c r="C3043">
        <v>23</v>
      </c>
      <c r="D3043" t="s">
        <v>90</v>
      </c>
      <c r="E3043" t="str">
        <f>VLOOKUP(Tabla1[[#This Row],[Cód. Atributo]],[1]!Tabla5[#Data],6,FALSE)</f>
        <v>Select</v>
      </c>
      <c r="F3043">
        <v>4</v>
      </c>
      <c r="G3043">
        <v>2</v>
      </c>
      <c r="H3043" t="s">
        <v>136</v>
      </c>
      <c r="I3043" t="str">
        <f>VLOOKUP(Tabla1[[#This Row],[Code]],'[1]Articulos Precio'!$A:$E,5,FALSE)</f>
        <v>A0000537</v>
      </c>
    </row>
    <row r="3044" spans="1:9" x14ac:dyDescent="0.25">
      <c r="A3044" t="s">
        <v>1121</v>
      </c>
      <c r="B3044" t="str">
        <f>VLOOKUP(Tabla1[[#This Row],[Code]],[1]!Tabla4[#Data],2,FALSE)</f>
        <v>M2 Metamark M7 Silver Window Polimérico 1,22 x 50m</v>
      </c>
      <c r="C3044">
        <v>8</v>
      </c>
      <c r="D3044" t="s">
        <v>86</v>
      </c>
      <c r="E3044" t="str">
        <f>VLOOKUP(Tabla1[[#This Row],[Cód. Atributo]],[1]!Tabla5[#Data],6,FALSE)</f>
        <v>Select</v>
      </c>
      <c r="F3044">
        <v>1</v>
      </c>
      <c r="G3044">
        <v>2</v>
      </c>
      <c r="H3044" t="s">
        <v>268</v>
      </c>
      <c r="I3044" t="str">
        <f>VLOOKUP(Tabla1[[#This Row],[Code]],'[1]Articulos Precio'!$A:$E,5,FALSE)</f>
        <v>A0000537</v>
      </c>
    </row>
    <row r="3045" spans="1:9" x14ac:dyDescent="0.25">
      <c r="A3045" t="s">
        <v>1121</v>
      </c>
      <c r="B3045" t="str">
        <f>VLOOKUP(Tabla1[[#This Row],[Code]],[1]!Tabla4[#Data],2,FALSE)</f>
        <v>M2 Metamark M7 Silver Window Polimérico 1,22 x 50m</v>
      </c>
      <c r="C3045">
        <v>24</v>
      </c>
      <c r="D3045" t="s">
        <v>96</v>
      </c>
      <c r="E3045" t="str">
        <f>VLOOKUP(Tabla1[[#This Row],[Cód. Atributo]],[1]!Tabla5[#Data],6,FALSE)</f>
        <v>Select</v>
      </c>
      <c r="F3045">
        <v>2</v>
      </c>
      <c r="G3045">
        <v>1</v>
      </c>
      <c r="H3045" t="s">
        <v>389</v>
      </c>
      <c r="I3045" t="str">
        <f>VLOOKUP(Tabla1[[#This Row],[Code]],'[1]Articulos Precio'!$A:$E,5,FALSE)</f>
        <v>A0000537</v>
      </c>
    </row>
    <row r="3046" spans="1:9" x14ac:dyDescent="0.25">
      <c r="A3046" t="s">
        <v>1121</v>
      </c>
      <c r="B3046" t="str">
        <f>VLOOKUP(Tabla1[[#This Row],[Code]],[1]!Tabla4[#Data],2,FALSE)</f>
        <v>M2 Metamark M7 Silver Window Polimérico 1,22 x 50m</v>
      </c>
      <c r="C3046">
        <v>25</v>
      </c>
      <c r="D3046" t="s">
        <v>94</v>
      </c>
      <c r="E3046" t="str">
        <f>VLOOKUP(Tabla1[[#This Row],[Cód. Atributo]],[1]!Tabla5[#Data],6,FALSE)</f>
        <v>Select</v>
      </c>
      <c r="F3046">
        <v>3</v>
      </c>
      <c r="G3046">
        <v>4</v>
      </c>
      <c r="H3046" t="s">
        <v>137</v>
      </c>
      <c r="I3046" t="str">
        <f>VLOOKUP(Tabla1[[#This Row],[Code]],'[1]Articulos Precio'!$A:$E,5,FALSE)</f>
        <v>A0000537</v>
      </c>
    </row>
    <row r="3047" spans="1:9" x14ac:dyDescent="0.25">
      <c r="A3047" t="s">
        <v>1121</v>
      </c>
      <c r="B3047" t="str">
        <f>VLOOKUP(Tabla1[[#This Row],[Code]],[1]!Tabla4[#Data],2,FALSE)</f>
        <v>M2 Metamark M7 Silver Window Polimérico 1,22 x 50m</v>
      </c>
      <c r="C3047">
        <v>23</v>
      </c>
      <c r="D3047" t="s">
        <v>90</v>
      </c>
      <c r="E3047" t="str">
        <f>VLOOKUP(Tabla1[[#This Row],[Cód. Atributo]],[1]!Tabla5[#Data],6,FALSE)</f>
        <v>Select</v>
      </c>
      <c r="F3047">
        <v>4</v>
      </c>
      <c r="G3047">
        <v>2</v>
      </c>
      <c r="H3047" t="s">
        <v>136</v>
      </c>
      <c r="I3047" t="str">
        <f>VLOOKUP(Tabla1[[#This Row],[Code]],'[1]Articulos Precio'!$A:$E,5,FALSE)</f>
        <v>A0000537</v>
      </c>
    </row>
    <row r="3048" spans="1:9" x14ac:dyDescent="0.25">
      <c r="A3048" t="s">
        <v>1122</v>
      </c>
      <c r="B3048" t="str">
        <f>VLOOKUP(Tabla1[[#This Row],[Code]],[1]!Tabla4[#Data],2,FALSE)</f>
        <v>M2 Metamark M7 Silver Window Polimérico 1,6mm x 50m</v>
      </c>
      <c r="C3048">
        <v>8</v>
      </c>
      <c r="D3048" t="s">
        <v>86</v>
      </c>
      <c r="E3048" t="str">
        <f>VLOOKUP(Tabla1[[#This Row],[Cód. Atributo]],[1]!Tabla5[#Data],6,FALSE)</f>
        <v>Select</v>
      </c>
      <c r="F3048">
        <v>1</v>
      </c>
      <c r="G3048">
        <v>3</v>
      </c>
      <c r="H3048" t="s">
        <v>87</v>
      </c>
      <c r="I3048" t="str">
        <f>VLOOKUP(Tabla1[[#This Row],[Code]],'[1]Articulos Precio'!$A:$E,5,FALSE)</f>
        <v>A0000537</v>
      </c>
    </row>
    <row r="3049" spans="1:9" x14ac:dyDescent="0.25">
      <c r="A3049" t="s">
        <v>1122</v>
      </c>
      <c r="B3049" t="str">
        <f>VLOOKUP(Tabla1[[#This Row],[Code]],[1]!Tabla4[#Data],2,FALSE)</f>
        <v>M2 Metamark M7 Silver Window Polimérico 1,6mm x 50m</v>
      </c>
      <c r="C3049">
        <v>24</v>
      </c>
      <c r="D3049" t="s">
        <v>96</v>
      </c>
      <c r="E3049" t="str">
        <f>VLOOKUP(Tabla1[[#This Row],[Cód. Atributo]],[1]!Tabla5[#Data],6,FALSE)</f>
        <v>Select</v>
      </c>
      <c r="F3049">
        <v>2</v>
      </c>
      <c r="G3049">
        <v>1</v>
      </c>
      <c r="H3049" t="s">
        <v>389</v>
      </c>
      <c r="I3049" t="str">
        <f>VLOOKUP(Tabla1[[#This Row],[Code]],'[1]Articulos Precio'!$A:$E,5,FALSE)</f>
        <v>A0000537</v>
      </c>
    </row>
    <row r="3050" spans="1:9" x14ac:dyDescent="0.25">
      <c r="A3050" t="s">
        <v>1122</v>
      </c>
      <c r="B3050" t="str">
        <f>VLOOKUP(Tabla1[[#This Row],[Code]],[1]!Tabla4[#Data],2,FALSE)</f>
        <v>M2 Metamark M7 Silver Window Polimérico 1,6mm x 50m</v>
      </c>
      <c r="C3050">
        <v>25</v>
      </c>
      <c r="D3050" t="s">
        <v>94</v>
      </c>
      <c r="E3050" t="str">
        <f>VLOOKUP(Tabla1[[#This Row],[Cód. Atributo]],[1]!Tabla5[#Data],6,FALSE)</f>
        <v>Select</v>
      </c>
      <c r="F3050">
        <v>3</v>
      </c>
      <c r="G3050">
        <v>4</v>
      </c>
      <c r="H3050" t="s">
        <v>137</v>
      </c>
      <c r="I3050" t="str">
        <f>VLOOKUP(Tabla1[[#This Row],[Code]],'[1]Articulos Precio'!$A:$E,5,FALSE)</f>
        <v>A0000537</v>
      </c>
    </row>
    <row r="3051" spans="1:9" x14ac:dyDescent="0.25">
      <c r="A3051" t="s">
        <v>1122</v>
      </c>
      <c r="B3051" t="str">
        <f>VLOOKUP(Tabla1[[#This Row],[Code]],[1]!Tabla4[#Data],2,FALSE)</f>
        <v>M2 Metamark M7 Silver Window Polimérico 1,6mm x 50m</v>
      </c>
      <c r="C3051">
        <v>23</v>
      </c>
      <c r="D3051" t="s">
        <v>90</v>
      </c>
      <c r="E3051" t="str">
        <f>VLOOKUP(Tabla1[[#This Row],[Cód. Atributo]],[1]!Tabla5[#Data],6,FALSE)</f>
        <v>Select</v>
      </c>
      <c r="F3051">
        <v>4</v>
      </c>
      <c r="G3051">
        <v>2</v>
      </c>
      <c r="H3051" t="s">
        <v>136</v>
      </c>
      <c r="I3051" t="str">
        <f>VLOOKUP(Tabla1[[#This Row],[Code]],'[1]Articulos Precio'!$A:$E,5,FALSE)</f>
        <v>A0000537</v>
      </c>
    </row>
    <row r="3052" spans="1:9" x14ac:dyDescent="0.25">
      <c r="A3052" t="s">
        <v>1123</v>
      </c>
      <c r="B3052" t="str">
        <f>VLOOKUP(Tabla1[[#This Row],[Code]],[1]!Tabla4[#Data],2,FALSE)</f>
        <v>M2 Metamark Metascape M4A Frosted Window Monomérico 0,61 x 50m</v>
      </c>
      <c r="C3052">
        <v>23</v>
      </c>
      <c r="D3052" t="s">
        <v>90</v>
      </c>
      <c r="E3052" t="str">
        <f>VLOOKUP(Tabla1[[#This Row],[Cód. Atributo]],[1]!Tabla5[#Data],6,FALSE)</f>
        <v>Select</v>
      </c>
      <c r="F3052">
        <v>1</v>
      </c>
      <c r="G3052">
        <v>1</v>
      </c>
      <c r="H3052" t="s">
        <v>110</v>
      </c>
      <c r="I3052" t="str">
        <f>VLOOKUP(Tabla1[[#This Row],[Code]],'[1]Articulos Precio'!$A:$E,5,FALSE)</f>
        <v>A0000099</v>
      </c>
    </row>
    <row r="3053" spans="1:9" x14ac:dyDescent="0.25">
      <c r="A3053" t="s">
        <v>1123</v>
      </c>
      <c r="B3053" t="str">
        <f>VLOOKUP(Tabla1[[#This Row],[Code]],[1]!Tabla4[#Data],2,FALSE)</f>
        <v>M2 Metamark Metascape M4A Frosted Window Monomérico 0,61 x 50m</v>
      </c>
      <c r="C3053">
        <v>24</v>
      </c>
      <c r="D3053" t="s">
        <v>96</v>
      </c>
      <c r="E3053" t="str">
        <f>VLOOKUP(Tabla1[[#This Row],[Cód. Atributo]],[1]!Tabla5[#Data],6,FALSE)</f>
        <v>Select</v>
      </c>
      <c r="F3053">
        <v>2</v>
      </c>
      <c r="G3053">
        <v>1</v>
      </c>
      <c r="H3053" t="s">
        <v>389</v>
      </c>
      <c r="I3053" t="str">
        <f>VLOOKUP(Tabla1[[#This Row],[Code]],'[1]Articulos Precio'!$A:$E,5,FALSE)</f>
        <v>A0000099</v>
      </c>
    </row>
    <row r="3054" spans="1:9" x14ac:dyDescent="0.25">
      <c r="A3054" t="s">
        <v>1123</v>
      </c>
      <c r="B3054" t="str">
        <f>VLOOKUP(Tabla1[[#This Row],[Code]],[1]!Tabla4[#Data],2,FALSE)</f>
        <v>M2 Metamark Metascape M4A Frosted Window Monomérico 0,61 x 50m</v>
      </c>
      <c r="C3054">
        <v>25</v>
      </c>
      <c r="D3054" t="s">
        <v>94</v>
      </c>
      <c r="E3054" t="str">
        <f>VLOOKUP(Tabla1[[#This Row],[Cód. Atributo]],[1]!Tabla5[#Data],6,FALSE)</f>
        <v>Select</v>
      </c>
      <c r="F3054">
        <v>3</v>
      </c>
      <c r="G3054">
        <v>2</v>
      </c>
      <c r="H3054" t="s">
        <v>111</v>
      </c>
      <c r="I3054" t="str">
        <f>VLOOKUP(Tabla1[[#This Row],[Code]],'[1]Articulos Precio'!$A:$E,5,FALSE)</f>
        <v>A0000099</v>
      </c>
    </row>
    <row r="3055" spans="1:9" x14ac:dyDescent="0.25">
      <c r="A3055" t="s">
        <v>1123</v>
      </c>
      <c r="B3055" t="str">
        <f>VLOOKUP(Tabla1[[#This Row],[Code]],[1]!Tabla4[#Data],2,FALSE)</f>
        <v>M2 Metamark Metascape M4A Frosted Window Monomérico 0,61 x 50m</v>
      </c>
      <c r="C3055">
        <v>8</v>
      </c>
      <c r="D3055" t="s">
        <v>86</v>
      </c>
      <c r="E3055" t="str">
        <f>VLOOKUP(Tabla1[[#This Row],[Cód. Atributo]],[1]!Tabla5[#Data],6,FALSE)</f>
        <v>Select</v>
      </c>
      <c r="F3055">
        <v>4</v>
      </c>
      <c r="G3055">
        <v>1</v>
      </c>
      <c r="H3055" t="s">
        <v>263</v>
      </c>
      <c r="I3055" t="str">
        <f>VLOOKUP(Tabla1[[#This Row],[Code]],'[1]Articulos Precio'!$A:$E,5,FALSE)</f>
        <v>A0000099</v>
      </c>
    </row>
    <row r="3056" spans="1:9" x14ac:dyDescent="0.25">
      <c r="A3056" t="s">
        <v>1123</v>
      </c>
      <c r="B3056" t="str">
        <f>VLOOKUP(Tabla1[[#This Row],[Code]],[1]!Tabla4[#Data],2,FALSE)</f>
        <v>M2 Metamark Metascape M4A Frosted Window Monomérico 0,61 x 50m</v>
      </c>
      <c r="C3056">
        <v>37</v>
      </c>
      <c r="D3056" t="s">
        <v>1124</v>
      </c>
      <c r="E3056" t="str">
        <f>VLOOKUP(Tabla1[[#This Row],[Cód. Atributo]],[1]!Tabla5[#Data],6,FALSE)</f>
        <v>Select</v>
      </c>
      <c r="F3056">
        <v>5</v>
      </c>
      <c r="G3056">
        <v>1</v>
      </c>
      <c r="H3056" t="s">
        <v>1125</v>
      </c>
      <c r="I3056" t="str">
        <f>VLOOKUP(Tabla1[[#This Row],[Code]],'[1]Articulos Precio'!$A:$E,5,FALSE)</f>
        <v>A0000099</v>
      </c>
    </row>
    <row r="3057" spans="1:9" x14ac:dyDescent="0.25">
      <c r="A3057" t="s">
        <v>1126</v>
      </c>
      <c r="B3057" t="str">
        <f>VLOOKUP(Tabla1[[#This Row],[Code]],[1]!Tabla4[#Data],2,FALSE)</f>
        <v>M2 Metamark Metascape M4A Frosted Window Monomérico 1,22 x 50m</v>
      </c>
      <c r="C3057">
        <v>23</v>
      </c>
      <c r="D3057" t="s">
        <v>90</v>
      </c>
      <c r="E3057" t="str">
        <f>VLOOKUP(Tabla1[[#This Row],[Cód. Atributo]],[1]!Tabla5[#Data],6,FALSE)</f>
        <v>Select</v>
      </c>
      <c r="F3057">
        <v>1</v>
      </c>
      <c r="G3057">
        <v>1</v>
      </c>
      <c r="H3057" t="s">
        <v>110</v>
      </c>
      <c r="I3057" t="str">
        <f>VLOOKUP(Tabla1[[#This Row],[Code]],'[1]Articulos Precio'!$A:$E,5,FALSE)</f>
        <v>A0000099</v>
      </c>
    </row>
    <row r="3058" spans="1:9" x14ac:dyDescent="0.25">
      <c r="A3058" t="s">
        <v>1126</v>
      </c>
      <c r="B3058" t="str">
        <f>VLOOKUP(Tabla1[[#This Row],[Code]],[1]!Tabla4[#Data],2,FALSE)</f>
        <v>M2 Metamark Metascape M4A Frosted Window Monomérico 1,22 x 50m</v>
      </c>
      <c r="C3058">
        <v>24</v>
      </c>
      <c r="D3058" t="s">
        <v>96</v>
      </c>
      <c r="E3058" t="str">
        <f>VLOOKUP(Tabla1[[#This Row],[Cód. Atributo]],[1]!Tabla5[#Data],6,FALSE)</f>
        <v>Select</v>
      </c>
      <c r="F3058">
        <v>2</v>
      </c>
      <c r="G3058">
        <v>1</v>
      </c>
      <c r="H3058" t="s">
        <v>389</v>
      </c>
      <c r="I3058" t="str">
        <f>VLOOKUP(Tabla1[[#This Row],[Code]],'[1]Articulos Precio'!$A:$E,5,FALSE)</f>
        <v>A0000099</v>
      </c>
    </row>
    <row r="3059" spans="1:9" x14ac:dyDescent="0.25">
      <c r="A3059" t="s">
        <v>1126</v>
      </c>
      <c r="B3059" t="str">
        <f>VLOOKUP(Tabla1[[#This Row],[Code]],[1]!Tabla4[#Data],2,FALSE)</f>
        <v>M2 Metamark Metascape M4A Frosted Window Monomérico 1,22 x 50m</v>
      </c>
      <c r="C3059">
        <v>25</v>
      </c>
      <c r="D3059" t="s">
        <v>94</v>
      </c>
      <c r="E3059" t="str">
        <f>VLOOKUP(Tabla1[[#This Row],[Cód. Atributo]],[1]!Tabla5[#Data],6,FALSE)</f>
        <v>Select</v>
      </c>
      <c r="F3059">
        <v>3</v>
      </c>
      <c r="G3059">
        <v>2</v>
      </c>
      <c r="H3059" t="s">
        <v>111</v>
      </c>
      <c r="I3059" t="str">
        <f>VLOOKUP(Tabla1[[#This Row],[Code]],'[1]Articulos Precio'!$A:$E,5,FALSE)</f>
        <v>A0000099</v>
      </c>
    </row>
    <row r="3060" spans="1:9" x14ac:dyDescent="0.25">
      <c r="A3060" t="s">
        <v>1126</v>
      </c>
      <c r="B3060" t="str">
        <f>VLOOKUP(Tabla1[[#This Row],[Code]],[1]!Tabla4[#Data],2,FALSE)</f>
        <v>M2 Metamark Metascape M4A Frosted Window Monomérico 1,22 x 50m</v>
      </c>
      <c r="C3060">
        <v>8</v>
      </c>
      <c r="D3060" t="s">
        <v>86</v>
      </c>
      <c r="E3060" t="str">
        <f>VLOOKUP(Tabla1[[#This Row],[Cód. Atributo]],[1]!Tabla5[#Data],6,FALSE)</f>
        <v>Select</v>
      </c>
      <c r="F3060">
        <v>4</v>
      </c>
      <c r="G3060">
        <v>2</v>
      </c>
      <c r="H3060" t="s">
        <v>268</v>
      </c>
      <c r="I3060" t="str">
        <f>VLOOKUP(Tabla1[[#This Row],[Code]],'[1]Articulos Precio'!$A:$E,5,FALSE)</f>
        <v>A0000099</v>
      </c>
    </row>
    <row r="3061" spans="1:9" x14ac:dyDescent="0.25">
      <c r="A3061" t="s">
        <v>1126</v>
      </c>
      <c r="B3061" t="str">
        <f>VLOOKUP(Tabla1[[#This Row],[Code]],[1]!Tabla4[#Data],2,FALSE)</f>
        <v>M2 Metamark Metascape M4A Frosted Window Monomérico 1,22 x 50m</v>
      </c>
      <c r="C3061">
        <v>37</v>
      </c>
      <c r="D3061" t="s">
        <v>1124</v>
      </c>
      <c r="E3061" t="str">
        <f>VLOOKUP(Tabla1[[#This Row],[Cód. Atributo]],[1]!Tabla5[#Data],6,FALSE)</f>
        <v>Select</v>
      </c>
      <c r="F3061">
        <v>5</v>
      </c>
      <c r="G3061">
        <v>1</v>
      </c>
      <c r="H3061" t="s">
        <v>1125</v>
      </c>
      <c r="I3061" t="str">
        <f>VLOOKUP(Tabla1[[#This Row],[Code]],'[1]Articulos Precio'!$A:$E,5,FALSE)</f>
        <v>A0000099</v>
      </c>
    </row>
    <row r="3062" spans="1:9" x14ac:dyDescent="0.25">
      <c r="A3062" t="s">
        <v>1127</v>
      </c>
      <c r="B3062" t="str">
        <f>VLOOKUP(Tabla1[[#This Row],[Code]],[1]!Tabla4[#Data],2,FALSE)</f>
        <v>M2 Metamark Metascape M4A Frosted Window Monomérico 1,60 x 50m</v>
      </c>
      <c r="C3062">
        <v>23</v>
      </c>
      <c r="D3062" t="s">
        <v>90</v>
      </c>
      <c r="E3062" t="str">
        <f>VLOOKUP(Tabla1[[#This Row],[Cód. Atributo]],[1]!Tabla5[#Data],6,FALSE)</f>
        <v>Select</v>
      </c>
      <c r="F3062">
        <v>1</v>
      </c>
      <c r="G3062">
        <v>1</v>
      </c>
      <c r="H3062" t="s">
        <v>110</v>
      </c>
      <c r="I3062" t="str">
        <f>VLOOKUP(Tabla1[[#This Row],[Code]],'[1]Articulos Precio'!$A:$E,5,FALSE)</f>
        <v>A0000099</v>
      </c>
    </row>
    <row r="3063" spans="1:9" x14ac:dyDescent="0.25">
      <c r="A3063" t="s">
        <v>1127</v>
      </c>
      <c r="B3063" t="str">
        <f>VLOOKUP(Tabla1[[#This Row],[Code]],[1]!Tabla4[#Data],2,FALSE)</f>
        <v>M2 Metamark Metascape M4A Frosted Window Monomérico 1,60 x 50m</v>
      </c>
      <c r="C3063">
        <v>24</v>
      </c>
      <c r="D3063" t="s">
        <v>96</v>
      </c>
      <c r="E3063" t="str">
        <f>VLOOKUP(Tabla1[[#This Row],[Cód. Atributo]],[1]!Tabla5[#Data],6,FALSE)</f>
        <v>Select</v>
      </c>
      <c r="F3063">
        <v>2</v>
      </c>
      <c r="G3063">
        <v>1</v>
      </c>
      <c r="H3063" t="s">
        <v>389</v>
      </c>
      <c r="I3063" t="str">
        <f>VLOOKUP(Tabla1[[#This Row],[Code]],'[1]Articulos Precio'!$A:$E,5,FALSE)</f>
        <v>A0000099</v>
      </c>
    </row>
    <row r="3064" spans="1:9" x14ac:dyDescent="0.25">
      <c r="A3064" t="s">
        <v>1127</v>
      </c>
      <c r="B3064" t="str">
        <f>VLOOKUP(Tabla1[[#This Row],[Code]],[1]!Tabla4[#Data],2,FALSE)</f>
        <v>M2 Metamark Metascape M4A Frosted Window Monomérico 1,60 x 50m</v>
      </c>
      <c r="C3064">
        <v>25</v>
      </c>
      <c r="D3064" t="s">
        <v>94</v>
      </c>
      <c r="E3064" t="str">
        <f>VLOOKUP(Tabla1[[#This Row],[Cód. Atributo]],[1]!Tabla5[#Data],6,FALSE)</f>
        <v>Select</v>
      </c>
      <c r="F3064">
        <v>3</v>
      </c>
      <c r="G3064">
        <v>2</v>
      </c>
      <c r="H3064" t="s">
        <v>111</v>
      </c>
      <c r="I3064" t="str">
        <f>VLOOKUP(Tabla1[[#This Row],[Code]],'[1]Articulos Precio'!$A:$E,5,FALSE)</f>
        <v>A0000099</v>
      </c>
    </row>
    <row r="3065" spans="1:9" x14ac:dyDescent="0.25">
      <c r="A3065" t="s">
        <v>1127</v>
      </c>
      <c r="B3065" t="str">
        <f>VLOOKUP(Tabla1[[#This Row],[Code]],[1]!Tabla4[#Data],2,FALSE)</f>
        <v>M2 Metamark Metascape M4A Frosted Window Monomérico 1,60 x 50m</v>
      </c>
      <c r="C3065">
        <v>8</v>
      </c>
      <c r="D3065" t="s">
        <v>86</v>
      </c>
      <c r="E3065" t="str">
        <f>VLOOKUP(Tabla1[[#This Row],[Cód. Atributo]],[1]!Tabla5[#Data],6,FALSE)</f>
        <v>Select</v>
      </c>
      <c r="F3065">
        <v>4</v>
      </c>
      <c r="G3065">
        <v>3</v>
      </c>
      <c r="H3065" t="s">
        <v>109</v>
      </c>
      <c r="I3065" t="str">
        <f>VLOOKUP(Tabla1[[#This Row],[Code]],'[1]Articulos Precio'!$A:$E,5,FALSE)</f>
        <v>A0000099</v>
      </c>
    </row>
    <row r="3066" spans="1:9" x14ac:dyDescent="0.25">
      <c r="A3066" t="s">
        <v>1127</v>
      </c>
      <c r="B3066" t="str">
        <f>VLOOKUP(Tabla1[[#This Row],[Code]],[1]!Tabla4[#Data],2,FALSE)</f>
        <v>M2 Metamark Metascape M4A Frosted Window Monomérico 1,60 x 50m</v>
      </c>
      <c r="C3066">
        <v>37</v>
      </c>
      <c r="D3066" t="s">
        <v>1124</v>
      </c>
      <c r="E3066" t="str">
        <f>VLOOKUP(Tabla1[[#This Row],[Cód. Atributo]],[1]!Tabla5[#Data],6,FALSE)</f>
        <v>Select</v>
      </c>
      <c r="F3066">
        <v>5</v>
      </c>
      <c r="G3066">
        <v>1</v>
      </c>
      <c r="H3066" t="s">
        <v>1125</v>
      </c>
      <c r="I3066" t="str">
        <f>VLOOKUP(Tabla1[[#This Row],[Code]],'[1]Articulos Precio'!$A:$E,5,FALSE)</f>
        <v>A0000099</v>
      </c>
    </row>
    <row r="3067" spans="1:9" x14ac:dyDescent="0.25">
      <c r="A3067" t="s">
        <v>1128</v>
      </c>
      <c r="B3067" t="str">
        <f>VLOOKUP(Tabla1[[#This Row],[Code]],[1]!Tabla4[#Data],2,FALSE)</f>
        <v>M2 Metamark MetaScape M7A 100 Blanco Brillo 0,61 x 50m</v>
      </c>
      <c r="C3067">
        <v>8</v>
      </c>
      <c r="D3067" t="s">
        <v>86</v>
      </c>
      <c r="E3067" t="str">
        <f>VLOOKUP(Tabla1[[#This Row],[Cód. Atributo]],[1]!Tabla5[#Data],6,FALSE)</f>
        <v>Select</v>
      </c>
      <c r="F3067">
        <v>1</v>
      </c>
      <c r="G3067">
        <v>1</v>
      </c>
      <c r="H3067" t="s">
        <v>263</v>
      </c>
      <c r="I3067" t="str">
        <f>VLOOKUP(Tabla1[[#This Row],[Code]],'[1]Articulos Precio'!$A:$E,5,FALSE)</f>
        <v>A0000513</v>
      </c>
    </row>
    <row r="3068" spans="1:9" x14ac:dyDescent="0.25">
      <c r="A3068" t="s">
        <v>1128</v>
      </c>
      <c r="B3068" t="str">
        <f>VLOOKUP(Tabla1[[#This Row],[Code]],[1]!Tabla4[#Data],2,FALSE)</f>
        <v>M2 Metamark MetaScape M7A 100 Blanco Brillo 0,61 x 50m</v>
      </c>
      <c r="C3068">
        <v>13</v>
      </c>
      <c r="D3068" t="s">
        <v>491</v>
      </c>
      <c r="E3068" t="str">
        <f>VLOOKUP(Tabla1[[#This Row],[Cód. Atributo]],[1]!Tabla5[#Data],6,FALSE)</f>
        <v>Color</v>
      </c>
      <c r="F3068">
        <v>2</v>
      </c>
      <c r="G3068">
        <v>1</v>
      </c>
      <c r="H3068" t="s">
        <v>492</v>
      </c>
      <c r="I3068" t="str">
        <f>VLOOKUP(Tabla1[[#This Row],[Code]],'[1]Articulos Precio'!$A:$E,5,FALSE)</f>
        <v>A0000513</v>
      </c>
    </row>
    <row r="3069" spans="1:9" x14ac:dyDescent="0.25">
      <c r="A3069" t="s">
        <v>1128</v>
      </c>
      <c r="B3069" t="str">
        <f>VLOOKUP(Tabla1[[#This Row],[Code]],[1]!Tabla4[#Data],2,FALSE)</f>
        <v>M2 Metamark MetaScape M7A 100 Blanco Brillo 0,61 x 50m</v>
      </c>
      <c r="C3069">
        <v>23</v>
      </c>
      <c r="D3069" t="s">
        <v>90</v>
      </c>
      <c r="E3069" t="str">
        <f>VLOOKUP(Tabla1[[#This Row],[Cód. Atributo]],[1]!Tabla5[#Data],6,FALSE)</f>
        <v>Select</v>
      </c>
      <c r="F3069">
        <v>3</v>
      </c>
      <c r="G3069">
        <v>2</v>
      </c>
      <c r="H3069" t="s">
        <v>136</v>
      </c>
      <c r="I3069" t="str">
        <f>VLOOKUP(Tabla1[[#This Row],[Code]],'[1]Articulos Precio'!$A:$E,5,FALSE)</f>
        <v>A0000513</v>
      </c>
    </row>
    <row r="3070" spans="1:9" x14ac:dyDescent="0.25">
      <c r="A3070" t="s">
        <v>1128</v>
      </c>
      <c r="B3070" t="str">
        <f>VLOOKUP(Tabla1[[#This Row],[Code]],[1]!Tabla4[#Data],2,FALSE)</f>
        <v>M2 Metamark MetaScape M7A 100 Blanco Brillo 0,61 x 50m</v>
      </c>
      <c r="C3070">
        <v>28</v>
      </c>
      <c r="D3070" t="s">
        <v>92</v>
      </c>
      <c r="E3070" t="str">
        <f>VLOOKUP(Tabla1[[#This Row],[Cód. Atributo]],[1]!Tabla5[#Data],6,FALSE)</f>
        <v>Select</v>
      </c>
      <c r="F3070">
        <v>4</v>
      </c>
      <c r="G3070">
        <v>1</v>
      </c>
      <c r="H3070" t="s">
        <v>93</v>
      </c>
      <c r="I3070" t="str">
        <f>VLOOKUP(Tabla1[[#This Row],[Code]],'[1]Articulos Precio'!$A:$E,5,FALSE)</f>
        <v>A0000513</v>
      </c>
    </row>
    <row r="3071" spans="1:9" x14ac:dyDescent="0.25">
      <c r="A3071" t="s">
        <v>1128</v>
      </c>
      <c r="B3071" t="str">
        <f>VLOOKUP(Tabla1[[#This Row],[Code]],[1]!Tabla4[#Data],2,FALSE)</f>
        <v>M2 Metamark MetaScape M7A 100 Blanco Brillo 0,61 x 50m</v>
      </c>
      <c r="C3071">
        <v>25</v>
      </c>
      <c r="D3071" t="s">
        <v>94</v>
      </c>
      <c r="E3071" t="str">
        <f>VLOOKUP(Tabla1[[#This Row],[Cód. Atributo]],[1]!Tabla5[#Data],6,FALSE)</f>
        <v>Select</v>
      </c>
      <c r="F3071">
        <v>5</v>
      </c>
      <c r="G3071">
        <v>4</v>
      </c>
      <c r="H3071" t="s">
        <v>137</v>
      </c>
      <c r="I3071" t="str">
        <f>VLOOKUP(Tabla1[[#This Row],[Code]],'[1]Articulos Precio'!$A:$E,5,FALSE)</f>
        <v>A0000513</v>
      </c>
    </row>
    <row r="3072" spans="1:9" x14ac:dyDescent="0.25">
      <c r="A3072" t="s">
        <v>1128</v>
      </c>
      <c r="B3072" t="str">
        <f>VLOOKUP(Tabla1[[#This Row],[Code]],[1]!Tabla4[#Data],2,FALSE)</f>
        <v>M2 Metamark MetaScape M7A 100 Blanco Brillo 0,61 x 50m</v>
      </c>
      <c r="C3072">
        <v>24</v>
      </c>
      <c r="D3072" t="s">
        <v>96</v>
      </c>
      <c r="E3072" t="str">
        <f>VLOOKUP(Tabla1[[#This Row],[Cód. Atributo]],[1]!Tabla5[#Data],6,FALSE)</f>
        <v>Select</v>
      </c>
      <c r="F3072">
        <v>6</v>
      </c>
      <c r="G3072">
        <v>2</v>
      </c>
      <c r="H3072" t="s">
        <v>266</v>
      </c>
      <c r="I3072" t="str">
        <f>VLOOKUP(Tabla1[[#This Row],[Code]],'[1]Articulos Precio'!$A:$E,5,FALSE)</f>
        <v>A0000513</v>
      </c>
    </row>
    <row r="3073" spans="1:9" x14ac:dyDescent="0.25">
      <c r="A3073" t="s">
        <v>1129</v>
      </c>
      <c r="B3073" t="str">
        <f>VLOOKUP(Tabla1[[#This Row],[Code]],[1]!Tabla4[#Data],2,FALSE)</f>
        <v>M2 Metamark MetaScape M7A 100 Blanco Brillo 1,22 x 50m</v>
      </c>
      <c r="C3073">
        <v>8</v>
      </c>
      <c r="D3073" t="s">
        <v>86</v>
      </c>
      <c r="E3073" t="str">
        <f>VLOOKUP(Tabla1[[#This Row],[Cód. Atributo]],[1]!Tabla5[#Data],6,FALSE)</f>
        <v>Select</v>
      </c>
      <c r="F3073">
        <v>1</v>
      </c>
      <c r="G3073">
        <v>2</v>
      </c>
      <c r="H3073" t="s">
        <v>268</v>
      </c>
      <c r="I3073" t="str">
        <f>VLOOKUP(Tabla1[[#This Row],[Code]],'[1]Articulos Precio'!$A:$E,5,FALSE)</f>
        <v>A0000513</v>
      </c>
    </row>
    <row r="3074" spans="1:9" x14ac:dyDescent="0.25">
      <c r="A3074" t="s">
        <v>1129</v>
      </c>
      <c r="B3074" t="str">
        <f>VLOOKUP(Tabla1[[#This Row],[Code]],[1]!Tabla4[#Data],2,FALSE)</f>
        <v>M2 Metamark MetaScape M7A 100 Blanco Brillo 1,22 x 50m</v>
      </c>
      <c r="C3074">
        <v>12</v>
      </c>
      <c r="D3074" t="s">
        <v>1130</v>
      </c>
      <c r="E3074" t="str">
        <f>VLOOKUP(Tabla1[[#This Row],[Cód. Atributo]],[1]!Tabla5[#Data],6,FALSE)</f>
        <v>Color</v>
      </c>
      <c r="F3074">
        <v>2</v>
      </c>
      <c r="G3074">
        <v>1</v>
      </c>
      <c r="H3074" t="s">
        <v>1131</v>
      </c>
      <c r="I3074" t="str">
        <f>VLOOKUP(Tabla1[[#This Row],[Code]],'[1]Articulos Precio'!$A:$E,5,FALSE)</f>
        <v>A0000513</v>
      </c>
    </row>
    <row r="3075" spans="1:9" x14ac:dyDescent="0.25">
      <c r="A3075" t="s">
        <v>1129</v>
      </c>
      <c r="B3075" t="str">
        <f>VLOOKUP(Tabla1[[#This Row],[Code]],[1]!Tabla4[#Data],2,FALSE)</f>
        <v>M2 Metamark MetaScape M7A 100 Blanco Brillo 1,22 x 50m</v>
      </c>
      <c r="C3075">
        <v>23</v>
      </c>
      <c r="D3075" t="s">
        <v>90</v>
      </c>
      <c r="E3075" t="str">
        <f>VLOOKUP(Tabla1[[#This Row],[Cód. Atributo]],[1]!Tabla5[#Data],6,FALSE)</f>
        <v>Select</v>
      </c>
      <c r="F3075">
        <v>5</v>
      </c>
      <c r="G3075">
        <v>2</v>
      </c>
      <c r="H3075" t="s">
        <v>136</v>
      </c>
      <c r="I3075" t="str">
        <f>VLOOKUP(Tabla1[[#This Row],[Code]],'[1]Articulos Precio'!$A:$E,5,FALSE)</f>
        <v>A0000513</v>
      </c>
    </row>
    <row r="3076" spans="1:9" x14ac:dyDescent="0.25">
      <c r="A3076" t="s">
        <v>1129</v>
      </c>
      <c r="B3076" t="str">
        <f>VLOOKUP(Tabla1[[#This Row],[Code]],[1]!Tabla4[#Data],2,FALSE)</f>
        <v>M2 Metamark MetaScape M7A 100 Blanco Brillo 1,22 x 50m</v>
      </c>
      <c r="C3076">
        <v>28</v>
      </c>
      <c r="D3076" t="s">
        <v>92</v>
      </c>
      <c r="E3076" t="str">
        <f>VLOOKUP(Tabla1[[#This Row],[Cód. Atributo]],[1]!Tabla5[#Data],6,FALSE)</f>
        <v>Select</v>
      </c>
      <c r="F3076">
        <v>6</v>
      </c>
      <c r="G3076">
        <v>1</v>
      </c>
      <c r="H3076" t="s">
        <v>93</v>
      </c>
      <c r="I3076" t="str">
        <f>VLOOKUP(Tabla1[[#This Row],[Code]],'[1]Articulos Precio'!$A:$E,5,FALSE)</f>
        <v>A0000513</v>
      </c>
    </row>
    <row r="3077" spans="1:9" x14ac:dyDescent="0.25">
      <c r="A3077" t="s">
        <v>1129</v>
      </c>
      <c r="B3077" t="str">
        <f>VLOOKUP(Tabla1[[#This Row],[Code]],[1]!Tabla4[#Data],2,FALSE)</f>
        <v>M2 Metamark MetaScape M7A 100 Blanco Brillo 1,22 x 50m</v>
      </c>
      <c r="C3077">
        <v>25</v>
      </c>
      <c r="D3077" t="s">
        <v>94</v>
      </c>
      <c r="E3077" t="str">
        <f>VLOOKUP(Tabla1[[#This Row],[Cód. Atributo]],[1]!Tabla5[#Data],6,FALSE)</f>
        <v>Select</v>
      </c>
      <c r="F3077">
        <v>7</v>
      </c>
      <c r="G3077">
        <v>4</v>
      </c>
      <c r="H3077" t="s">
        <v>137</v>
      </c>
      <c r="I3077" t="str">
        <f>VLOOKUP(Tabla1[[#This Row],[Code]],'[1]Articulos Precio'!$A:$E,5,FALSE)</f>
        <v>A0000513</v>
      </c>
    </row>
    <row r="3078" spans="1:9" x14ac:dyDescent="0.25">
      <c r="A3078" t="s">
        <v>1129</v>
      </c>
      <c r="B3078" t="str">
        <f>VLOOKUP(Tabla1[[#This Row],[Code]],[1]!Tabla4[#Data],2,FALSE)</f>
        <v>M2 Metamark MetaScape M7A 100 Blanco Brillo 1,22 x 50m</v>
      </c>
      <c r="C3078">
        <v>24</v>
      </c>
      <c r="D3078" t="s">
        <v>96</v>
      </c>
      <c r="E3078" t="str">
        <f>VLOOKUP(Tabla1[[#This Row],[Cód. Atributo]],[1]!Tabla5[#Data],6,FALSE)</f>
        <v>Select</v>
      </c>
      <c r="F3078">
        <v>8</v>
      </c>
      <c r="G3078">
        <v>2</v>
      </c>
      <c r="H3078" t="s">
        <v>266</v>
      </c>
      <c r="I3078" t="str">
        <f>VLOOKUP(Tabla1[[#This Row],[Code]],'[1]Articulos Precio'!$A:$E,5,FALSE)</f>
        <v>A0000513</v>
      </c>
    </row>
    <row r="3079" spans="1:9" x14ac:dyDescent="0.25">
      <c r="A3079" t="s">
        <v>1129</v>
      </c>
      <c r="B3079" t="str">
        <f>VLOOKUP(Tabla1[[#This Row],[Code]],[1]!Tabla4[#Data],2,FALSE)</f>
        <v>M2 Metamark MetaScape M7A 100 Blanco Brillo 1,22 x 50m</v>
      </c>
      <c r="C3079">
        <v>37</v>
      </c>
      <c r="D3079" t="s">
        <v>1124</v>
      </c>
      <c r="E3079" t="str">
        <f>VLOOKUP(Tabla1[[#This Row],[Cód. Atributo]],[1]!Tabla5[#Data],6,FALSE)</f>
        <v>Select</v>
      </c>
      <c r="F3079">
        <v>9</v>
      </c>
      <c r="G3079">
        <v>1</v>
      </c>
      <c r="H3079" t="s">
        <v>1125</v>
      </c>
      <c r="I3079" t="str">
        <f>VLOOKUP(Tabla1[[#This Row],[Code]],'[1]Articulos Precio'!$A:$E,5,FALSE)</f>
        <v>A0000513</v>
      </c>
    </row>
    <row r="3080" spans="1:9" x14ac:dyDescent="0.25">
      <c r="A3080" t="s">
        <v>1132</v>
      </c>
      <c r="B3080" t="str">
        <f>VLOOKUP(Tabla1[[#This Row],[Code]],[1]!Tabla4[#Data],2,FALSE)</f>
        <v>M2 Metamark MetaScape M7A 110 Negro Brillo 1,22 x 50m</v>
      </c>
      <c r="C3080">
        <v>8</v>
      </c>
      <c r="D3080" t="s">
        <v>86</v>
      </c>
      <c r="E3080" t="str">
        <f>VLOOKUP(Tabla1[[#This Row],[Cód. Atributo]],[1]!Tabla5[#Data],6,FALSE)</f>
        <v>Select</v>
      </c>
      <c r="F3080">
        <v>1</v>
      </c>
      <c r="G3080">
        <v>2</v>
      </c>
      <c r="H3080" t="s">
        <v>268</v>
      </c>
      <c r="I3080" t="str">
        <f>VLOOKUP(Tabla1[[#This Row],[Code]],'[1]Articulos Precio'!$A:$E,5,FALSE)</f>
        <v>A0000513</v>
      </c>
    </row>
    <row r="3081" spans="1:9" x14ac:dyDescent="0.25">
      <c r="A3081" t="s">
        <v>1132</v>
      </c>
      <c r="B3081" t="str">
        <f>VLOOKUP(Tabla1[[#This Row],[Code]],[1]!Tabla4[#Data],2,FALSE)</f>
        <v>M2 Metamark MetaScape M7A 110 Negro Brillo 1,22 x 50m</v>
      </c>
      <c r="C3081">
        <v>12</v>
      </c>
      <c r="D3081" t="s">
        <v>1130</v>
      </c>
      <c r="E3081" t="str">
        <f>VLOOKUP(Tabla1[[#This Row],[Cód. Atributo]],[1]!Tabla5[#Data],6,FALSE)</f>
        <v>Color</v>
      </c>
      <c r="F3081">
        <v>2</v>
      </c>
      <c r="G3081">
        <v>2</v>
      </c>
      <c r="H3081" t="s">
        <v>1133</v>
      </c>
      <c r="I3081" t="str">
        <f>VLOOKUP(Tabla1[[#This Row],[Code]],'[1]Articulos Precio'!$A:$E,5,FALSE)</f>
        <v>A0000513</v>
      </c>
    </row>
    <row r="3082" spans="1:9" x14ac:dyDescent="0.25">
      <c r="A3082" t="s">
        <v>1132</v>
      </c>
      <c r="B3082" t="str">
        <f>VLOOKUP(Tabla1[[#This Row],[Code]],[1]!Tabla4[#Data],2,FALSE)</f>
        <v>M2 Metamark MetaScape M7A 110 Negro Brillo 1,22 x 50m</v>
      </c>
      <c r="C3082">
        <v>23</v>
      </c>
      <c r="D3082" t="s">
        <v>90</v>
      </c>
      <c r="E3082" t="str">
        <f>VLOOKUP(Tabla1[[#This Row],[Cód. Atributo]],[1]!Tabla5[#Data],6,FALSE)</f>
        <v>Select</v>
      </c>
      <c r="F3082">
        <v>3</v>
      </c>
      <c r="G3082">
        <v>2</v>
      </c>
      <c r="H3082" t="s">
        <v>136</v>
      </c>
      <c r="I3082" t="str">
        <f>VLOOKUP(Tabla1[[#This Row],[Code]],'[1]Articulos Precio'!$A:$E,5,FALSE)</f>
        <v>A0000513</v>
      </c>
    </row>
    <row r="3083" spans="1:9" x14ac:dyDescent="0.25">
      <c r="A3083" t="s">
        <v>1132</v>
      </c>
      <c r="B3083" t="str">
        <f>VLOOKUP(Tabla1[[#This Row],[Code]],[1]!Tabla4[#Data],2,FALSE)</f>
        <v>M2 Metamark MetaScape M7A 110 Negro Brillo 1,22 x 50m</v>
      </c>
      <c r="C3083">
        <v>28</v>
      </c>
      <c r="D3083" t="s">
        <v>92</v>
      </c>
      <c r="E3083" t="str">
        <f>VLOOKUP(Tabla1[[#This Row],[Cód. Atributo]],[1]!Tabla5[#Data],6,FALSE)</f>
        <v>Select</v>
      </c>
      <c r="F3083">
        <v>4</v>
      </c>
      <c r="G3083">
        <v>1</v>
      </c>
      <c r="H3083" t="s">
        <v>93</v>
      </c>
      <c r="I3083" t="str">
        <f>VLOOKUP(Tabla1[[#This Row],[Code]],'[1]Articulos Precio'!$A:$E,5,FALSE)</f>
        <v>A0000513</v>
      </c>
    </row>
    <row r="3084" spans="1:9" x14ac:dyDescent="0.25">
      <c r="A3084" t="s">
        <v>1132</v>
      </c>
      <c r="B3084" t="str">
        <f>VLOOKUP(Tabla1[[#This Row],[Code]],[1]!Tabla4[#Data],2,FALSE)</f>
        <v>M2 Metamark MetaScape M7A 110 Negro Brillo 1,22 x 50m</v>
      </c>
      <c r="C3084">
        <v>25</v>
      </c>
      <c r="D3084" t="s">
        <v>94</v>
      </c>
      <c r="E3084" t="str">
        <f>VLOOKUP(Tabla1[[#This Row],[Cód. Atributo]],[1]!Tabla5[#Data],6,FALSE)</f>
        <v>Select</v>
      </c>
      <c r="F3084">
        <v>5</v>
      </c>
      <c r="G3084">
        <v>4</v>
      </c>
      <c r="H3084" t="s">
        <v>137</v>
      </c>
      <c r="I3084" t="str">
        <f>VLOOKUP(Tabla1[[#This Row],[Code]],'[1]Articulos Precio'!$A:$E,5,FALSE)</f>
        <v>A0000513</v>
      </c>
    </row>
    <row r="3085" spans="1:9" x14ac:dyDescent="0.25">
      <c r="A3085" t="s">
        <v>1132</v>
      </c>
      <c r="B3085" t="str">
        <f>VLOOKUP(Tabla1[[#This Row],[Code]],[1]!Tabla4[#Data],2,FALSE)</f>
        <v>M2 Metamark MetaScape M7A 110 Negro Brillo 1,22 x 50m</v>
      </c>
      <c r="C3085">
        <v>24</v>
      </c>
      <c r="D3085" t="s">
        <v>96</v>
      </c>
      <c r="E3085" t="str">
        <f>VLOOKUP(Tabla1[[#This Row],[Cód. Atributo]],[1]!Tabla5[#Data],6,FALSE)</f>
        <v>Select</v>
      </c>
      <c r="F3085">
        <v>6</v>
      </c>
      <c r="G3085">
        <v>2</v>
      </c>
      <c r="H3085" t="s">
        <v>266</v>
      </c>
      <c r="I3085" t="str">
        <f>VLOOKUP(Tabla1[[#This Row],[Code]],'[1]Articulos Precio'!$A:$E,5,FALSE)</f>
        <v>A0000513</v>
      </c>
    </row>
    <row r="3086" spans="1:9" x14ac:dyDescent="0.25">
      <c r="A3086" t="s">
        <v>1132</v>
      </c>
      <c r="B3086" t="str">
        <f>VLOOKUP(Tabla1[[#This Row],[Code]],[1]!Tabla4[#Data],2,FALSE)</f>
        <v>M2 Metamark MetaScape M7A 110 Negro Brillo 1,22 x 50m</v>
      </c>
      <c r="C3086">
        <v>37</v>
      </c>
      <c r="D3086" t="s">
        <v>1124</v>
      </c>
      <c r="E3086" t="str">
        <f>VLOOKUP(Tabla1[[#This Row],[Cód. Atributo]],[1]!Tabla5[#Data],6,FALSE)</f>
        <v>Select</v>
      </c>
      <c r="F3086">
        <v>7</v>
      </c>
      <c r="G3086">
        <v>1</v>
      </c>
      <c r="H3086" t="s">
        <v>1125</v>
      </c>
      <c r="I3086" t="str">
        <f>VLOOKUP(Tabla1[[#This Row],[Code]],'[1]Articulos Precio'!$A:$E,5,FALSE)</f>
        <v>A0000513</v>
      </c>
    </row>
    <row r="3087" spans="1:9" x14ac:dyDescent="0.25">
      <c r="A3087" t="s">
        <v>1134</v>
      </c>
      <c r="B3087" t="str">
        <f>VLOOKUP(Tabla1[[#This Row],[Code]],[1]!Tabla4[#Data],2,FALSE)</f>
        <v>M2 Metamark MetaScape M7A 111M Negro Mate 1,22 x 50m</v>
      </c>
      <c r="C3087">
        <v>8</v>
      </c>
      <c r="D3087" t="s">
        <v>86</v>
      </c>
      <c r="E3087" t="str">
        <f>VLOOKUP(Tabla1[[#This Row],[Cód. Atributo]],[1]!Tabla5[#Data],6,FALSE)</f>
        <v>Select</v>
      </c>
      <c r="F3087">
        <v>1</v>
      </c>
      <c r="G3087">
        <v>2</v>
      </c>
      <c r="H3087" t="s">
        <v>268</v>
      </c>
      <c r="I3087" t="str">
        <f>VLOOKUP(Tabla1[[#This Row],[Code]],'[1]Articulos Precio'!$A:$E,5,FALSE)</f>
        <v>A0000513</v>
      </c>
    </row>
    <row r="3088" spans="1:9" x14ac:dyDescent="0.25">
      <c r="A3088" t="s">
        <v>1134</v>
      </c>
      <c r="B3088" t="str">
        <f>VLOOKUP(Tabla1[[#This Row],[Code]],[1]!Tabla4[#Data],2,FALSE)</f>
        <v>M2 Metamark MetaScape M7A 111M Negro Mate 1,22 x 50m</v>
      </c>
      <c r="C3088">
        <v>12</v>
      </c>
      <c r="D3088" t="s">
        <v>1130</v>
      </c>
      <c r="E3088" t="str">
        <f>VLOOKUP(Tabla1[[#This Row],[Cód. Atributo]],[1]!Tabla5[#Data],6,FALSE)</f>
        <v>Color</v>
      </c>
      <c r="F3088">
        <v>2</v>
      </c>
      <c r="G3088">
        <v>3</v>
      </c>
      <c r="H3088" t="s">
        <v>1135</v>
      </c>
      <c r="I3088" t="str">
        <f>VLOOKUP(Tabla1[[#This Row],[Code]],'[1]Articulos Precio'!$A:$E,5,FALSE)</f>
        <v>A0000513</v>
      </c>
    </row>
    <row r="3089" spans="1:9" x14ac:dyDescent="0.25">
      <c r="A3089" t="s">
        <v>1134</v>
      </c>
      <c r="B3089" t="str">
        <f>VLOOKUP(Tabla1[[#This Row],[Code]],[1]!Tabla4[#Data],2,FALSE)</f>
        <v>M2 Metamark MetaScape M7A 111M Negro Mate 1,22 x 50m</v>
      </c>
      <c r="C3089">
        <v>23</v>
      </c>
      <c r="D3089" t="s">
        <v>90</v>
      </c>
      <c r="E3089" t="str">
        <f>VLOOKUP(Tabla1[[#This Row],[Cód. Atributo]],[1]!Tabla5[#Data],6,FALSE)</f>
        <v>Select</v>
      </c>
      <c r="F3089">
        <v>3</v>
      </c>
      <c r="G3089">
        <v>2</v>
      </c>
      <c r="H3089" t="s">
        <v>136</v>
      </c>
      <c r="I3089" t="str">
        <f>VLOOKUP(Tabla1[[#This Row],[Code]],'[1]Articulos Precio'!$A:$E,5,FALSE)</f>
        <v>A0000513</v>
      </c>
    </row>
    <row r="3090" spans="1:9" x14ac:dyDescent="0.25">
      <c r="A3090" t="s">
        <v>1134</v>
      </c>
      <c r="B3090" t="str">
        <f>VLOOKUP(Tabla1[[#This Row],[Code]],[1]!Tabla4[#Data],2,FALSE)</f>
        <v>M2 Metamark MetaScape M7A 111M Negro Mate 1,22 x 50m</v>
      </c>
      <c r="C3090">
        <v>28</v>
      </c>
      <c r="D3090" t="s">
        <v>92</v>
      </c>
      <c r="E3090" t="str">
        <f>VLOOKUP(Tabla1[[#This Row],[Cód. Atributo]],[1]!Tabla5[#Data],6,FALSE)</f>
        <v>Select</v>
      </c>
      <c r="F3090">
        <v>4</v>
      </c>
      <c r="G3090">
        <v>2</v>
      </c>
      <c r="H3090" t="s">
        <v>102</v>
      </c>
      <c r="I3090" t="str">
        <f>VLOOKUP(Tabla1[[#This Row],[Code]],'[1]Articulos Precio'!$A:$E,5,FALSE)</f>
        <v>A0000513</v>
      </c>
    </row>
    <row r="3091" spans="1:9" x14ac:dyDescent="0.25">
      <c r="A3091" t="s">
        <v>1134</v>
      </c>
      <c r="B3091" t="str">
        <f>VLOOKUP(Tabla1[[#This Row],[Code]],[1]!Tabla4[#Data],2,FALSE)</f>
        <v>M2 Metamark MetaScape M7A 111M Negro Mate 1,22 x 50m</v>
      </c>
      <c r="C3091">
        <v>25</v>
      </c>
      <c r="D3091" t="s">
        <v>94</v>
      </c>
      <c r="E3091" t="str">
        <f>VLOOKUP(Tabla1[[#This Row],[Cód. Atributo]],[1]!Tabla5[#Data],6,FALSE)</f>
        <v>Select</v>
      </c>
      <c r="F3091">
        <v>5</v>
      </c>
      <c r="G3091">
        <v>4</v>
      </c>
      <c r="H3091" t="s">
        <v>137</v>
      </c>
      <c r="I3091" t="str">
        <f>VLOOKUP(Tabla1[[#This Row],[Code]],'[1]Articulos Precio'!$A:$E,5,FALSE)</f>
        <v>A0000513</v>
      </c>
    </row>
    <row r="3092" spans="1:9" x14ac:dyDescent="0.25">
      <c r="A3092" t="s">
        <v>1134</v>
      </c>
      <c r="B3092" t="str">
        <f>VLOOKUP(Tabla1[[#This Row],[Code]],[1]!Tabla4[#Data],2,FALSE)</f>
        <v>M2 Metamark MetaScape M7A 111M Negro Mate 1,22 x 50m</v>
      </c>
      <c r="C3092">
        <v>24</v>
      </c>
      <c r="D3092" t="s">
        <v>96</v>
      </c>
      <c r="E3092" t="str">
        <f>VLOOKUP(Tabla1[[#This Row],[Cód. Atributo]],[1]!Tabla5[#Data],6,FALSE)</f>
        <v>Select</v>
      </c>
      <c r="F3092">
        <v>6</v>
      </c>
      <c r="G3092">
        <v>2</v>
      </c>
      <c r="H3092" t="s">
        <v>266</v>
      </c>
      <c r="I3092" t="str">
        <f>VLOOKUP(Tabla1[[#This Row],[Code]],'[1]Articulos Precio'!$A:$E,5,FALSE)</f>
        <v>A0000513</v>
      </c>
    </row>
    <row r="3093" spans="1:9" x14ac:dyDescent="0.25">
      <c r="A3093" t="s">
        <v>1134</v>
      </c>
      <c r="B3093" t="str">
        <f>VLOOKUP(Tabla1[[#This Row],[Code]],[1]!Tabla4[#Data],2,FALSE)</f>
        <v>M2 Metamark MetaScape M7A 111M Negro Mate 1,22 x 50m</v>
      </c>
      <c r="C3093">
        <v>37</v>
      </c>
      <c r="D3093" t="s">
        <v>1124</v>
      </c>
      <c r="E3093" t="str">
        <f>VLOOKUP(Tabla1[[#This Row],[Cód. Atributo]],[1]!Tabla5[#Data],6,FALSE)</f>
        <v>Select</v>
      </c>
      <c r="F3093">
        <v>7</v>
      </c>
      <c r="G3093">
        <v>1</v>
      </c>
      <c r="H3093" t="s">
        <v>1125</v>
      </c>
      <c r="I3093" t="str">
        <f>VLOOKUP(Tabla1[[#This Row],[Code]],'[1]Articulos Precio'!$A:$E,5,FALSE)</f>
        <v>A0000513</v>
      </c>
    </row>
    <row r="3094" spans="1:9" x14ac:dyDescent="0.25">
      <c r="A3094" t="s">
        <v>1136</v>
      </c>
      <c r="B3094" t="str">
        <f>VLOOKUP(Tabla1[[#This Row],[Code]],[1]!Tabla4[#Data],2,FALSE)</f>
        <v>M2 Metamark MetaScape M7A 118 Azul Reflex 0,61 x 50m</v>
      </c>
      <c r="C3094">
        <v>8</v>
      </c>
      <c r="D3094" t="s">
        <v>86</v>
      </c>
      <c r="E3094" t="str">
        <f>VLOOKUP(Tabla1[[#This Row],[Cód. Atributo]],[1]!Tabla5[#Data],6,FALSE)</f>
        <v>Select</v>
      </c>
      <c r="F3094">
        <v>1</v>
      </c>
      <c r="G3094">
        <v>1</v>
      </c>
      <c r="H3094" t="s">
        <v>263</v>
      </c>
      <c r="I3094" t="str">
        <f>VLOOKUP(Tabla1[[#This Row],[Code]],'[1]Articulos Precio'!$A:$E,5,FALSE)</f>
        <v>A0000513</v>
      </c>
    </row>
    <row r="3095" spans="1:9" x14ac:dyDescent="0.25">
      <c r="A3095" t="s">
        <v>1136</v>
      </c>
      <c r="B3095" t="str">
        <f>VLOOKUP(Tabla1[[#This Row],[Code]],[1]!Tabla4[#Data],2,FALSE)</f>
        <v>M2 Metamark MetaScape M7A 118 Azul Reflex 0,61 x 50m</v>
      </c>
      <c r="C3095">
        <v>13</v>
      </c>
      <c r="D3095" t="s">
        <v>491</v>
      </c>
      <c r="E3095" t="str">
        <f>VLOOKUP(Tabla1[[#This Row],[Cód. Atributo]],[1]!Tabla5[#Data],6,FALSE)</f>
        <v>Color</v>
      </c>
      <c r="F3095">
        <v>2</v>
      </c>
      <c r="G3095">
        <v>61</v>
      </c>
      <c r="H3095" t="s">
        <v>522</v>
      </c>
      <c r="I3095" t="str">
        <f>VLOOKUP(Tabla1[[#This Row],[Code]],'[1]Articulos Precio'!$A:$E,5,FALSE)</f>
        <v>A0000513</v>
      </c>
    </row>
    <row r="3096" spans="1:9" x14ac:dyDescent="0.25">
      <c r="A3096" t="s">
        <v>1136</v>
      </c>
      <c r="B3096" t="str">
        <f>VLOOKUP(Tabla1[[#This Row],[Code]],[1]!Tabla4[#Data],2,FALSE)</f>
        <v>M2 Metamark MetaScape M7A 118 Azul Reflex 0,61 x 50m</v>
      </c>
      <c r="C3096">
        <v>23</v>
      </c>
      <c r="D3096" t="s">
        <v>90</v>
      </c>
      <c r="E3096" t="str">
        <f>VLOOKUP(Tabla1[[#This Row],[Cód. Atributo]],[1]!Tabla5[#Data],6,FALSE)</f>
        <v>Select</v>
      </c>
      <c r="F3096">
        <v>3</v>
      </c>
      <c r="G3096">
        <v>2</v>
      </c>
      <c r="H3096" t="s">
        <v>136</v>
      </c>
      <c r="I3096" t="str">
        <f>VLOOKUP(Tabla1[[#This Row],[Code]],'[1]Articulos Precio'!$A:$E,5,FALSE)</f>
        <v>A0000513</v>
      </c>
    </row>
    <row r="3097" spans="1:9" x14ac:dyDescent="0.25">
      <c r="A3097" t="s">
        <v>1136</v>
      </c>
      <c r="B3097" t="str">
        <f>VLOOKUP(Tabla1[[#This Row],[Code]],[1]!Tabla4[#Data],2,FALSE)</f>
        <v>M2 Metamark MetaScape M7A 118 Azul Reflex 0,61 x 50m</v>
      </c>
      <c r="C3097">
        <v>28</v>
      </c>
      <c r="D3097" t="s">
        <v>92</v>
      </c>
      <c r="E3097" t="str">
        <f>VLOOKUP(Tabla1[[#This Row],[Cód. Atributo]],[1]!Tabla5[#Data],6,FALSE)</f>
        <v>Select</v>
      </c>
      <c r="F3097">
        <v>4</v>
      </c>
      <c r="G3097">
        <v>1</v>
      </c>
      <c r="H3097" t="s">
        <v>93</v>
      </c>
      <c r="I3097" t="str">
        <f>VLOOKUP(Tabla1[[#This Row],[Code]],'[1]Articulos Precio'!$A:$E,5,FALSE)</f>
        <v>A0000513</v>
      </c>
    </row>
    <row r="3098" spans="1:9" x14ac:dyDescent="0.25">
      <c r="A3098" t="s">
        <v>1136</v>
      </c>
      <c r="B3098" t="str">
        <f>VLOOKUP(Tabla1[[#This Row],[Code]],[1]!Tabla4[#Data],2,FALSE)</f>
        <v>M2 Metamark MetaScape M7A 118 Azul Reflex 0,61 x 50m</v>
      </c>
      <c r="C3098">
        <v>25</v>
      </c>
      <c r="D3098" t="s">
        <v>94</v>
      </c>
      <c r="E3098" t="str">
        <f>VLOOKUP(Tabla1[[#This Row],[Cód. Atributo]],[1]!Tabla5[#Data],6,FALSE)</f>
        <v>Select</v>
      </c>
      <c r="F3098">
        <v>5</v>
      </c>
      <c r="G3098">
        <v>4</v>
      </c>
      <c r="H3098" t="s">
        <v>137</v>
      </c>
      <c r="I3098" t="str">
        <f>VLOOKUP(Tabla1[[#This Row],[Code]],'[1]Articulos Precio'!$A:$E,5,FALSE)</f>
        <v>A0000513</v>
      </c>
    </row>
    <row r="3099" spans="1:9" x14ac:dyDescent="0.25">
      <c r="A3099" t="s">
        <v>1136</v>
      </c>
      <c r="B3099" t="str">
        <f>VLOOKUP(Tabla1[[#This Row],[Code]],[1]!Tabla4[#Data],2,FALSE)</f>
        <v>M2 Metamark MetaScape M7A 118 Azul Reflex 0,61 x 50m</v>
      </c>
      <c r="C3099">
        <v>24</v>
      </c>
      <c r="D3099" t="s">
        <v>96</v>
      </c>
      <c r="E3099" t="str">
        <f>VLOOKUP(Tabla1[[#This Row],[Cód. Atributo]],[1]!Tabla5[#Data],6,FALSE)</f>
        <v>Select</v>
      </c>
      <c r="F3099">
        <v>6</v>
      </c>
      <c r="G3099">
        <v>2</v>
      </c>
      <c r="H3099" t="s">
        <v>266</v>
      </c>
      <c r="I3099" t="str">
        <f>VLOOKUP(Tabla1[[#This Row],[Code]],'[1]Articulos Precio'!$A:$E,5,FALSE)</f>
        <v>A0000513</v>
      </c>
    </row>
    <row r="3100" spans="1:9" x14ac:dyDescent="0.25">
      <c r="A3100" t="s">
        <v>1137</v>
      </c>
      <c r="B3100" t="str">
        <f>VLOOKUP(Tabla1[[#This Row],[Code]],[1]!Tabla4[#Data],2,FALSE)</f>
        <v>M2 Metamark MetaScape M7A 118 Azul Reflex 1,22 x 50m</v>
      </c>
      <c r="C3100">
        <v>8</v>
      </c>
      <c r="D3100" t="s">
        <v>86</v>
      </c>
      <c r="E3100" t="str">
        <f>VLOOKUP(Tabla1[[#This Row],[Cód. Atributo]],[1]!Tabla5[#Data],6,FALSE)</f>
        <v>Select</v>
      </c>
      <c r="F3100">
        <v>1</v>
      </c>
      <c r="G3100">
        <v>2</v>
      </c>
      <c r="H3100" t="s">
        <v>268</v>
      </c>
      <c r="I3100" t="str">
        <f>VLOOKUP(Tabla1[[#This Row],[Code]],'[1]Articulos Precio'!$A:$E,5,FALSE)</f>
        <v>A0000513</v>
      </c>
    </row>
    <row r="3101" spans="1:9" x14ac:dyDescent="0.25">
      <c r="A3101" t="s">
        <v>1137</v>
      </c>
      <c r="B3101" t="str">
        <f>VLOOKUP(Tabla1[[#This Row],[Code]],[1]!Tabla4[#Data],2,FALSE)</f>
        <v>M2 Metamark MetaScape M7A 118 Azul Reflex 1,22 x 50m</v>
      </c>
      <c r="C3101">
        <v>13</v>
      </c>
      <c r="D3101" t="s">
        <v>491</v>
      </c>
      <c r="E3101" t="str">
        <f>VLOOKUP(Tabla1[[#This Row],[Cód. Atributo]],[1]!Tabla5[#Data],6,FALSE)</f>
        <v>Color</v>
      </c>
      <c r="F3101">
        <v>2</v>
      </c>
      <c r="G3101">
        <v>61</v>
      </c>
      <c r="H3101" t="s">
        <v>522</v>
      </c>
      <c r="I3101" t="str">
        <f>VLOOKUP(Tabla1[[#This Row],[Code]],'[1]Articulos Precio'!$A:$E,5,FALSE)</f>
        <v>A0000513</v>
      </c>
    </row>
    <row r="3102" spans="1:9" x14ac:dyDescent="0.25">
      <c r="A3102" t="s">
        <v>1137</v>
      </c>
      <c r="B3102" t="str">
        <f>VLOOKUP(Tabla1[[#This Row],[Code]],[1]!Tabla4[#Data],2,FALSE)</f>
        <v>M2 Metamark MetaScape M7A 118 Azul Reflex 1,22 x 50m</v>
      </c>
      <c r="C3102">
        <v>23</v>
      </c>
      <c r="D3102" t="s">
        <v>90</v>
      </c>
      <c r="E3102" t="str">
        <f>VLOOKUP(Tabla1[[#This Row],[Cód. Atributo]],[1]!Tabla5[#Data],6,FALSE)</f>
        <v>Select</v>
      </c>
      <c r="F3102">
        <v>3</v>
      </c>
      <c r="G3102">
        <v>2</v>
      </c>
      <c r="H3102" t="s">
        <v>136</v>
      </c>
      <c r="I3102" t="str">
        <f>VLOOKUP(Tabla1[[#This Row],[Code]],'[1]Articulos Precio'!$A:$E,5,FALSE)</f>
        <v>A0000513</v>
      </c>
    </row>
    <row r="3103" spans="1:9" x14ac:dyDescent="0.25">
      <c r="A3103" t="s">
        <v>1137</v>
      </c>
      <c r="B3103" t="str">
        <f>VLOOKUP(Tabla1[[#This Row],[Code]],[1]!Tabla4[#Data],2,FALSE)</f>
        <v>M2 Metamark MetaScape M7A 118 Azul Reflex 1,22 x 50m</v>
      </c>
      <c r="C3103">
        <v>28</v>
      </c>
      <c r="D3103" t="s">
        <v>92</v>
      </c>
      <c r="E3103" t="str">
        <f>VLOOKUP(Tabla1[[#This Row],[Cód. Atributo]],[1]!Tabla5[#Data],6,FALSE)</f>
        <v>Select</v>
      </c>
      <c r="F3103">
        <v>4</v>
      </c>
      <c r="G3103">
        <v>1</v>
      </c>
      <c r="H3103" t="s">
        <v>93</v>
      </c>
      <c r="I3103" t="str">
        <f>VLOOKUP(Tabla1[[#This Row],[Code]],'[1]Articulos Precio'!$A:$E,5,FALSE)</f>
        <v>A0000513</v>
      </c>
    </row>
    <row r="3104" spans="1:9" x14ac:dyDescent="0.25">
      <c r="A3104" t="s">
        <v>1137</v>
      </c>
      <c r="B3104" t="str">
        <f>VLOOKUP(Tabla1[[#This Row],[Code]],[1]!Tabla4[#Data],2,FALSE)</f>
        <v>M2 Metamark MetaScape M7A 118 Azul Reflex 1,22 x 50m</v>
      </c>
      <c r="C3104">
        <v>25</v>
      </c>
      <c r="D3104" t="s">
        <v>94</v>
      </c>
      <c r="E3104" t="str">
        <f>VLOOKUP(Tabla1[[#This Row],[Cód. Atributo]],[1]!Tabla5[#Data],6,FALSE)</f>
        <v>Select</v>
      </c>
      <c r="F3104">
        <v>5</v>
      </c>
      <c r="G3104">
        <v>4</v>
      </c>
      <c r="H3104" t="s">
        <v>137</v>
      </c>
      <c r="I3104" t="str">
        <f>VLOOKUP(Tabla1[[#This Row],[Code]],'[1]Articulos Precio'!$A:$E,5,FALSE)</f>
        <v>A0000513</v>
      </c>
    </row>
    <row r="3105" spans="1:9" x14ac:dyDescent="0.25">
      <c r="A3105" t="s">
        <v>1137</v>
      </c>
      <c r="B3105" t="str">
        <f>VLOOKUP(Tabla1[[#This Row],[Code]],[1]!Tabla4[#Data],2,FALSE)</f>
        <v>M2 Metamark MetaScape M7A 118 Azul Reflex 1,22 x 50m</v>
      </c>
      <c r="C3105">
        <v>24</v>
      </c>
      <c r="D3105" t="s">
        <v>96</v>
      </c>
      <c r="E3105" t="str">
        <f>VLOOKUP(Tabla1[[#This Row],[Cód. Atributo]],[1]!Tabla5[#Data],6,FALSE)</f>
        <v>Select</v>
      </c>
      <c r="F3105">
        <v>6</v>
      </c>
      <c r="G3105">
        <v>2</v>
      </c>
      <c r="H3105" t="s">
        <v>266</v>
      </c>
      <c r="I3105" t="str">
        <f>VLOOKUP(Tabla1[[#This Row],[Code]],'[1]Articulos Precio'!$A:$E,5,FALSE)</f>
        <v>A0000513</v>
      </c>
    </row>
    <row r="3106" spans="1:9" x14ac:dyDescent="0.25">
      <c r="A3106" t="s">
        <v>1138</v>
      </c>
      <c r="B3106" t="str">
        <f>VLOOKUP(Tabla1[[#This Row],[Code]],[1]!Tabla4[#Data],2,FALSE)</f>
        <v>M2 Metamark MetaScape M7A 125 Gris Nimbo 1,22 x 50m</v>
      </c>
      <c r="C3106">
        <v>8</v>
      </c>
      <c r="D3106" t="s">
        <v>86</v>
      </c>
      <c r="E3106" t="str">
        <f>VLOOKUP(Tabla1[[#This Row],[Cód. Atributo]],[1]!Tabla5[#Data],6,FALSE)</f>
        <v>Select</v>
      </c>
      <c r="F3106">
        <v>1</v>
      </c>
      <c r="G3106">
        <v>2</v>
      </c>
      <c r="H3106" t="s">
        <v>268</v>
      </c>
      <c r="I3106" t="str">
        <f>VLOOKUP(Tabla1[[#This Row],[Code]],'[1]Articulos Precio'!$A:$E,5,FALSE)</f>
        <v>A0000513</v>
      </c>
    </row>
    <row r="3107" spans="1:9" x14ac:dyDescent="0.25">
      <c r="A3107" t="s">
        <v>1138</v>
      </c>
      <c r="B3107" t="str">
        <f>VLOOKUP(Tabla1[[#This Row],[Code]],[1]!Tabla4[#Data],2,FALSE)</f>
        <v>M2 Metamark MetaScape M7A 125 Gris Nimbo 1,22 x 50m</v>
      </c>
      <c r="C3107">
        <v>12</v>
      </c>
      <c r="D3107" t="s">
        <v>1130</v>
      </c>
      <c r="E3107" t="str">
        <f>VLOOKUP(Tabla1[[#This Row],[Cód. Atributo]],[1]!Tabla5[#Data],6,FALSE)</f>
        <v>Color</v>
      </c>
      <c r="F3107">
        <v>2</v>
      </c>
      <c r="G3107">
        <v>4</v>
      </c>
      <c r="H3107" t="s">
        <v>1139</v>
      </c>
      <c r="I3107" t="str">
        <f>VLOOKUP(Tabla1[[#This Row],[Code]],'[1]Articulos Precio'!$A:$E,5,FALSE)</f>
        <v>A0000513</v>
      </c>
    </row>
    <row r="3108" spans="1:9" x14ac:dyDescent="0.25">
      <c r="A3108" t="s">
        <v>1138</v>
      </c>
      <c r="B3108" t="str">
        <f>VLOOKUP(Tabla1[[#This Row],[Code]],[1]!Tabla4[#Data],2,FALSE)</f>
        <v>M2 Metamark MetaScape M7A 125 Gris Nimbo 1,22 x 50m</v>
      </c>
      <c r="C3108">
        <v>23</v>
      </c>
      <c r="D3108" t="s">
        <v>90</v>
      </c>
      <c r="E3108" t="str">
        <f>VLOOKUP(Tabla1[[#This Row],[Cód. Atributo]],[1]!Tabla5[#Data],6,FALSE)</f>
        <v>Select</v>
      </c>
      <c r="F3108">
        <v>3</v>
      </c>
      <c r="G3108">
        <v>2</v>
      </c>
      <c r="H3108" t="s">
        <v>136</v>
      </c>
      <c r="I3108" t="str">
        <f>VLOOKUP(Tabla1[[#This Row],[Code]],'[1]Articulos Precio'!$A:$E,5,FALSE)</f>
        <v>A0000513</v>
      </c>
    </row>
    <row r="3109" spans="1:9" x14ac:dyDescent="0.25">
      <c r="A3109" t="s">
        <v>1138</v>
      </c>
      <c r="B3109" t="str">
        <f>VLOOKUP(Tabla1[[#This Row],[Code]],[1]!Tabla4[#Data],2,FALSE)</f>
        <v>M2 Metamark MetaScape M7A 125 Gris Nimbo 1,22 x 50m</v>
      </c>
      <c r="C3109">
        <v>28</v>
      </c>
      <c r="D3109" t="s">
        <v>92</v>
      </c>
      <c r="E3109" t="str">
        <f>VLOOKUP(Tabla1[[#This Row],[Cód. Atributo]],[1]!Tabla5[#Data],6,FALSE)</f>
        <v>Select</v>
      </c>
      <c r="F3109">
        <v>4</v>
      </c>
      <c r="G3109">
        <v>1</v>
      </c>
      <c r="H3109" t="s">
        <v>93</v>
      </c>
      <c r="I3109" t="str">
        <f>VLOOKUP(Tabla1[[#This Row],[Code]],'[1]Articulos Precio'!$A:$E,5,FALSE)</f>
        <v>A0000513</v>
      </c>
    </row>
    <row r="3110" spans="1:9" x14ac:dyDescent="0.25">
      <c r="A3110" t="s">
        <v>1138</v>
      </c>
      <c r="B3110" t="str">
        <f>VLOOKUP(Tabla1[[#This Row],[Code]],[1]!Tabla4[#Data],2,FALSE)</f>
        <v>M2 Metamark MetaScape M7A 125 Gris Nimbo 1,22 x 50m</v>
      </c>
      <c r="C3110">
        <v>25</v>
      </c>
      <c r="D3110" t="s">
        <v>94</v>
      </c>
      <c r="E3110" t="str">
        <f>VLOOKUP(Tabla1[[#This Row],[Cód. Atributo]],[1]!Tabla5[#Data],6,FALSE)</f>
        <v>Select</v>
      </c>
      <c r="F3110">
        <v>5</v>
      </c>
      <c r="G3110">
        <v>4</v>
      </c>
      <c r="H3110" t="s">
        <v>137</v>
      </c>
      <c r="I3110" t="str">
        <f>VLOOKUP(Tabla1[[#This Row],[Code]],'[1]Articulos Precio'!$A:$E,5,FALSE)</f>
        <v>A0000513</v>
      </c>
    </row>
    <row r="3111" spans="1:9" x14ac:dyDescent="0.25">
      <c r="A3111" t="s">
        <v>1138</v>
      </c>
      <c r="B3111" t="str">
        <f>VLOOKUP(Tabla1[[#This Row],[Code]],[1]!Tabla4[#Data],2,FALSE)</f>
        <v>M2 Metamark MetaScape M7A 125 Gris Nimbo 1,22 x 50m</v>
      </c>
      <c r="C3111">
        <v>24</v>
      </c>
      <c r="D3111" t="s">
        <v>96</v>
      </c>
      <c r="E3111" t="str">
        <f>VLOOKUP(Tabla1[[#This Row],[Cód. Atributo]],[1]!Tabla5[#Data],6,FALSE)</f>
        <v>Select</v>
      </c>
      <c r="F3111">
        <v>6</v>
      </c>
      <c r="G3111">
        <v>2</v>
      </c>
      <c r="H3111" t="s">
        <v>266</v>
      </c>
      <c r="I3111" t="str">
        <f>VLOOKUP(Tabla1[[#This Row],[Code]],'[1]Articulos Precio'!$A:$E,5,FALSE)</f>
        <v>A0000513</v>
      </c>
    </row>
    <row r="3112" spans="1:9" x14ac:dyDescent="0.25">
      <c r="A3112" t="s">
        <v>1138</v>
      </c>
      <c r="B3112" t="str">
        <f>VLOOKUP(Tabla1[[#This Row],[Code]],[1]!Tabla4[#Data],2,FALSE)</f>
        <v>M2 Metamark MetaScape M7A 125 Gris Nimbo 1,22 x 50m</v>
      </c>
      <c r="C3112">
        <v>37</v>
      </c>
      <c r="D3112" t="s">
        <v>1124</v>
      </c>
      <c r="E3112" t="str">
        <f>VLOOKUP(Tabla1[[#This Row],[Cód. Atributo]],[1]!Tabla5[#Data],6,FALSE)</f>
        <v>Select</v>
      </c>
      <c r="F3112">
        <v>7</v>
      </c>
      <c r="G3112">
        <v>1</v>
      </c>
      <c r="H3112" t="s">
        <v>1125</v>
      </c>
      <c r="I3112" t="str">
        <f>VLOOKUP(Tabla1[[#This Row],[Code]],'[1]Articulos Precio'!$A:$E,5,FALSE)</f>
        <v>A0000513</v>
      </c>
    </row>
    <row r="3113" spans="1:9" x14ac:dyDescent="0.25">
      <c r="A3113" t="s">
        <v>1140</v>
      </c>
      <c r="B3113" t="str">
        <f>VLOOKUP(Tabla1[[#This Row],[Code]],[1]!Tabla4[#Data],2,FALSE)</f>
        <v>M2 Metamark MetaScape M7A 131 Amarillo Girasol 1,22 x 50m</v>
      </c>
      <c r="C3113">
        <v>8</v>
      </c>
      <c r="D3113" t="s">
        <v>86</v>
      </c>
      <c r="E3113" t="str">
        <f>VLOOKUP(Tabla1[[#This Row],[Cód. Atributo]],[1]!Tabla5[#Data],6,FALSE)</f>
        <v>Select</v>
      </c>
      <c r="F3113">
        <v>1</v>
      </c>
      <c r="G3113">
        <v>2</v>
      </c>
      <c r="H3113" t="s">
        <v>268</v>
      </c>
      <c r="I3113" t="str">
        <f>VLOOKUP(Tabla1[[#This Row],[Code]],'[1]Articulos Precio'!$A:$E,5,FALSE)</f>
        <v>A0000513</v>
      </c>
    </row>
    <row r="3114" spans="1:9" x14ac:dyDescent="0.25">
      <c r="A3114" t="s">
        <v>1140</v>
      </c>
      <c r="B3114" t="str">
        <f>VLOOKUP(Tabla1[[#This Row],[Code]],[1]!Tabla4[#Data],2,FALSE)</f>
        <v>M2 Metamark MetaScape M7A 131 Amarillo Girasol 1,22 x 50m</v>
      </c>
      <c r="C3114">
        <v>12</v>
      </c>
      <c r="D3114" t="s">
        <v>1130</v>
      </c>
      <c r="E3114" t="str">
        <f>VLOOKUP(Tabla1[[#This Row],[Cód. Atributo]],[1]!Tabla5[#Data],6,FALSE)</f>
        <v>Color</v>
      </c>
      <c r="F3114">
        <v>2</v>
      </c>
      <c r="G3114">
        <v>5</v>
      </c>
      <c r="H3114" t="s">
        <v>1141</v>
      </c>
      <c r="I3114" t="str">
        <f>VLOOKUP(Tabla1[[#This Row],[Code]],'[1]Articulos Precio'!$A:$E,5,FALSE)</f>
        <v>A0000513</v>
      </c>
    </row>
    <row r="3115" spans="1:9" x14ac:dyDescent="0.25">
      <c r="A3115" t="s">
        <v>1140</v>
      </c>
      <c r="B3115" t="str">
        <f>VLOOKUP(Tabla1[[#This Row],[Code]],[1]!Tabla4[#Data],2,FALSE)</f>
        <v>M2 Metamark MetaScape M7A 131 Amarillo Girasol 1,22 x 50m</v>
      </c>
      <c r="C3115">
        <v>23</v>
      </c>
      <c r="D3115" t="s">
        <v>90</v>
      </c>
      <c r="E3115" t="str">
        <f>VLOOKUP(Tabla1[[#This Row],[Cód. Atributo]],[1]!Tabla5[#Data],6,FALSE)</f>
        <v>Select</v>
      </c>
      <c r="F3115">
        <v>3</v>
      </c>
      <c r="G3115">
        <v>2</v>
      </c>
      <c r="H3115" t="s">
        <v>136</v>
      </c>
      <c r="I3115" t="str">
        <f>VLOOKUP(Tabla1[[#This Row],[Code]],'[1]Articulos Precio'!$A:$E,5,FALSE)</f>
        <v>A0000513</v>
      </c>
    </row>
    <row r="3116" spans="1:9" x14ac:dyDescent="0.25">
      <c r="A3116" t="s">
        <v>1140</v>
      </c>
      <c r="B3116" t="str">
        <f>VLOOKUP(Tabla1[[#This Row],[Code]],[1]!Tabla4[#Data],2,FALSE)</f>
        <v>M2 Metamark MetaScape M7A 131 Amarillo Girasol 1,22 x 50m</v>
      </c>
      <c r="C3116">
        <v>28</v>
      </c>
      <c r="D3116" t="s">
        <v>92</v>
      </c>
      <c r="E3116" t="str">
        <f>VLOOKUP(Tabla1[[#This Row],[Cód. Atributo]],[1]!Tabla5[#Data],6,FALSE)</f>
        <v>Select</v>
      </c>
      <c r="F3116">
        <v>4</v>
      </c>
      <c r="G3116">
        <v>1</v>
      </c>
      <c r="H3116" t="s">
        <v>93</v>
      </c>
      <c r="I3116" t="str">
        <f>VLOOKUP(Tabla1[[#This Row],[Code]],'[1]Articulos Precio'!$A:$E,5,FALSE)</f>
        <v>A0000513</v>
      </c>
    </row>
    <row r="3117" spans="1:9" x14ac:dyDescent="0.25">
      <c r="A3117" t="s">
        <v>1140</v>
      </c>
      <c r="B3117" t="str">
        <f>VLOOKUP(Tabla1[[#This Row],[Code]],[1]!Tabla4[#Data],2,FALSE)</f>
        <v>M2 Metamark MetaScape M7A 131 Amarillo Girasol 1,22 x 50m</v>
      </c>
      <c r="C3117">
        <v>25</v>
      </c>
      <c r="D3117" t="s">
        <v>94</v>
      </c>
      <c r="E3117" t="str">
        <f>VLOOKUP(Tabla1[[#This Row],[Cód. Atributo]],[1]!Tabla5[#Data],6,FALSE)</f>
        <v>Select</v>
      </c>
      <c r="F3117">
        <v>5</v>
      </c>
      <c r="G3117">
        <v>4</v>
      </c>
      <c r="H3117" t="s">
        <v>137</v>
      </c>
      <c r="I3117" t="str">
        <f>VLOOKUP(Tabla1[[#This Row],[Code]],'[1]Articulos Precio'!$A:$E,5,FALSE)</f>
        <v>A0000513</v>
      </c>
    </row>
    <row r="3118" spans="1:9" x14ac:dyDescent="0.25">
      <c r="A3118" t="s">
        <v>1140</v>
      </c>
      <c r="B3118" t="str">
        <f>VLOOKUP(Tabla1[[#This Row],[Code]],[1]!Tabla4[#Data],2,FALSE)</f>
        <v>M2 Metamark MetaScape M7A 131 Amarillo Girasol 1,22 x 50m</v>
      </c>
      <c r="C3118">
        <v>24</v>
      </c>
      <c r="D3118" t="s">
        <v>96</v>
      </c>
      <c r="E3118" t="str">
        <f>VLOOKUP(Tabla1[[#This Row],[Cód. Atributo]],[1]!Tabla5[#Data],6,FALSE)</f>
        <v>Select</v>
      </c>
      <c r="F3118">
        <v>6</v>
      </c>
      <c r="G3118">
        <v>2</v>
      </c>
      <c r="H3118" t="s">
        <v>266</v>
      </c>
      <c r="I3118" t="str">
        <f>VLOOKUP(Tabla1[[#This Row],[Code]],'[1]Articulos Precio'!$A:$E,5,FALSE)</f>
        <v>A0000513</v>
      </c>
    </row>
    <row r="3119" spans="1:9" x14ac:dyDescent="0.25">
      <c r="A3119" t="s">
        <v>1140</v>
      </c>
      <c r="B3119" t="str">
        <f>VLOOKUP(Tabla1[[#This Row],[Code]],[1]!Tabla4[#Data],2,FALSE)</f>
        <v>M2 Metamark MetaScape M7A 131 Amarillo Girasol 1,22 x 50m</v>
      </c>
      <c r="C3119">
        <v>37</v>
      </c>
      <c r="D3119" t="s">
        <v>1124</v>
      </c>
      <c r="E3119" t="str">
        <f>VLOOKUP(Tabla1[[#This Row],[Cód. Atributo]],[1]!Tabla5[#Data],6,FALSE)</f>
        <v>Select</v>
      </c>
      <c r="F3119">
        <v>7</v>
      </c>
      <c r="G3119">
        <v>1</v>
      </c>
      <c r="H3119" t="s">
        <v>1125</v>
      </c>
      <c r="I3119" t="str">
        <f>VLOOKUP(Tabla1[[#This Row],[Code]],'[1]Articulos Precio'!$A:$E,5,FALSE)</f>
        <v>A0000513</v>
      </c>
    </row>
    <row r="3120" spans="1:9" x14ac:dyDescent="0.25">
      <c r="A3120" t="s">
        <v>1142</v>
      </c>
      <c r="B3120" t="str">
        <f>VLOOKUP(Tabla1[[#This Row],[Code]],[1]!Tabla4[#Data],2,FALSE)</f>
        <v>M2 Metamark MetaScape M7A 133 Naranja 1,22 x 50m</v>
      </c>
      <c r="C3120">
        <v>8</v>
      </c>
      <c r="D3120" t="s">
        <v>86</v>
      </c>
      <c r="E3120" t="str">
        <f>VLOOKUP(Tabla1[[#This Row],[Cód. Atributo]],[1]!Tabla5[#Data],6,FALSE)</f>
        <v>Select</v>
      </c>
      <c r="F3120">
        <v>1</v>
      </c>
      <c r="G3120">
        <v>2</v>
      </c>
      <c r="H3120" t="s">
        <v>268</v>
      </c>
      <c r="I3120" t="str">
        <f>VLOOKUP(Tabla1[[#This Row],[Code]],'[1]Articulos Precio'!$A:$E,5,FALSE)</f>
        <v>A0000513</v>
      </c>
    </row>
    <row r="3121" spans="1:9" x14ac:dyDescent="0.25">
      <c r="A3121" t="s">
        <v>1142</v>
      </c>
      <c r="B3121" t="str">
        <f>VLOOKUP(Tabla1[[#This Row],[Code]],[1]!Tabla4[#Data],2,FALSE)</f>
        <v>M2 Metamark MetaScape M7A 133 Naranja 1,22 x 50m</v>
      </c>
      <c r="C3121">
        <v>12</v>
      </c>
      <c r="D3121" t="s">
        <v>1130</v>
      </c>
      <c r="E3121" t="str">
        <f>VLOOKUP(Tabla1[[#This Row],[Cód. Atributo]],[1]!Tabla5[#Data],6,FALSE)</f>
        <v>Color</v>
      </c>
      <c r="F3121">
        <v>2</v>
      </c>
      <c r="G3121">
        <v>6</v>
      </c>
      <c r="H3121" t="s">
        <v>1143</v>
      </c>
      <c r="I3121" t="str">
        <f>VLOOKUP(Tabla1[[#This Row],[Code]],'[1]Articulos Precio'!$A:$E,5,FALSE)</f>
        <v>A0000513</v>
      </c>
    </row>
    <row r="3122" spans="1:9" x14ac:dyDescent="0.25">
      <c r="A3122" t="s">
        <v>1142</v>
      </c>
      <c r="B3122" t="str">
        <f>VLOOKUP(Tabla1[[#This Row],[Code]],[1]!Tabla4[#Data],2,FALSE)</f>
        <v>M2 Metamark MetaScape M7A 133 Naranja 1,22 x 50m</v>
      </c>
      <c r="C3122">
        <v>23</v>
      </c>
      <c r="D3122" t="s">
        <v>90</v>
      </c>
      <c r="E3122" t="str">
        <f>VLOOKUP(Tabla1[[#This Row],[Cód. Atributo]],[1]!Tabla5[#Data],6,FALSE)</f>
        <v>Select</v>
      </c>
      <c r="F3122">
        <v>3</v>
      </c>
      <c r="G3122">
        <v>2</v>
      </c>
      <c r="H3122" t="s">
        <v>136</v>
      </c>
      <c r="I3122" t="str">
        <f>VLOOKUP(Tabla1[[#This Row],[Code]],'[1]Articulos Precio'!$A:$E,5,FALSE)</f>
        <v>A0000513</v>
      </c>
    </row>
    <row r="3123" spans="1:9" x14ac:dyDescent="0.25">
      <c r="A3123" t="s">
        <v>1142</v>
      </c>
      <c r="B3123" t="str">
        <f>VLOOKUP(Tabla1[[#This Row],[Code]],[1]!Tabla4[#Data],2,FALSE)</f>
        <v>M2 Metamark MetaScape M7A 133 Naranja 1,22 x 50m</v>
      </c>
      <c r="C3123">
        <v>28</v>
      </c>
      <c r="D3123" t="s">
        <v>92</v>
      </c>
      <c r="E3123" t="str">
        <f>VLOOKUP(Tabla1[[#This Row],[Cód. Atributo]],[1]!Tabla5[#Data],6,FALSE)</f>
        <v>Select</v>
      </c>
      <c r="F3123">
        <v>4</v>
      </c>
      <c r="G3123">
        <v>1</v>
      </c>
      <c r="H3123" t="s">
        <v>93</v>
      </c>
      <c r="I3123" t="str">
        <f>VLOOKUP(Tabla1[[#This Row],[Code]],'[1]Articulos Precio'!$A:$E,5,FALSE)</f>
        <v>A0000513</v>
      </c>
    </row>
    <row r="3124" spans="1:9" x14ac:dyDescent="0.25">
      <c r="A3124" t="s">
        <v>1142</v>
      </c>
      <c r="B3124" t="str">
        <f>VLOOKUP(Tabla1[[#This Row],[Code]],[1]!Tabla4[#Data],2,FALSE)</f>
        <v>M2 Metamark MetaScape M7A 133 Naranja 1,22 x 50m</v>
      </c>
      <c r="C3124">
        <v>25</v>
      </c>
      <c r="D3124" t="s">
        <v>94</v>
      </c>
      <c r="E3124" t="str">
        <f>VLOOKUP(Tabla1[[#This Row],[Cód. Atributo]],[1]!Tabla5[#Data],6,FALSE)</f>
        <v>Select</v>
      </c>
      <c r="F3124">
        <v>5</v>
      </c>
      <c r="G3124">
        <v>4</v>
      </c>
      <c r="H3124" t="s">
        <v>137</v>
      </c>
      <c r="I3124" t="str">
        <f>VLOOKUP(Tabla1[[#This Row],[Code]],'[1]Articulos Precio'!$A:$E,5,FALSE)</f>
        <v>A0000513</v>
      </c>
    </row>
    <row r="3125" spans="1:9" x14ac:dyDescent="0.25">
      <c r="A3125" t="s">
        <v>1142</v>
      </c>
      <c r="B3125" t="str">
        <f>VLOOKUP(Tabla1[[#This Row],[Code]],[1]!Tabla4[#Data],2,FALSE)</f>
        <v>M2 Metamark MetaScape M7A 133 Naranja 1,22 x 50m</v>
      </c>
      <c r="C3125">
        <v>24</v>
      </c>
      <c r="D3125" t="s">
        <v>96</v>
      </c>
      <c r="E3125" t="str">
        <f>VLOOKUP(Tabla1[[#This Row],[Cód. Atributo]],[1]!Tabla5[#Data],6,FALSE)</f>
        <v>Select</v>
      </c>
      <c r="F3125">
        <v>6</v>
      </c>
      <c r="G3125">
        <v>2</v>
      </c>
      <c r="H3125" t="s">
        <v>266</v>
      </c>
      <c r="I3125" t="str">
        <f>VLOOKUP(Tabla1[[#This Row],[Code]],'[1]Articulos Precio'!$A:$E,5,FALSE)</f>
        <v>A0000513</v>
      </c>
    </row>
    <row r="3126" spans="1:9" x14ac:dyDescent="0.25">
      <c r="A3126" t="s">
        <v>1142</v>
      </c>
      <c r="B3126" t="str">
        <f>VLOOKUP(Tabla1[[#This Row],[Code]],[1]!Tabla4[#Data],2,FALSE)</f>
        <v>M2 Metamark MetaScape M7A 133 Naranja 1,22 x 50m</v>
      </c>
      <c r="C3126">
        <v>37</v>
      </c>
      <c r="D3126" t="s">
        <v>1124</v>
      </c>
      <c r="E3126" t="str">
        <f>VLOOKUP(Tabla1[[#This Row],[Cód. Atributo]],[1]!Tabla5[#Data],6,FALSE)</f>
        <v>Select</v>
      </c>
      <c r="F3126">
        <v>7</v>
      </c>
      <c r="G3126">
        <v>1</v>
      </c>
      <c r="H3126" t="s">
        <v>1125</v>
      </c>
      <c r="I3126" t="str">
        <f>VLOOKUP(Tabla1[[#This Row],[Code]],'[1]Articulos Precio'!$A:$E,5,FALSE)</f>
        <v>A0000513</v>
      </c>
    </row>
    <row r="3127" spans="1:9" x14ac:dyDescent="0.25">
      <c r="A3127" t="s">
        <v>1144</v>
      </c>
      <c r="B3127" t="str">
        <f>VLOOKUP(Tabla1[[#This Row],[Code]],[1]!Tabla4[#Data],2,FALSE)</f>
        <v>M2 Metamark MetaScape M7A 135 Albaricoque 1,22 x 50m</v>
      </c>
      <c r="C3127">
        <v>8</v>
      </c>
      <c r="D3127" t="s">
        <v>86</v>
      </c>
      <c r="E3127" t="str">
        <f>VLOOKUP(Tabla1[[#This Row],[Cód. Atributo]],[1]!Tabla5[#Data],6,FALSE)</f>
        <v>Select</v>
      </c>
      <c r="F3127">
        <v>1</v>
      </c>
      <c r="G3127">
        <v>2</v>
      </c>
      <c r="H3127" t="s">
        <v>268</v>
      </c>
      <c r="I3127" t="str">
        <f>VLOOKUP(Tabla1[[#This Row],[Code]],'[1]Articulos Precio'!$A:$E,5,FALSE)</f>
        <v>A0000513</v>
      </c>
    </row>
    <row r="3128" spans="1:9" x14ac:dyDescent="0.25">
      <c r="A3128" t="s">
        <v>1144</v>
      </c>
      <c r="B3128" t="str">
        <f>VLOOKUP(Tabla1[[#This Row],[Code]],[1]!Tabla4[#Data],2,FALSE)</f>
        <v>M2 Metamark MetaScape M7A 135 Albaricoque 1,22 x 50m</v>
      </c>
      <c r="C3128">
        <v>13</v>
      </c>
      <c r="D3128" t="s">
        <v>491</v>
      </c>
      <c r="E3128" t="str">
        <f>VLOOKUP(Tabla1[[#This Row],[Cód. Atributo]],[1]!Tabla5[#Data],6,FALSE)</f>
        <v>Color</v>
      </c>
      <c r="F3128">
        <v>2</v>
      </c>
      <c r="G3128">
        <v>67</v>
      </c>
      <c r="H3128" t="s">
        <v>567</v>
      </c>
      <c r="I3128" t="str">
        <f>VLOOKUP(Tabla1[[#This Row],[Code]],'[1]Articulos Precio'!$A:$E,5,FALSE)</f>
        <v>A0000513</v>
      </c>
    </row>
    <row r="3129" spans="1:9" x14ac:dyDescent="0.25">
      <c r="A3129" t="s">
        <v>1144</v>
      </c>
      <c r="B3129" t="str">
        <f>VLOOKUP(Tabla1[[#This Row],[Code]],[1]!Tabla4[#Data],2,FALSE)</f>
        <v>M2 Metamark MetaScape M7A 135 Albaricoque 1,22 x 50m</v>
      </c>
      <c r="C3129">
        <v>23</v>
      </c>
      <c r="D3129" t="s">
        <v>90</v>
      </c>
      <c r="E3129" t="str">
        <f>VLOOKUP(Tabla1[[#This Row],[Cód. Atributo]],[1]!Tabla5[#Data],6,FALSE)</f>
        <v>Select</v>
      </c>
      <c r="F3129">
        <v>3</v>
      </c>
      <c r="G3129">
        <v>2</v>
      </c>
      <c r="H3129" t="s">
        <v>136</v>
      </c>
      <c r="I3129" t="str">
        <f>VLOOKUP(Tabla1[[#This Row],[Code]],'[1]Articulos Precio'!$A:$E,5,FALSE)</f>
        <v>A0000513</v>
      </c>
    </row>
    <row r="3130" spans="1:9" x14ac:dyDescent="0.25">
      <c r="A3130" t="s">
        <v>1144</v>
      </c>
      <c r="B3130" t="str">
        <f>VLOOKUP(Tabla1[[#This Row],[Code]],[1]!Tabla4[#Data],2,FALSE)</f>
        <v>M2 Metamark MetaScape M7A 135 Albaricoque 1,22 x 50m</v>
      </c>
      <c r="C3130">
        <v>28</v>
      </c>
      <c r="D3130" t="s">
        <v>92</v>
      </c>
      <c r="E3130" t="str">
        <f>VLOOKUP(Tabla1[[#This Row],[Cód. Atributo]],[1]!Tabla5[#Data],6,FALSE)</f>
        <v>Select</v>
      </c>
      <c r="F3130">
        <v>4</v>
      </c>
      <c r="G3130">
        <v>1</v>
      </c>
      <c r="H3130" t="s">
        <v>93</v>
      </c>
      <c r="I3130" t="str">
        <f>VLOOKUP(Tabla1[[#This Row],[Code]],'[1]Articulos Precio'!$A:$E,5,FALSE)</f>
        <v>A0000513</v>
      </c>
    </row>
    <row r="3131" spans="1:9" x14ac:dyDescent="0.25">
      <c r="A3131" t="s">
        <v>1144</v>
      </c>
      <c r="B3131" t="str">
        <f>VLOOKUP(Tabla1[[#This Row],[Code]],[1]!Tabla4[#Data],2,FALSE)</f>
        <v>M2 Metamark MetaScape M7A 135 Albaricoque 1,22 x 50m</v>
      </c>
      <c r="C3131">
        <v>25</v>
      </c>
      <c r="D3131" t="s">
        <v>94</v>
      </c>
      <c r="E3131" t="str">
        <f>VLOOKUP(Tabla1[[#This Row],[Cód. Atributo]],[1]!Tabla5[#Data],6,FALSE)</f>
        <v>Select</v>
      </c>
      <c r="F3131">
        <v>5</v>
      </c>
      <c r="G3131">
        <v>4</v>
      </c>
      <c r="H3131" t="s">
        <v>137</v>
      </c>
      <c r="I3131" t="str">
        <f>VLOOKUP(Tabla1[[#This Row],[Code]],'[1]Articulos Precio'!$A:$E,5,FALSE)</f>
        <v>A0000513</v>
      </c>
    </row>
    <row r="3132" spans="1:9" x14ac:dyDescent="0.25">
      <c r="A3132" t="s">
        <v>1144</v>
      </c>
      <c r="B3132" t="str">
        <f>VLOOKUP(Tabla1[[#This Row],[Code]],[1]!Tabla4[#Data],2,FALSE)</f>
        <v>M2 Metamark MetaScape M7A 135 Albaricoque 1,22 x 50m</v>
      </c>
      <c r="C3132">
        <v>24</v>
      </c>
      <c r="D3132" t="s">
        <v>96</v>
      </c>
      <c r="E3132" t="str">
        <f>VLOOKUP(Tabla1[[#This Row],[Cód. Atributo]],[1]!Tabla5[#Data],6,FALSE)</f>
        <v>Select</v>
      </c>
      <c r="F3132">
        <v>6</v>
      </c>
      <c r="G3132">
        <v>2</v>
      </c>
      <c r="H3132" t="s">
        <v>266</v>
      </c>
      <c r="I3132" t="str">
        <f>VLOOKUP(Tabla1[[#This Row],[Code]],'[1]Articulos Precio'!$A:$E,5,FALSE)</f>
        <v>A0000513</v>
      </c>
    </row>
    <row r="3133" spans="1:9" x14ac:dyDescent="0.25">
      <c r="A3133" t="s">
        <v>1145</v>
      </c>
      <c r="B3133" t="str">
        <f>VLOOKUP(Tabla1[[#This Row],[Code]],[1]!Tabla4[#Data],2,FALSE)</f>
        <v>M2 Metamark MetaScape M7A 136 Amarillo Brillante 1,22 x 50m</v>
      </c>
      <c r="C3133">
        <v>8</v>
      </c>
      <c r="D3133" t="s">
        <v>86</v>
      </c>
      <c r="E3133" t="str">
        <f>VLOOKUP(Tabla1[[#This Row],[Cód. Atributo]],[1]!Tabla5[#Data],6,FALSE)</f>
        <v>Select</v>
      </c>
      <c r="F3133">
        <v>1</v>
      </c>
      <c r="G3133">
        <v>2</v>
      </c>
      <c r="H3133" t="s">
        <v>268</v>
      </c>
      <c r="I3133" t="str">
        <f>VLOOKUP(Tabla1[[#This Row],[Code]],'[1]Articulos Precio'!$A:$E,5,FALSE)</f>
        <v>A0000513</v>
      </c>
    </row>
    <row r="3134" spans="1:9" x14ac:dyDescent="0.25">
      <c r="A3134" t="s">
        <v>1145</v>
      </c>
      <c r="B3134" t="str">
        <f>VLOOKUP(Tabla1[[#This Row],[Code]],[1]!Tabla4[#Data],2,FALSE)</f>
        <v>M2 Metamark MetaScape M7A 136 Amarillo Brillante 1,22 x 50m</v>
      </c>
      <c r="C3134">
        <v>12</v>
      </c>
      <c r="D3134" t="s">
        <v>1130</v>
      </c>
      <c r="E3134" t="str">
        <f>VLOOKUP(Tabla1[[#This Row],[Cód. Atributo]],[1]!Tabla5[#Data],6,FALSE)</f>
        <v>Color</v>
      </c>
      <c r="F3134">
        <v>2</v>
      </c>
      <c r="G3134">
        <v>7</v>
      </c>
      <c r="H3134" t="s">
        <v>1146</v>
      </c>
      <c r="I3134" t="str">
        <f>VLOOKUP(Tabla1[[#This Row],[Code]],'[1]Articulos Precio'!$A:$E,5,FALSE)</f>
        <v>A0000513</v>
      </c>
    </row>
    <row r="3135" spans="1:9" x14ac:dyDescent="0.25">
      <c r="A3135" t="s">
        <v>1145</v>
      </c>
      <c r="B3135" t="str">
        <f>VLOOKUP(Tabla1[[#This Row],[Code]],[1]!Tabla4[#Data],2,FALSE)</f>
        <v>M2 Metamark MetaScape M7A 136 Amarillo Brillante 1,22 x 50m</v>
      </c>
      <c r="C3135">
        <v>23</v>
      </c>
      <c r="D3135" t="s">
        <v>90</v>
      </c>
      <c r="E3135" t="str">
        <f>VLOOKUP(Tabla1[[#This Row],[Cód. Atributo]],[1]!Tabla5[#Data],6,FALSE)</f>
        <v>Select</v>
      </c>
      <c r="F3135">
        <v>3</v>
      </c>
      <c r="G3135">
        <v>2</v>
      </c>
      <c r="H3135" t="s">
        <v>136</v>
      </c>
      <c r="I3135" t="str">
        <f>VLOOKUP(Tabla1[[#This Row],[Code]],'[1]Articulos Precio'!$A:$E,5,FALSE)</f>
        <v>A0000513</v>
      </c>
    </row>
    <row r="3136" spans="1:9" x14ac:dyDescent="0.25">
      <c r="A3136" t="s">
        <v>1145</v>
      </c>
      <c r="B3136" t="str">
        <f>VLOOKUP(Tabla1[[#This Row],[Code]],[1]!Tabla4[#Data],2,FALSE)</f>
        <v>M2 Metamark MetaScape M7A 136 Amarillo Brillante 1,22 x 50m</v>
      </c>
      <c r="C3136">
        <v>28</v>
      </c>
      <c r="D3136" t="s">
        <v>92</v>
      </c>
      <c r="E3136" t="str">
        <f>VLOOKUP(Tabla1[[#This Row],[Cód. Atributo]],[1]!Tabla5[#Data],6,FALSE)</f>
        <v>Select</v>
      </c>
      <c r="F3136">
        <v>4</v>
      </c>
      <c r="G3136">
        <v>1</v>
      </c>
      <c r="H3136" t="s">
        <v>93</v>
      </c>
      <c r="I3136" t="str">
        <f>VLOOKUP(Tabla1[[#This Row],[Code]],'[1]Articulos Precio'!$A:$E,5,FALSE)</f>
        <v>A0000513</v>
      </c>
    </row>
    <row r="3137" spans="1:9" x14ac:dyDescent="0.25">
      <c r="A3137" t="s">
        <v>1145</v>
      </c>
      <c r="B3137" t="str">
        <f>VLOOKUP(Tabla1[[#This Row],[Code]],[1]!Tabla4[#Data],2,FALSE)</f>
        <v>M2 Metamark MetaScape M7A 136 Amarillo Brillante 1,22 x 50m</v>
      </c>
      <c r="C3137">
        <v>25</v>
      </c>
      <c r="D3137" t="s">
        <v>94</v>
      </c>
      <c r="E3137" t="str">
        <f>VLOOKUP(Tabla1[[#This Row],[Cód. Atributo]],[1]!Tabla5[#Data],6,FALSE)</f>
        <v>Select</v>
      </c>
      <c r="F3137">
        <v>5</v>
      </c>
      <c r="G3137">
        <v>4</v>
      </c>
      <c r="H3137" t="s">
        <v>137</v>
      </c>
      <c r="I3137" t="str">
        <f>VLOOKUP(Tabla1[[#This Row],[Code]],'[1]Articulos Precio'!$A:$E,5,FALSE)</f>
        <v>A0000513</v>
      </c>
    </row>
    <row r="3138" spans="1:9" x14ac:dyDescent="0.25">
      <c r="A3138" t="s">
        <v>1145</v>
      </c>
      <c r="B3138" t="str">
        <f>VLOOKUP(Tabla1[[#This Row],[Code]],[1]!Tabla4[#Data],2,FALSE)</f>
        <v>M2 Metamark MetaScape M7A 136 Amarillo Brillante 1,22 x 50m</v>
      </c>
      <c r="C3138">
        <v>24</v>
      </c>
      <c r="D3138" t="s">
        <v>96</v>
      </c>
      <c r="E3138" t="str">
        <f>VLOOKUP(Tabla1[[#This Row],[Cód. Atributo]],[1]!Tabla5[#Data],6,FALSE)</f>
        <v>Select</v>
      </c>
      <c r="F3138">
        <v>6</v>
      </c>
      <c r="G3138">
        <v>2</v>
      </c>
      <c r="H3138" t="s">
        <v>266</v>
      </c>
      <c r="I3138" t="str">
        <f>VLOOKUP(Tabla1[[#This Row],[Code]],'[1]Articulos Precio'!$A:$E,5,FALSE)</f>
        <v>A0000513</v>
      </c>
    </row>
    <row r="3139" spans="1:9" x14ac:dyDescent="0.25">
      <c r="A3139" t="s">
        <v>1145</v>
      </c>
      <c r="B3139" t="str">
        <f>VLOOKUP(Tabla1[[#This Row],[Code]],[1]!Tabla4[#Data],2,FALSE)</f>
        <v>M2 Metamark MetaScape M7A 136 Amarillo Brillante 1,22 x 50m</v>
      </c>
      <c r="C3139">
        <v>37</v>
      </c>
      <c r="D3139" t="s">
        <v>1124</v>
      </c>
      <c r="E3139" t="str">
        <f>VLOOKUP(Tabla1[[#This Row],[Cód. Atributo]],[1]!Tabla5[#Data],6,FALSE)</f>
        <v>Select</v>
      </c>
      <c r="F3139">
        <v>7</v>
      </c>
      <c r="G3139">
        <v>1</v>
      </c>
      <c r="H3139" t="s">
        <v>1125</v>
      </c>
      <c r="I3139" t="str">
        <f>VLOOKUP(Tabla1[[#This Row],[Code]],'[1]Articulos Precio'!$A:$E,5,FALSE)</f>
        <v>A0000513</v>
      </c>
    </row>
    <row r="3140" spans="1:9" x14ac:dyDescent="0.25">
      <c r="A3140" t="s">
        <v>1147</v>
      </c>
      <c r="B3140" t="str">
        <f>VLOOKUP(Tabla1[[#This Row],[Code]],[1]!Tabla4[#Data],2,FALSE)</f>
        <v>M2 Metamark MetaScape M7A 142 Rojo Tomate 0,61 x 50m</v>
      </c>
      <c r="C3140">
        <v>8</v>
      </c>
      <c r="D3140" t="s">
        <v>86</v>
      </c>
      <c r="E3140" t="str">
        <f>VLOOKUP(Tabla1[[#This Row],[Cód. Atributo]],[1]!Tabla5[#Data],6,FALSE)</f>
        <v>Select</v>
      </c>
      <c r="F3140">
        <v>1</v>
      </c>
      <c r="G3140">
        <v>1</v>
      </c>
      <c r="H3140" t="s">
        <v>263</v>
      </c>
      <c r="I3140" t="str">
        <f>VLOOKUP(Tabla1[[#This Row],[Code]],'[1]Articulos Precio'!$A:$E,5,FALSE)</f>
        <v>A0000513</v>
      </c>
    </row>
    <row r="3141" spans="1:9" x14ac:dyDescent="0.25">
      <c r="A3141" t="s">
        <v>1147</v>
      </c>
      <c r="B3141" t="str">
        <f>VLOOKUP(Tabla1[[#This Row],[Code]],[1]!Tabla4[#Data],2,FALSE)</f>
        <v>M2 Metamark MetaScape M7A 142 Rojo Tomate 0,61 x 50m</v>
      </c>
      <c r="C3141">
        <v>13</v>
      </c>
      <c r="D3141" t="s">
        <v>491</v>
      </c>
      <c r="E3141" t="str">
        <f>VLOOKUP(Tabla1[[#This Row],[Cód. Atributo]],[1]!Tabla5[#Data],6,FALSE)</f>
        <v>Color</v>
      </c>
      <c r="F3141">
        <v>2</v>
      </c>
      <c r="G3141">
        <v>20</v>
      </c>
      <c r="H3141" t="s">
        <v>588</v>
      </c>
      <c r="I3141" t="str">
        <f>VLOOKUP(Tabla1[[#This Row],[Code]],'[1]Articulos Precio'!$A:$E,5,FALSE)</f>
        <v>A0000513</v>
      </c>
    </row>
    <row r="3142" spans="1:9" x14ac:dyDescent="0.25">
      <c r="A3142" t="s">
        <v>1147</v>
      </c>
      <c r="B3142" t="str">
        <f>VLOOKUP(Tabla1[[#This Row],[Code]],[1]!Tabla4[#Data],2,FALSE)</f>
        <v>M2 Metamark MetaScape M7A 142 Rojo Tomate 0,61 x 50m</v>
      </c>
      <c r="C3142">
        <v>23</v>
      </c>
      <c r="D3142" t="s">
        <v>90</v>
      </c>
      <c r="E3142" t="str">
        <f>VLOOKUP(Tabla1[[#This Row],[Cód. Atributo]],[1]!Tabla5[#Data],6,FALSE)</f>
        <v>Select</v>
      </c>
      <c r="F3142">
        <v>3</v>
      </c>
      <c r="G3142">
        <v>2</v>
      </c>
      <c r="H3142" t="s">
        <v>136</v>
      </c>
      <c r="I3142" t="str">
        <f>VLOOKUP(Tabla1[[#This Row],[Code]],'[1]Articulos Precio'!$A:$E,5,FALSE)</f>
        <v>A0000513</v>
      </c>
    </row>
    <row r="3143" spans="1:9" x14ac:dyDescent="0.25">
      <c r="A3143" t="s">
        <v>1147</v>
      </c>
      <c r="B3143" t="str">
        <f>VLOOKUP(Tabla1[[#This Row],[Code]],[1]!Tabla4[#Data],2,FALSE)</f>
        <v>M2 Metamark MetaScape M7A 142 Rojo Tomate 0,61 x 50m</v>
      </c>
      <c r="C3143">
        <v>28</v>
      </c>
      <c r="D3143" t="s">
        <v>92</v>
      </c>
      <c r="E3143" t="str">
        <f>VLOOKUP(Tabla1[[#This Row],[Cód. Atributo]],[1]!Tabla5[#Data],6,FALSE)</f>
        <v>Select</v>
      </c>
      <c r="F3143">
        <v>4</v>
      </c>
      <c r="G3143">
        <v>1</v>
      </c>
      <c r="H3143" t="s">
        <v>93</v>
      </c>
      <c r="I3143" t="str">
        <f>VLOOKUP(Tabla1[[#This Row],[Code]],'[1]Articulos Precio'!$A:$E,5,FALSE)</f>
        <v>A0000513</v>
      </c>
    </row>
    <row r="3144" spans="1:9" x14ac:dyDescent="0.25">
      <c r="A3144" t="s">
        <v>1147</v>
      </c>
      <c r="B3144" t="str">
        <f>VLOOKUP(Tabla1[[#This Row],[Code]],[1]!Tabla4[#Data],2,FALSE)</f>
        <v>M2 Metamark MetaScape M7A 142 Rojo Tomate 0,61 x 50m</v>
      </c>
      <c r="C3144">
        <v>25</v>
      </c>
      <c r="D3144" t="s">
        <v>94</v>
      </c>
      <c r="E3144" t="str">
        <f>VLOOKUP(Tabla1[[#This Row],[Cód. Atributo]],[1]!Tabla5[#Data],6,FALSE)</f>
        <v>Select</v>
      </c>
      <c r="F3144">
        <v>5</v>
      </c>
      <c r="G3144">
        <v>4</v>
      </c>
      <c r="H3144" t="s">
        <v>137</v>
      </c>
      <c r="I3144" t="str">
        <f>VLOOKUP(Tabla1[[#This Row],[Code]],'[1]Articulos Precio'!$A:$E,5,FALSE)</f>
        <v>A0000513</v>
      </c>
    </row>
    <row r="3145" spans="1:9" x14ac:dyDescent="0.25">
      <c r="A3145" t="s">
        <v>1147</v>
      </c>
      <c r="B3145" t="str">
        <f>VLOOKUP(Tabla1[[#This Row],[Code]],[1]!Tabla4[#Data],2,FALSE)</f>
        <v>M2 Metamark MetaScape M7A 142 Rojo Tomate 0,61 x 50m</v>
      </c>
      <c r="C3145">
        <v>24</v>
      </c>
      <c r="D3145" t="s">
        <v>96</v>
      </c>
      <c r="E3145" t="str">
        <f>VLOOKUP(Tabla1[[#This Row],[Cód. Atributo]],[1]!Tabla5[#Data],6,FALSE)</f>
        <v>Select</v>
      </c>
      <c r="F3145">
        <v>6</v>
      </c>
      <c r="G3145">
        <v>2</v>
      </c>
      <c r="H3145" t="s">
        <v>266</v>
      </c>
      <c r="I3145" t="str">
        <f>VLOOKUP(Tabla1[[#This Row],[Code]],'[1]Articulos Precio'!$A:$E,5,FALSE)</f>
        <v>A0000513</v>
      </c>
    </row>
    <row r="3146" spans="1:9" x14ac:dyDescent="0.25">
      <c r="A3146" t="s">
        <v>1148</v>
      </c>
      <c r="B3146" t="str">
        <f>VLOOKUP(Tabla1[[#This Row],[Code]],[1]!Tabla4[#Data],2,FALSE)</f>
        <v>M2 Metamark MetaScape M7A 142 Rojo Tomate 1,22 x 50m</v>
      </c>
      <c r="C3146">
        <v>8</v>
      </c>
      <c r="D3146" t="s">
        <v>86</v>
      </c>
      <c r="E3146" t="str">
        <f>VLOOKUP(Tabla1[[#This Row],[Cód. Atributo]],[1]!Tabla5[#Data],6,FALSE)</f>
        <v>Select</v>
      </c>
      <c r="F3146">
        <v>1</v>
      </c>
      <c r="G3146">
        <v>2</v>
      </c>
      <c r="H3146" t="s">
        <v>268</v>
      </c>
      <c r="I3146" t="str">
        <f>VLOOKUP(Tabla1[[#This Row],[Code]],'[1]Articulos Precio'!$A:$E,5,FALSE)</f>
        <v>A0000513</v>
      </c>
    </row>
    <row r="3147" spans="1:9" x14ac:dyDescent="0.25">
      <c r="A3147" t="s">
        <v>1148</v>
      </c>
      <c r="B3147" t="str">
        <f>VLOOKUP(Tabla1[[#This Row],[Code]],[1]!Tabla4[#Data],2,FALSE)</f>
        <v>M2 Metamark MetaScape M7A 142 Rojo Tomate 1,22 x 50m</v>
      </c>
      <c r="C3147">
        <v>12</v>
      </c>
      <c r="D3147" t="s">
        <v>1130</v>
      </c>
      <c r="E3147" t="str">
        <f>VLOOKUP(Tabla1[[#This Row],[Cód. Atributo]],[1]!Tabla5[#Data],6,FALSE)</f>
        <v>Color</v>
      </c>
      <c r="F3147">
        <v>2</v>
      </c>
      <c r="G3147">
        <v>8</v>
      </c>
      <c r="H3147" t="s">
        <v>1149</v>
      </c>
      <c r="I3147" t="str">
        <f>VLOOKUP(Tabla1[[#This Row],[Code]],'[1]Articulos Precio'!$A:$E,5,FALSE)</f>
        <v>A0000513</v>
      </c>
    </row>
    <row r="3148" spans="1:9" x14ac:dyDescent="0.25">
      <c r="A3148" t="s">
        <v>1148</v>
      </c>
      <c r="B3148" t="str">
        <f>VLOOKUP(Tabla1[[#This Row],[Code]],[1]!Tabla4[#Data],2,FALSE)</f>
        <v>M2 Metamark MetaScape M7A 142 Rojo Tomate 1,22 x 50m</v>
      </c>
      <c r="C3148">
        <v>23</v>
      </c>
      <c r="D3148" t="s">
        <v>90</v>
      </c>
      <c r="E3148" t="str">
        <f>VLOOKUP(Tabla1[[#This Row],[Cód. Atributo]],[1]!Tabla5[#Data],6,FALSE)</f>
        <v>Select</v>
      </c>
      <c r="F3148">
        <v>3</v>
      </c>
      <c r="G3148">
        <v>2</v>
      </c>
      <c r="H3148" t="s">
        <v>136</v>
      </c>
      <c r="I3148" t="str">
        <f>VLOOKUP(Tabla1[[#This Row],[Code]],'[1]Articulos Precio'!$A:$E,5,FALSE)</f>
        <v>A0000513</v>
      </c>
    </row>
    <row r="3149" spans="1:9" x14ac:dyDescent="0.25">
      <c r="A3149" t="s">
        <v>1148</v>
      </c>
      <c r="B3149" t="str">
        <f>VLOOKUP(Tabla1[[#This Row],[Code]],[1]!Tabla4[#Data],2,FALSE)</f>
        <v>M2 Metamark MetaScape M7A 142 Rojo Tomate 1,22 x 50m</v>
      </c>
      <c r="C3149">
        <v>28</v>
      </c>
      <c r="D3149" t="s">
        <v>92</v>
      </c>
      <c r="E3149" t="str">
        <f>VLOOKUP(Tabla1[[#This Row],[Cód. Atributo]],[1]!Tabla5[#Data],6,FALSE)</f>
        <v>Select</v>
      </c>
      <c r="F3149">
        <v>4</v>
      </c>
      <c r="G3149">
        <v>1</v>
      </c>
      <c r="H3149" t="s">
        <v>93</v>
      </c>
      <c r="I3149" t="str">
        <f>VLOOKUP(Tabla1[[#This Row],[Code]],'[1]Articulos Precio'!$A:$E,5,FALSE)</f>
        <v>A0000513</v>
      </c>
    </row>
    <row r="3150" spans="1:9" x14ac:dyDescent="0.25">
      <c r="A3150" t="s">
        <v>1148</v>
      </c>
      <c r="B3150" t="str">
        <f>VLOOKUP(Tabla1[[#This Row],[Code]],[1]!Tabla4[#Data],2,FALSE)</f>
        <v>M2 Metamark MetaScape M7A 142 Rojo Tomate 1,22 x 50m</v>
      </c>
      <c r="C3150">
        <v>25</v>
      </c>
      <c r="D3150" t="s">
        <v>94</v>
      </c>
      <c r="E3150" t="str">
        <f>VLOOKUP(Tabla1[[#This Row],[Cód. Atributo]],[1]!Tabla5[#Data],6,FALSE)</f>
        <v>Select</v>
      </c>
      <c r="F3150">
        <v>5</v>
      </c>
      <c r="G3150">
        <v>4</v>
      </c>
      <c r="H3150" t="s">
        <v>137</v>
      </c>
      <c r="I3150" t="str">
        <f>VLOOKUP(Tabla1[[#This Row],[Code]],'[1]Articulos Precio'!$A:$E,5,FALSE)</f>
        <v>A0000513</v>
      </c>
    </row>
    <row r="3151" spans="1:9" x14ac:dyDescent="0.25">
      <c r="A3151" t="s">
        <v>1148</v>
      </c>
      <c r="B3151" t="str">
        <f>VLOOKUP(Tabla1[[#This Row],[Code]],[1]!Tabla4[#Data],2,FALSE)</f>
        <v>M2 Metamark MetaScape M7A 142 Rojo Tomate 1,22 x 50m</v>
      </c>
      <c r="C3151">
        <v>24</v>
      </c>
      <c r="D3151" t="s">
        <v>96</v>
      </c>
      <c r="E3151" t="str">
        <f>VLOOKUP(Tabla1[[#This Row],[Cód. Atributo]],[1]!Tabla5[#Data],6,FALSE)</f>
        <v>Select</v>
      </c>
      <c r="F3151">
        <v>6</v>
      </c>
      <c r="G3151">
        <v>2</v>
      </c>
      <c r="H3151" t="s">
        <v>266</v>
      </c>
      <c r="I3151" t="str">
        <f>VLOOKUP(Tabla1[[#This Row],[Code]],'[1]Articulos Precio'!$A:$E,5,FALSE)</f>
        <v>A0000513</v>
      </c>
    </row>
    <row r="3152" spans="1:9" x14ac:dyDescent="0.25">
      <c r="A3152" t="s">
        <v>1148</v>
      </c>
      <c r="B3152" t="str">
        <f>VLOOKUP(Tabla1[[#This Row],[Code]],[1]!Tabla4[#Data],2,FALSE)</f>
        <v>M2 Metamark MetaScape M7A 142 Rojo Tomate 1,22 x 50m</v>
      </c>
      <c r="C3152">
        <v>37</v>
      </c>
      <c r="D3152" t="s">
        <v>1124</v>
      </c>
      <c r="E3152" t="str">
        <f>VLOOKUP(Tabla1[[#This Row],[Cód. Atributo]],[1]!Tabla5[#Data],6,FALSE)</f>
        <v>Select</v>
      </c>
      <c r="F3152">
        <v>7</v>
      </c>
      <c r="G3152">
        <v>1</v>
      </c>
      <c r="H3152" t="s">
        <v>1125</v>
      </c>
      <c r="I3152" t="str">
        <f>VLOOKUP(Tabla1[[#This Row],[Code]],'[1]Articulos Precio'!$A:$E,5,FALSE)</f>
        <v>A0000513</v>
      </c>
    </row>
    <row r="3153" spans="1:9" x14ac:dyDescent="0.25">
      <c r="A3153" t="s">
        <v>1150</v>
      </c>
      <c r="B3153" t="str">
        <f>VLOOKUP(Tabla1[[#This Row],[Code]],[1]!Tabla4[#Data],2,FALSE)</f>
        <v>M2 Metamark MetaScape M7A 143 Rojo Cereza 1,22 x 50m</v>
      </c>
      <c r="C3153">
        <v>8</v>
      </c>
      <c r="D3153" t="s">
        <v>86</v>
      </c>
      <c r="E3153" t="str">
        <f>VLOOKUP(Tabla1[[#This Row],[Cód. Atributo]],[1]!Tabla5[#Data],6,FALSE)</f>
        <v>Select</v>
      </c>
      <c r="F3153">
        <v>1</v>
      </c>
      <c r="G3153">
        <v>2</v>
      </c>
      <c r="H3153" t="s">
        <v>268</v>
      </c>
      <c r="I3153" t="str">
        <f>VLOOKUP(Tabla1[[#This Row],[Code]],'[1]Articulos Precio'!$A:$E,5,FALSE)</f>
        <v>A0000513</v>
      </c>
    </row>
    <row r="3154" spans="1:9" x14ac:dyDescent="0.25">
      <c r="A3154" t="s">
        <v>1150</v>
      </c>
      <c r="B3154" t="str">
        <f>VLOOKUP(Tabla1[[#This Row],[Code]],[1]!Tabla4[#Data],2,FALSE)</f>
        <v>M2 Metamark MetaScape M7A 143 Rojo Cereza 1,22 x 50m</v>
      </c>
      <c r="C3154">
        <v>12</v>
      </c>
      <c r="D3154" t="s">
        <v>1130</v>
      </c>
      <c r="E3154" t="str">
        <f>VLOOKUP(Tabla1[[#This Row],[Cód. Atributo]],[1]!Tabla5[#Data],6,FALSE)</f>
        <v>Color</v>
      </c>
      <c r="F3154">
        <v>2</v>
      </c>
      <c r="G3154">
        <v>9</v>
      </c>
      <c r="H3154" t="s">
        <v>1151</v>
      </c>
      <c r="I3154" t="str">
        <f>VLOOKUP(Tabla1[[#This Row],[Code]],'[1]Articulos Precio'!$A:$E,5,FALSE)</f>
        <v>A0000513</v>
      </c>
    </row>
    <row r="3155" spans="1:9" x14ac:dyDescent="0.25">
      <c r="A3155" t="s">
        <v>1150</v>
      </c>
      <c r="B3155" t="str">
        <f>VLOOKUP(Tabla1[[#This Row],[Code]],[1]!Tabla4[#Data],2,FALSE)</f>
        <v>M2 Metamark MetaScape M7A 143 Rojo Cereza 1,22 x 50m</v>
      </c>
      <c r="C3155">
        <v>23</v>
      </c>
      <c r="D3155" t="s">
        <v>90</v>
      </c>
      <c r="E3155" t="str">
        <f>VLOOKUP(Tabla1[[#This Row],[Cód. Atributo]],[1]!Tabla5[#Data],6,FALSE)</f>
        <v>Select</v>
      </c>
      <c r="F3155">
        <v>3</v>
      </c>
      <c r="G3155">
        <v>2</v>
      </c>
      <c r="H3155" t="s">
        <v>136</v>
      </c>
      <c r="I3155" t="str">
        <f>VLOOKUP(Tabla1[[#This Row],[Code]],'[1]Articulos Precio'!$A:$E,5,FALSE)</f>
        <v>A0000513</v>
      </c>
    </row>
    <row r="3156" spans="1:9" x14ac:dyDescent="0.25">
      <c r="A3156" t="s">
        <v>1150</v>
      </c>
      <c r="B3156" t="str">
        <f>VLOOKUP(Tabla1[[#This Row],[Code]],[1]!Tabla4[#Data],2,FALSE)</f>
        <v>M2 Metamark MetaScape M7A 143 Rojo Cereza 1,22 x 50m</v>
      </c>
      <c r="C3156">
        <v>28</v>
      </c>
      <c r="D3156" t="s">
        <v>92</v>
      </c>
      <c r="E3156" t="str">
        <f>VLOOKUP(Tabla1[[#This Row],[Cód. Atributo]],[1]!Tabla5[#Data],6,FALSE)</f>
        <v>Select</v>
      </c>
      <c r="F3156">
        <v>4</v>
      </c>
      <c r="G3156">
        <v>1</v>
      </c>
      <c r="H3156" t="s">
        <v>93</v>
      </c>
      <c r="I3156" t="str">
        <f>VLOOKUP(Tabla1[[#This Row],[Code]],'[1]Articulos Precio'!$A:$E,5,FALSE)</f>
        <v>A0000513</v>
      </c>
    </row>
    <row r="3157" spans="1:9" x14ac:dyDescent="0.25">
      <c r="A3157" t="s">
        <v>1150</v>
      </c>
      <c r="B3157" t="str">
        <f>VLOOKUP(Tabla1[[#This Row],[Code]],[1]!Tabla4[#Data],2,FALSE)</f>
        <v>M2 Metamark MetaScape M7A 143 Rojo Cereza 1,22 x 50m</v>
      </c>
      <c r="C3157">
        <v>25</v>
      </c>
      <c r="D3157" t="s">
        <v>94</v>
      </c>
      <c r="E3157" t="str">
        <f>VLOOKUP(Tabla1[[#This Row],[Cód. Atributo]],[1]!Tabla5[#Data],6,FALSE)</f>
        <v>Select</v>
      </c>
      <c r="F3157">
        <v>5</v>
      </c>
      <c r="G3157">
        <v>4</v>
      </c>
      <c r="H3157" t="s">
        <v>137</v>
      </c>
      <c r="I3157" t="str">
        <f>VLOOKUP(Tabla1[[#This Row],[Code]],'[1]Articulos Precio'!$A:$E,5,FALSE)</f>
        <v>A0000513</v>
      </c>
    </row>
    <row r="3158" spans="1:9" x14ac:dyDescent="0.25">
      <c r="A3158" t="s">
        <v>1150</v>
      </c>
      <c r="B3158" t="str">
        <f>VLOOKUP(Tabla1[[#This Row],[Code]],[1]!Tabla4[#Data],2,FALSE)</f>
        <v>M2 Metamark MetaScape M7A 143 Rojo Cereza 1,22 x 50m</v>
      </c>
      <c r="C3158">
        <v>24</v>
      </c>
      <c r="D3158" t="s">
        <v>96</v>
      </c>
      <c r="E3158" t="str">
        <f>VLOOKUP(Tabla1[[#This Row],[Cód. Atributo]],[1]!Tabla5[#Data],6,FALSE)</f>
        <v>Select</v>
      </c>
      <c r="F3158">
        <v>6</v>
      </c>
      <c r="G3158">
        <v>2</v>
      </c>
      <c r="H3158" t="s">
        <v>266</v>
      </c>
      <c r="I3158" t="str">
        <f>VLOOKUP(Tabla1[[#This Row],[Code]],'[1]Articulos Precio'!$A:$E,5,FALSE)</f>
        <v>A0000513</v>
      </c>
    </row>
    <row r="3159" spans="1:9" x14ac:dyDescent="0.25">
      <c r="A3159" t="s">
        <v>1150</v>
      </c>
      <c r="B3159" t="str">
        <f>VLOOKUP(Tabla1[[#This Row],[Code]],[1]!Tabla4[#Data],2,FALSE)</f>
        <v>M2 Metamark MetaScape M7A 143 Rojo Cereza 1,22 x 50m</v>
      </c>
      <c r="C3159">
        <v>37</v>
      </c>
      <c r="D3159" t="s">
        <v>1124</v>
      </c>
      <c r="E3159" t="str">
        <f>VLOOKUP(Tabla1[[#This Row],[Cód. Atributo]],[1]!Tabla5[#Data],6,FALSE)</f>
        <v>Select</v>
      </c>
      <c r="F3159">
        <v>7</v>
      </c>
      <c r="G3159">
        <v>1</v>
      </c>
      <c r="H3159" t="s">
        <v>1125</v>
      </c>
      <c r="I3159" t="str">
        <f>VLOOKUP(Tabla1[[#This Row],[Code]],'[1]Articulos Precio'!$A:$E,5,FALSE)</f>
        <v>A0000513</v>
      </c>
    </row>
    <row r="3160" spans="1:9" x14ac:dyDescent="0.25">
      <c r="A3160" t="s">
        <v>1152</v>
      </c>
      <c r="B3160" t="str">
        <f>VLOOKUP(Tabla1[[#This Row],[Code]],[1]!Tabla4[#Data],2,FALSE)</f>
        <v>M2 Metamark MetaScape M7A 145 Rojo Borgoña 1,22 x 50m</v>
      </c>
      <c r="C3160">
        <v>8</v>
      </c>
      <c r="D3160" t="s">
        <v>86</v>
      </c>
      <c r="E3160" t="str">
        <f>VLOOKUP(Tabla1[[#This Row],[Cód. Atributo]],[1]!Tabla5[#Data],6,FALSE)</f>
        <v>Select</v>
      </c>
      <c r="F3160">
        <v>1</v>
      </c>
      <c r="G3160">
        <v>2</v>
      </c>
      <c r="H3160" t="s">
        <v>268</v>
      </c>
      <c r="I3160" t="str">
        <f>VLOOKUP(Tabla1[[#This Row],[Code]],'[1]Articulos Precio'!$A:$E,5,FALSE)</f>
        <v>A0000513</v>
      </c>
    </row>
    <row r="3161" spans="1:9" x14ac:dyDescent="0.25">
      <c r="A3161" t="s">
        <v>1152</v>
      </c>
      <c r="B3161" t="str">
        <f>VLOOKUP(Tabla1[[#This Row],[Code]],[1]!Tabla4[#Data],2,FALSE)</f>
        <v>M2 Metamark MetaScape M7A 145 Rojo Borgoña 1,22 x 50m</v>
      </c>
      <c r="C3161">
        <v>13</v>
      </c>
      <c r="D3161" t="s">
        <v>491</v>
      </c>
      <c r="E3161" t="str">
        <f>VLOOKUP(Tabla1[[#This Row],[Cód. Atributo]],[1]!Tabla5[#Data],6,FALSE)</f>
        <v>Color</v>
      </c>
      <c r="F3161">
        <v>2</v>
      </c>
      <c r="G3161">
        <v>23</v>
      </c>
      <c r="H3161" t="s">
        <v>597</v>
      </c>
      <c r="I3161" t="str">
        <f>VLOOKUP(Tabla1[[#This Row],[Code]],'[1]Articulos Precio'!$A:$E,5,FALSE)</f>
        <v>A0000513</v>
      </c>
    </row>
    <row r="3162" spans="1:9" x14ac:dyDescent="0.25">
      <c r="A3162" t="s">
        <v>1152</v>
      </c>
      <c r="B3162" t="str">
        <f>VLOOKUP(Tabla1[[#This Row],[Code]],[1]!Tabla4[#Data],2,FALSE)</f>
        <v>M2 Metamark MetaScape M7A 145 Rojo Borgoña 1,22 x 50m</v>
      </c>
      <c r="C3162">
        <v>23</v>
      </c>
      <c r="D3162" t="s">
        <v>90</v>
      </c>
      <c r="E3162" t="str">
        <f>VLOOKUP(Tabla1[[#This Row],[Cód. Atributo]],[1]!Tabla5[#Data],6,FALSE)</f>
        <v>Select</v>
      </c>
      <c r="F3162">
        <v>3</v>
      </c>
      <c r="G3162">
        <v>2</v>
      </c>
      <c r="H3162" t="s">
        <v>136</v>
      </c>
      <c r="I3162" t="str">
        <f>VLOOKUP(Tabla1[[#This Row],[Code]],'[1]Articulos Precio'!$A:$E,5,FALSE)</f>
        <v>A0000513</v>
      </c>
    </row>
    <row r="3163" spans="1:9" x14ac:dyDescent="0.25">
      <c r="A3163" t="s">
        <v>1152</v>
      </c>
      <c r="B3163" t="str">
        <f>VLOOKUP(Tabla1[[#This Row],[Code]],[1]!Tabla4[#Data],2,FALSE)</f>
        <v>M2 Metamark MetaScape M7A 145 Rojo Borgoña 1,22 x 50m</v>
      </c>
      <c r="C3163">
        <v>28</v>
      </c>
      <c r="D3163" t="s">
        <v>92</v>
      </c>
      <c r="E3163" t="str">
        <f>VLOOKUP(Tabla1[[#This Row],[Cód. Atributo]],[1]!Tabla5[#Data],6,FALSE)</f>
        <v>Select</v>
      </c>
      <c r="F3163">
        <v>4</v>
      </c>
      <c r="G3163">
        <v>1</v>
      </c>
      <c r="H3163" t="s">
        <v>93</v>
      </c>
      <c r="I3163" t="str">
        <f>VLOOKUP(Tabla1[[#This Row],[Code]],'[1]Articulos Precio'!$A:$E,5,FALSE)</f>
        <v>A0000513</v>
      </c>
    </row>
    <row r="3164" spans="1:9" x14ac:dyDescent="0.25">
      <c r="A3164" t="s">
        <v>1152</v>
      </c>
      <c r="B3164" t="str">
        <f>VLOOKUP(Tabla1[[#This Row],[Code]],[1]!Tabla4[#Data],2,FALSE)</f>
        <v>M2 Metamark MetaScape M7A 145 Rojo Borgoña 1,22 x 50m</v>
      </c>
      <c r="C3164">
        <v>25</v>
      </c>
      <c r="D3164" t="s">
        <v>94</v>
      </c>
      <c r="E3164" t="str">
        <f>VLOOKUP(Tabla1[[#This Row],[Cód. Atributo]],[1]!Tabla5[#Data],6,FALSE)</f>
        <v>Select</v>
      </c>
      <c r="F3164">
        <v>5</v>
      </c>
      <c r="G3164">
        <v>4</v>
      </c>
      <c r="H3164" t="s">
        <v>137</v>
      </c>
      <c r="I3164" t="str">
        <f>VLOOKUP(Tabla1[[#This Row],[Code]],'[1]Articulos Precio'!$A:$E,5,FALSE)</f>
        <v>A0000513</v>
      </c>
    </row>
    <row r="3165" spans="1:9" x14ac:dyDescent="0.25">
      <c r="A3165" t="s">
        <v>1152</v>
      </c>
      <c r="B3165" t="str">
        <f>VLOOKUP(Tabla1[[#This Row],[Code]],[1]!Tabla4[#Data],2,FALSE)</f>
        <v>M2 Metamark MetaScape M7A 145 Rojo Borgoña 1,22 x 50m</v>
      </c>
      <c r="C3165">
        <v>24</v>
      </c>
      <c r="D3165" t="s">
        <v>96</v>
      </c>
      <c r="E3165" t="str">
        <f>VLOOKUP(Tabla1[[#This Row],[Cód. Atributo]],[1]!Tabla5[#Data],6,FALSE)</f>
        <v>Select</v>
      </c>
      <c r="F3165">
        <v>6</v>
      </c>
      <c r="G3165">
        <v>2</v>
      </c>
      <c r="H3165" t="s">
        <v>266</v>
      </c>
      <c r="I3165" t="str">
        <f>VLOOKUP(Tabla1[[#This Row],[Code]],'[1]Articulos Precio'!$A:$E,5,FALSE)</f>
        <v>A0000513</v>
      </c>
    </row>
    <row r="3166" spans="1:9" x14ac:dyDescent="0.25">
      <c r="A3166" t="s">
        <v>1153</v>
      </c>
      <c r="B3166" t="str">
        <f>VLOOKUP(Tabla1[[#This Row],[Code]],[1]!Tabla4[#Data],2,FALSE)</f>
        <v>M2 Metamark MetaScape M7A 148 Rojo Profundo 1,22 x 50m</v>
      </c>
      <c r="C3166">
        <v>8</v>
      </c>
      <c r="D3166" t="s">
        <v>86</v>
      </c>
      <c r="E3166" t="str">
        <f>VLOOKUP(Tabla1[[#This Row],[Cód. Atributo]],[1]!Tabla5[#Data],6,FALSE)</f>
        <v>Select</v>
      </c>
      <c r="F3166">
        <v>1</v>
      </c>
      <c r="G3166">
        <v>2</v>
      </c>
      <c r="H3166" t="s">
        <v>268</v>
      </c>
      <c r="I3166" t="str">
        <f>VLOOKUP(Tabla1[[#This Row],[Code]],'[1]Articulos Precio'!$A:$E,5,FALSE)</f>
        <v>A0000513</v>
      </c>
    </row>
    <row r="3167" spans="1:9" x14ac:dyDescent="0.25">
      <c r="A3167" t="s">
        <v>1153</v>
      </c>
      <c r="B3167" t="str">
        <f>VLOOKUP(Tabla1[[#This Row],[Code]],[1]!Tabla4[#Data],2,FALSE)</f>
        <v>M2 Metamark MetaScape M7A 148 Rojo Profundo 1,22 x 50m</v>
      </c>
      <c r="C3167">
        <v>12</v>
      </c>
      <c r="D3167" t="s">
        <v>1130</v>
      </c>
      <c r="E3167" t="str">
        <f>VLOOKUP(Tabla1[[#This Row],[Cód. Atributo]],[1]!Tabla5[#Data],6,FALSE)</f>
        <v>Color</v>
      </c>
      <c r="F3167">
        <v>2</v>
      </c>
      <c r="G3167">
        <v>10</v>
      </c>
      <c r="H3167" t="s">
        <v>1154</v>
      </c>
      <c r="I3167" t="str">
        <f>VLOOKUP(Tabla1[[#This Row],[Code]],'[1]Articulos Precio'!$A:$E,5,FALSE)</f>
        <v>A0000513</v>
      </c>
    </row>
    <row r="3168" spans="1:9" x14ac:dyDescent="0.25">
      <c r="A3168" t="s">
        <v>1153</v>
      </c>
      <c r="B3168" t="str">
        <f>VLOOKUP(Tabla1[[#This Row],[Code]],[1]!Tabla4[#Data],2,FALSE)</f>
        <v>M2 Metamark MetaScape M7A 148 Rojo Profundo 1,22 x 50m</v>
      </c>
      <c r="C3168">
        <v>23</v>
      </c>
      <c r="D3168" t="s">
        <v>90</v>
      </c>
      <c r="E3168" t="str">
        <f>VLOOKUP(Tabla1[[#This Row],[Cód. Atributo]],[1]!Tabla5[#Data],6,FALSE)</f>
        <v>Select</v>
      </c>
      <c r="F3168">
        <v>3</v>
      </c>
      <c r="G3168">
        <v>2</v>
      </c>
      <c r="H3168" t="s">
        <v>136</v>
      </c>
      <c r="I3168" t="str">
        <f>VLOOKUP(Tabla1[[#This Row],[Code]],'[1]Articulos Precio'!$A:$E,5,FALSE)</f>
        <v>A0000513</v>
      </c>
    </row>
    <row r="3169" spans="1:9" x14ac:dyDescent="0.25">
      <c r="A3169" t="s">
        <v>1153</v>
      </c>
      <c r="B3169" t="str">
        <f>VLOOKUP(Tabla1[[#This Row],[Code]],[1]!Tabla4[#Data],2,FALSE)</f>
        <v>M2 Metamark MetaScape M7A 148 Rojo Profundo 1,22 x 50m</v>
      </c>
      <c r="C3169">
        <v>28</v>
      </c>
      <c r="D3169" t="s">
        <v>92</v>
      </c>
      <c r="E3169" t="str">
        <f>VLOOKUP(Tabla1[[#This Row],[Cód. Atributo]],[1]!Tabla5[#Data],6,FALSE)</f>
        <v>Select</v>
      </c>
      <c r="F3169">
        <v>4</v>
      </c>
      <c r="G3169">
        <v>1</v>
      </c>
      <c r="H3169" t="s">
        <v>93</v>
      </c>
      <c r="I3169" t="str">
        <f>VLOOKUP(Tabla1[[#This Row],[Code]],'[1]Articulos Precio'!$A:$E,5,FALSE)</f>
        <v>A0000513</v>
      </c>
    </row>
    <row r="3170" spans="1:9" x14ac:dyDescent="0.25">
      <c r="A3170" t="s">
        <v>1153</v>
      </c>
      <c r="B3170" t="str">
        <f>VLOOKUP(Tabla1[[#This Row],[Code]],[1]!Tabla4[#Data],2,FALSE)</f>
        <v>M2 Metamark MetaScape M7A 148 Rojo Profundo 1,22 x 50m</v>
      </c>
      <c r="C3170">
        <v>25</v>
      </c>
      <c r="D3170" t="s">
        <v>94</v>
      </c>
      <c r="E3170" t="str">
        <f>VLOOKUP(Tabla1[[#This Row],[Cód. Atributo]],[1]!Tabla5[#Data],6,FALSE)</f>
        <v>Select</v>
      </c>
      <c r="F3170">
        <v>5</v>
      </c>
      <c r="G3170">
        <v>4</v>
      </c>
      <c r="H3170" t="s">
        <v>137</v>
      </c>
      <c r="I3170" t="str">
        <f>VLOOKUP(Tabla1[[#This Row],[Code]],'[1]Articulos Precio'!$A:$E,5,FALSE)</f>
        <v>A0000513</v>
      </c>
    </row>
    <row r="3171" spans="1:9" x14ac:dyDescent="0.25">
      <c r="A3171" t="s">
        <v>1153</v>
      </c>
      <c r="B3171" t="str">
        <f>VLOOKUP(Tabla1[[#This Row],[Code]],[1]!Tabla4[#Data],2,FALSE)</f>
        <v>M2 Metamark MetaScape M7A 148 Rojo Profundo 1,22 x 50m</v>
      </c>
      <c r="C3171">
        <v>24</v>
      </c>
      <c r="D3171" t="s">
        <v>96</v>
      </c>
      <c r="E3171" t="str">
        <f>VLOOKUP(Tabla1[[#This Row],[Cód. Atributo]],[1]!Tabla5[#Data],6,FALSE)</f>
        <v>Select</v>
      </c>
      <c r="F3171">
        <v>6</v>
      </c>
      <c r="G3171">
        <v>2</v>
      </c>
      <c r="H3171" t="s">
        <v>266</v>
      </c>
      <c r="I3171" t="str">
        <f>VLOOKUP(Tabla1[[#This Row],[Code]],'[1]Articulos Precio'!$A:$E,5,FALSE)</f>
        <v>A0000513</v>
      </c>
    </row>
    <row r="3172" spans="1:9" x14ac:dyDescent="0.25">
      <c r="A3172" t="s">
        <v>1153</v>
      </c>
      <c r="B3172" t="str">
        <f>VLOOKUP(Tabla1[[#This Row],[Code]],[1]!Tabla4[#Data],2,FALSE)</f>
        <v>M2 Metamark MetaScape M7A 148 Rojo Profundo 1,22 x 50m</v>
      </c>
      <c r="C3172">
        <v>37</v>
      </c>
      <c r="D3172" t="s">
        <v>1124</v>
      </c>
      <c r="E3172" t="str">
        <f>VLOOKUP(Tabla1[[#This Row],[Cód. Atributo]],[1]!Tabla5[#Data],6,FALSE)</f>
        <v>Select</v>
      </c>
      <c r="F3172">
        <v>7</v>
      </c>
      <c r="G3172">
        <v>1</v>
      </c>
      <c r="H3172" t="s">
        <v>1125</v>
      </c>
      <c r="I3172" t="str">
        <f>VLOOKUP(Tabla1[[#This Row],[Code]],'[1]Articulos Precio'!$A:$E,5,FALSE)</f>
        <v>A0000513</v>
      </c>
    </row>
    <row r="3173" spans="1:9" x14ac:dyDescent="0.25">
      <c r="A3173" t="s">
        <v>1155</v>
      </c>
      <c r="B3173" t="str">
        <f>VLOOKUP(Tabla1[[#This Row],[Code]],[1]!Tabla4[#Data],2,FALSE)</f>
        <v>M2 Metamark MetaScape M7A 149 Rojo Carmesí 1,22 x 50m</v>
      </c>
      <c r="C3173">
        <v>8</v>
      </c>
      <c r="D3173" t="s">
        <v>86</v>
      </c>
      <c r="E3173" t="str">
        <f>VLOOKUP(Tabla1[[#This Row],[Cód. Atributo]],[1]!Tabla5[#Data],6,FALSE)</f>
        <v>Select</v>
      </c>
      <c r="F3173">
        <v>1</v>
      </c>
      <c r="G3173">
        <v>2</v>
      </c>
      <c r="H3173" t="s">
        <v>268</v>
      </c>
      <c r="I3173" t="str">
        <f>VLOOKUP(Tabla1[[#This Row],[Code]],'[1]Articulos Precio'!$A:$E,5,FALSE)</f>
        <v>A0000513</v>
      </c>
    </row>
    <row r="3174" spans="1:9" x14ac:dyDescent="0.25">
      <c r="A3174" t="s">
        <v>1155</v>
      </c>
      <c r="B3174" t="str">
        <f>VLOOKUP(Tabla1[[#This Row],[Code]],[1]!Tabla4[#Data],2,FALSE)</f>
        <v>M2 Metamark MetaScape M7A 149 Rojo Carmesí 1,22 x 50m</v>
      </c>
      <c r="C3174">
        <v>13</v>
      </c>
      <c r="D3174" t="s">
        <v>491</v>
      </c>
      <c r="E3174" t="str">
        <f>VLOOKUP(Tabla1[[#This Row],[Cód. Atributo]],[1]!Tabla5[#Data],6,FALSE)</f>
        <v>Color</v>
      </c>
      <c r="F3174">
        <v>2</v>
      </c>
      <c r="G3174">
        <v>72</v>
      </c>
      <c r="H3174" t="s">
        <v>609</v>
      </c>
      <c r="I3174" t="str">
        <f>VLOOKUP(Tabla1[[#This Row],[Code]],'[1]Articulos Precio'!$A:$E,5,FALSE)</f>
        <v>A0000513</v>
      </c>
    </row>
    <row r="3175" spans="1:9" x14ac:dyDescent="0.25">
      <c r="A3175" t="s">
        <v>1155</v>
      </c>
      <c r="B3175" t="str">
        <f>VLOOKUP(Tabla1[[#This Row],[Code]],[1]!Tabla4[#Data],2,FALSE)</f>
        <v>M2 Metamark MetaScape M7A 149 Rojo Carmesí 1,22 x 50m</v>
      </c>
      <c r="C3175">
        <v>23</v>
      </c>
      <c r="D3175" t="s">
        <v>90</v>
      </c>
      <c r="E3175" t="str">
        <f>VLOOKUP(Tabla1[[#This Row],[Cód. Atributo]],[1]!Tabla5[#Data],6,FALSE)</f>
        <v>Select</v>
      </c>
      <c r="F3175">
        <v>3</v>
      </c>
      <c r="G3175">
        <v>2</v>
      </c>
      <c r="H3175" t="s">
        <v>136</v>
      </c>
      <c r="I3175" t="str">
        <f>VLOOKUP(Tabla1[[#This Row],[Code]],'[1]Articulos Precio'!$A:$E,5,FALSE)</f>
        <v>A0000513</v>
      </c>
    </row>
    <row r="3176" spans="1:9" x14ac:dyDescent="0.25">
      <c r="A3176" t="s">
        <v>1155</v>
      </c>
      <c r="B3176" t="str">
        <f>VLOOKUP(Tabla1[[#This Row],[Code]],[1]!Tabla4[#Data],2,FALSE)</f>
        <v>M2 Metamark MetaScape M7A 149 Rojo Carmesí 1,22 x 50m</v>
      </c>
      <c r="C3176">
        <v>28</v>
      </c>
      <c r="D3176" t="s">
        <v>92</v>
      </c>
      <c r="E3176" t="str">
        <f>VLOOKUP(Tabla1[[#This Row],[Cód. Atributo]],[1]!Tabla5[#Data],6,FALSE)</f>
        <v>Select</v>
      </c>
      <c r="F3176">
        <v>4</v>
      </c>
      <c r="G3176">
        <v>1</v>
      </c>
      <c r="H3176" t="s">
        <v>93</v>
      </c>
      <c r="I3176" t="str">
        <f>VLOOKUP(Tabla1[[#This Row],[Code]],'[1]Articulos Precio'!$A:$E,5,FALSE)</f>
        <v>A0000513</v>
      </c>
    </row>
    <row r="3177" spans="1:9" x14ac:dyDescent="0.25">
      <c r="A3177" t="s">
        <v>1155</v>
      </c>
      <c r="B3177" t="str">
        <f>VLOOKUP(Tabla1[[#This Row],[Code]],[1]!Tabla4[#Data],2,FALSE)</f>
        <v>M2 Metamark MetaScape M7A 149 Rojo Carmesí 1,22 x 50m</v>
      </c>
      <c r="C3177">
        <v>25</v>
      </c>
      <c r="D3177" t="s">
        <v>94</v>
      </c>
      <c r="E3177" t="str">
        <f>VLOOKUP(Tabla1[[#This Row],[Cód. Atributo]],[1]!Tabla5[#Data],6,FALSE)</f>
        <v>Select</v>
      </c>
      <c r="F3177">
        <v>5</v>
      </c>
      <c r="G3177">
        <v>4</v>
      </c>
      <c r="H3177" t="s">
        <v>137</v>
      </c>
      <c r="I3177" t="str">
        <f>VLOOKUP(Tabla1[[#This Row],[Code]],'[1]Articulos Precio'!$A:$E,5,FALSE)</f>
        <v>A0000513</v>
      </c>
    </row>
    <row r="3178" spans="1:9" x14ac:dyDescent="0.25">
      <c r="A3178" t="s">
        <v>1155</v>
      </c>
      <c r="B3178" t="str">
        <f>VLOOKUP(Tabla1[[#This Row],[Code]],[1]!Tabla4[#Data],2,FALSE)</f>
        <v>M2 Metamark MetaScape M7A 149 Rojo Carmesí 1,22 x 50m</v>
      </c>
      <c r="C3178">
        <v>24</v>
      </c>
      <c r="D3178" t="s">
        <v>96</v>
      </c>
      <c r="E3178" t="str">
        <f>VLOOKUP(Tabla1[[#This Row],[Cód. Atributo]],[1]!Tabla5[#Data],6,FALSE)</f>
        <v>Select</v>
      </c>
      <c r="F3178">
        <v>6</v>
      </c>
      <c r="G3178">
        <v>2</v>
      </c>
      <c r="H3178" t="s">
        <v>266</v>
      </c>
      <c r="I3178" t="str">
        <f>VLOOKUP(Tabla1[[#This Row],[Code]],'[1]Articulos Precio'!$A:$E,5,FALSE)</f>
        <v>A0000513</v>
      </c>
    </row>
    <row r="3179" spans="1:9" x14ac:dyDescent="0.25">
      <c r="A3179" t="s">
        <v>1156</v>
      </c>
      <c r="B3179" t="str">
        <f>VLOOKUP(Tabla1[[#This Row],[Code]],[1]!Tabla4[#Data],2,FALSE)</f>
        <v>M2 Metamark MetaScape M7A 151 Azul Olímpico 1,22 x 50m</v>
      </c>
      <c r="C3179">
        <v>8</v>
      </c>
      <c r="D3179" t="s">
        <v>86</v>
      </c>
      <c r="E3179" t="str">
        <f>VLOOKUP(Tabla1[[#This Row],[Cód. Atributo]],[1]!Tabla5[#Data],6,FALSE)</f>
        <v>Select</v>
      </c>
      <c r="F3179">
        <v>1</v>
      </c>
      <c r="G3179">
        <v>2</v>
      </c>
      <c r="H3179" t="s">
        <v>268</v>
      </c>
      <c r="I3179" t="str">
        <f>VLOOKUP(Tabla1[[#This Row],[Code]],'[1]Articulos Precio'!$A:$E,5,FALSE)</f>
        <v>A0000513</v>
      </c>
    </row>
    <row r="3180" spans="1:9" x14ac:dyDescent="0.25">
      <c r="A3180" t="s">
        <v>1156</v>
      </c>
      <c r="B3180" t="str">
        <f>VLOOKUP(Tabla1[[#This Row],[Code]],[1]!Tabla4[#Data],2,FALSE)</f>
        <v>M2 Metamark MetaScape M7A 151 Azul Olímpico 1,22 x 50m</v>
      </c>
      <c r="C3180">
        <v>13</v>
      </c>
      <c r="D3180" t="s">
        <v>491</v>
      </c>
      <c r="E3180" t="str">
        <f>VLOOKUP(Tabla1[[#This Row],[Cód. Atributo]],[1]!Tabla5[#Data],6,FALSE)</f>
        <v>Color</v>
      </c>
      <c r="F3180">
        <v>2</v>
      </c>
      <c r="G3180">
        <v>26</v>
      </c>
      <c r="H3180" t="s">
        <v>615</v>
      </c>
      <c r="I3180" t="str">
        <f>VLOOKUP(Tabla1[[#This Row],[Code]],'[1]Articulos Precio'!$A:$E,5,FALSE)</f>
        <v>A0000513</v>
      </c>
    </row>
    <row r="3181" spans="1:9" x14ac:dyDescent="0.25">
      <c r="A3181" t="s">
        <v>1156</v>
      </c>
      <c r="B3181" t="str">
        <f>VLOOKUP(Tabla1[[#This Row],[Code]],[1]!Tabla4[#Data],2,FALSE)</f>
        <v>M2 Metamark MetaScape M7A 151 Azul Olímpico 1,22 x 50m</v>
      </c>
      <c r="C3181">
        <v>23</v>
      </c>
      <c r="D3181" t="s">
        <v>90</v>
      </c>
      <c r="E3181" t="str">
        <f>VLOOKUP(Tabla1[[#This Row],[Cód. Atributo]],[1]!Tabla5[#Data],6,FALSE)</f>
        <v>Select</v>
      </c>
      <c r="F3181">
        <v>3</v>
      </c>
      <c r="G3181">
        <v>2</v>
      </c>
      <c r="H3181" t="s">
        <v>136</v>
      </c>
      <c r="I3181" t="str">
        <f>VLOOKUP(Tabla1[[#This Row],[Code]],'[1]Articulos Precio'!$A:$E,5,FALSE)</f>
        <v>A0000513</v>
      </c>
    </row>
    <row r="3182" spans="1:9" x14ac:dyDescent="0.25">
      <c r="A3182" t="s">
        <v>1156</v>
      </c>
      <c r="B3182" t="str">
        <f>VLOOKUP(Tabla1[[#This Row],[Code]],[1]!Tabla4[#Data],2,FALSE)</f>
        <v>M2 Metamark MetaScape M7A 151 Azul Olímpico 1,22 x 50m</v>
      </c>
      <c r="C3182">
        <v>28</v>
      </c>
      <c r="D3182" t="s">
        <v>92</v>
      </c>
      <c r="E3182" t="str">
        <f>VLOOKUP(Tabla1[[#This Row],[Cód. Atributo]],[1]!Tabla5[#Data],6,FALSE)</f>
        <v>Select</v>
      </c>
      <c r="F3182">
        <v>4</v>
      </c>
      <c r="G3182">
        <v>1</v>
      </c>
      <c r="H3182" t="s">
        <v>93</v>
      </c>
      <c r="I3182" t="str">
        <f>VLOOKUP(Tabla1[[#This Row],[Code]],'[1]Articulos Precio'!$A:$E,5,FALSE)</f>
        <v>A0000513</v>
      </c>
    </row>
    <row r="3183" spans="1:9" x14ac:dyDescent="0.25">
      <c r="A3183" t="s">
        <v>1156</v>
      </c>
      <c r="B3183" t="str">
        <f>VLOOKUP(Tabla1[[#This Row],[Code]],[1]!Tabla4[#Data],2,FALSE)</f>
        <v>M2 Metamark MetaScape M7A 151 Azul Olímpico 1,22 x 50m</v>
      </c>
      <c r="C3183">
        <v>25</v>
      </c>
      <c r="D3183" t="s">
        <v>94</v>
      </c>
      <c r="E3183" t="str">
        <f>VLOOKUP(Tabla1[[#This Row],[Cód. Atributo]],[1]!Tabla5[#Data],6,FALSE)</f>
        <v>Select</v>
      </c>
      <c r="F3183">
        <v>5</v>
      </c>
      <c r="G3183">
        <v>4</v>
      </c>
      <c r="H3183" t="s">
        <v>137</v>
      </c>
      <c r="I3183" t="str">
        <f>VLOOKUP(Tabla1[[#This Row],[Code]],'[1]Articulos Precio'!$A:$E,5,FALSE)</f>
        <v>A0000513</v>
      </c>
    </row>
    <row r="3184" spans="1:9" x14ac:dyDescent="0.25">
      <c r="A3184" t="s">
        <v>1156</v>
      </c>
      <c r="B3184" t="str">
        <f>VLOOKUP(Tabla1[[#This Row],[Code]],[1]!Tabla4[#Data],2,FALSE)</f>
        <v>M2 Metamark MetaScape M7A 151 Azul Olímpico 1,22 x 50m</v>
      </c>
      <c r="C3184">
        <v>24</v>
      </c>
      <c r="D3184" t="s">
        <v>96</v>
      </c>
      <c r="E3184" t="str">
        <f>VLOOKUP(Tabla1[[#This Row],[Cód. Atributo]],[1]!Tabla5[#Data],6,FALSE)</f>
        <v>Select</v>
      </c>
      <c r="F3184">
        <v>6</v>
      </c>
      <c r="G3184">
        <v>2</v>
      </c>
      <c r="H3184" t="s">
        <v>266</v>
      </c>
      <c r="I3184" t="str">
        <f>VLOOKUP(Tabla1[[#This Row],[Code]],'[1]Articulos Precio'!$A:$E,5,FALSE)</f>
        <v>A0000513</v>
      </c>
    </row>
    <row r="3185" spans="1:9" x14ac:dyDescent="0.25">
      <c r="A3185" t="s">
        <v>1157</v>
      </c>
      <c r="B3185" t="str">
        <f>VLOOKUP(Tabla1[[#This Row],[Code]],[1]!Tabla4[#Data],2,FALSE)</f>
        <v>M2 Metamark MetaScape M7A 154 Azul Medio 1,22 x 50m</v>
      </c>
      <c r="C3185">
        <v>8</v>
      </c>
      <c r="D3185" t="s">
        <v>86</v>
      </c>
      <c r="E3185" t="str">
        <f>VLOOKUP(Tabla1[[#This Row],[Cód. Atributo]],[1]!Tabla5[#Data],6,FALSE)</f>
        <v>Select</v>
      </c>
      <c r="F3185">
        <v>1</v>
      </c>
      <c r="G3185">
        <v>2</v>
      </c>
      <c r="H3185" t="s">
        <v>268</v>
      </c>
      <c r="I3185" t="str">
        <f>VLOOKUP(Tabla1[[#This Row],[Code]],'[1]Articulos Precio'!$A:$E,5,FALSE)</f>
        <v>A0000513</v>
      </c>
    </row>
    <row r="3186" spans="1:9" x14ac:dyDescent="0.25">
      <c r="A3186" t="s">
        <v>1157</v>
      </c>
      <c r="B3186" t="str">
        <f>VLOOKUP(Tabla1[[#This Row],[Code]],[1]!Tabla4[#Data],2,FALSE)</f>
        <v>M2 Metamark MetaScape M7A 154 Azul Medio 1,22 x 50m</v>
      </c>
      <c r="C3186">
        <v>12</v>
      </c>
      <c r="D3186" t="s">
        <v>1130</v>
      </c>
      <c r="E3186" t="str">
        <f>VLOOKUP(Tabla1[[#This Row],[Cód. Atributo]],[1]!Tabla5[#Data],6,FALSE)</f>
        <v>Color</v>
      </c>
      <c r="F3186">
        <v>2</v>
      </c>
      <c r="G3186">
        <v>11</v>
      </c>
      <c r="H3186" t="s">
        <v>1158</v>
      </c>
      <c r="I3186" t="str">
        <f>VLOOKUP(Tabla1[[#This Row],[Code]],'[1]Articulos Precio'!$A:$E,5,FALSE)</f>
        <v>A0000513</v>
      </c>
    </row>
    <row r="3187" spans="1:9" x14ac:dyDescent="0.25">
      <c r="A3187" t="s">
        <v>1157</v>
      </c>
      <c r="B3187" t="str">
        <f>VLOOKUP(Tabla1[[#This Row],[Code]],[1]!Tabla4[#Data],2,FALSE)</f>
        <v>M2 Metamark MetaScape M7A 154 Azul Medio 1,22 x 50m</v>
      </c>
      <c r="C3187">
        <v>23</v>
      </c>
      <c r="D3187" t="s">
        <v>90</v>
      </c>
      <c r="E3187" t="str">
        <f>VLOOKUP(Tabla1[[#This Row],[Cód. Atributo]],[1]!Tabla5[#Data],6,FALSE)</f>
        <v>Select</v>
      </c>
      <c r="F3187">
        <v>3</v>
      </c>
      <c r="G3187">
        <v>2</v>
      </c>
      <c r="H3187" t="s">
        <v>136</v>
      </c>
      <c r="I3187" t="str">
        <f>VLOOKUP(Tabla1[[#This Row],[Code]],'[1]Articulos Precio'!$A:$E,5,FALSE)</f>
        <v>A0000513</v>
      </c>
    </row>
    <row r="3188" spans="1:9" x14ac:dyDescent="0.25">
      <c r="A3188" t="s">
        <v>1157</v>
      </c>
      <c r="B3188" t="str">
        <f>VLOOKUP(Tabla1[[#This Row],[Code]],[1]!Tabla4[#Data],2,FALSE)</f>
        <v>M2 Metamark MetaScape M7A 154 Azul Medio 1,22 x 50m</v>
      </c>
      <c r="C3188">
        <v>28</v>
      </c>
      <c r="D3188" t="s">
        <v>92</v>
      </c>
      <c r="E3188" t="str">
        <f>VLOOKUP(Tabla1[[#This Row],[Cód. Atributo]],[1]!Tabla5[#Data],6,FALSE)</f>
        <v>Select</v>
      </c>
      <c r="F3188">
        <v>4</v>
      </c>
      <c r="G3188">
        <v>1</v>
      </c>
      <c r="H3188" t="s">
        <v>93</v>
      </c>
      <c r="I3188" t="str">
        <f>VLOOKUP(Tabla1[[#This Row],[Code]],'[1]Articulos Precio'!$A:$E,5,FALSE)</f>
        <v>A0000513</v>
      </c>
    </row>
    <row r="3189" spans="1:9" x14ac:dyDescent="0.25">
      <c r="A3189" t="s">
        <v>1157</v>
      </c>
      <c r="B3189" t="str">
        <f>VLOOKUP(Tabla1[[#This Row],[Code]],[1]!Tabla4[#Data],2,FALSE)</f>
        <v>M2 Metamark MetaScape M7A 154 Azul Medio 1,22 x 50m</v>
      </c>
      <c r="C3189">
        <v>25</v>
      </c>
      <c r="D3189" t="s">
        <v>94</v>
      </c>
      <c r="E3189" t="str">
        <f>VLOOKUP(Tabla1[[#This Row],[Cód. Atributo]],[1]!Tabla5[#Data],6,FALSE)</f>
        <v>Select</v>
      </c>
      <c r="F3189">
        <v>5</v>
      </c>
      <c r="G3189">
        <v>4</v>
      </c>
      <c r="H3189" t="s">
        <v>137</v>
      </c>
      <c r="I3189" t="str">
        <f>VLOOKUP(Tabla1[[#This Row],[Code]],'[1]Articulos Precio'!$A:$E,5,FALSE)</f>
        <v>A0000513</v>
      </c>
    </row>
    <row r="3190" spans="1:9" x14ac:dyDescent="0.25">
      <c r="A3190" t="s">
        <v>1157</v>
      </c>
      <c r="B3190" t="str">
        <f>VLOOKUP(Tabla1[[#This Row],[Code]],[1]!Tabla4[#Data],2,FALSE)</f>
        <v>M2 Metamark MetaScape M7A 154 Azul Medio 1,22 x 50m</v>
      </c>
      <c r="C3190">
        <v>24</v>
      </c>
      <c r="D3190" t="s">
        <v>96</v>
      </c>
      <c r="E3190" t="str">
        <f>VLOOKUP(Tabla1[[#This Row],[Cód. Atributo]],[1]!Tabla5[#Data],6,FALSE)</f>
        <v>Select</v>
      </c>
      <c r="F3190">
        <v>6</v>
      </c>
      <c r="G3190">
        <v>2</v>
      </c>
      <c r="H3190" t="s">
        <v>266</v>
      </c>
      <c r="I3190" t="str">
        <f>VLOOKUP(Tabla1[[#This Row],[Code]],'[1]Articulos Precio'!$A:$E,5,FALSE)</f>
        <v>A0000513</v>
      </c>
    </row>
    <row r="3191" spans="1:9" x14ac:dyDescent="0.25">
      <c r="A3191" t="s">
        <v>1157</v>
      </c>
      <c r="B3191" t="str">
        <f>VLOOKUP(Tabla1[[#This Row],[Code]],[1]!Tabla4[#Data],2,FALSE)</f>
        <v>M2 Metamark MetaScape M7A 154 Azul Medio 1,22 x 50m</v>
      </c>
      <c r="C3191">
        <v>37</v>
      </c>
      <c r="D3191" t="s">
        <v>1124</v>
      </c>
      <c r="E3191" t="str">
        <f>VLOOKUP(Tabla1[[#This Row],[Cód. Atributo]],[1]!Tabla5[#Data],6,FALSE)</f>
        <v>Select</v>
      </c>
      <c r="F3191">
        <v>7</v>
      </c>
      <c r="G3191">
        <v>1</v>
      </c>
      <c r="H3191" t="s">
        <v>1125</v>
      </c>
      <c r="I3191" t="str">
        <f>VLOOKUP(Tabla1[[#This Row],[Code]],'[1]Articulos Precio'!$A:$E,5,FALSE)</f>
        <v>A0000513</v>
      </c>
    </row>
    <row r="3192" spans="1:9" x14ac:dyDescent="0.25">
      <c r="A3192" t="s">
        <v>1159</v>
      </c>
      <c r="B3192" t="str">
        <f>VLOOKUP(Tabla1[[#This Row],[Code]],[1]!Tabla4[#Data],2,FALSE)</f>
        <v>M2 Metamark MetaScape M7A 155 Azul Ultramarino 1,22 x 50m</v>
      </c>
      <c r="C3192">
        <v>8</v>
      </c>
      <c r="D3192" t="s">
        <v>86</v>
      </c>
      <c r="E3192" t="str">
        <f>VLOOKUP(Tabla1[[#This Row],[Cód. Atributo]],[1]!Tabla5[#Data],6,FALSE)</f>
        <v>Select</v>
      </c>
      <c r="F3192">
        <v>1</v>
      </c>
      <c r="G3192">
        <v>2</v>
      </c>
      <c r="H3192" t="s">
        <v>268</v>
      </c>
      <c r="I3192" t="str">
        <f>VLOOKUP(Tabla1[[#This Row],[Code]],'[1]Articulos Precio'!$A:$E,5,FALSE)</f>
        <v>A0000513</v>
      </c>
    </row>
    <row r="3193" spans="1:9" x14ac:dyDescent="0.25">
      <c r="A3193" t="s">
        <v>1159</v>
      </c>
      <c r="B3193" t="str">
        <f>VLOOKUP(Tabla1[[#This Row],[Code]],[1]!Tabla4[#Data],2,FALSE)</f>
        <v>M2 Metamark MetaScape M7A 155 Azul Ultramarino 1,22 x 50m</v>
      </c>
      <c r="C3193">
        <v>12</v>
      </c>
      <c r="D3193" t="s">
        <v>1130</v>
      </c>
      <c r="E3193" t="str">
        <f>VLOOKUP(Tabla1[[#This Row],[Cód. Atributo]],[1]!Tabla5[#Data],6,FALSE)</f>
        <v>Color</v>
      </c>
      <c r="F3193">
        <v>2</v>
      </c>
      <c r="G3193">
        <v>12</v>
      </c>
      <c r="H3193" t="s">
        <v>1160</v>
      </c>
      <c r="I3193" t="str">
        <f>VLOOKUP(Tabla1[[#This Row],[Code]],'[1]Articulos Precio'!$A:$E,5,FALSE)</f>
        <v>A0000513</v>
      </c>
    </row>
    <row r="3194" spans="1:9" x14ac:dyDescent="0.25">
      <c r="A3194" t="s">
        <v>1159</v>
      </c>
      <c r="B3194" t="str">
        <f>VLOOKUP(Tabla1[[#This Row],[Code]],[1]!Tabla4[#Data],2,FALSE)</f>
        <v>M2 Metamark MetaScape M7A 155 Azul Ultramarino 1,22 x 50m</v>
      </c>
      <c r="C3194">
        <v>23</v>
      </c>
      <c r="D3194" t="s">
        <v>90</v>
      </c>
      <c r="E3194" t="str">
        <f>VLOOKUP(Tabla1[[#This Row],[Cód. Atributo]],[1]!Tabla5[#Data],6,FALSE)</f>
        <v>Select</v>
      </c>
      <c r="F3194">
        <v>3</v>
      </c>
      <c r="G3194">
        <v>2</v>
      </c>
      <c r="H3194" t="s">
        <v>136</v>
      </c>
      <c r="I3194" t="str">
        <f>VLOOKUP(Tabla1[[#This Row],[Code]],'[1]Articulos Precio'!$A:$E,5,FALSE)</f>
        <v>A0000513</v>
      </c>
    </row>
    <row r="3195" spans="1:9" x14ac:dyDescent="0.25">
      <c r="A3195" t="s">
        <v>1159</v>
      </c>
      <c r="B3195" t="str">
        <f>VLOOKUP(Tabla1[[#This Row],[Code]],[1]!Tabla4[#Data],2,FALSE)</f>
        <v>M2 Metamark MetaScape M7A 155 Azul Ultramarino 1,22 x 50m</v>
      </c>
      <c r="C3195">
        <v>28</v>
      </c>
      <c r="D3195" t="s">
        <v>92</v>
      </c>
      <c r="E3195" t="str">
        <f>VLOOKUP(Tabla1[[#This Row],[Cód. Atributo]],[1]!Tabla5[#Data],6,FALSE)</f>
        <v>Select</v>
      </c>
      <c r="F3195">
        <v>4</v>
      </c>
      <c r="G3195">
        <v>1</v>
      </c>
      <c r="H3195" t="s">
        <v>93</v>
      </c>
      <c r="I3195" t="str">
        <f>VLOOKUP(Tabla1[[#This Row],[Code]],'[1]Articulos Precio'!$A:$E,5,FALSE)</f>
        <v>A0000513</v>
      </c>
    </row>
    <row r="3196" spans="1:9" x14ac:dyDescent="0.25">
      <c r="A3196" t="s">
        <v>1159</v>
      </c>
      <c r="B3196" t="str">
        <f>VLOOKUP(Tabla1[[#This Row],[Code]],[1]!Tabla4[#Data],2,FALSE)</f>
        <v>M2 Metamark MetaScape M7A 155 Azul Ultramarino 1,22 x 50m</v>
      </c>
      <c r="C3196">
        <v>25</v>
      </c>
      <c r="D3196" t="s">
        <v>94</v>
      </c>
      <c r="E3196" t="str">
        <f>VLOOKUP(Tabla1[[#This Row],[Cód. Atributo]],[1]!Tabla5[#Data],6,FALSE)</f>
        <v>Select</v>
      </c>
      <c r="F3196">
        <v>5</v>
      </c>
      <c r="G3196">
        <v>4</v>
      </c>
      <c r="H3196" t="s">
        <v>137</v>
      </c>
      <c r="I3196" t="str">
        <f>VLOOKUP(Tabla1[[#This Row],[Code]],'[1]Articulos Precio'!$A:$E,5,FALSE)</f>
        <v>A0000513</v>
      </c>
    </row>
    <row r="3197" spans="1:9" x14ac:dyDescent="0.25">
      <c r="A3197" t="s">
        <v>1159</v>
      </c>
      <c r="B3197" t="str">
        <f>VLOOKUP(Tabla1[[#This Row],[Code]],[1]!Tabla4[#Data],2,FALSE)</f>
        <v>M2 Metamark MetaScape M7A 155 Azul Ultramarino 1,22 x 50m</v>
      </c>
      <c r="C3197">
        <v>24</v>
      </c>
      <c r="D3197" t="s">
        <v>96</v>
      </c>
      <c r="E3197" t="str">
        <f>VLOOKUP(Tabla1[[#This Row],[Cód. Atributo]],[1]!Tabla5[#Data],6,FALSE)</f>
        <v>Select</v>
      </c>
      <c r="F3197">
        <v>6</v>
      </c>
      <c r="G3197">
        <v>2</v>
      </c>
      <c r="H3197" t="s">
        <v>266</v>
      </c>
      <c r="I3197" t="str">
        <f>VLOOKUP(Tabla1[[#This Row],[Code]],'[1]Articulos Precio'!$A:$E,5,FALSE)</f>
        <v>A0000513</v>
      </c>
    </row>
    <row r="3198" spans="1:9" x14ac:dyDescent="0.25">
      <c r="A3198" t="s">
        <v>1159</v>
      </c>
      <c r="B3198" t="str">
        <f>VLOOKUP(Tabla1[[#This Row],[Code]],[1]!Tabla4[#Data],2,FALSE)</f>
        <v>M2 Metamark MetaScape M7A 155 Azul Ultramarino 1,22 x 50m</v>
      </c>
      <c r="C3198">
        <v>37</v>
      </c>
      <c r="D3198" t="s">
        <v>1124</v>
      </c>
      <c r="E3198" t="str">
        <f>VLOOKUP(Tabla1[[#This Row],[Cód. Atributo]],[1]!Tabla5[#Data],6,FALSE)</f>
        <v>Select</v>
      </c>
      <c r="F3198">
        <v>7</v>
      </c>
      <c r="G3198">
        <v>1</v>
      </c>
      <c r="H3198" t="s">
        <v>1125</v>
      </c>
      <c r="I3198" t="str">
        <f>VLOOKUP(Tabla1[[#This Row],[Code]],'[1]Articulos Precio'!$A:$E,5,FALSE)</f>
        <v>A0000513</v>
      </c>
    </row>
    <row r="3199" spans="1:9" x14ac:dyDescent="0.25">
      <c r="A3199" t="s">
        <v>1161</v>
      </c>
      <c r="B3199" t="str">
        <f>VLOOKUP(Tabla1[[#This Row],[Code]],[1]!Tabla4[#Data],2,FALSE)</f>
        <v>M2 Metamark MetaScape M7A 156 Azul Naval 1,22 x 50m</v>
      </c>
      <c r="C3199">
        <v>8</v>
      </c>
      <c r="D3199" t="s">
        <v>86</v>
      </c>
      <c r="E3199" t="str">
        <f>VLOOKUP(Tabla1[[#This Row],[Cód. Atributo]],[1]!Tabla5[#Data],6,FALSE)</f>
        <v>Select</v>
      </c>
      <c r="F3199">
        <v>1</v>
      </c>
      <c r="G3199">
        <v>2</v>
      </c>
      <c r="H3199" t="s">
        <v>268</v>
      </c>
      <c r="I3199" t="str">
        <f>VLOOKUP(Tabla1[[#This Row],[Code]],'[1]Articulos Precio'!$A:$E,5,FALSE)</f>
        <v>A0000513</v>
      </c>
    </row>
    <row r="3200" spans="1:9" x14ac:dyDescent="0.25">
      <c r="A3200" t="s">
        <v>1161</v>
      </c>
      <c r="B3200" t="str">
        <f>VLOOKUP(Tabla1[[#This Row],[Code]],[1]!Tabla4[#Data],2,FALSE)</f>
        <v>M2 Metamark MetaScape M7A 156 Azul Naval 1,22 x 50m</v>
      </c>
      <c r="C3200">
        <v>12</v>
      </c>
      <c r="D3200" t="s">
        <v>1130</v>
      </c>
      <c r="E3200" t="str">
        <f>VLOOKUP(Tabla1[[#This Row],[Cód. Atributo]],[1]!Tabla5[#Data],6,FALSE)</f>
        <v>Color</v>
      </c>
      <c r="F3200">
        <v>2</v>
      </c>
      <c r="G3200">
        <v>13</v>
      </c>
      <c r="H3200" t="s">
        <v>1162</v>
      </c>
      <c r="I3200" t="str">
        <f>VLOOKUP(Tabla1[[#This Row],[Code]],'[1]Articulos Precio'!$A:$E,5,FALSE)</f>
        <v>A0000513</v>
      </c>
    </row>
    <row r="3201" spans="1:9" x14ac:dyDescent="0.25">
      <c r="A3201" t="s">
        <v>1161</v>
      </c>
      <c r="B3201" t="str">
        <f>VLOOKUP(Tabla1[[#This Row],[Code]],[1]!Tabla4[#Data],2,FALSE)</f>
        <v>M2 Metamark MetaScape M7A 156 Azul Naval 1,22 x 50m</v>
      </c>
      <c r="C3201">
        <v>23</v>
      </c>
      <c r="D3201" t="s">
        <v>90</v>
      </c>
      <c r="E3201" t="str">
        <f>VLOOKUP(Tabla1[[#This Row],[Cód. Atributo]],[1]!Tabla5[#Data],6,FALSE)</f>
        <v>Select</v>
      </c>
      <c r="F3201">
        <v>3</v>
      </c>
      <c r="G3201">
        <v>2</v>
      </c>
      <c r="H3201" t="s">
        <v>136</v>
      </c>
      <c r="I3201" t="str">
        <f>VLOOKUP(Tabla1[[#This Row],[Code]],'[1]Articulos Precio'!$A:$E,5,FALSE)</f>
        <v>A0000513</v>
      </c>
    </row>
    <row r="3202" spans="1:9" x14ac:dyDescent="0.25">
      <c r="A3202" t="s">
        <v>1161</v>
      </c>
      <c r="B3202" t="str">
        <f>VLOOKUP(Tabla1[[#This Row],[Code]],[1]!Tabla4[#Data],2,FALSE)</f>
        <v>M2 Metamark MetaScape M7A 156 Azul Naval 1,22 x 50m</v>
      </c>
      <c r="C3202">
        <v>28</v>
      </c>
      <c r="D3202" t="s">
        <v>92</v>
      </c>
      <c r="E3202" t="str">
        <f>VLOOKUP(Tabla1[[#This Row],[Cód. Atributo]],[1]!Tabla5[#Data],6,FALSE)</f>
        <v>Select</v>
      </c>
      <c r="F3202">
        <v>4</v>
      </c>
      <c r="G3202">
        <v>1</v>
      </c>
      <c r="H3202" t="s">
        <v>93</v>
      </c>
      <c r="I3202" t="str">
        <f>VLOOKUP(Tabla1[[#This Row],[Code]],'[1]Articulos Precio'!$A:$E,5,FALSE)</f>
        <v>A0000513</v>
      </c>
    </row>
    <row r="3203" spans="1:9" x14ac:dyDescent="0.25">
      <c r="A3203" t="s">
        <v>1161</v>
      </c>
      <c r="B3203" t="str">
        <f>VLOOKUP(Tabla1[[#This Row],[Code]],[1]!Tabla4[#Data],2,FALSE)</f>
        <v>M2 Metamark MetaScape M7A 156 Azul Naval 1,22 x 50m</v>
      </c>
      <c r="C3203">
        <v>25</v>
      </c>
      <c r="D3203" t="s">
        <v>94</v>
      </c>
      <c r="E3203" t="str">
        <f>VLOOKUP(Tabla1[[#This Row],[Cód. Atributo]],[1]!Tabla5[#Data],6,FALSE)</f>
        <v>Select</v>
      </c>
      <c r="F3203">
        <v>5</v>
      </c>
      <c r="G3203">
        <v>4</v>
      </c>
      <c r="H3203" t="s">
        <v>137</v>
      </c>
      <c r="I3203" t="str">
        <f>VLOOKUP(Tabla1[[#This Row],[Code]],'[1]Articulos Precio'!$A:$E,5,FALSE)</f>
        <v>A0000513</v>
      </c>
    </row>
    <row r="3204" spans="1:9" x14ac:dyDescent="0.25">
      <c r="A3204" t="s">
        <v>1161</v>
      </c>
      <c r="B3204" t="str">
        <f>VLOOKUP(Tabla1[[#This Row],[Code]],[1]!Tabla4[#Data],2,FALSE)</f>
        <v>M2 Metamark MetaScape M7A 156 Azul Naval 1,22 x 50m</v>
      </c>
      <c r="C3204">
        <v>24</v>
      </c>
      <c r="D3204" t="s">
        <v>96</v>
      </c>
      <c r="E3204" t="str">
        <f>VLOOKUP(Tabla1[[#This Row],[Cód. Atributo]],[1]!Tabla5[#Data],6,FALSE)</f>
        <v>Select</v>
      </c>
      <c r="F3204">
        <v>6</v>
      </c>
      <c r="G3204">
        <v>2</v>
      </c>
      <c r="H3204" t="s">
        <v>266</v>
      </c>
      <c r="I3204" t="str">
        <f>VLOOKUP(Tabla1[[#This Row],[Code]],'[1]Articulos Precio'!$A:$E,5,FALSE)</f>
        <v>A0000513</v>
      </c>
    </row>
    <row r="3205" spans="1:9" x14ac:dyDescent="0.25">
      <c r="A3205" t="s">
        <v>1161</v>
      </c>
      <c r="B3205" t="str">
        <f>VLOOKUP(Tabla1[[#This Row],[Code]],[1]!Tabla4[#Data],2,FALSE)</f>
        <v>M2 Metamark MetaScape M7A 156 Azul Naval 1,22 x 50m</v>
      </c>
      <c r="C3205">
        <v>37</v>
      </c>
      <c r="D3205" t="s">
        <v>1124</v>
      </c>
      <c r="E3205" t="str">
        <f>VLOOKUP(Tabla1[[#This Row],[Cód. Atributo]],[1]!Tabla5[#Data],6,FALSE)</f>
        <v>Select</v>
      </c>
      <c r="F3205">
        <v>7</v>
      </c>
      <c r="G3205">
        <v>1</v>
      </c>
      <c r="H3205" t="s">
        <v>1125</v>
      </c>
      <c r="I3205" t="str">
        <f>VLOOKUP(Tabla1[[#This Row],[Code]],'[1]Articulos Precio'!$A:$E,5,FALSE)</f>
        <v>A0000513</v>
      </c>
    </row>
    <row r="3206" spans="1:9" x14ac:dyDescent="0.25">
      <c r="A3206" t="s">
        <v>1163</v>
      </c>
      <c r="B3206" t="str">
        <f>VLOOKUP(Tabla1[[#This Row],[Code]],[1]!Tabla4[#Data],2,FALSE)</f>
        <v>M2 Metamark MetaScape M7A 164 Verde Bosque 1,22 x 50m</v>
      </c>
      <c r="C3206">
        <v>8</v>
      </c>
      <c r="D3206" t="s">
        <v>86</v>
      </c>
      <c r="E3206" t="str">
        <f>VLOOKUP(Tabla1[[#This Row],[Cód. Atributo]],[1]!Tabla5[#Data],6,FALSE)</f>
        <v>Select</v>
      </c>
      <c r="F3206">
        <v>1</v>
      </c>
      <c r="G3206">
        <v>2</v>
      </c>
      <c r="H3206" t="s">
        <v>268</v>
      </c>
      <c r="I3206" t="str">
        <f>VLOOKUP(Tabla1[[#This Row],[Code]],'[1]Articulos Precio'!$A:$E,5,FALSE)</f>
        <v>A0000513</v>
      </c>
    </row>
    <row r="3207" spans="1:9" x14ac:dyDescent="0.25">
      <c r="A3207" t="s">
        <v>1163</v>
      </c>
      <c r="B3207" t="str">
        <f>VLOOKUP(Tabla1[[#This Row],[Code]],[1]!Tabla4[#Data],2,FALSE)</f>
        <v>M2 Metamark MetaScape M7A 164 Verde Bosque 1,22 x 50m</v>
      </c>
      <c r="C3207">
        <v>12</v>
      </c>
      <c r="D3207" t="s">
        <v>1130</v>
      </c>
      <c r="E3207" t="str">
        <f>VLOOKUP(Tabla1[[#This Row],[Cód. Atributo]],[1]!Tabla5[#Data],6,FALSE)</f>
        <v>Color</v>
      </c>
      <c r="F3207">
        <v>2</v>
      </c>
      <c r="G3207">
        <v>14</v>
      </c>
      <c r="H3207" t="s">
        <v>1164</v>
      </c>
      <c r="I3207" t="str">
        <f>VLOOKUP(Tabla1[[#This Row],[Code]],'[1]Articulos Precio'!$A:$E,5,FALSE)</f>
        <v>A0000513</v>
      </c>
    </row>
    <row r="3208" spans="1:9" x14ac:dyDescent="0.25">
      <c r="A3208" t="s">
        <v>1163</v>
      </c>
      <c r="B3208" t="str">
        <f>VLOOKUP(Tabla1[[#This Row],[Code]],[1]!Tabla4[#Data],2,FALSE)</f>
        <v>M2 Metamark MetaScape M7A 164 Verde Bosque 1,22 x 50m</v>
      </c>
      <c r="C3208">
        <v>23</v>
      </c>
      <c r="D3208" t="s">
        <v>90</v>
      </c>
      <c r="E3208" t="str">
        <f>VLOOKUP(Tabla1[[#This Row],[Cód. Atributo]],[1]!Tabla5[#Data],6,FALSE)</f>
        <v>Select</v>
      </c>
      <c r="F3208">
        <v>3</v>
      </c>
      <c r="G3208">
        <v>2</v>
      </c>
      <c r="H3208" t="s">
        <v>136</v>
      </c>
      <c r="I3208" t="str">
        <f>VLOOKUP(Tabla1[[#This Row],[Code]],'[1]Articulos Precio'!$A:$E,5,FALSE)</f>
        <v>A0000513</v>
      </c>
    </row>
    <row r="3209" spans="1:9" x14ac:dyDescent="0.25">
      <c r="A3209" t="s">
        <v>1163</v>
      </c>
      <c r="B3209" t="str">
        <f>VLOOKUP(Tabla1[[#This Row],[Code]],[1]!Tabla4[#Data],2,FALSE)</f>
        <v>M2 Metamark MetaScape M7A 164 Verde Bosque 1,22 x 50m</v>
      </c>
      <c r="C3209">
        <v>28</v>
      </c>
      <c r="D3209" t="s">
        <v>92</v>
      </c>
      <c r="E3209" t="str">
        <f>VLOOKUP(Tabla1[[#This Row],[Cód. Atributo]],[1]!Tabla5[#Data],6,FALSE)</f>
        <v>Select</v>
      </c>
      <c r="F3209">
        <v>4</v>
      </c>
      <c r="G3209">
        <v>1</v>
      </c>
      <c r="H3209" t="s">
        <v>93</v>
      </c>
      <c r="I3209" t="str">
        <f>VLOOKUP(Tabla1[[#This Row],[Code]],'[1]Articulos Precio'!$A:$E,5,FALSE)</f>
        <v>A0000513</v>
      </c>
    </row>
    <row r="3210" spans="1:9" x14ac:dyDescent="0.25">
      <c r="A3210" t="s">
        <v>1163</v>
      </c>
      <c r="B3210" t="str">
        <f>VLOOKUP(Tabla1[[#This Row],[Code]],[1]!Tabla4[#Data],2,FALSE)</f>
        <v>M2 Metamark MetaScape M7A 164 Verde Bosque 1,22 x 50m</v>
      </c>
      <c r="C3210">
        <v>25</v>
      </c>
      <c r="D3210" t="s">
        <v>94</v>
      </c>
      <c r="E3210" t="str">
        <f>VLOOKUP(Tabla1[[#This Row],[Cód. Atributo]],[1]!Tabla5[#Data],6,FALSE)</f>
        <v>Select</v>
      </c>
      <c r="F3210">
        <v>5</v>
      </c>
      <c r="G3210">
        <v>4</v>
      </c>
      <c r="H3210" t="s">
        <v>137</v>
      </c>
      <c r="I3210" t="str">
        <f>VLOOKUP(Tabla1[[#This Row],[Code]],'[1]Articulos Precio'!$A:$E,5,FALSE)</f>
        <v>A0000513</v>
      </c>
    </row>
    <row r="3211" spans="1:9" x14ac:dyDescent="0.25">
      <c r="A3211" t="s">
        <v>1163</v>
      </c>
      <c r="B3211" t="str">
        <f>VLOOKUP(Tabla1[[#This Row],[Code]],[1]!Tabla4[#Data],2,FALSE)</f>
        <v>M2 Metamark MetaScape M7A 164 Verde Bosque 1,22 x 50m</v>
      </c>
      <c r="C3211">
        <v>24</v>
      </c>
      <c r="D3211" t="s">
        <v>96</v>
      </c>
      <c r="E3211" t="str">
        <f>VLOOKUP(Tabla1[[#This Row],[Cód. Atributo]],[1]!Tabla5[#Data],6,FALSE)</f>
        <v>Select</v>
      </c>
      <c r="F3211">
        <v>6</v>
      </c>
      <c r="G3211">
        <v>2</v>
      </c>
      <c r="H3211" t="s">
        <v>266</v>
      </c>
      <c r="I3211" t="str">
        <f>VLOOKUP(Tabla1[[#This Row],[Code]],'[1]Articulos Precio'!$A:$E,5,FALSE)</f>
        <v>A0000513</v>
      </c>
    </row>
    <row r="3212" spans="1:9" x14ac:dyDescent="0.25">
      <c r="A3212" t="s">
        <v>1163</v>
      </c>
      <c r="B3212" t="str">
        <f>VLOOKUP(Tabla1[[#This Row],[Code]],[1]!Tabla4[#Data],2,FALSE)</f>
        <v>M2 Metamark MetaScape M7A 164 Verde Bosque 1,22 x 50m</v>
      </c>
      <c r="C3212">
        <v>37</v>
      </c>
      <c r="D3212" t="s">
        <v>1124</v>
      </c>
      <c r="E3212" t="str">
        <f>VLOOKUP(Tabla1[[#This Row],[Cód. Atributo]],[1]!Tabla5[#Data],6,FALSE)</f>
        <v>Select</v>
      </c>
      <c r="F3212">
        <v>7</v>
      </c>
      <c r="G3212">
        <v>1</v>
      </c>
      <c r="H3212" t="s">
        <v>1125</v>
      </c>
      <c r="I3212" t="str">
        <f>VLOOKUP(Tabla1[[#This Row],[Code]],'[1]Articulos Precio'!$A:$E,5,FALSE)</f>
        <v>A0000513</v>
      </c>
    </row>
    <row r="3213" spans="1:9" x14ac:dyDescent="0.25">
      <c r="A3213" t="s">
        <v>1165</v>
      </c>
      <c r="B3213" t="str">
        <f>VLOOKUP(Tabla1[[#This Row],[Code]],[1]!Tabla4[#Data],2,FALSE)</f>
        <v>M2 Metamark MetaScape M7A 190 Plata 1,22 x 50m</v>
      </c>
      <c r="C3213">
        <v>8</v>
      </c>
      <c r="D3213" t="s">
        <v>86</v>
      </c>
      <c r="E3213" t="str">
        <f>VLOOKUP(Tabla1[[#This Row],[Cód. Atributo]],[1]!Tabla5[#Data],6,FALSE)</f>
        <v>Select</v>
      </c>
      <c r="F3213">
        <v>1</v>
      </c>
      <c r="G3213">
        <v>2</v>
      </c>
      <c r="H3213" t="s">
        <v>268</v>
      </c>
      <c r="I3213" t="str">
        <f>VLOOKUP(Tabla1[[#This Row],[Code]],'[1]Articulos Precio'!$A:$E,5,FALSE)</f>
        <v>A0000513</v>
      </c>
    </row>
    <row r="3214" spans="1:9" x14ac:dyDescent="0.25">
      <c r="A3214" t="s">
        <v>1165</v>
      </c>
      <c r="B3214" t="str">
        <f>VLOOKUP(Tabla1[[#This Row],[Code]],[1]!Tabla4[#Data],2,FALSE)</f>
        <v>M2 Metamark MetaScape M7A 190 Plata 1,22 x 50m</v>
      </c>
      <c r="C3214">
        <v>12</v>
      </c>
      <c r="D3214" t="s">
        <v>1130</v>
      </c>
      <c r="E3214" t="str">
        <f>VLOOKUP(Tabla1[[#This Row],[Cód. Atributo]],[1]!Tabla5[#Data],6,FALSE)</f>
        <v>Color</v>
      </c>
      <c r="F3214">
        <v>2</v>
      </c>
      <c r="G3214">
        <v>15</v>
      </c>
      <c r="H3214" t="s">
        <v>1166</v>
      </c>
      <c r="I3214" t="str">
        <f>VLOOKUP(Tabla1[[#This Row],[Code]],'[1]Articulos Precio'!$A:$E,5,FALSE)</f>
        <v>A0000513</v>
      </c>
    </row>
    <row r="3215" spans="1:9" x14ac:dyDescent="0.25">
      <c r="A3215" t="s">
        <v>1165</v>
      </c>
      <c r="B3215" t="str">
        <f>VLOOKUP(Tabla1[[#This Row],[Code]],[1]!Tabla4[#Data],2,FALSE)</f>
        <v>M2 Metamark MetaScape M7A 190 Plata 1,22 x 50m</v>
      </c>
      <c r="C3215">
        <v>23</v>
      </c>
      <c r="D3215" t="s">
        <v>90</v>
      </c>
      <c r="E3215" t="str">
        <f>VLOOKUP(Tabla1[[#This Row],[Cód. Atributo]],[1]!Tabla5[#Data],6,FALSE)</f>
        <v>Select</v>
      </c>
      <c r="F3215">
        <v>3</v>
      </c>
      <c r="G3215">
        <v>2</v>
      </c>
      <c r="H3215" t="s">
        <v>136</v>
      </c>
      <c r="I3215" t="str">
        <f>VLOOKUP(Tabla1[[#This Row],[Code]],'[1]Articulos Precio'!$A:$E,5,FALSE)</f>
        <v>A0000513</v>
      </c>
    </row>
    <row r="3216" spans="1:9" x14ac:dyDescent="0.25">
      <c r="A3216" t="s">
        <v>1165</v>
      </c>
      <c r="B3216" t="str">
        <f>VLOOKUP(Tabla1[[#This Row],[Code]],[1]!Tabla4[#Data],2,FALSE)</f>
        <v>M2 Metamark MetaScape M7A 190 Plata 1,22 x 50m</v>
      </c>
      <c r="C3216">
        <v>28</v>
      </c>
      <c r="D3216" t="s">
        <v>92</v>
      </c>
      <c r="E3216" t="str">
        <f>VLOOKUP(Tabla1[[#This Row],[Cód. Atributo]],[1]!Tabla5[#Data],6,FALSE)</f>
        <v>Select</v>
      </c>
      <c r="F3216">
        <v>4</v>
      </c>
      <c r="G3216">
        <v>1</v>
      </c>
      <c r="H3216" t="s">
        <v>93</v>
      </c>
      <c r="I3216" t="str">
        <f>VLOOKUP(Tabla1[[#This Row],[Code]],'[1]Articulos Precio'!$A:$E,5,FALSE)</f>
        <v>A0000513</v>
      </c>
    </row>
    <row r="3217" spans="1:9" x14ac:dyDescent="0.25">
      <c r="A3217" t="s">
        <v>1165</v>
      </c>
      <c r="B3217" t="str">
        <f>VLOOKUP(Tabla1[[#This Row],[Code]],[1]!Tabla4[#Data],2,FALSE)</f>
        <v>M2 Metamark MetaScape M7A 190 Plata 1,22 x 50m</v>
      </c>
      <c r="C3217">
        <v>25</v>
      </c>
      <c r="D3217" t="s">
        <v>94</v>
      </c>
      <c r="E3217" t="str">
        <f>VLOOKUP(Tabla1[[#This Row],[Cód. Atributo]],[1]!Tabla5[#Data],6,FALSE)</f>
        <v>Select</v>
      </c>
      <c r="F3217">
        <v>5</v>
      </c>
      <c r="G3217">
        <v>4</v>
      </c>
      <c r="H3217" t="s">
        <v>137</v>
      </c>
      <c r="I3217" t="str">
        <f>VLOOKUP(Tabla1[[#This Row],[Code]],'[1]Articulos Precio'!$A:$E,5,FALSE)</f>
        <v>A0000513</v>
      </c>
    </row>
    <row r="3218" spans="1:9" x14ac:dyDescent="0.25">
      <c r="A3218" t="s">
        <v>1165</v>
      </c>
      <c r="B3218" t="str">
        <f>VLOOKUP(Tabla1[[#This Row],[Code]],[1]!Tabla4[#Data],2,FALSE)</f>
        <v>M2 Metamark MetaScape M7A 190 Plata 1,22 x 50m</v>
      </c>
      <c r="C3218">
        <v>24</v>
      </c>
      <c r="D3218" t="s">
        <v>96</v>
      </c>
      <c r="E3218" t="str">
        <f>VLOOKUP(Tabla1[[#This Row],[Cód. Atributo]],[1]!Tabla5[#Data],6,FALSE)</f>
        <v>Select</v>
      </c>
      <c r="F3218">
        <v>6</v>
      </c>
      <c r="G3218">
        <v>2</v>
      </c>
      <c r="H3218" t="s">
        <v>266</v>
      </c>
      <c r="I3218" t="str">
        <f>VLOOKUP(Tabla1[[#This Row],[Code]],'[1]Articulos Precio'!$A:$E,5,FALSE)</f>
        <v>A0000513</v>
      </c>
    </row>
    <row r="3219" spans="1:9" x14ac:dyDescent="0.25">
      <c r="A3219" t="s">
        <v>1165</v>
      </c>
      <c r="B3219" t="str">
        <f>VLOOKUP(Tabla1[[#This Row],[Code]],[1]!Tabla4[#Data],2,FALSE)</f>
        <v>M2 Metamark MetaScape M7A 190 Plata 1,22 x 50m</v>
      </c>
      <c r="C3219">
        <v>37</v>
      </c>
      <c r="D3219" t="s">
        <v>1124</v>
      </c>
      <c r="E3219" t="str">
        <f>VLOOKUP(Tabla1[[#This Row],[Cód. Atributo]],[1]!Tabla5[#Data],6,FALSE)</f>
        <v>Select</v>
      </c>
      <c r="F3219">
        <v>7</v>
      </c>
      <c r="G3219">
        <v>1</v>
      </c>
      <c r="H3219" t="s">
        <v>1125</v>
      </c>
      <c r="I3219" t="str">
        <f>VLOOKUP(Tabla1[[#This Row],[Code]],'[1]Articulos Precio'!$A:$E,5,FALSE)</f>
        <v>A0000513</v>
      </c>
    </row>
    <row r="3220" spans="1:9" x14ac:dyDescent="0.25">
      <c r="A3220" t="s">
        <v>1167</v>
      </c>
      <c r="B3220" t="str">
        <f>VLOOKUP(Tabla1[[#This Row],[Code]],[1]!Tabla4[#Data],2,FALSE)</f>
        <v>M2 Metamark MetaScape M7A 192 Gris Carbón 1,22 x 50m</v>
      </c>
      <c r="C3220">
        <v>8</v>
      </c>
      <c r="D3220" t="s">
        <v>86</v>
      </c>
      <c r="E3220" t="str">
        <f>VLOOKUP(Tabla1[[#This Row],[Cód. Atributo]],[1]!Tabla5[#Data],6,FALSE)</f>
        <v>Select</v>
      </c>
      <c r="F3220">
        <v>1</v>
      </c>
      <c r="G3220">
        <v>2</v>
      </c>
      <c r="H3220" t="s">
        <v>268</v>
      </c>
      <c r="I3220" t="str">
        <f>VLOOKUP(Tabla1[[#This Row],[Code]],'[1]Articulos Precio'!$A:$E,5,FALSE)</f>
        <v>A0000513</v>
      </c>
    </row>
    <row r="3221" spans="1:9" x14ac:dyDescent="0.25">
      <c r="A3221" t="s">
        <v>1167</v>
      </c>
      <c r="B3221" t="str">
        <f>VLOOKUP(Tabla1[[#This Row],[Code]],[1]!Tabla4[#Data],2,FALSE)</f>
        <v>M2 Metamark MetaScape M7A 192 Gris Carbón 1,22 x 50m</v>
      </c>
      <c r="C3221">
        <v>12</v>
      </c>
      <c r="D3221" t="s">
        <v>1130</v>
      </c>
      <c r="E3221" t="str">
        <f>VLOOKUP(Tabla1[[#This Row],[Cód. Atributo]],[1]!Tabla5[#Data],6,FALSE)</f>
        <v>Color</v>
      </c>
      <c r="F3221">
        <v>2</v>
      </c>
      <c r="G3221">
        <v>16</v>
      </c>
      <c r="H3221" t="s">
        <v>1168</v>
      </c>
      <c r="I3221" t="str">
        <f>VLOOKUP(Tabla1[[#This Row],[Code]],'[1]Articulos Precio'!$A:$E,5,FALSE)</f>
        <v>A0000513</v>
      </c>
    </row>
    <row r="3222" spans="1:9" x14ac:dyDescent="0.25">
      <c r="A3222" t="s">
        <v>1167</v>
      </c>
      <c r="B3222" t="str">
        <f>VLOOKUP(Tabla1[[#This Row],[Code]],[1]!Tabla4[#Data],2,FALSE)</f>
        <v>M2 Metamark MetaScape M7A 192 Gris Carbón 1,22 x 50m</v>
      </c>
      <c r="C3222">
        <v>23</v>
      </c>
      <c r="D3222" t="s">
        <v>90</v>
      </c>
      <c r="E3222" t="str">
        <f>VLOOKUP(Tabla1[[#This Row],[Cód. Atributo]],[1]!Tabla5[#Data],6,FALSE)</f>
        <v>Select</v>
      </c>
      <c r="F3222">
        <v>3</v>
      </c>
      <c r="G3222">
        <v>2</v>
      </c>
      <c r="H3222" t="s">
        <v>136</v>
      </c>
      <c r="I3222" t="str">
        <f>VLOOKUP(Tabla1[[#This Row],[Code]],'[1]Articulos Precio'!$A:$E,5,FALSE)</f>
        <v>A0000513</v>
      </c>
    </row>
    <row r="3223" spans="1:9" x14ac:dyDescent="0.25">
      <c r="A3223" t="s">
        <v>1167</v>
      </c>
      <c r="B3223" t="str">
        <f>VLOOKUP(Tabla1[[#This Row],[Code]],[1]!Tabla4[#Data],2,FALSE)</f>
        <v>M2 Metamark MetaScape M7A 192 Gris Carbón 1,22 x 50m</v>
      </c>
      <c r="C3223">
        <v>28</v>
      </c>
      <c r="D3223" t="s">
        <v>92</v>
      </c>
      <c r="E3223" t="str">
        <f>VLOOKUP(Tabla1[[#This Row],[Cód. Atributo]],[1]!Tabla5[#Data],6,FALSE)</f>
        <v>Select</v>
      </c>
      <c r="F3223">
        <v>4</v>
      </c>
      <c r="G3223">
        <v>1</v>
      </c>
      <c r="H3223" t="s">
        <v>93</v>
      </c>
      <c r="I3223" t="str">
        <f>VLOOKUP(Tabla1[[#This Row],[Code]],'[1]Articulos Precio'!$A:$E,5,FALSE)</f>
        <v>A0000513</v>
      </c>
    </row>
    <row r="3224" spans="1:9" x14ac:dyDescent="0.25">
      <c r="A3224" t="s">
        <v>1167</v>
      </c>
      <c r="B3224" t="str">
        <f>VLOOKUP(Tabla1[[#This Row],[Code]],[1]!Tabla4[#Data],2,FALSE)</f>
        <v>M2 Metamark MetaScape M7A 192 Gris Carbón 1,22 x 50m</v>
      </c>
      <c r="C3224">
        <v>25</v>
      </c>
      <c r="D3224" t="s">
        <v>94</v>
      </c>
      <c r="E3224" t="str">
        <f>VLOOKUP(Tabla1[[#This Row],[Cód. Atributo]],[1]!Tabla5[#Data],6,FALSE)</f>
        <v>Select</v>
      </c>
      <c r="F3224">
        <v>5</v>
      </c>
      <c r="G3224">
        <v>4</v>
      </c>
      <c r="H3224" t="s">
        <v>137</v>
      </c>
      <c r="I3224" t="str">
        <f>VLOOKUP(Tabla1[[#This Row],[Code]],'[1]Articulos Precio'!$A:$E,5,FALSE)</f>
        <v>A0000513</v>
      </c>
    </row>
    <row r="3225" spans="1:9" x14ac:dyDescent="0.25">
      <c r="A3225" t="s">
        <v>1167</v>
      </c>
      <c r="B3225" t="str">
        <f>VLOOKUP(Tabla1[[#This Row],[Code]],[1]!Tabla4[#Data],2,FALSE)</f>
        <v>M2 Metamark MetaScape M7A 192 Gris Carbón 1,22 x 50m</v>
      </c>
      <c r="C3225">
        <v>24</v>
      </c>
      <c r="D3225" t="s">
        <v>96</v>
      </c>
      <c r="E3225" t="str">
        <f>VLOOKUP(Tabla1[[#This Row],[Cód. Atributo]],[1]!Tabla5[#Data],6,FALSE)</f>
        <v>Select</v>
      </c>
      <c r="F3225">
        <v>6</v>
      </c>
      <c r="G3225">
        <v>2</v>
      </c>
      <c r="H3225" t="s">
        <v>266</v>
      </c>
      <c r="I3225" t="str">
        <f>VLOOKUP(Tabla1[[#This Row],[Code]],'[1]Articulos Precio'!$A:$E,5,FALSE)</f>
        <v>A0000513</v>
      </c>
    </row>
    <row r="3226" spans="1:9" x14ac:dyDescent="0.25">
      <c r="A3226" t="s">
        <v>1167</v>
      </c>
      <c r="B3226" t="str">
        <f>VLOOKUP(Tabla1[[#This Row],[Code]],[1]!Tabla4[#Data],2,FALSE)</f>
        <v>M2 Metamark MetaScape M7A 192 Gris Carbón 1,22 x 50m</v>
      </c>
      <c r="C3226">
        <v>37</v>
      </c>
      <c r="D3226" t="s">
        <v>1124</v>
      </c>
      <c r="E3226" t="str">
        <f>VLOOKUP(Tabla1[[#This Row],[Cód. Atributo]],[1]!Tabla5[#Data],6,FALSE)</f>
        <v>Select</v>
      </c>
      <c r="F3226">
        <v>7</v>
      </c>
      <c r="G3226">
        <v>1</v>
      </c>
      <c r="H3226" t="s">
        <v>1125</v>
      </c>
      <c r="I3226" t="str">
        <f>VLOOKUP(Tabla1[[#This Row],[Code]],'[1]Articulos Precio'!$A:$E,5,FALSE)</f>
        <v>A0000513</v>
      </c>
    </row>
    <row r="3227" spans="1:9" x14ac:dyDescent="0.25">
      <c r="A3227" t="s">
        <v>1169</v>
      </c>
      <c r="B3227" t="str">
        <f>VLOOKUP(Tabla1[[#This Row],[Code]],[1]!Tabla4[#Data],2,FALSE)</f>
        <v>M2 Metamark MetaScape M7A 198 Verde Natural 1,22 x 50m</v>
      </c>
      <c r="C3227">
        <v>8</v>
      </c>
      <c r="D3227" t="s">
        <v>86</v>
      </c>
      <c r="E3227" t="str">
        <f>VLOOKUP(Tabla1[[#This Row],[Cód. Atributo]],[1]!Tabla5[#Data],6,FALSE)</f>
        <v>Select</v>
      </c>
      <c r="F3227">
        <v>1</v>
      </c>
      <c r="G3227">
        <v>2</v>
      </c>
      <c r="H3227" t="s">
        <v>268</v>
      </c>
      <c r="I3227" t="str">
        <f>VLOOKUP(Tabla1[[#This Row],[Code]],'[1]Articulos Precio'!$A:$E,5,FALSE)</f>
        <v>A0000513</v>
      </c>
    </row>
    <row r="3228" spans="1:9" x14ac:dyDescent="0.25">
      <c r="A3228" t="s">
        <v>1169</v>
      </c>
      <c r="B3228" t="str">
        <f>VLOOKUP(Tabla1[[#This Row],[Code]],[1]!Tabla4[#Data],2,FALSE)</f>
        <v>M2 Metamark MetaScape M7A 198 Verde Natural 1,22 x 50m</v>
      </c>
      <c r="C3228">
        <v>13</v>
      </c>
      <c r="D3228" t="s">
        <v>491</v>
      </c>
      <c r="E3228" t="str">
        <f>VLOOKUP(Tabla1[[#This Row],[Cód. Atributo]],[1]!Tabla5[#Data],6,FALSE)</f>
        <v>Color</v>
      </c>
      <c r="F3228">
        <v>2</v>
      </c>
      <c r="G3228">
        <v>98</v>
      </c>
      <c r="H3228" t="s">
        <v>1170</v>
      </c>
      <c r="I3228" t="str">
        <f>VLOOKUP(Tabla1[[#This Row],[Code]],'[1]Articulos Precio'!$A:$E,5,FALSE)</f>
        <v>A0000513</v>
      </c>
    </row>
    <row r="3229" spans="1:9" x14ac:dyDescent="0.25">
      <c r="A3229" t="s">
        <v>1169</v>
      </c>
      <c r="B3229" t="str">
        <f>VLOOKUP(Tabla1[[#This Row],[Code]],[1]!Tabla4[#Data],2,FALSE)</f>
        <v>M2 Metamark MetaScape M7A 198 Verde Natural 1,22 x 50m</v>
      </c>
      <c r="C3229">
        <v>23</v>
      </c>
      <c r="D3229" t="s">
        <v>90</v>
      </c>
      <c r="E3229" t="str">
        <f>VLOOKUP(Tabla1[[#This Row],[Cód. Atributo]],[1]!Tabla5[#Data],6,FALSE)</f>
        <v>Select</v>
      </c>
      <c r="F3229">
        <v>3</v>
      </c>
      <c r="G3229">
        <v>2</v>
      </c>
      <c r="H3229" t="s">
        <v>136</v>
      </c>
      <c r="I3229" t="str">
        <f>VLOOKUP(Tabla1[[#This Row],[Code]],'[1]Articulos Precio'!$A:$E,5,FALSE)</f>
        <v>A0000513</v>
      </c>
    </row>
    <row r="3230" spans="1:9" x14ac:dyDescent="0.25">
      <c r="A3230" t="s">
        <v>1169</v>
      </c>
      <c r="B3230" t="str">
        <f>VLOOKUP(Tabla1[[#This Row],[Code]],[1]!Tabla4[#Data],2,FALSE)</f>
        <v>M2 Metamark MetaScape M7A 198 Verde Natural 1,22 x 50m</v>
      </c>
      <c r="C3230">
        <v>28</v>
      </c>
      <c r="D3230" t="s">
        <v>92</v>
      </c>
      <c r="E3230" t="str">
        <f>VLOOKUP(Tabla1[[#This Row],[Cód. Atributo]],[1]!Tabla5[#Data],6,FALSE)</f>
        <v>Select</v>
      </c>
      <c r="F3230">
        <v>4</v>
      </c>
      <c r="G3230">
        <v>1</v>
      </c>
      <c r="H3230" t="s">
        <v>93</v>
      </c>
      <c r="I3230" t="str">
        <f>VLOOKUP(Tabla1[[#This Row],[Code]],'[1]Articulos Precio'!$A:$E,5,FALSE)</f>
        <v>A0000513</v>
      </c>
    </row>
    <row r="3231" spans="1:9" x14ac:dyDescent="0.25">
      <c r="A3231" t="s">
        <v>1169</v>
      </c>
      <c r="B3231" t="str">
        <f>VLOOKUP(Tabla1[[#This Row],[Code]],[1]!Tabla4[#Data],2,FALSE)</f>
        <v>M2 Metamark MetaScape M7A 198 Verde Natural 1,22 x 50m</v>
      </c>
      <c r="C3231">
        <v>25</v>
      </c>
      <c r="D3231" t="s">
        <v>94</v>
      </c>
      <c r="E3231" t="str">
        <f>VLOOKUP(Tabla1[[#This Row],[Cód. Atributo]],[1]!Tabla5[#Data],6,FALSE)</f>
        <v>Select</v>
      </c>
      <c r="F3231">
        <v>5</v>
      </c>
      <c r="G3231">
        <v>4</v>
      </c>
      <c r="H3231" t="s">
        <v>137</v>
      </c>
      <c r="I3231" t="str">
        <f>VLOOKUP(Tabla1[[#This Row],[Code]],'[1]Articulos Precio'!$A:$E,5,FALSE)</f>
        <v>A0000513</v>
      </c>
    </row>
    <row r="3232" spans="1:9" x14ac:dyDescent="0.25">
      <c r="A3232" t="s">
        <v>1169</v>
      </c>
      <c r="B3232" t="str">
        <f>VLOOKUP(Tabla1[[#This Row],[Code]],[1]!Tabla4[#Data],2,FALSE)</f>
        <v>M2 Metamark MetaScape M7A 198 Verde Natural 1,22 x 50m</v>
      </c>
      <c r="C3232">
        <v>24</v>
      </c>
      <c r="D3232" t="s">
        <v>96</v>
      </c>
      <c r="E3232" t="str">
        <f>VLOOKUP(Tabla1[[#This Row],[Cód. Atributo]],[1]!Tabla5[#Data],6,FALSE)</f>
        <v>Select</v>
      </c>
      <c r="F3232">
        <v>6</v>
      </c>
      <c r="G3232">
        <v>2</v>
      </c>
      <c r="H3232" t="s">
        <v>266</v>
      </c>
      <c r="I3232" t="str">
        <f>VLOOKUP(Tabla1[[#This Row],[Code]],'[1]Articulos Precio'!$A:$E,5,FALSE)</f>
        <v>A0000513</v>
      </c>
    </row>
    <row r="3233" spans="1:9" x14ac:dyDescent="0.25">
      <c r="A3233" t="s">
        <v>1171</v>
      </c>
      <c r="B3233" t="str">
        <f>VLOOKUP(Tabla1[[#This Row],[Code]],[1]!Tabla4[#Data],2,FALSE)</f>
        <v>M2 Metamark Metascape M7A Crystal Window Polimérico 0,61 x 50m</v>
      </c>
      <c r="C3233">
        <v>8</v>
      </c>
      <c r="D3233" t="s">
        <v>86</v>
      </c>
      <c r="E3233" t="str">
        <f>VLOOKUP(Tabla1[[#This Row],[Cód. Atributo]],[1]!Tabla5[#Data],6,FALSE)</f>
        <v>Select</v>
      </c>
      <c r="F3233">
        <v>1</v>
      </c>
      <c r="G3233">
        <v>1</v>
      </c>
      <c r="H3233" t="s">
        <v>263</v>
      </c>
      <c r="I3233" t="str">
        <f>VLOOKUP(Tabla1[[#This Row],[Code]],'[1]Articulos Precio'!$A:$E,5,FALSE)</f>
        <v>A0000538</v>
      </c>
    </row>
    <row r="3234" spans="1:9" x14ac:dyDescent="0.25">
      <c r="A3234" t="s">
        <v>1171</v>
      </c>
      <c r="B3234" t="str">
        <f>VLOOKUP(Tabla1[[#This Row],[Code]],[1]!Tabla4[#Data],2,FALSE)</f>
        <v>M2 Metamark Metascape M7A Crystal Window Polimérico 0,61 x 50m</v>
      </c>
      <c r="C3234">
        <v>24</v>
      </c>
      <c r="D3234" t="s">
        <v>96</v>
      </c>
      <c r="E3234" t="str">
        <f>VLOOKUP(Tabla1[[#This Row],[Cód. Atributo]],[1]!Tabla5[#Data],6,FALSE)</f>
        <v>Select</v>
      </c>
      <c r="F3234">
        <v>2</v>
      </c>
      <c r="G3234">
        <v>1</v>
      </c>
      <c r="H3234" t="s">
        <v>389</v>
      </c>
      <c r="I3234" t="str">
        <f>VLOOKUP(Tabla1[[#This Row],[Code]],'[1]Articulos Precio'!$A:$E,5,FALSE)</f>
        <v>A0000538</v>
      </c>
    </row>
    <row r="3235" spans="1:9" x14ac:dyDescent="0.25">
      <c r="A3235" t="s">
        <v>1171</v>
      </c>
      <c r="B3235" t="str">
        <f>VLOOKUP(Tabla1[[#This Row],[Code]],[1]!Tabla4[#Data],2,FALSE)</f>
        <v>M2 Metamark Metascape M7A Crystal Window Polimérico 0,61 x 50m</v>
      </c>
      <c r="C3235">
        <v>25</v>
      </c>
      <c r="D3235" t="s">
        <v>94</v>
      </c>
      <c r="E3235" t="str">
        <f>VLOOKUP(Tabla1[[#This Row],[Cód. Atributo]],[1]!Tabla5[#Data],6,FALSE)</f>
        <v>Select</v>
      </c>
      <c r="F3235">
        <v>3</v>
      </c>
      <c r="G3235">
        <v>4</v>
      </c>
      <c r="H3235" t="s">
        <v>137</v>
      </c>
      <c r="I3235" t="str">
        <f>VLOOKUP(Tabla1[[#This Row],[Code]],'[1]Articulos Precio'!$A:$E,5,FALSE)</f>
        <v>A0000538</v>
      </c>
    </row>
    <row r="3236" spans="1:9" x14ac:dyDescent="0.25">
      <c r="A3236" t="s">
        <v>1171</v>
      </c>
      <c r="B3236" t="str">
        <f>VLOOKUP(Tabla1[[#This Row],[Code]],[1]!Tabla4[#Data],2,FALSE)</f>
        <v>M2 Metamark Metascape M7A Crystal Window Polimérico 0,61 x 50m</v>
      </c>
      <c r="C3236">
        <v>23</v>
      </c>
      <c r="D3236" t="s">
        <v>90</v>
      </c>
      <c r="E3236" t="str">
        <f>VLOOKUP(Tabla1[[#This Row],[Cód. Atributo]],[1]!Tabla5[#Data],6,FALSE)</f>
        <v>Select</v>
      </c>
      <c r="F3236">
        <v>4</v>
      </c>
      <c r="G3236">
        <v>2</v>
      </c>
      <c r="H3236" t="s">
        <v>136</v>
      </c>
      <c r="I3236" t="str">
        <f>VLOOKUP(Tabla1[[#This Row],[Code]],'[1]Articulos Precio'!$A:$E,5,FALSE)</f>
        <v>A0000538</v>
      </c>
    </row>
    <row r="3237" spans="1:9" x14ac:dyDescent="0.25">
      <c r="A3237" t="s">
        <v>1171</v>
      </c>
      <c r="B3237" t="str">
        <f>VLOOKUP(Tabla1[[#This Row],[Code]],[1]!Tabla4[#Data],2,FALSE)</f>
        <v>M2 Metamark Metascape M7A Crystal Window Polimérico 0,61 x 50m</v>
      </c>
      <c r="C3237">
        <v>37</v>
      </c>
      <c r="D3237" t="s">
        <v>1124</v>
      </c>
      <c r="E3237" t="str">
        <f>VLOOKUP(Tabla1[[#This Row],[Cód. Atributo]],[1]!Tabla5[#Data],6,FALSE)</f>
        <v>Select</v>
      </c>
      <c r="F3237">
        <v>5</v>
      </c>
      <c r="G3237">
        <v>1</v>
      </c>
      <c r="H3237" t="s">
        <v>1125</v>
      </c>
      <c r="I3237" t="str">
        <f>VLOOKUP(Tabla1[[#This Row],[Code]],'[1]Articulos Precio'!$A:$E,5,FALSE)</f>
        <v>A0000538</v>
      </c>
    </row>
    <row r="3238" spans="1:9" x14ac:dyDescent="0.25">
      <c r="A3238" t="s">
        <v>1172</v>
      </c>
      <c r="B3238" t="str">
        <f>VLOOKUP(Tabla1[[#This Row],[Code]],[1]!Tabla4[#Data],2,FALSE)</f>
        <v>M2 Metamark Metascape M7A Crystal Window Polimérico 1,22 x 50m</v>
      </c>
      <c r="C3238">
        <v>8</v>
      </c>
      <c r="D3238" t="s">
        <v>86</v>
      </c>
      <c r="E3238" t="str">
        <f>VLOOKUP(Tabla1[[#This Row],[Cód. Atributo]],[1]!Tabla5[#Data],6,FALSE)</f>
        <v>Select</v>
      </c>
      <c r="F3238">
        <v>1</v>
      </c>
      <c r="G3238">
        <v>2</v>
      </c>
      <c r="H3238" t="s">
        <v>268</v>
      </c>
      <c r="I3238" t="str">
        <f>VLOOKUP(Tabla1[[#This Row],[Code]],'[1]Articulos Precio'!$A:$E,5,FALSE)</f>
        <v>A0000538</v>
      </c>
    </row>
    <row r="3239" spans="1:9" x14ac:dyDescent="0.25">
      <c r="A3239" t="s">
        <v>1172</v>
      </c>
      <c r="B3239" t="str">
        <f>VLOOKUP(Tabla1[[#This Row],[Code]],[1]!Tabla4[#Data],2,FALSE)</f>
        <v>M2 Metamark Metascape M7A Crystal Window Polimérico 1,22 x 50m</v>
      </c>
      <c r="C3239">
        <v>24</v>
      </c>
      <c r="D3239" t="s">
        <v>96</v>
      </c>
      <c r="E3239" t="str">
        <f>VLOOKUP(Tabla1[[#This Row],[Cód. Atributo]],[1]!Tabla5[#Data],6,FALSE)</f>
        <v>Select</v>
      </c>
      <c r="F3239">
        <v>2</v>
      </c>
      <c r="G3239">
        <v>1</v>
      </c>
      <c r="H3239" t="s">
        <v>389</v>
      </c>
      <c r="I3239" t="str">
        <f>VLOOKUP(Tabla1[[#This Row],[Code]],'[1]Articulos Precio'!$A:$E,5,FALSE)</f>
        <v>A0000538</v>
      </c>
    </row>
    <row r="3240" spans="1:9" x14ac:dyDescent="0.25">
      <c r="A3240" t="s">
        <v>1172</v>
      </c>
      <c r="B3240" t="str">
        <f>VLOOKUP(Tabla1[[#This Row],[Code]],[1]!Tabla4[#Data],2,FALSE)</f>
        <v>M2 Metamark Metascape M7A Crystal Window Polimérico 1,22 x 50m</v>
      </c>
      <c r="C3240">
        <v>25</v>
      </c>
      <c r="D3240" t="s">
        <v>94</v>
      </c>
      <c r="E3240" t="str">
        <f>VLOOKUP(Tabla1[[#This Row],[Cód. Atributo]],[1]!Tabla5[#Data],6,FALSE)</f>
        <v>Select</v>
      </c>
      <c r="F3240">
        <v>3</v>
      </c>
      <c r="G3240">
        <v>4</v>
      </c>
      <c r="H3240" t="s">
        <v>137</v>
      </c>
      <c r="I3240" t="str">
        <f>VLOOKUP(Tabla1[[#This Row],[Code]],'[1]Articulos Precio'!$A:$E,5,FALSE)</f>
        <v>A0000538</v>
      </c>
    </row>
    <row r="3241" spans="1:9" x14ac:dyDescent="0.25">
      <c r="A3241" t="s">
        <v>1172</v>
      </c>
      <c r="B3241" t="str">
        <f>VLOOKUP(Tabla1[[#This Row],[Code]],[1]!Tabla4[#Data],2,FALSE)</f>
        <v>M2 Metamark Metascape M7A Crystal Window Polimérico 1,22 x 50m</v>
      </c>
      <c r="C3241">
        <v>23</v>
      </c>
      <c r="D3241" t="s">
        <v>90</v>
      </c>
      <c r="E3241" t="str">
        <f>VLOOKUP(Tabla1[[#This Row],[Cód. Atributo]],[1]!Tabla5[#Data],6,FALSE)</f>
        <v>Select</v>
      </c>
      <c r="F3241">
        <v>4</v>
      </c>
      <c r="G3241">
        <v>2</v>
      </c>
      <c r="H3241" t="s">
        <v>136</v>
      </c>
      <c r="I3241" t="str">
        <f>VLOOKUP(Tabla1[[#This Row],[Code]],'[1]Articulos Precio'!$A:$E,5,FALSE)</f>
        <v>A0000538</v>
      </c>
    </row>
    <row r="3242" spans="1:9" x14ac:dyDescent="0.25">
      <c r="A3242" t="s">
        <v>1172</v>
      </c>
      <c r="B3242" t="str">
        <f>VLOOKUP(Tabla1[[#This Row],[Code]],[1]!Tabla4[#Data],2,FALSE)</f>
        <v>M2 Metamark Metascape M7A Crystal Window Polimérico 1,22 x 50m</v>
      </c>
      <c r="C3242">
        <v>37</v>
      </c>
      <c r="D3242" t="s">
        <v>1124</v>
      </c>
      <c r="E3242" t="str">
        <f>VLOOKUP(Tabla1[[#This Row],[Cód. Atributo]],[1]!Tabla5[#Data],6,FALSE)</f>
        <v>Select</v>
      </c>
      <c r="F3242">
        <v>5</v>
      </c>
      <c r="G3242">
        <v>1</v>
      </c>
      <c r="H3242" t="s">
        <v>1125</v>
      </c>
      <c r="I3242" t="str">
        <f>VLOOKUP(Tabla1[[#This Row],[Code]],'[1]Articulos Precio'!$A:$E,5,FALSE)</f>
        <v>A0000538</v>
      </c>
    </row>
    <row r="3243" spans="1:9" x14ac:dyDescent="0.25">
      <c r="A3243" t="s">
        <v>1173</v>
      </c>
      <c r="B3243" t="str">
        <f>VLOOKUP(Tabla1[[#This Row],[Code]],[1]!Tabla4[#Data],2,FALSE)</f>
        <v>M2 Metamark Metascape M7A Crystal Window Polimérico 1,60mm x 50m</v>
      </c>
      <c r="C3243">
        <v>8</v>
      </c>
      <c r="D3243" t="s">
        <v>86</v>
      </c>
      <c r="E3243" t="str">
        <f>VLOOKUP(Tabla1[[#This Row],[Cód. Atributo]],[1]!Tabla5[#Data],6,FALSE)</f>
        <v>Select</v>
      </c>
      <c r="F3243">
        <v>1</v>
      </c>
      <c r="G3243">
        <v>3</v>
      </c>
      <c r="H3243" t="s">
        <v>87</v>
      </c>
      <c r="I3243" t="str">
        <f>VLOOKUP(Tabla1[[#This Row],[Code]],'[1]Articulos Precio'!$A:$E,5,FALSE)</f>
        <v>A0000538</v>
      </c>
    </row>
    <row r="3244" spans="1:9" x14ac:dyDescent="0.25">
      <c r="A3244" t="s">
        <v>1173</v>
      </c>
      <c r="B3244" t="str">
        <f>VLOOKUP(Tabla1[[#This Row],[Code]],[1]!Tabla4[#Data],2,FALSE)</f>
        <v>M2 Metamark Metascape M7A Crystal Window Polimérico 1,60mm x 50m</v>
      </c>
      <c r="C3244">
        <v>24</v>
      </c>
      <c r="D3244" t="s">
        <v>96</v>
      </c>
      <c r="E3244" t="str">
        <f>VLOOKUP(Tabla1[[#This Row],[Cód. Atributo]],[1]!Tabla5[#Data],6,FALSE)</f>
        <v>Select</v>
      </c>
      <c r="F3244">
        <v>2</v>
      </c>
      <c r="G3244">
        <v>1</v>
      </c>
      <c r="H3244" t="s">
        <v>389</v>
      </c>
      <c r="I3244" t="str">
        <f>VLOOKUP(Tabla1[[#This Row],[Code]],'[1]Articulos Precio'!$A:$E,5,FALSE)</f>
        <v>A0000538</v>
      </c>
    </row>
    <row r="3245" spans="1:9" x14ac:dyDescent="0.25">
      <c r="A3245" t="s">
        <v>1173</v>
      </c>
      <c r="B3245" t="str">
        <f>VLOOKUP(Tabla1[[#This Row],[Code]],[1]!Tabla4[#Data],2,FALSE)</f>
        <v>M2 Metamark Metascape M7A Crystal Window Polimérico 1,60mm x 50m</v>
      </c>
      <c r="C3245">
        <v>25</v>
      </c>
      <c r="D3245" t="s">
        <v>94</v>
      </c>
      <c r="E3245" t="str">
        <f>VLOOKUP(Tabla1[[#This Row],[Cód. Atributo]],[1]!Tabla5[#Data],6,FALSE)</f>
        <v>Select</v>
      </c>
      <c r="F3245">
        <v>3</v>
      </c>
      <c r="G3245">
        <v>4</v>
      </c>
      <c r="H3245" t="s">
        <v>137</v>
      </c>
      <c r="I3245" t="str">
        <f>VLOOKUP(Tabla1[[#This Row],[Code]],'[1]Articulos Precio'!$A:$E,5,FALSE)</f>
        <v>A0000538</v>
      </c>
    </row>
    <row r="3246" spans="1:9" x14ac:dyDescent="0.25">
      <c r="A3246" t="s">
        <v>1173</v>
      </c>
      <c r="B3246" t="str">
        <f>VLOOKUP(Tabla1[[#This Row],[Code]],[1]!Tabla4[#Data],2,FALSE)</f>
        <v>M2 Metamark Metascape M7A Crystal Window Polimérico 1,60mm x 50m</v>
      </c>
      <c r="C3246">
        <v>23</v>
      </c>
      <c r="D3246" t="s">
        <v>90</v>
      </c>
      <c r="E3246" t="str">
        <f>VLOOKUP(Tabla1[[#This Row],[Cód. Atributo]],[1]!Tabla5[#Data],6,FALSE)</f>
        <v>Select</v>
      </c>
      <c r="F3246">
        <v>4</v>
      </c>
      <c r="G3246">
        <v>2</v>
      </c>
      <c r="H3246" t="s">
        <v>136</v>
      </c>
      <c r="I3246" t="str">
        <f>VLOOKUP(Tabla1[[#This Row],[Code]],'[1]Articulos Precio'!$A:$E,5,FALSE)</f>
        <v>A0000538</v>
      </c>
    </row>
    <row r="3247" spans="1:9" x14ac:dyDescent="0.25">
      <c r="A3247" t="s">
        <v>1173</v>
      </c>
      <c r="B3247" t="str">
        <f>VLOOKUP(Tabla1[[#This Row],[Code]],[1]!Tabla4[#Data],2,FALSE)</f>
        <v>M2 Metamark Metascape M7A Crystal Window Polimérico 1,60mm x 50m</v>
      </c>
      <c r="C3247">
        <v>37</v>
      </c>
      <c r="D3247" t="s">
        <v>1124</v>
      </c>
      <c r="E3247" t="str">
        <f>VLOOKUP(Tabla1[[#This Row],[Cód. Atributo]],[1]!Tabla5[#Data],6,FALSE)</f>
        <v>Select</v>
      </c>
      <c r="F3247">
        <v>5</v>
      </c>
      <c r="G3247">
        <v>1</v>
      </c>
      <c r="H3247" t="s">
        <v>1125</v>
      </c>
      <c r="I3247" t="str">
        <f>VLOOKUP(Tabla1[[#This Row],[Code]],'[1]Articulos Precio'!$A:$E,5,FALSE)</f>
        <v>A0000538</v>
      </c>
    </row>
    <row r="3248" spans="1:9" x14ac:dyDescent="0.25">
      <c r="A3248" t="s">
        <v>1174</v>
      </c>
      <c r="B3248" t="str">
        <f>VLOOKUP(Tabla1[[#This Row],[Code]],[1]!Tabla4[#Data],2,FALSE)</f>
        <v>M2 Metamark Metascape M7A Dusted Window Polimérico 0,61 x 50m</v>
      </c>
      <c r="C3248">
        <v>8</v>
      </c>
      <c r="D3248" t="s">
        <v>86</v>
      </c>
      <c r="E3248" t="str">
        <f>VLOOKUP(Tabla1[[#This Row],[Cód. Atributo]],[1]!Tabla5[#Data],6,FALSE)</f>
        <v>Select</v>
      </c>
      <c r="F3248">
        <v>1</v>
      </c>
      <c r="G3248">
        <v>1</v>
      </c>
      <c r="H3248" t="s">
        <v>263</v>
      </c>
      <c r="I3248" t="str">
        <f>VLOOKUP(Tabla1[[#This Row],[Code]],'[1]Articulos Precio'!$A:$E,5,FALSE)</f>
        <v>A0000539</v>
      </c>
    </row>
    <row r="3249" spans="1:9" x14ac:dyDescent="0.25">
      <c r="A3249" t="s">
        <v>1174</v>
      </c>
      <c r="B3249" t="str">
        <f>VLOOKUP(Tabla1[[#This Row],[Code]],[1]!Tabla4[#Data],2,FALSE)</f>
        <v>M2 Metamark Metascape M7A Dusted Window Polimérico 0,61 x 50m</v>
      </c>
      <c r="C3249">
        <v>24</v>
      </c>
      <c r="D3249" t="s">
        <v>96</v>
      </c>
      <c r="E3249" t="str">
        <f>VLOOKUP(Tabla1[[#This Row],[Cód. Atributo]],[1]!Tabla5[#Data],6,FALSE)</f>
        <v>Select</v>
      </c>
      <c r="F3249">
        <v>2</v>
      </c>
      <c r="G3249">
        <v>1</v>
      </c>
      <c r="H3249" t="s">
        <v>389</v>
      </c>
      <c r="I3249" t="str">
        <f>VLOOKUP(Tabla1[[#This Row],[Code]],'[1]Articulos Precio'!$A:$E,5,FALSE)</f>
        <v>A0000539</v>
      </c>
    </row>
    <row r="3250" spans="1:9" x14ac:dyDescent="0.25">
      <c r="A3250" t="s">
        <v>1174</v>
      </c>
      <c r="B3250" t="str">
        <f>VLOOKUP(Tabla1[[#This Row],[Code]],[1]!Tabla4[#Data],2,FALSE)</f>
        <v>M2 Metamark Metascape M7A Dusted Window Polimérico 0,61 x 50m</v>
      </c>
      <c r="C3250">
        <v>25</v>
      </c>
      <c r="D3250" t="s">
        <v>94</v>
      </c>
      <c r="E3250" t="str">
        <f>VLOOKUP(Tabla1[[#This Row],[Cód. Atributo]],[1]!Tabla5[#Data],6,FALSE)</f>
        <v>Select</v>
      </c>
      <c r="F3250">
        <v>3</v>
      </c>
      <c r="G3250">
        <v>4</v>
      </c>
      <c r="H3250" t="s">
        <v>137</v>
      </c>
      <c r="I3250" t="str">
        <f>VLOOKUP(Tabla1[[#This Row],[Code]],'[1]Articulos Precio'!$A:$E,5,FALSE)</f>
        <v>A0000539</v>
      </c>
    </row>
    <row r="3251" spans="1:9" x14ac:dyDescent="0.25">
      <c r="A3251" t="s">
        <v>1174</v>
      </c>
      <c r="B3251" t="str">
        <f>VLOOKUP(Tabla1[[#This Row],[Code]],[1]!Tabla4[#Data],2,FALSE)</f>
        <v>M2 Metamark Metascape M7A Dusted Window Polimérico 0,61 x 50m</v>
      </c>
      <c r="C3251">
        <v>23</v>
      </c>
      <c r="D3251" t="s">
        <v>90</v>
      </c>
      <c r="E3251" t="str">
        <f>VLOOKUP(Tabla1[[#This Row],[Cód. Atributo]],[1]!Tabla5[#Data],6,FALSE)</f>
        <v>Select</v>
      </c>
      <c r="F3251">
        <v>4</v>
      </c>
      <c r="G3251">
        <v>2</v>
      </c>
      <c r="H3251" t="s">
        <v>136</v>
      </c>
      <c r="I3251" t="str">
        <f>VLOOKUP(Tabla1[[#This Row],[Code]],'[1]Articulos Precio'!$A:$E,5,FALSE)</f>
        <v>A0000539</v>
      </c>
    </row>
    <row r="3252" spans="1:9" x14ac:dyDescent="0.25">
      <c r="A3252" t="s">
        <v>1174</v>
      </c>
      <c r="B3252" t="str">
        <f>VLOOKUP(Tabla1[[#This Row],[Code]],[1]!Tabla4[#Data],2,FALSE)</f>
        <v>M2 Metamark Metascape M7A Dusted Window Polimérico 0,61 x 50m</v>
      </c>
      <c r="C3252">
        <v>37</v>
      </c>
      <c r="D3252" t="s">
        <v>1124</v>
      </c>
      <c r="E3252" t="str">
        <f>VLOOKUP(Tabla1[[#This Row],[Cód. Atributo]],[1]!Tabla5[#Data],6,FALSE)</f>
        <v>Select</v>
      </c>
      <c r="F3252">
        <v>5</v>
      </c>
      <c r="G3252">
        <v>1</v>
      </c>
      <c r="H3252" t="s">
        <v>1125</v>
      </c>
      <c r="I3252" t="str">
        <f>VLOOKUP(Tabla1[[#This Row],[Code]],'[1]Articulos Precio'!$A:$E,5,FALSE)</f>
        <v>A0000539</v>
      </c>
    </row>
    <row r="3253" spans="1:9" x14ac:dyDescent="0.25">
      <c r="A3253" t="s">
        <v>1175</v>
      </c>
      <c r="B3253" t="str">
        <f>VLOOKUP(Tabla1[[#This Row],[Code]],[1]!Tabla4[#Data],2,FALSE)</f>
        <v>M2 Metamark Metascape M7A Dusted Window Polimérico 1,22 x 50m</v>
      </c>
      <c r="C3253">
        <v>8</v>
      </c>
      <c r="D3253" t="s">
        <v>86</v>
      </c>
      <c r="E3253" t="str">
        <f>VLOOKUP(Tabla1[[#This Row],[Cód. Atributo]],[1]!Tabla5[#Data],6,FALSE)</f>
        <v>Select</v>
      </c>
      <c r="F3253">
        <v>1</v>
      </c>
      <c r="G3253">
        <v>2</v>
      </c>
      <c r="H3253" t="s">
        <v>268</v>
      </c>
      <c r="I3253" t="str">
        <f>VLOOKUP(Tabla1[[#This Row],[Code]],'[1]Articulos Precio'!$A:$E,5,FALSE)</f>
        <v>A0000539</v>
      </c>
    </row>
    <row r="3254" spans="1:9" x14ac:dyDescent="0.25">
      <c r="A3254" t="s">
        <v>1175</v>
      </c>
      <c r="B3254" t="str">
        <f>VLOOKUP(Tabla1[[#This Row],[Code]],[1]!Tabla4[#Data],2,FALSE)</f>
        <v>M2 Metamark Metascape M7A Dusted Window Polimérico 1,22 x 50m</v>
      </c>
      <c r="C3254">
        <v>24</v>
      </c>
      <c r="D3254" t="s">
        <v>96</v>
      </c>
      <c r="E3254" t="str">
        <f>VLOOKUP(Tabla1[[#This Row],[Cód. Atributo]],[1]!Tabla5[#Data],6,FALSE)</f>
        <v>Select</v>
      </c>
      <c r="F3254">
        <v>2</v>
      </c>
      <c r="G3254">
        <v>1</v>
      </c>
      <c r="H3254" t="s">
        <v>389</v>
      </c>
      <c r="I3254" t="str">
        <f>VLOOKUP(Tabla1[[#This Row],[Code]],'[1]Articulos Precio'!$A:$E,5,FALSE)</f>
        <v>A0000539</v>
      </c>
    </row>
    <row r="3255" spans="1:9" x14ac:dyDescent="0.25">
      <c r="A3255" t="s">
        <v>1175</v>
      </c>
      <c r="B3255" t="str">
        <f>VLOOKUP(Tabla1[[#This Row],[Code]],[1]!Tabla4[#Data],2,FALSE)</f>
        <v>M2 Metamark Metascape M7A Dusted Window Polimérico 1,22 x 50m</v>
      </c>
      <c r="C3255">
        <v>25</v>
      </c>
      <c r="D3255" t="s">
        <v>94</v>
      </c>
      <c r="E3255" t="str">
        <f>VLOOKUP(Tabla1[[#This Row],[Cód. Atributo]],[1]!Tabla5[#Data],6,FALSE)</f>
        <v>Select</v>
      </c>
      <c r="F3255">
        <v>3</v>
      </c>
      <c r="G3255">
        <v>4</v>
      </c>
      <c r="H3255" t="s">
        <v>137</v>
      </c>
      <c r="I3255" t="str">
        <f>VLOOKUP(Tabla1[[#This Row],[Code]],'[1]Articulos Precio'!$A:$E,5,FALSE)</f>
        <v>A0000539</v>
      </c>
    </row>
    <row r="3256" spans="1:9" x14ac:dyDescent="0.25">
      <c r="A3256" t="s">
        <v>1175</v>
      </c>
      <c r="B3256" t="str">
        <f>VLOOKUP(Tabla1[[#This Row],[Code]],[1]!Tabla4[#Data],2,FALSE)</f>
        <v>M2 Metamark Metascape M7A Dusted Window Polimérico 1,22 x 50m</v>
      </c>
      <c r="C3256">
        <v>23</v>
      </c>
      <c r="D3256" t="s">
        <v>90</v>
      </c>
      <c r="E3256" t="str">
        <f>VLOOKUP(Tabla1[[#This Row],[Cód. Atributo]],[1]!Tabla5[#Data],6,FALSE)</f>
        <v>Select</v>
      </c>
      <c r="F3256">
        <v>4</v>
      </c>
      <c r="G3256">
        <v>2</v>
      </c>
      <c r="H3256" t="s">
        <v>136</v>
      </c>
      <c r="I3256" t="str">
        <f>VLOOKUP(Tabla1[[#This Row],[Code]],'[1]Articulos Precio'!$A:$E,5,FALSE)</f>
        <v>A0000539</v>
      </c>
    </row>
    <row r="3257" spans="1:9" x14ac:dyDescent="0.25">
      <c r="A3257" t="s">
        <v>1176</v>
      </c>
      <c r="B3257" t="str">
        <f>VLOOKUP(Tabla1[[#This Row],[Code]],[1]!Tabla4[#Data],2,FALSE)</f>
        <v>6000005213 - Assy, Head Inkjet Sol XC-540 (DX4)</v>
      </c>
      <c r="C3257">
        <v>100</v>
      </c>
      <c r="D3257" t="s">
        <v>979</v>
      </c>
      <c r="E3257" t="e">
        <f>VLOOKUP(Tabla1[[#This Row],[Cód. Atributo]],[1]!Tabla5[#Data],6,FALSE)</f>
        <v>#N/A</v>
      </c>
      <c r="F3257">
        <v>1</v>
      </c>
      <c r="G3257">
        <v>1</v>
      </c>
      <c r="I3257">
        <f>VLOOKUP(Tabla1[[#This Row],[Code]],'[1]Articulos Precio'!$A:$E,5,FALSE)</f>
        <v>0</v>
      </c>
    </row>
    <row r="3258" spans="1:9" x14ac:dyDescent="0.25">
      <c r="A3258" t="s">
        <v>1177</v>
      </c>
      <c r="B3258" t="str">
        <f>VLOOKUP(Tabla1[[#This Row],[Code]],[1]!Tabla4[#Data],2,FALSE)</f>
        <v>Pad, Cutter SG 540</v>
      </c>
      <c r="C3258">
        <v>100</v>
      </c>
      <c r="D3258" t="s">
        <v>979</v>
      </c>
      <c r="E3258" t="e">
        <f>VLOOKUP(Tabla1[[#This Row],[Cód. Atributo]],[1]!Tabla5[#Data],6,FALSE)</f>
        <v>#N/A</v>
      </c>
      <c r="F3258">
        <v>1</v>
      </c>
      <c r="G3258">
        <v>1</v>
      </c>
      <c r="I3258">
        <f>VLOOKUP(Tabla1[[#This Row],[Code]],'[1]Articulos Precio'!$A:$E,5,FALSE)</f>
        <v>0</v>
      </c>
    </row>
    <row r="3259" spans="1:9" x14ac:dyDescent="0.25">
      <c r="A3259" t="s">
        <v>1175</v>
      </c>
      <c r="B3259" t="str">
        <f>VLOOKUP(Tabla1[[#This Row],[Code]],[1]!Tabla4[#Data],2,FALSE)</f>
        <v>M2 Metamark Metascape M7A Dusted Window Polimérico 1,22 x 50m</v>
      </c>
      <c r="C3259">
        <v>37</v>
      </c>
      <c r="D3259" t="s">
        <v>1124</v>
      </c>
      <c r="E3259" t="str">
        <f>VLOOKUP(Tabla1[[#This Row],[Cód. Atributo]],[1]!Tabla5[#Data],6,FALSE)</f>
        <v>Select</v>
      </c>
      <c r="F3259">
        <v>5</v>
      </c>
      <c r="G3259">
        <v>1</v>
      </c>
      <c r="H3259" t="s">
        <v>1125</v>
      </c>
      <c r="I3259" t="str">
        <f>VLOOKUP(Tabla1[[#This Row],[Code]],'[1]Articulos Precio'!$A:$E,5,FALSE)</f>
        <v>A0000539</v>
      </c>
    </row>
    <row r="3260" spans="1:9" x14ac:dyDescent="0.25">
      <c r="A3260" t="s">
        <v>1178</v>
      </c>
      <c r="B3260" t="str">
        <f>VLOOKUP(Tabla1[[#This Row],[Code]],[1]!Tabla4[#Data],2,FALSE)</f>
        <v>M2 Metamark Metascape M7A Dusted Window Polimérico 1,60mm x 50m</v>
      </c>
      <c r="C3260">
        <v>8</v>
      </c>
      <c r="D3260" t="s">
        <v>86</v>
      </c>
      <c r="E3260" t="str">
        <f>VLOOKUP(Tabla1[[#This Row],[Cód. Atributo]],[1]!Tabla5[#Data],6,FALSE)</f>
        <v>Select</v>
      </c>
      <c r="F3260">
        <v>1</v>
      </c>
      <c r="G3260">
        <v>3</v>
      </c>
      <c r="H3260" t="s">
        <v>87</v>
      </c>
      <c r="I3260" t="str">
        <f>VLOOKUP(Tabla1[[#This Row],[Code]],'[1]Articulos Precio'!$A:$E,5,FALSE)</f>
        <v>A0000539</v>
      </c>
    </row>
    <row r="3261" spans="1:9" x14ac:dyDescent="0.25">
      <c r="A3261" t="s">
        <v>1178</v>
      </c>
      <c r="B3261" t="str">
        <f>VLOOKUP(Tabla1[[#This Row],[Code]],[1]!Tabla4[#Data],2,FALSE)</f>
        <v>M2 Metamark Metascape M7A Dusted Window Polimérico 1,60mm x 50m</v>
      </c>
      <c r="C3261">
        <v>24</v>
      </c>
      <c r="D3261" t="s">
        <v>96</v>
      </c>
      <c r="E3261" t="str">
        <f>VLOOKUP(Tabla1[[#This Row],[Cód. Atributo]],[1]!Tabla5[#Data],6,FALSE)</f>
        <v>Select</v>
      </c>
      <c r="F3261">
        <v>2</v>
      </c>
      <c r="G3261">
        <v>1</v>
      </c>
      <c r="H3261" t="s">
        <v>389</v>
      </c>
      <c r="I3261" t="str">
        <f>VLOOKUP(Tabla1[[#This Row],[Code]],'[1]Articulos Precio'!$A:$E,5,FALSE)</f>
        <v>A0000539</v>
      </c>
    </row>
    <row r="3262" spans="1:9" x14ac:dyDescent="0.25">
      <c r="A3262" t="s">
        <v>1178</v>
      </c>
      <c r="B3262" t="str">
        <f>VLOOKUP(Tabla1[[#This Row],[Code]],[1]!Tabla4[#Data],2,FALSE)</f>
        <v>M2 Metamark Metascape M7A Dusted Window Polimérico 1,60mm x 50m</v>
      </c>
      <c r="C3262">
        <v>25</v>
      </c>
      <c r="D3262" t="s">
        <v>94</v>
      </c>
      <c r="E3262" t="str">
        <f>VLOOKUP(Tabla1[[#This Row],[Cód. Atributo]],[1]!Tabla5[#Data],6,FALSE)</f>
        <v>Select</v>
      </c>
      <c r="F3262">
        <v>3</v>
      </c>
      <c r="G3262">
        <v>4</v>
      </c>
      <c r="H3262" t="s">
        <v>137</v>
      </c>
      <c r="I3262" t="str">
        <f>VLOOKUP(Tabla1[[#This Row],[Code]],'[1]Articulos Precio'!$A:$E,5,FALSE)</f>
        <v>A0000539</v>
      </c>
    </row>
    <row r="3263" spans="1:9" x14ac:dyDescent="0.25">
      <c r="A3263" t="s">
        <v>1178</v>
      </c>
      <c r="B3263" t="str">
        <f>VLOOKUP(Tabla1[[#This Row],[Code]],[1]!Tabla4[#Data],2,FALSE)</f>
        <v>M2 Metamark Metascape M7A Dusted Window Polimérico 1,60mm x 50m</v>
      </c>
      <c r="C3263">
        <v>23</v>
      </c>
      <c r="D3263" t="s">
        <v>90</v>
      </c>
      <c r="E3263" t="str">
        <f>VLOOKUP(Tabla1[[#This Row],[Cód. Atributo]],[1]!Tabla5[#Data],6,FALSE)</f>
        <v>Select</v>
      </c>
      <c r="F3263">
        <v>4</v>
      </c>
      <c r="G3263">
        <v>2</v>
      </c>
      <c r="H3263" t="s">
        <v>136</v>
      </c>
      <c r="I3263" t="str">
        <f>VLOOKUP(Tabla1[[#This Row],[Code]],'[1]Articulos Precio'!$A:$E,5,FALSE)</f>
        <v>A0000539</v>
      </c>
    </row>
    <row r="3264" spans="1:9" x14ac:dyDescent="0.25">
      <c r="A3264" t="s">
        <v>1178</v>
      </c>
      <c r="B3264" t="str">
        <f>VLOOKUP(Tabla1[[#This Row],[Code]],[1]!Tabla4[#Data],2,FALSE)</f>
        <v>M2 Metamark Metascape M7A Dusted Window Polimérico 1,60mm x 50m</v>
      </c>
      <c r="C3264">
        <v>37</v>
      </c>
      <c r="D3264" t="s">
        <v>1124</v>
      </c>
      <c r="E3264" t="str">
        <f>VLOOKUP(Tabla1[[#This Row],[Cód. Atributo]],[1]!Tabla5[#Data],6,FALSE)</f>
        <v>Select</v>
      </c>
      <c r="F3264">
        <v>5</v>
      </c>
      <c r="G3264">
        <v>1</v>
      </c>
      <c r="H3264" t="s">
        <v>1125</v>
      </c>
      <c r="I3264" t="str">
        <f>VLOOKUP(Tabla1[[#This Row],[Code]],'[1]Articulos Precio'!$A:$E,5,FALSE)</f>
        <v>A0000539</v>
      </c>
    </row>
    <row r="3265" spans="1:9" x14ac:dyDescent="0.25">
      <c r="A3265" t="s">
        <v>1179</v>
      </c>
      <c r="B3265" t="str">
        <f>VLOOKUP(Tabla1[[#This Row],[Code]],[1]!Tabla4[#Data],2,FALSE)</f>
        <v>M2 Metamark Metascape M7A Silver Window Polimérico 0,61 x 50m</v>
      </c>
      <c r="C3265">
        <v>8</v>
      </c>
      <c r="D3265" t="s">
        <v>86</v>
      </c>
      <c r="E3265" t="str">
        <f>VLOOKUP(Tabla1[[#This Row],[Cód. Atributo]],[1]!Tabla5[#Data],6,FALSE)</f>
        <v>Select</v>
      </c>
      <c r="F3265">
        <v>1</v>
      </c>
      <c r="G3265">
        <v>1</v>
      </c>
      <c r="H3265" t="s">
        <v>263</v>
      </c>
      <c r="I3265" t="str">
        <f>VLOOKUP(Tabla1[[#This Row],[Code]],'[1]Articulos Precio'!$A:$E,5,FALSE)</f>
        <v>A0000540</v>
      </c>
    </row>
    <row r="3266" spans="1:9" x14ac:dyDescent="0.25">
      <c r="A3266" t="s">
        <v>1179</v>
      </c>
      <c r="B3266" t="str">
        <f>VLOOKUP(Tabla1[[#This Row],[Code]],[1]!Tabla4[#Data],2,FALSE)</f>
        <v>M2 Metamark Metascape M7A Silver Window Polimérico 0,61 x 50m</v>
      </c>
      <c r="C3266">
        <v>24</v>
      </c>
      <c r="D3266" t="s">
        <v>96</v>
      </c>
      <c r="E3266" t="str">
        <f>VLOOKUP(Tabla1[[#This Row],[Cód. Atributo]],[1]!Tabla5[#Data],6,FALSE)</f>
        <v>Select</v>
      </c>
      <c r="F3266">
        <v>2</v>
      </c>
      <c r="G3266">
        <v>1</v>
      </c>
      <c r="H3266" t="s">
        <v>389</v>
      </c>
      <c r="I3266" t="str">
        <f>VLOOKUP(Tabla1[[#This Row],[Code]],'[1]Articulos Precio'!$A:$E,5,FALSE)</f>
        <v>A0000540</v>
      </c>
    </row>
    <row r="3267" spans="1:9" x14ac:dyDescent="0.25">
      <c r="A3267" t="s">
        <v>1179</v>
      </c>
      <c r="B3267" t="str">
        <f>VLOOKUP(Tabla1[[#This Row],[Code]],[1]!Tabla4[#Data],2,FALSE)</f>
        <v>M2 Metamark Metascape M7A Silver Window Polimérico 0,61 x 50m</v>
      </c>
      <c r="C3267">
        <v>25</v>
      </c>
      <c r="D3267" t="s">
        <v>94</v>
      </c>
      <c r="E3267" t="str">
        <f>VLOOKUP(Tabla1[[#This Row],[Cód. Atributo]],[1]!Tabla5[#Data],6,FALSE)</f>
        <v>Select</v>
      </c>
      <c r="F3267">
        <v>3</v>
      </c>
      <c r="G3267">
        <v>4</v>
      </c>
      <c r="H3267" t="s">
        <v>137</v>
      </c>
      <c r="I3267" t="str">
        <f>VLOOKUP(Tabla1[[#This Row],[Code]],'[1]Articulos Precio'!$A:$E,5,FALSE)</f>
        <v>A0000540</v>
      </c>
    </row>
    <row r="3268" spans="1:9" x14ac:dyDescent="0.25">
      <c r="A3268" t="s">
        <v>1179</v>
      </c>
      <c r="B3268" t="str">
        <f>VLOOKUP(Tabla1[[#This Row],[Code]],[1]!Tabla4[#Data],2,FALSE)</f>
        <v>M2 Metamark Metascape M7A Silver Window Polimérico 0,61 x 50m</v>
      </c>
      <c r="C3268">
        <v>23</v>
      </c>
      <c r="D3268" t="s">
        <v>90</v>
      </c>
      <c r="E3268" t="str">
        <f>VLOOKUP(Tabla1[[#This Row],[Cód. Atributo]],[1]!Tabla5[#Data],6,FALSE)</f>
        <v>Select</v>
      </c>
      <c r="F3268">
        <v>4</v>
      </c>
      <c r="G3268">
        <v>2</v>
      </c>
      <c r="H3268" t="s">
        <v>136</v>
      </c>
      <c r="I3268" t="str">
        <f>VLOOKUP(Tabla1[[#This Row],[Code]],'[1]Articulos Precio'!$A:$E,5,FALSE)</f>
        <v>A0000540</v>
      </c>
    </row>
    <row r="3269" spans="1:9" x14ac:dyDescent="0.25">
      <c r="A3269" t="s">
        <v>1179</v>
      </c>
      <c r="B3269" t="str">
        <f>VLOOKUP(Tabla1[[#This Row],[Code]],[1]!Tabla4[#Data],2,FALSE)</f>
        <v>M2 Metamark Metascape M7A Silver Window Polimérico 0,61 x 50m</v>
      </c>
      <c r="C3269">
        <v>37</v>
      </c>
      <c r="D3269" t="s">
        <v>1124</v>
      </c>
      <c r="E3269" t="str">
        <f>VLOOKUP(Tabla1[[#This Row],[Cód. Atributo]],[1]!Tabla5[#Data],6,FALSE)</f>
        <v>Select</v>
      </c>
      <c r="F3269">
        <v>5</v>
      </c>
      <c r="G3269">
        <v>1</v>
      </c>
      <c r="H3269" t="s">
        <v>1125</v>
      </c>
      <c r="I3269" t="str">
        <f>VLOOKUP(Tabla1[[#This Row],[Code]],'[1]Articulos Precio'!$A:$E,5,FALSE)</f>
        <v>A0000540</v>
      </c>
    </row>
    <row r="3270" spans="1:9" x14ac:dyDescent="0.25">
      <c r="A3270" t="s">
        <v>1180</v>
      </c>
      <c r="B3270" t="str">
        <f>VLOOKUP(Tabla1[[#This Row],[Code]],[1]!Tabla4[#Data],2,FALSE)</f>
        <v>M2 Metamark Metascape M7A Silver Window Polimérico 1,22 x 50m</v>
      </c>
      <c r="C3270">
        <v>8</v>
      </c>
      <c r="D3270" t="s">
        <v>86</v>
      </c>
      <c r="E3270" t="str">
        <f>VLOOKUP(Tabla1[[#This Row],[Cód. Atributo]],[1]!Tabla5[#Data],6,FALSE)</f>
        <v>Select</v>
      </c>
      <c r="F3270">
        <v>1</v>
      </c>
      <c r="G3270">
        <v>2</v>
      </c>
      <c r="H3270" t="s">
        <v>268</v>
      </c>
      <c r="I3270" t="str">
        <f>VLOOKUP(Tabla1[[#This Row],[Code]],'[1]Articulos Precio'!$A:$E,5,FALSE)</f>
        <v>A0000540</v>
      </c>
    </row>
    <row r="3271" spans="1:9" x14ac:dyDescent="0.25">
      <c r="A3271" t="s">
        <v>1180</v>
      </c>
      <c r="B3271" t="str">
        <f>VLOOKUP(Tabla1[[#This Row],[Code]],[1]!Tabla4[#Data],2,FALSE)</f>
        <v>M2 Metamark Metascape M7A Silver Window Polimérico 1,22 x 50m</v>
      </c>
      <c r="C3271">
        <v>24</v>
      </c>
      <c r="D3271" t="s">
        <v>96</v>
      </c>
      <c r="E3271" t="str">
        <f>VLOOKUP(Tabla1[[#This Row],[Cód. Atributo]],[1]!Tabla5[#Data],6,FALSE)</f>
        <v>Select</v>
      </c>
      <c r="F3271">
        <v>2</v>
      </c>
      <c r="G3271">
        <v>1</v>
      </c>
      <c r="H3271" t="s">
        <v>389</v>
      </c>
      <c r="I3271" t="str">
        <f>VLOOKUP(Tabla1[[#This Row],[Code]],'[1]Articulos Precio'!$A:$E,5,FALSE)</f>
        <v>A0000540</v>
      </c>
    </row>
    <row r="3272" spans="1:9" x14ac:dyDescent="0.25">
      <c r="A3272" t="s">
        <v>1180</v>
      </c>
      <c r="B3272" t="str">
        <f>VLOOKUP(Tabla1[[#This Row],[Code]],[1]!Tabla4[#Data],2,FALSE)</f>
        <v>M2 Metamark Metascape M7A Silver Window Polimérico 1,22 x 50m</v>
      </c>
      <c r="C3272">
        <v>25</v>
      </c>
      <c r="D3272" t="s">
        <v>94</v>
      </c>
      <c r="E3272" t="str">
        <f>VLOOKUP(Tabla1[[#This Row],[Cód. Atributo]],[1]!Tabla5[#Data],6,FALSE)</f>
        <v>Select</v>
      </c>
      <c r="F3272">
        <v>3</v>
      </c>
      <c r="G3272">
        <v>4</v>
      </c>
      <c r="H3272" t="s">
        <v>137</v>
      </c>
      <c r="I3272" t="str">
        <f>VLOOKUP(Tabla1[[#This Row],[Code]],'[1]Articulos Precio'!$A:$E,5,FALSE)</f>
        <v>A0000540</v>
      </c>
    </row>
    <row r="3273" spans="1:9" x14ac:dyDescent="0.25">
      <c r="A3273" t="s">
        <v>1180</v>
      </c>
      <c r="B3273" t="str">
        <f>VLOOKUP(Tabla1[[#This Row],[Code]],[1]!Tabla4[#Data],2,FALSE)</f>
        <v>M2 Metamark Metascape M7A Silver Window Polimérico 1,22 x 50m</v>
      </c>
      <c r="C3273">
        <v>23</v>
      </c>
      <c r="D3273" t="s">
        <v>90</v>
      </c>
      <c r="E3273" t="str">
        <f>VLOOKUP(Tabla1[[#This Row],[Cód. Atributo]],[1]!Tabla5[#Data],6,FALSE)</f>
        <v>Select</v>
      </c>
      <c r="F3273">
        <v>4</v>
      </c>
      <c r="G3273">
        <v>2</v>
      </c>
      <c r="H3273" t="s">
        <v>136</v>
      </c>
      <c r="I3273" t="str">
        <f>VLOOKUP(Tabla1[[#This Row],[Code]],'[1]Articulos Precio'!$A:$E,5,FALSE)</f>
        <v>A0000540</v>
      </c>
    </row>
    <row r="3274" spans="1:9" x14ac:dyDescent="0.25">
      <c r="A3274" t="s">
        <v>1180</v>
      </c>
      <c r="B3274" t="str">
        <f>VLOOKUP(Tabla1[[#This Row],[Code]],[1]!Tabla4[#Data],2,FALSE)</f>
        <v>M2 Metamark Metascape M7A Silver Window Polimérico 1,22 x 50m</v>
      </c>
      <c r="C3274">
        <v>37</v>
      </c>
      <c r="D3274" t="s">
        <v>1124</v>
      </c>
      <c r="E3274" t="str">
        <f>VLOOKUP(Tabla1[[#This Row],[Cód. Atributo]],[1]!Tabla5[#Data],6,FALSE)</f>
        <v>Select</v>
      </c>
      <c r="F3274">
        <v>5</v>
      </c>
      <c r="G3274">
        <v>1</v>
      </c>
      <c r="H3274" t="s">
        <v>1125</v>
      </c>
      <c r="I3274" t="str">
        <f>VLOOKUP(Tabla1[[#This Row],[Code]],'[1]Articulos Precio'!$A:$E,5,FALSE)</f>
        <v>A0000540</v>
      </c>
    </row>
    <row r="3275" spans="1:9" x14ac:dyDescent="0.25">
      <c r="A3275" t="s">
        <v>1181</v>
      </c>
      <c r="B3275" t="str">
        <f>VLOOKUP(Tabla1[[#This Row],[Code]],[1]!Tabla4[#Data],2,FALSE)</f>
        <v>M2 Metamark MT600 Blanco 1,22 x 50m</v>
      </c>
      <c r="C3275">
        <v>8</v>
      </c>
      <c r="D3275" t="s">
        <v>86</v>
      </c>
      <c r="E3275" t="str">
        <f>VLOOKUP(Tabla1[[#This Row],[Cód. Atributo]],[1]!Tabla5[#Data],6,FALSE)</f>
        <v>Select</v>
      </c>
      <c r="F3275">
        <v>1</v>
      </c>
      <c r="G3275">
        <v>2</v>
      </c>
      <c r="H3275" t="s">
        <v>268</v>
      </c>
      <c r="I3275" t="str">
        <f>VLOOKUP(Tabla1[[#This Row],[Code]],'[1]Articulos Precio'!$A:$E,5,FALSE)</f>
        <v>A0000541</v>
      </c>
    </row>
    <row r="3276" spans="1:9" x14ac:dyDescent="0.25">
      <c r="A3276" t="s">
        <v>1181</v>
      </c>
      <c r="B3276" t="str">
        <f>VLOOKUP(Tabla1[[#This Row],[Code]],[1]!Tabla4[#Data],2,FALSE)</f>
        <v>M2 Metamark MT600 Blanco 1,22 x 50m</v>
      </c>
      <c r="C3276">
        <v>14</v>
      </c>
      <c r="D3276" t="s">
        <v>1182</v>
      </c>
      <c r="E3276" t="str">
        <f>VLOOKUP(Tabla1[[#This Row],[Cód. Atributo]],[1]!Tabla5[#Data],6,FALSE)</f>
        <v>Color</v>
      </c>
      <c r="F3276">
        <v>2</v>
      </c>
      <c r="G3276">
        <v>1</v>
      </c>
      <c r="H3276" t="s">
        <v>1183</v>
      </c>
      <c r="I3276" t="str">
        <f>VLOOKUP(Tabla1[[#This Row],[Code]],'[1]Articulos Precio'!$A:$E,5,FALSE)</f>
        <v>A0000541</v>
      </c>
    </row>
    <row r="3277" spans="1:9" x14ac:dyDescent="0.25">
      <c r="A3277" t="s">
        <v>1181</v>
      </c>
      <c r="B3277" t="str">
        <f>VLOOKUP(Tabla1[[#This Row],[Code]],[1]!Tabla4[#Data],2,FALSE)</f>
        <v>M2 Metamark MT600 Blanco 1,22 x 50m</v>
      </c>
      <c r="C3277">
        <v>24</v>
      </c>
      <c r="D3277" t="s">
        <v>96</v>
      </c>
      <c r="E3277" t="str">
        <f>VLOOKUP(Tabla1[[#This Row],[Cód. Atributo]],[1]!Tabla5[#Data],6,FALSE)</f>
        <v>Select</v>
      </c>
      <c r="F3277">
        <v>3</v>
      </c>
      <c r="G3277">
        <v>3</v>
      </c>
      <c r="H3277" t="s">
        <v>181</v>
      </c>
      <c r="I3277" t="str">
        <f>VLOOKUP(Tabla1[[#This Row],[Code]],'[1]Articulos Precio'!$A:$E,5,FALSE)</f>
        <v>A0000541</v>
      </c>
    </row>
    <row r="3278" spans="1:9" x14ac:dyDescent="0.25">
      <c r="A3278" t="s">
        <v>1181</v>
      </c>
      <c r="B3278" t="str">
        <f>VLOOKUP(Tabla1[[#This Row],[Code]],[1]!Tabla4[#Data],2,FALSE)</f>
        <v>M2 Metamark MT600 Blanco 1,22 x 50m</v>
      </c>
      <c r="C3278">
        <v>25</v>
      </c>
      <c r="D3278" t="s">
        <v>94</v>
      </c>
      <c r="E3278" t="str">
        <f>VLOOKUP(Tabla1[[#This Row],[Cód. Atributo]],[1]!Tabla5[#Data],6,FALSE)</f>
        <v>Select</v>
      </c>
      <c r="F3278">
        <v>4</v>
      </c>
      <c r="G3278">
        <v>4</v>
      </c>
      <c r="H3278" t="s">
        <v>137</v>
      </c>
      <c r="I3278" t="str">
        <f>VLOOKUP(Tabla1[[#This Row],[Code]],'[1]Articulos Precio'!$A:$E,5,FALSE)</f>
        <v>A0000541</v>
      </c>
    </row>
    <row r="3279" spans="1:9" x14ac:dyDescent="0.25">
      <c r="A3279" t="s">
        <v>1181</v>
      </c>
      <c r="B3279" t="str">
        <f>VLOOKUP(Tabla1[[#This Row],[Code]],[1]!Tabla4[#Data],2,FALSE)</f>
        <v>M2 Metamark MT600 Blanco 1,22 x 50m</v>
      </c>
      <c r="C3279">
        <v>23</v>
      </c>
      <c r="D3279" t="s">
        <v>90</v>
      </c>
      <c r="E3279" t="str">
        <f>VLOOKUP(Tabla1[[#This Row],[Cód. Atributo]],[1]!Tabla5[#Data],6,FALSE)</f>
        <v>Select</v>
      </c>
      <c r="F3279">
        <v>5</v>
      </c>
      <c r="G3279">
        <v>2</v>
      </c>
      <c r="H3279" t="s">
        <v>136</v>
      </c>
      <c r="I3279" t="str">
        <f>VLOOKUP(Tabla1[[#This Row],[Code]],'[1]Articulos Precio'!$A:$E,5,FALSE)</f>
        <v>A0000541</v>
      </c>
    </row>
    <row r="3280" spans="1:9" x14ac:dyDescent="0.25">
      <c r="A3280" t="s">
        <v>1184</v>
      </c>
      <c r="B3280" t="str">
        <f>VLOOKUP(Tabla1[[#This Row],[Code]],[1]!Tabla4[#Data],2,FALSE)</f>
        <v>M2 Metamark MT610 Negro 1,22 x 50m</v>
      </c>
      <c r="C3280">
        <v>8</v>
      </c>
      <c r="D3280" t="s">
        <v>86</v>
      </c>
      <c r="E3280" t="str">
        <f>VLOOKUP(Tabla1[[#This Row],[Cód. Atributo]],[1]!Tabla5[#Data],6,FALSE)</f>
        <v>Select</v>
      </c>
      <c r="F3280">
        <v>1</v>
      </c>
      <c r="G3280">
        <v>2</v>
      </c>
      <c r="H3280" t="s">
        <v>268</v>
      </c>
      <c r="I3280" t="str">
        <f>VLOOKUP(Tabla1[[#This Row],[Code]],'[1]Articulos Precio'!$A:$E,5,FALSE)</f>
        <v>A0000541</v>
      </c>
    </row>
    <row r="3281" spans="1:9" x14ac:dyDescent="0.25">
      <c r="A3281" t="s">
        <v>1184</v>
      </c>
      <c r="B3281" t="str">
        <f>VLOOKUP(Tabla1[[#This Row],[Code]],[1]!Tabla4[#Data],2,FALSE)</f>
        <v>M2 Metamark MT610 Negro 1,22 x 50m</v>
      </c>
      <c r="C3281">
        <v>14</v>
      </c>
      <c r="D3281" t="s">
        <v>1182</v>
      </c>
      <c r="E3281" t="str">
        <f>VLOOKUP(Tabla1[[#This Row],[Cód. Atributo]],[1]!Tabla5[#Data],6,FALSE)</f>
        <v>Color</v>
      </c>
      <c r="F3281">
        <v>2</v>
      </c>
      <c r="G3281">
        <v>2</v>
      </c>
      <c r="H3281" t="s">
        <v>1185</v>
      </c>
      <c r="I3281" t="str">
        <f>VLOOKUP(Tabla1[[#This Row],[Code]],'[1]Articulos Precio'!$A:$E,5,FALSE)</f>
        <v>A0000541</v>
      </c>
    </row>
    <row r="3282" spans="1:9" x14ac:dyDescent="0.25">
      <c r="A3282" t="s">
        <v>1184</v>
      </c>
      <c r="B3282" t="str">
        <f>VLOOKUP(Tabla1[[#This Row],[Code]],[1]!Tabla4[#Data],2,FALSE)</f>
        <v>M2 Metamark MT610 Negro 1,22 x 50m</v>
      </c>
      <c r="C3282">
        <v>24</v>
      </c>
      <c r="D3282" t="s">
        <v>96</v>
      </c>
      <c r="E3282" t="str">
        <f>VLOOKUP(Tabla1[[#This Row],[Cód. Atributo]],[1]!Tabla5[#Data],6,FALSE)</f>
        <v>Select</v>
      </c>
      <c r="F3282">
        <v>3</v>
      </c>
      <c r="G3282">
        <v>3</v>
      </c>
      <c r="H3282" t="s">
        <v>181</v>
      </c>
      <c r="I3282" t="str">
        <f>VLOOKUP(Tabla1[[#This Row],[Code]],'[1]Articulos Precio'!$A:$E,5,FALSE)</f>
        <v>A0000541</v>
      </c>
    </row>
    <row r="3283" spans="1:9" x14ac:dyDescent="0.25">
      <c r="A3283" t="s">
        <v>1186</v>
      </c>
      <c r="B3283" t="str">
        <f>VLOOKUP(Tabla1[[#This Row],[Code]],[1]!Tabla4[#Data],2,FALSE)</f>
        <v>Rollo MDC MetaCast Wrap MGlide 005 Brillo 1,37x10m</v>
      </c>
      <c r="C3283">
        <v>1</v>
      </c>
      <c r="D3283" t="s">
        <v>106</v>
      </c>
      <c r="E3283" t="str">
        <f>VLOOKUP(Tabla1[[#This Row],[Cód. Atributo]],[1]!Tabla5[#Data],6,FALSE)</f>
        <v>Select</v>
      </c>
      <c r="F3283">
        <v>1</v>
      </c>
      <c r="G3283">
        <v>1</v>
      </c>
      <c r="H3283" t="s">
        <v>107</v>
      </c>
      <c r="I3283" t="str">
        <f>VLOOKUP(Tabla1[[#This Row],[Code]],'[1]Articulos Precio'!$A:$E,5,FALSE)</f>
        <v>A0001660</v>
      </c>
    </row>
    <row r="3284" spans="1:9" x14ac:dyDescent="0.25">
      <c r="A3284" t="s">
        <v>1186</v>
      </c>
      <c r="B3284" t="str">
        <f>VLOOKUP(Tabla1[[#This Row],[Code]],[1]!Tabla4[#Data],2,FALSE)</f>
        <v>Rollo MDC MetaCast Wrap MGlide 005 Brillo 1,37x10m</v>
      </c>
      <c r="C3284">
        <v>3</v>
      </c>
      <c r="D3284" t="s">
        <v>108</v>
      </c>
      <c r="E3284" t="str">
        <f>VLOOKUP(Tabla1[[#This Row],[Cód. Atributo]],[1]!Tabla5[#Data],6,FALSE)</f>
        <v>Select</v>
      </c>
      <c r="F3284">
        <v>2</v>
      </c>
      <c r="G3284">
        <v>3</v>
      </c>
      <c r="H3284" t="s">
        <v>117</v>
      </c>
      <c r="I3284" t="str">
        <f>VLOOKUP(Tabla1[[#This Row],[Code]],'[1]Articulos Precio'!$A:$E,5,FALSE)</f>
        <v>A0001660</v>
      </c>
    </row>
    <row r="3285" spans="1:9" x14ac:dyDescent="0.25">
      <c r="A3285" t="s">
        <v>1186</v>
      </c>
      <c r="B3285" t="str">
        <f>VLOOKUP(Tabla1[[#This Row],[Code]],[1]!Tabla4[#Data],2,FALSE)</f>
        <v>Rollo MDC MetaCast Wrap MGlide 005 Brillo 1,37x10m</v>
      </c>
      <c r="C3285">
        <v>23</v>
      </c>
      <c r="D3285" t="s">
        <v>90</v>
      </c>
      <c r="E3285" t="str">
        <f>VLOOKUP(Tabla1[[#This Row],[Cód. Atributo]],[1]!Tabla5[#Data],6,FALSE)</f>
        <v>Select</v>
      </c>
      <c r="F3285">
        <v>3</v>
      </c>
      <c r="G3285">
        <v>3</v>
      </c>
      <c r="H3285" t="s">
        <v>91</v>
      </c>
      <c r="I3285" t="str">
        <f>VLOOKUP(Tabla1[[#This Row],[Code]],'[1]Articulos Precio'!$A:$E,5,FALSE)</f>
        <v>A0001660</v>
      </c>
    </row>
    <row r="3286" spans="1:9" x14ac:dyDescent="0.25">
      <c r="A3286" t="s">
        <v>1186</v>
      </c>
      <c r="B3286" t="str">
        <f>VLOOKUP(Tabla1[[#This Row],[Code]],[1]!Tabla4[#Data],2,FALSE)</f>
        <v>Rollo MDC MetaCast Wrap MGlide 005 Brillo 1,37x10m</v>
      </c>
      <c r="C3286">
        <v>25</v>
      </c>
      <c r="D3286" t="s">
        <v>94</v>
      </c>
      <c r="E3286" t="str">
        <f>VLOOKUP(Tabla1[[#This Row],[Cód. Atributo]],[1]!Tabla5[#Data],6,FALSE)</f>
        <v>Select</v>
      </c>
      <c r="F3286">
        <v>4</v>
      </c>
      <c r="G3286">
        <v>6</v>
      </c>
      <c r="H3286" t="s">
        <v>95</v>
      </c>
      <c r="I3286" t="str">
        <f>VLOOKUP(Tabla1[[#This Row],[Code]],'[1]Articulos Precio'!$A:$E,5,FALSE)</f>
        <v>A0001660</v>
      </c>
    </row>
    <row r="3287" spans="1:9" x14ac:dyDescent="0.25">
      <c r="A3287" t="s">
        <v>1186</v>
      </c>
      <c r="B3287" t="str">
        <f>VLOOKUP(Tabla1[[#This Row],[Code]],[1]!Tabla4[#Data],2,FALSE)</f>
        <v>Rollo MDC MetaCast Wrap MGlide 005 Brillo 1,37x10m</v>
      </c>
      <c r="C3287">
        <v>26</v>
      </c>
      <c r="D3287" t="s">
        <v>112</v>
      </c>
      <c r="E3287" t="str">
        <f>VLOOKUP(Tabla1[[#This Row],[Cód. Atributo]],[1]!Tabla5[#Data],6,FALSE)</f>
        <v>Select</v>
      </c>
      <c r="F3287">
        <v>5</v>
      </c>
      <c r="G3287">
        <v>5</v>
      </c>
      <c r="H3287" t="s">
        <v>1187</v>
      </c>
      <c r="I3287" t="str">
        <f>VLOOKUP(Tabla1[[#This Row],[Code]],'[1]Articulos Precio'!$A:$E,5,FALSE)</f>
        <v>A0001660</v>
      </c>
    </row>
    <row r="3288" spans="1:9" x14ac:dyDescent="0.25">
      <c r="A3288" t="s">
        <v>1186</v>
      </c>
      <c r="B3288" t="str">
        <f>VLOOKUP(Tabla1[[#This Row],[Code]],[1]!Tabla4[#Data],2,FALSE)</f>
        <v>Rollo MDC MetaCast Wrap MGlide 005 Brillo 1,37x10m</v>
      </c>
      <c r="C3288">
        <v>31</v>
      </c>
      <c r="D3288" t="s">
        <v>114</v>
      </c>
      <c r="E3288" t="str">
        <f>VLOOKUP(Tabla1[[#This Row],[Cód. Atributo]],[1]!Tabla5[#Data],6,FALSE)</f>
        <v>Select</v>
      </c>
      <c r="F3288">
        <v>6</v>
      </c>
      <c r="G3288">
        <v>13</v>
      </c>
      <c r="H3288" t="s">
        <v>1188</v>
      </c>
      <c r="I3288" t="str">
        <f>VLOOKUP(Tabla1[[#This Row],[Code]],'[1]Articulos Precio'!$A:$E,5,FALSE)</f>
        <v>A0001660</v>
      </c>
    </row>
    <row r="3289" spans="1:9" x14ac:dyDescent="0.25">
      <c r="A3289" t="s">
        <v>1186</v>
      </c>
      <c r="B3289" t="str">
        <f>VLOOKUP(Tabla1[[#This Row],[Code]],[1]!Tabla4[#Data],2,FALSE)</f>
        <v>Rollo MDC MetaCast Wrap MGlide 005 Brillo 1,37x10m</v>
      </c>
      <c r="C3289">
        <v>44</v>
      </c>
      <c r="D3289" t="s">
        <v>1189</v>
      </c>
      <c r="E3289" t="str">
        <f>VLOOKUP(Tabla1[[#This Row],[Cód. Atributo]],[1]!Tabla5[#Data],6,FALSE)</f>
        <v>Select</v>
      </c>
      <c r="F3289">
        <v>7</v>
      </c>
      <c r="G3289">
        <v>1</v>
      </c>
      <c r="H3289" t="s">
        <v>1190</v>
      </c>
      <c r="I3289" t="str">
        <f>VLOOKUP(Tabla1[[#This Row],[Code]],'[1]Articulos Precio'!$A:$E,5,FALSE)</f>
        <v>A0001660</v>
      </c>
    </row>
    <row r="3290" spans="1:9" x14ac:dyDescent="0.25">
      <c r="A3290" t="s">
        <v>1191</v>
      </c>
      <c r="B3290" t="str">
        <f>VLOOKUP(Tabla1[[#This Row],[Code]],[1]!Tabla4[#Data],2,FALSE)</f>
        <v>Rollo MDC 100 MetaCast Wrap MGlide Brillo 1,37x25m</v>
      </c>
      <c r="C3290">
        <v>1</v>
      </c>
      <c r="D3290" t="s">
        <v>106</v>
      </c>
      <c r="E3290" t="str">
        <f>VLOOKUP(Tabla1[[#This Row],[Cód. Atributo]],[1]!Tabla5[#Data],6,FALSE)</f>
        <v>Select</v>
      </c>
      <c r="F3290">
        <v>1</v>
      </c>
      <c r="G3290">
        <v>1</v>
      </c>
      <c r="H3290" t="s">
        <v>107</v>
      </c>
      <c r="I3290" t="str">
        <f>VLOOKUP(Tabla1[[#This Row],[Code]],'[1]Articulos Precio'!$A:$E,5,FALSE)</f>
        <v>A0001660</v>
      </c>
    </row>
    <row r="3291" spans="1:9" x14ac:dyDescent="0.25">
      <c r="A3291" t="s">
        <v>1191</v>
      </c>
      <c r="B3291" t="str">
        <f>VLOOKUP(Tabla1[[#This Row],[Code]],[1]!Tabla4[#Data],2,FALSE)</f>
        <v>Rollo MDC 100 MetaCast Wrap MGlide Brillo 1,37x25m</v>
      </c>
      <c r="C3291">
        <v>3</v>
      </c>
      <c r="D3291" t="s">
        <v>108</v>
      </c>
      <c r="E3291" t="str">
        <f>VLOOKUP(Tabla1[[#This Row],[Cód. Atributo]],[1]!Tabla5[#Data],6,FALSE)</f>
        <v>Select</v>
      </c>
      <c r="F3291">
        <v>2</v>
      </c>
      <c r="G3291">
        <v>3</v>
      </c>
      <c r="H3291" t="s">
        <v>117</v>
      </c>
      <c r="I3291" t="str">
        <f>VLOOKUP(Tabla1[[#This Row],[Code]],'[1]Articulos Precio'!$A:$E,5,FALSE)</f>
        <v>A0001660</v>
      </c>
    </row>
    <row r="3292" spans="1:9" x14ac:dyDescent="0.25">
      <c r="A3292" t="s">
        <v>1191</v>
      </c>
      <c r="B3292" t="str">
        <f>VLOOKUP(Tabla1[[#This Row],[Code]],[1]!Tabla4[#Data],2,FALSE)</f>
        <v>Rollo MDC 100 MetaCast Wrap MGlide Brillo 1,37x25m</v>
      </c>
      <c r="C3292">
        <v>23</v>
      </c>
      <c r="D3292" t="s">
        <v>90</v>
      </c>
      <c r="E3292" t="str">
        <f>VLOOKUP(Tabla1[[#This Row],[Cód. Atributo]],[1]!Tabla5[#Data],6,FALSE)</f>
        <v>Select</v>
      </c>
      <c r="F3292">
        <v>3</v>
      </c>
      <c r="G3292">
        <v>3</v>
      </c>
      <c r="H3292" t="s">
        <v>91</v>
      </c>
      <c r="I3292" t="str">
        <f>VLOOKUP(Tabla1[[#This Row],[Code]],'[1]Articulos Precio'!$A:$E,5,FALSE)</f>
        <v>A0001660</v>
      </c>
    </row>
    <row r="3293" spans="1:9" x14ac:dyDescent="0.25">
      <c r="A3293" t="s">
        <v>1191</v>
      </c>
      <c r="B3293" t="str">
        <f>VLOOKUP(Tabla1[[#This Row],[Code]],[1]!Tabla4[#Data],2,FALSE)</f>
        <v>Rollo MDC 100 MetaCast Wrap MGlide Brillo 1,37x25m</v>
      </c>
      <c r="C3293">
        <v>25</v>
      </c>
      <c r="D3293" t="s">
        <v>94</v>
      </c>
      <c r="E3293" t="str">
        <f>VLOOKUP(Tabla1[[#This Row],[Cód. Atributo]],[1]!Tabla5[#Data],6,FALSE)</f>
        <v>Select</v>
      </c>
      <c r="F3293">
        <v>4</v>
      </c>
      <c r="G3293">
        <v>6</v>
      </c>
      <c r="H3293" t="s">
        <v>95</v>
      </c>
      <c r="I3293" t="str">
        <f>VLOOKUP(Tabla1[[#This Row],[Code]],'[1]Articulos Precio'!$A:$E,5,FALSE)</f>
        <v>A0001660</v>
      </c>
    </row>
    <row r="3294" spans="1:9" x14ac:dyDescent="0.25">
      <c r="A3294" t="s">
        <v>1191</v>
      </c>
      <c r="B3294" t="str">
        <f>VLOOKUP(Tabla1[[#This Row],[Code]],[1]!Tabla4[#Data],2,FALSE)</f>
        <v>Rollo MDC 100 MetaCast Wrap MGlide Brillo 1,37x25m</v>
      </c>
      <c r="C3294">
        <v>26</v>
      </c>
      <c r="D3294" t="s">
        <v>112</v>
      </c>
      <c r="E3294" t="str">
        <f>VLOOKUP(Tabla1[[#This Row],[Cód. Atributo]],[1]!Tabla5[#Data],6,FALSE)</f>
        <v>Select</v>
      </c>
      <c r="F3294">
        <v>5</v>
      </c>
      <c r="G3294">
        <v>5</v>
      </c>
      <c r="H3294" t="s">
        <v>1187</v>
      </c>
      <c r="I3294" t="str">
        <f>VLOOKUP(Tabla1[[#This Row],[Code]],'[1]Articulos Precio'!$A:$E,5,FALSE)</f>
        <v>A0001660</v>
      </c>
    </row>
    <row r="3295" spans="1:9" x14ac:dyDescent="0.25">
      <c r="A3295" t="s">
        <v>1191</v>
      </c>
      <c r="B3295" t="str">
        <f>VLOOKUP(Tabla1[[#This Row],[Code]],[1]!Tabla4[#Data],2,FALSE)</f>
        <v>Rollo MDC 100 MetaCast Wrap MGlide Brillo 1,37x25m</v>
      </c>
      <c r="C3295">
        <v>31</v>
      </c>
      <c r="D3295" t="s">
        <v>114</v>
      </c>
      <c r="E3295" t="str">
        <f>VLOOKUP(Tabla1[[#This Row],[Cód. Atributo]],[1]!Tabla5[#Data],6,FALSE)</f>
        <v>Select</v>
      </c>
      <c r="F3295">
        <v>6</v>
      </c>
      <c r="G3295">
        <v>13</v>
      </c>
      <c r="H3295" t="s">
        <v>1188</v>
      </c>
      <c r="I3295" t="str">
        <f>VLOOKUP(Tabla1[[#This Row],[Code]],'[1]Articulos Precio'!$A:$E,5,FALSE)</f>
        <v>A0001660</v>
      </c>
    </row>
    <row r="3296" spans="1:9" x14ac:dyDescent="0.25">
      <c r="A3296" t="s">
        <v>1191</v>
      </c>
      <c r="B3296" t="str">
        <f>VLOOKUP(Tabla1[[#This Row],[Code]],[1]!Tabla4[#Data],2,FALSE)</f>
        <v>Rollo MDC 100 MetaCast Wrap MGlide Brillo 1,37x25m</v>
      </c>
      <c r="C3296">
        <v>44</v>
      </c>
      <c r="D3296" t="s">
        <v>1189</v>
      </c>
      <c r="E3296" t="str">
        <f>VLOOKUP(Tabla1[[#This Row],[Cód. Atributo]],[1]!Tabla5[#Data],6,FALSE)</f>
        <v>Select</v>
      </c>
      <c r="F3296">
        <v>7</v>
      </c>
      <c r="G3296">
        <v>2</v>
      </c>
      <c r="H3296" t="s">
        <v>1192</v>
      </c>
      <c r="I3296" t="str">
        <f>VLOOKUP(Tabla1[[#This Row],[Code]],'[1]Articulos Precio'!$A:$E,5,FALSE)</f>
        <v>A0001660</v>
      </c>
    </row>
    <row r="3297" spans="1:9" x14ac:dyDescent="0.25">
      <c r="A3297" t="s">
        <v>1193</v>
      </c>
      <c r="B3297" t="str">
        <f>VLOOKUP(Tabla1[[#This Row],[Code]],[1]!Tabla4[#Data],2,FALSE)</f>
        <v>Rollo MetaGuard MGC Wrap 002 Mate 1,37x10m</v>
      </c>
      <c r="C3297">
        <v>3</v>
      </c>
      <c r="D3297" t="s">
        <v>108</v>
      </c>
      <c r="E3297" t="str">
        <f>VLOOKUP(Tabla1[[#This Row],[Cód. Atributo]],[1]!Tabla5[#Data],6,FALSE)</f>
        <v>Select</v>
      </c>
      <c r="F3297">
        <v>1</v>
      </c>
      <c r="G3297">
        <v>3</v>
      </c>
      <c r="H3297" t="s">
        <v>117</v>
      </c>
      <c r="I3297" t="str">
        <f>VLOOKUP(Tabla1[[#This Row],[Code]],'[1]Articulos Precio'!$A:$E,5,FALSE)</f>
        <v>A0001664</v>
      </c>
    </row>
    <row r="3298" spans="1:9" x14ac:dyDescent="0.25">
      <c r="A3298" t="s">
        <v>1193</v>
      </c>
      <c r="B3298" t="str">
        <f>VLOOKUP(Tabla1[[#This Row],[Code]],[1]!Tabla4[#Data],2,FALSE)</f>
        <v>Rollo MetaGuard MGC Wrap 002 Mate 1,37x10m</v>
      </c>
      <c r="C3298">
        <v>23</v>
      </c>
      <c r="D3298" t="s">
        <v>90</v>
      </c>
      <c r="E3298" t="str">
        <f>VLOOKUP(Tabla1[[#This Row],[Cód. Atributo]],[1]!Tabla5[#Data],6,FALSE)</f>
        <v>Select</v>
      </c>
      <c r="F3298">
        <v>2</v>
      </c>
      <c r="G3298">
        <v>3</v>
      </c>
      <c r="H3298" t="s">
        <v>91</v>
      </c>
      <c r="I3298" t="str">
        <f>VLOOKUP(Tabla1[[#This Row],[Code]],'[1]Articulos Precio'!$A:$E,5,FALSE)</f>
        <v>A0001664</v>
      </c>
    </row>
    <row r="3299" spans="1:9" x14ac:dyDescent="0.25">
      <c r="A3299" t="s">
        <v>1193</v>
      </c>
      <c r="B3299" t="str">
        <f>VLOOKUP(Tabla1[[#This Row],[Code]],[1]!Tabla4[#Data],2,FALSE)</f>
        <v>Rollo MetaGuard MGC Wrap 002 Mate 1,37x10m</v>
      </c>
      <c r="C3299">
        <v>25</v>
      </c>
      <c r="D3299" t="s">
        <v>94</v>
      </c>
      <c r="E3299" t="str">
        <f>VLOOKUP(Tabla1[[#This Row],[Cód. Atributo]],[1]!Tabla5[#Data],6,FALSE)</f>
        <v>Select</v>
      </c>
      <c r="F3299">
        <v>3</v>
      </c>
      <c r="G3299">
        <v>6</v>
      </c>
      <c r="H3299" t="s">
        <v>95</v>
      </c>
      <c r="I3299" t="str">
        <f>VLOOKUP(Tabla1[[#This Row],[Code]],'[1]Articulos Precio'!$A:$E,5,FALSE)</f>
        <v>A0001664</v>
      </c>
    </row>
    <row r="3300" spans="1:9" x14ac:dyDescent="0.25">
      <c r="A3300" t="s">
        <v>1193</v>
      </c>
      <c r="B3300" t="str">
        <f>VLOOKUP(Tabla1[[#This Row],[Code]],[1]!Tabla4[#Data],2,FALSE)</f>
        <v>Rollo MetaGuard MGC Wrap 002 Mate 1,37x10m</v>
      </c>
      <c r="C3300">
        <v>30</v>
      </c>
      <c r="D3300" t="s">
        <v>184</v>
      </c>
      <c r="E3300" t="str">
        <f>VLOOKUP(Tabla1[[#This Row],[Cód. Atributo]],[1]!Tabla5[#Data],6,FALSE)</f>
        <v>Select</v>
      </c>
      <c r="F3300">
        <v>4</v>
      </c>
      <c r="G3300">
        <v>7</v>
      </c>
      <c r="H3300" t="s">
        <v>1194</v>
      </c>
      <c r="I3300" t="str">
        <f>VLOOKUP(Tabla1[[#This Row],[Code]],'[1]Articulos Precio'!$A:$E,5,FALSE)</f>
        <v>A0001664</v>
      </c>
    </row>
    <row r="3301" spans="1:9" x14ac:dyDescent="0.25">
      <c r="A3301" t="s">
        <v>1193</v>
      </c>
      <c r="B3301" t="str">
        <f>VLOOKUP(Tabla1[[#This Row],[Code]],[1]!Tabla4[#Data],2,FALSE)</f>
        <v>Rollo MetaGuard MGC Wrap 002 Mate 1,37x10m</v>
      </c>
      <c r="C3301">
        <v>44</v>
      </c>
      <c r="D3301" t="s">
        <v>1189</v>
      </c>
      <c r="E3301" t="str">
        <f>VLOOKUP(Tabla1[[#This Row],[Cód. Atributo]],[1]!Tabla5[#Data],6,FALSE)</f>
        <v>Select</v>
      </c>
      <c r="F3301">
        <v>5</v>
      </c>
      <c r="G3301">
        <v>1</v>
      </c>
      <c r="H3301" t="s">
        <v>1190</v>
      </c>
      <c r="I3301" t="str">
        <f>VLOOKUP(Tabla1[[#This Row],[Code]],'[1]Articulos Precio'!$A:$E,5,FALSE)</f>
        <v>A0001664</v>
      </c>
    </row>
    <row r="3302" spans="1:9" x14ac:dyDescent="0.25">
      <c r="A3302" t="s">
        <v>1195</v>
      </c>
      <c r="B3302" t="str">
        <f>VLOOKUP(Tabla1[[#This Row],[Code]],[1]!Tabla4[#Data],2,FALSE)</f>
        <v>Rollo MetaGuard MGC Wrap 002 Mate 1,37x25m</v>
      </c>
      <c r="C3302">
        <v>3</v>
      </c>
      <c r="D3302" t="s">
        <v>108</v>
      </c>
      <c r="E3302" t="str">
        <f>VLOOKUP(Tabla1[[#This Row],[Cód. Atributo]],[1]!Tabla5[#Data],6,FALSE)</f>
        <v>Select</v>
      </c>
      <c r="F3302">
        <v>1</v>
      </c>
      <c r="G3302">
        <v>3</v>
      </c>
      <c r="H3302" t="s">
        <v>117</v>
      </c>
      <c r="I3302" t="str">
        <f>VLOOKUP(Tabla1[[#This Row],[Code]],'[1]Articulos Precio'!$A:$E,5,FALSE)</f>
        <v>A0001664</v>
      </c>
    </row>
    <row r="3303" spans="1:9" x14ac:dyDescent="0.25">
      <c r="A3303" t="s">
        <v>1195</v>
      </c>
      <c r="B3303" t="str">
        <f>VLOOKUP(Tabla1[[#This Row],[Code]],[1]!Tabla4[#Data],2,FALSE)</f>
        <v>Rollo MetaGuard MGC Wrap 002 Mate 1,37x25m</v>
      </c>
      <c r="C3303">
        <v>23</v>
      </c>
      <c r="D3303" t="s">
        <v>90</v>
      </c>
      <c r="E3303" t="str">
        <f>VLOOKUP(Tabla1[[#This Row],[Cód. Atributo]],[1]!Tabla5[#Data],6,FALSE)</f>
        <v>Select</v>
      </c>
      <c r="F3303">
        <v>2</v>
      </c>
      <c r="G3303">
        <v>3</v>
      </c>
      <c r="H3303" t="s">
        <v>91</v>
      </c>
      <c r="I3303" t="str">
        <f>VLOOKUP(Tabla1[[#This Row],[Code]],'[1]Articulos Precio'!$A:$E,5,FALSE)</f>
        <v>A0001664</v>
      </c>
    </row>
    <row r="3304" spans="1:9" x14ac:dyDescent="0.25">
      <c r="A3304" t="s">
        <v>1195</v>
      </c>
      <c r="B3304" t="str">
        <f>VLOOKUP(Tabla1[[#This Row],[Code]],[1]!Tabla4[#Data],2,FALSE)</f>
        <v>Rollo MetaGuard MGC Wrap 002 Mate 1,37x25m</v>
      </c>
      <c r="C3304">
        <v>25</v>
      </c>
      <c r="D3304" t="s">
        <v>94</v>
      </c>
      <c r="E3304" t="str">
        <f>VLOOKUP(Tabla1[[#This Row],[Cód. Atributo]],[1]!Tabla5[#Data],6,FALSE)</f>
        <v>Select</v>
      </c>
      <c r="F3304">
        <v>3</v>
      </c>
      <c r="G3304">
        <v>6</v>
      </c>
      <c r="H3304" t="s">
        <v>95</v>
      </c>
      <c r="I3304" t="str">
        <f>VLOOKUP(Tabla1[[#This Row],[Code]],'[1]Articulos Precio'!$A:$E,5,FALSE)</f>
        <v>A0001664</v>
      </c>
    </row>
    <row r="3305" spans="1:9" x14ac:dyDescent="0.25">
      <c r="A3305" t="s">
        <v>1195</v>
      </c>
      <c r="B3305" t="str">
        <f>VLOOKUP(Tabla1[[#This Row],[Code]],[1]!Tabla4[#Data],2,FALSE)</f>
        <v>Rollo MetaGuard MGC Wrap 002 Mate 1,37x25m</v>
      </c>
      <c r="C3305">
        <v>30</v>
      </c>
      <c r="D3305" t="s">
        <v>184</v>
      </c>
      <c r="E3305" t="str">
        <f>VLOOKUP(Tabla1[[#This Row],[Cód. Atributo]],[1]!Tabla5[#Data],6,FALSE)</f>
        <v>Select</v>
      </c>
      <c r="F3305">
        <v>4</v>
      </c>
      <c r="G3305">
        <v>7</v>
      </c>
      <c r="H3305" t="s">
        <v>1194</v>
      </c>
      <c r="I3305" t="str">
        <f>VLOOKUP(Tabla1[[#This Row],[Code]],'[1]Articulos Precio'!$A:$E,5,FALSE)</f>
        <v>A0001664</v>
      </c>
    </row>
    <row r="3306" spans="1:9" x14ac:dyDescent="0.25">
      <c r="A3306" t="s">
        <v>1195</v>
      </c>
      <c r="B3306" t="str">
        <f>VLOOKUP(Tabla1[[#This Row],[Code]],[1]!Tabla4[#Data],2,FALSE)</f>
        <v>Rollo MetaGuard MGC Wrap 002 Mate 1,37x25m</v>
      </c>
      <c r="C3306">
        <v>44</v>
      </c>
      <c r="D3306" t="s">
        <v>1189</v>
      </c>
      <c r="E3306" t="str">
        <f>VLOOKUP(Tabla1[[#This Row],[Cód. Atributo]],[1]!Tabla5[#Data],6,FALSE)</f>
        <v>Select</v>
      </c>
      <c r="F3306">
        <v>5</v>
      </c>
      <c r="G3306">
        <v>2</v>
      </c>
      <c r="H3306" t="s">
        <v>1192</v>
      </c>
      <c r="I3306" t="str">
        <f>VLOOKUP(Tabla1[[#This Row],[Code]],'[1]Articulos Precio'!$A:$E,5,FALSE)</f>
        <v>A0001664</v>
      </c>
    </row>
    <row r="3307" spans="1:9" x14ac:dyDescent="0.25">
      <c r="A3307" t="s">
        <v>1196</v>
      </c>
      <c r="B3307" t="str">
        <f>VLOOKUP(Tabla1[[#This Row],[Code]],[1]!Tabla4[#Data],2,FALSE)</f>
        <v>Rollo MetaGuard MGC Wrap 005 Brillo 1,37x10m</v>
      </c>
      <c r="C3307">
        <v>3</v>
      </c>
      <c r="D3307" t="s">
        <v>108</v>
      </c>
      <c r="E3307" t="str">
        <f>VLOOKUP(Tabla1[[#This Row],[Cód. Atributo]],[1]!Tabla5[#Data],6,FALSE)</f>
        <v>Select</v>
      </c>
      <c r="F3307">
        <v>1</v>
      </c>
      <c r="G3307">
        <v>3</v>
      </c>
      <c r="H3307" t="s">
        <v>117</v>
      </c>
      <c r="I3307" t="str">
        <f>VLOOKUP(Tabla1[[#This Row],[Code]],'[1]Articulos Precio'!$A:$E,5,FALSE)</f>
        <v>A0001664</v>
      </c>
    </row>
    <row r="3308" spans="1:9" x14ac:dyDescent="0.25">
      <c r="A3308" t="s">
        <v>1196</v>
      </c>
      <c r="B3308" t="str">
        <f>VLOOKUP(Tabla1[[#This Row],[Code]],[1]!Tabla4[#Data],2,FALSE)</f>
        <v>Rollo MetaGuard MGC Wrap 005 Brillo 1,37x10m</v>
      </c>
      <c r="C3308">
        <v>23</v>
      </c>
      <c r="D3308" t="s">
        <v>90</v>
      </c>
      <c r="E3308" t="str">
        <f>VLOOKUP(Tabla1[[#This Row],[Cód. Atributo]],[1]!Tabla5[#Data],6,FALSE)</f>
        <v>Select</v>
      </c>
      <c r="F3308">
        <v>2</v>
      </c>
      <c r="G3308">
        <v>3</v>
      </c>
      <c r="H3308" t="s">
        <v>91</v>
      </c>
      <c r="I3308" t="str">
        <f>VLOOKUP(Tabla1[[#This Row],[Code]],'[1]Articulos Precio'!$A:$E,5,FALSE)</f>
        <v>A0001664</v>
      </c>
    </row>
    <row r="3309" spans="1:9" x14ac:dyDescent="0.25">
      <c r="A3309" t="s">
        <v>1196</v>
      </c>
      <c r="B3309" t="str">
        <f>VLOOKUP(Tabla1[[#This Row],[Code]],[1]!Tabla4[#Data],2,FALSE)</f>
        <v>Rollo MetaGuard MGC Wrap 005 Brillo 1,37x10m</v>
      </c>
      <c r="C3309">
        <v>25</v>
      </c>
      <c r="D3309" t="s">
        <v>94</v>
      </c>
      <c r="E3309" t="str">
        <f>VLOOKUP(Tabla1[[#This Row],[Cód. Atributo]],[1]!Tabla5[#Data],6,FALSE)</f>
        <v>Select</v>
      </c>
      <c r="F3309">
        <v>3</v>
      </c>
      <c r="G3309">
        <v>6</v>
      </c>
      <c r="H3309" t="s">
        <v>95</v>
      </c>
      <c r="I3309" t="str">
        <f>VLOOKUP(Tabla1[[#This Row],[Code]],'[1]Articulos Precio'!$A:$E,5,FALSE)</f>
        <v>A0001664</v>
      </c>
    </row>
    <row r="3310" spans="1:9" x14ac:dyDescent="0.25">
      <c r="A3310" t="s">
        <v>1196</v>
      </c>
      <c r="B3310" t="str">
        <f>VLOOKUP(Tabla1[[#This Row],[Code]],[1]!Tabla4[#Data],2,FALSE)</f>
        <v>Rollo MetaGuard MGC Wrap 005 Brillo 1,37x10m</v>
      </c>
      <c r="C3310">
        <v>30</v>
      </c>
      <c r="D3310" t="s">
        <v>184</v>
      </c>
      <c r="E3310" t="str">
        <f>VLOOKUP(Tabla1[[#This Row],[Cód. Atributo]],[1]!Tabla5[#Data],6,FALSE)</f>
        <v>Select</v>
      </c>
      <c r="F3310">
        <v>4</v>
      </c>
      <c r="G3310">
        <v>7</v>
      </c>
      <c r="H3310" t="s">
        <v>1194</v>
      </c>
      <c r="I3310" t="str">
        <f>VLOOKUP(Tabla1[[#This Row],[Code]],'[1]Articulos Precio'!$A:$E,5,FALSE)</f>
        <v>A0001664</v>
      </c>
    </row>
    <row r="3311" spans="1:9" x14ac:dyDescent="0.25">
      <c r="A3311" t="s">
        <v>1196</v>
      </c>
      <c r="B3311" t="str">
        <f>VLOOKUP(Tabla1[[#This Row],[Code]],[1]!Tabla4[#Data],2,FALSE)</f>
        <v>Rollo MetaGuard MGC Wrap 005 Brillo 1,37x10m</v>
      </c>
      <c r="C3311">
        <v>44</v>
      </c>
      <c r="D3311" t="s">
        <v>1189</v>
      </c>
      <c r="E3311" t="str">
        <f>VLOOKUP(Tabla1[[#This Row],[Cód. Atributo]],[1]!Tabla5[#Data],6,FALSE)</f>
        <v>Select</v>
      </c>
      <c r="F3311">
        <v>5</v>
      </c>
      <c r="G3311">
        <v>1</v>
      </c>
      <c r="H3311" t="s">
        <v>1190</v>
      </c>
      <c r="I3311" t="str">
        <f>VLOOKUP(Tabla1[[#This Row],[Code]],'[1]Articulos Precio'!$A:$E,5,FALSE)</f>
        <v>A0001664</v>
      </c>
    </row>
    <row r="3312" spans="1:9" x14ac:dyDescent="0.25">
      <c r="A3312" t="s">
        <v>1197</v>
      </c>
      <c r="B3312" t="str">
        <f>VLOOKUP(Tabla1[[#This Row],[Code]],[1]!Tabla4[#Data],2,FALSE)</f>
        <v>Rollo MetaGuard MGC Wrap 005 Brillo 1,37x25m</v>
      </c>
      <c r="C3312">
        <v>3</v>
      </c>
      <c r="D3312" t="s">
        <v>108</v>
      </c>
      <c r="E3312" t="str">
        <f>VLOOKUP(Tabla1[[#This Row],[Cód. Atributo]],[1]!Tabla5[#Data],6,FALSE)</f>
        <v>Select</v>
      </c>
      <c r="F3312">
        <v>1</v>
      </c>
      <c r="G3312">
        <v>3</v>
      </c>
      <c r="H3312" t="s">
        <v>117</v>
      </c>
      <c r="I3312" t="str">
        <f>VLOOKUP(Tabla1[[#This Row],[Code]],'[1]Articulos Precio'!$A:$E,5,FALSE)</f>
        <v>A0001664</v>
      </c>
    </row>
    <row r="3313" spans="1:9" x14ac:dyDescent="0.25">
      <c r="A3313" t="s">
        <v>1197</v>
      </c>
      <c r="B3313" t="str">
        <f>VLOOKUP(Tabla1[[#This Row],[Code]],[1]!Tabla4[#Data],2,FALSE)</f>
        <v>Rollo MetaGuard MGC Wrap 005 Brillo 1,37x25m</v>
      </c>
      <c r="C3313">
        <v>23</v>
      </c>
      <c r="D3313" t="s">
        <v>90</v>
      </c>
      <c r="E3313" t="str">
        <f>VLOOKUP(Tabla1[[#This Row],[Cód. Atributo]],[1]!Tabla5[#Data],6,FALSE)</f>
        <v>Select</v>
      </c>
      <c r="F3313">
        <v>2</v>
      </c>
      <c r="G3313">
        <v>3</v>
      </c>
      <c r="H3313" t="s">
        <v>91</v>
      </c>
      <c r="I3313" t="str">
        <f>VLOOKUP(Tabla1[[#This Row],[Code]],'[1]Articulos Precio'!$A:$E,5,FALSE)</f>
        <v>A0001664</v>
      </c>
    </row>
    <row r="3314" spans="1:9" x14ac:dyDescent="0.25">
      <c r="A3314" t="s">
        <v>1197</v>
      </c>
      <c r="B3314" t="str">
        <f>VLOOKUP(Tabla1[[#This Row],[Code]],[1]!Tabla4[#Data],2,FALSE)</f>
        <v>Rollo MetaGuard MGC Wrap 005 Brillo 1,37x25m</v>
      </c>
      <c r="C3314">
        <v>25</v>
      </c>
      <c r="D3314" t="s">
        <v>94</v>
      </c>
      <c r="E3314" t="str">
        <f>VLOOKUP(Tabla1[[#This Row],[Cód. Atributo]],[1]!Tabla5[#Data],6,FALSE)</f>
        <v>Select</v>
      </c>
      <c r="F3314">
        <v>3</v>
      </c>
      <c r="G3314">
        <v>6</v>
      </c>
      <c r="H3314" t="s">
        <v>95</v>
      </c>
      <c r="I3314" t="str">
        <f>VLOOKUP(Tabla1[[#This Row],[Code]],'[1]Articulos Precio'!$A:$E,5,FALSE)</f>
        <v>A0001664</v>
      </c>
    </row>
    <row r="3315" spans="1:9" x14ac:dyDescent="0.25">
      <c r="A3315" t="s">
        <v>1197</v>
      </c>
      <c r="B3315" t="str">
        <f>VLOOKUP(Tabla1[[#This Row],[Code]],[1]!Tabla4[#Data],2,FALSE)</f>
        <v>Rollo MetaGuard MGC Wrap 005 Brillo 1,37x25m</v>
      </c>
      <c r="C3315">
        <v>30</v>
      </c>
      <c r="D3315" t="s">
        <v>184</v>
      </c>
      <c r="E3315" t="str">
        <f>VLOOKUP(Tabla1[[#This Row],[Cód. Atributo]],[1]!Tabla5[#Data],6,FALSE)</f>
        <v>Select</v>
      </c>
      <c r="F3315">
        <v>4</v>
      </c>
      <c r="G3315">
        <v>7</v>
      </c>
      <c r="H3315" t="s">
        <v>1194</v>
      </c>
      <c r="I3315" t="str">
        <f>VLOOKUP(Tabla1[[#This Row],[Code]],'[1]Articulos Precio'!$A:$E,5,FALSE)</f>
        <v>A0001664</v>
      </c>
    </row>
    <row r="3316" spans="1:9" x14ac:dyDescent="0.25">
      <c r="A3316" t="s">
        <v>1197</v>
      </c>
      <c r="B3316" t="str">
        <f>VLOOKUP(Tabla1[[#This Row],[Code]],[1]!Tabla4[#Data],2,FALSE)</f>
        <v>Rollo MetaGuard MGC Wrap 005 Brillo 1,37x25m</v>
      </c>
      <c r="C3316">
        <v>44</v>
      </c>
      <c r="D3316" t="s">
        <v>1189</v>
      </c>
      <c r="E3316" t="str">
        <f>VLOOKUP(Tabla1[[#This Row],[Cód. Atributo]],[1]!Tabla5[#Data],6,FALSE)</f>
        <v>Select</v>
      </c>
      <c r="F3316">
        <v>5</v>
      </c>
      <c r="G3316">
        <v>2</v>
      </c>
      <c r="H3316" t="s">
        <v>1192</v>
      </c>
      <c r="I3316" t="str">
        <f>VLOOKUP(Tabla1[[#This Row],[Code]],'[1]Articulos Precio'!$A:$E,5,FALSE)</f>
        <v>A0001664</v>
      </c>
    </row>
    <row r="3317" spans="1:9" x14ac:dyDescent="0.25">
      <c r="A3317" t="s">
        <v>1198</v>
      </c>
      <c r="B3317" t="str">
        <f>VLOOKUP(Tabla1[[#This Row],[Code]],[1]!Tabla4[#Data],2,FALSE)</f>
        <v>Rollo Metamark MDi 100 (70mc) Brillo 1,37x50m</v>
      </c>
      <c r="C3317">
        <v>1</v>
      </c>
      <c r="D3317" t="s">
        <v>106</v>
      </c>
      <c r="E3317" t="str">
        <f>VLOOKUP(Tabla1[[#This Row],[Cód. Atributo]],[1]!Tabla5[#Data],6,FALSE)</f>
        <v>Select</v>
      </c>
      <c r="F3317">
        <v>1</v>
      </c>
      <c r="G3317">
        <v>1</v>
      </c>
      <c r="H3317" t="s">
        <v>107</v>
      </c>
      <c r="I3317" t="str">
        <f>VLOOKUP(Tabla1[[#This Row],[Code]],'[1]Articulos Precio'!$A:$E,5,FALSE)</f>
        <v>A0001667</v>
      </c>
    </row>
    <row r="3318" spans="1:9" x14ac:dyDescent="0.25">
      <c r="A3318" t="s">
        <v>1198</v>
      </c>
      <c r="B3318" t="str">
        <f>VLOOKUP(Tabla1[[#This Row],[Code]],[1]!Tabla4[#Data],2,FALSE)</f>
        <v>Rollo Metamark MDi 100 (70mc) Brillo 1,37x50m</v>
      </c>
      <c r="C3318">
        <v>3</v>
      </c>
      <c r="D3318" t="s">
        <v>108</v>
      </c>
      <c r="E3318" t="str">
        <f>VLOOKUP(Tabla1[[#This Row],[Cód. Atributo]],[1]!Tabla5[#Data],6,FALSE)</f>
        <v>Select</v>
      </c>
      <c r="F3318">
        <v>2</v>
      </c>
      <c r="G3318">
        <v>3</v>
      </c>
      <c r="H3318" t="s">
        <v>117</v>
      </c>
      <c r="I3318" t="str">
        <f>VLOOKUP(Tabla1[[#This Row],[Code]],'[1]Articulos Precio'!$A:$E,5,FALSE)</f>
        <v>A0001667</v>
      </c>
    </row>
    <row r="3319" spans="1:9" x14ac:dyDescent="0.25">
      <c r="A3319" t="s">
        <v>1198</v>
      </c>
      <c r="B3319" t="str">
        <f>VLOOKUP(Tabla1[[#This Row],[Code]],[1]!Tabla4[#Data],2,FALSE)</f>
        <v>Rollo Metamark MDi 100 (70mc) Brillo 1,37x50m</v>
      </c>
      <c r="C3319">
        <v>23</v>
      </c>
      <c r="D3319" t="s">
        <v>90</v>
      </c>
      <c r="E3319" t="str">
        <f>VLOOKUP(Tabla1[[#This Row],[Cód. Atributo]],[1]!Tabla5[#Data],6,FALSE)</f>
        <v>Select</v>
      </c>
      <c r="F3319">
        <v>3</v>
      </c>
      <c r="G3319">
        <v>2</v>
      </c>
      <c r="H3319" t="s">
        <v>136</v>
      </c>
      <c r="I3319" t="str">
        <f>VLOOKUP(Tabla1[[#This Row],[Code]],'[1]Articulos Precio'!$A:$E,5,FALSE)</f>
        <v>A0001667</v>
      </c>
    </row>
    <row r="3320" spans="1:9" x14ac:dyDescent="0.25">
      <c r="A3320" t="s">
        <v>1198</v>
      </c>
      <c r="B3320" t="str">
        <f>VLOOKUP(Tabla1[[#This Row],[Code]],[1]!Tabla4[#Data],2,FALSE)</f>
        <v>Rollo Metamark MDi 100 (70mc) Brillo 1,37x50m</v>
      </c>
      <c r="C3320">
        <v>25</v>
      </c>
      <c r="D3320" t="s">
        <v>94</v>
      </c>
      <c r="E3320" t="str">
        <f>VLOOKUP(Tabla1[[#This Row],[Cód. Atributo]],[1]!Tabla5[#Data],6,FALSE)</f>
        <v>Select</v>
      </c>
      <c r="F3320">
        <v>4</v>
      </c>
      <c r="G3320">
        <v>3</v>
      </c>
      <c r="H3320" t="s">
        <v>134</v>
      </c>
      <c r="I3320" t="str">
        <f>VLOOKUP(Tabla1[[#This Row],[Code]],'[1]Articulos Precio'!$A:$E,5,FALSE)</f>
        <v>A0001667</v>
      </c>
    </row>
    <row r="3321" spans="1:9" x14ac:dyDescent="0.25">
      <c r="A3321" t="s">
        <v>1198</v>
      </c>
      <c r="B3321" t="str">
        <f>VLOOKUP(Tabla1[[#This Row],[Code]],[1]!Tabla4[#Data],2,FALSE)</f>
        <v>Rollo Metamark MDi 100 (70mc) Brillo 1,37x50m</v>
      </c>
      <c r="C3321">
        <v>26</v>
      </c>
      <c r="D3321" t="s">
        <v>112</v>
      </c>
      <c r="E3321" t="str">
        <f>VLOOKUP(Tabla1[[#This Row],[Cód. Atributo]],[1]!Tabla5[#Data],6,FALSE)</f>
        <v>Select</v>
      </c>
      <c r="F3321">
        <v>5</v>
      </c>
      <c r="G3321">
        <v>3</v>
      </c>
      <c r="H3321" t="s">
        <v>113</v>
      </c>
      <c r="I3321" t="str">
        <f>VLOOKUP(Tabla1[[#This Row],[Code]],'[1]Articulos Precio'!$A:$E,5,FALSE)</f>
        <v>A0001667</v>
      </c>
    </row>
    <row r="3322" spans="1:9" x14ac:dyDescent="0.25">
      <c r="A3322" t="s">
        <v>1198</v>
      </c>
      <c r="B3322" t="str">
        <f>VLOOKUP(Tabla1[[#This Row],[Code]],[1]!Tabla4[#Data],2,FALSE)</f>
        <v>Rollo Metamark MDi 100 (70mc) Brillo 1,37x50m</v>
      </c>
      <c r="C3322">
        <v>31</v>
      </c>
      <c r="D3322" t="s">
        <v>114</v>
      </c>
      <c r="E3322" t="str">
        <f>VLOOKUP(Tabla1[[#This Row],[Cód. Atributo]],[1]!Tabla5[#Data],6,FALSE)</f>
        <v>Select</v>
      </c>
      <c r="F3322">
        <v>6</v>
      </c>
      <c r="G3322">
        <v>1</v>
      </c>
      <c r="H3322" t="s">
        <v>115</v>
      </c>
      <c r="I3322" t="str">
        <f>VLOOKUP(Tabla1[[#This Row],[Code]],'[1]Articulos Precio'!$A:$E,5,FALSE)</f>
        <v>A0001667</v>
      </c>
    </row>
    <row r="3323" spans="1:9" x14ac:dyDescent="0.25">
      <c r="A3323" t="s">
        <v>1199</v>
      </c>
      <c r="B3323" t="str">
        <f>VLOOKUP(Tabla1[[#This Row],[Code]],[1]!Tabla4[#Data],2,FALSE)</f>
        <v>Rollo MDC 100 MetaCast Wrap MGlide Brillo 1,37x50m</v>
      </c>
      <c r="C3323">
        <v>1</v>
      </c>
      <c r="D3323" t="s">
        <v>106</v>
      </c>
      <c r="E3323" t="str">
        <f>VLOOKUP(Tabla1[[#This Row],[Cód. Atributo]],[1]!Tabla5[#Data],6,FALSE)</f>
        <v>Select</v>
      </c>
      <c r="F3323">
        <v>1</v>
      </c>
      <c r="G3323">
        <v>1</v>
      </c>
      <c r="H3323" t="s">
        <v>107</v>
      </c>
      <c r="I3323" t="str">
        <f>VLOOKUP(Tabla1[[#This Row],[Code]],'[1]Articulos Precio'!$A:$E,5,FALSE)</f>
        <v>A0001660</v>
      </c>
    </row>
    <row r="3324" spans="1:9" x14ac:dyDescent="0.25">
      <c r="A3324" t="s">
        <v>1199</v>
      </c>
      <c r="B3324" t="str">
        <f>VLOOKUP(Tabla1[[#This Row],[Code]],[1]!Tabla4[#Data],2,FALSE)</f>
        <v>Rollo MDC 100 MetaCast Wrap MGlide Brillo 1,37x50m</v>
      </c>
      <c r="C3324">
        <v>3</v>
      </c>
      <c r="D3324" t="s">
        <v>108</v>
      </c>
      <c r="E3324" t="str">
        <f>VLOOKUP(Tabla1[[#This Row],[Cód. Atributo]],[1]!Tabla5[#Data],6,FALSE)</f>
        <v>Select</v>
      </c>
      <c r="F3324">
        <v>2</v>
      </c>
      <c r="G3324">
        <v>3</v>
      </c>
      <c r="H3324" t="s">
        <v>117</v>
      </c>
      <c r="I3324" t="str">
        <f>VLOOKUP(Tabla1[[#This Row],[Code]],'[1]Articulos Precio'!$A:$E,5,FALSE)</f>
        <v>A0001660</v>
      </c>
    </row>
    <row r="3325" spans="1:9" x14ac:dyDescent="0.25">
      <c r="A3325" t="s">
        <v>1199</v>
      </c>
      <c r="B3325" t="str">
        <f>VLOOKUP(Tabla1[[#This Row],[Code]],[1]!Tabla4[#Data],2,FALSE)</f>
        <v>Rollo MDC 100 MetaCast Wrap MGlide Brillo 1,37x50m</v>
      </c>
      <c r="C3325">
        <v>23</v>
      </c>
      <c r="D3325" t="s">
        <v>90</v>
      </c>
      <c r="E3325" t="str">
        <f>VLOOKUP(Tabla1[[#This Row],[Cód. Atributo]],[1]!Tabla5[#Data],6,FALSE)</f>
        <v>Select</v>
      </c>
      <c r="F3325">
        <v>3</v>
      </c>
      <c r="G3325">
        <v>3</v>
      </c>
      <c r="H3325" t="s">
        <v>91</v>
      </c>
      <c r="I3325" t="str">
        <f>VLOOKUP(Tabla1[[#This Row],[Code]],'[1]Articulos Precio'!$A:$E,5,FALSE)</f>
        <v>A0001660</v>
      </c>
    </row>
    <row r="3326" spans="1:9" x14ac:dyDescent="0.25">
      <c r="A3326" t="s">
        <v>1199</v>
      </c>
      <c r="B3326" t="str">
        <f>VLOOKUP(Tabla1[[#This Row],[Code]],[1]!Tabla4[#Data],2,FALSE)</f>
        <v>Rollo MDC 100 MetaCast Wrap MGlide Brillo 1,37x50m</v>
      </c>
      <c r="C3326">
        <v>25</v>
      </c>
      <c r="D3326" t="s">
        <v>94</v>
      </c>
      <c r="E3326" t="str">
        <f>VLOOKUP(Tabla1[[#This Row],[Cód. Atributo]],[1]!Tabla5[#Data],6,FALSE)</f>
        <v>Select</v>
      </c>
      <c r="F3326">
        <v>4</v>
      </c>
      <c r="G3326">
        <v>6</v>
      </c>
      <c r="H3326" t="s">
        <v>95</v>
      </c>
      <c r="I3326" t="str">
        <f>VLOOKUP(Tabla1[[#This Row],[Code]],'[1]Articulos Precio'!$A:$E,5,FALSE)</f>
        <v>A0001660</v>
      </c>
    </row>
    <row r="3327" spans="1:9" x14ac:dyDescent="0.25">
      <c r="A3327" t="s">
        <v>1199</v>
      </c>
      <c r="B3327" t="str">
        <f>VLOOKUP(Tabla1[[#This Row],[Code]],[1]!Tabla4[#Data],2,FALSE)</f>
        <v>Rollo MDC 100 MetaCast Wrap MGlide Brillo 1,37x50m</v>
      </c>
      <c r="C3327">
        <v>26</v>
      </c>
      <c r="D3327" t="s">
        <v>112</v>
      </c>
      <c r="E3327" t="str">
        <f>VLOOKUP(Tabla1[[#This Row],[Cód. Atributo]],[1]!Tabla5[#Data],6,FALSE)</f>
        <v>Select</v>
      </c>
      <c r="F3327">
        <v>5</v>
      </c>
      <c r="G3327">
        <v>5</v>
      </c>
      <c r="H3327" t="s">
        <v>1187</v>
      </c>
      <c r="I3327" t="str">
        <f>VLOOKUP(Tabla1[[#This Row],[Code]],'[1]Articulos Precio'!$A:$E,5,FALSE)</f>
        <v>A0001660</v>
      </c>
    </row>
    <row r="3328" spans="1:9" x14ac:dyDescent="0.25">
      <c r="A3328" t="s">
        <v>1199</v>
      </c>
      <c r="B3328" t="str">
        <f>VLOOKUP(Tabla1[[#This Row],[Code]],[1]!Tabla4[#Data],2,FALSE)</f>
        <v>Rollo MDC 100 MetaCast Wrap MGlide Brillo 1,37x50m</v>
      </c>
      <c r="C3328">
        <v>31</v>
      </c>
      <c r="D3328" t="s">
        <v>114</v>
      </c>
      <c r="E3328" t="str">
        <f>VLOOKUP(Tabla1[[#This Row],[Cód. Atributo]],[1]!Tabla5[#Data],6,FALSE)</f>
        <v>Select</v>
      </c>
      <c r="F3328">
        <v>6</v>
      </c>
      <c r="G3328">
        <v>13</v>
      </c>
      <c r="H3328" t="s">
        <v>1188</v>
      </c>
      <c r="I3328" t="str">
        <f>VLOOKUP(Tabla1[[#This Row],[Code]],'[1]Articulos Precio'!$A:$E,5,FALSE)</f>
        <v>A0001660</v>
      </c>
    </row>
    <row r="3329" spans="1:9" x14ac:dyDescent="0.25">
      <c r="A3329" t="s">
        <v>1199</v>
      </c>
      <c r="B3329" t="str">
        <f>VLOOKUP(Tabla1[[#This Row],[Code]],[1]!Tabla4[#Data],2,FALSE)</f>
        <v>Rollo MDC 100 MetaCast Wrap MGlide Brillo 1,37x50m</v>
      </c>
      <c r="C3329">
        <v>44</v>
      </c>
      <c r="D3329" t="s">
        <v>1189</v>
      </c>
      <c r="E3329" t="str">
        <f>VLOOKUP(Tabla1[[#This Row],[Cód. Atributo]],[1]!Tabla5[#Data],6,FALSE)</f>
        <v>Select</v>
      </c>
      <c r="F3329">
        <v>7</v>
      </c>
      <c r="G3329">
        <v>3</v>
      </c>
      <c r="H3329" t="s">
        <v>1200</v>
      </c>
      <c r="I3329" t="str">
        <f>VLOOKUP(Tabla1[[#This Row],[Code]],'[1]Articulos Precio'!$A:$E,5,FALSE)</f>
        <v>A0001660</v>
      </c>
    </row>
    <row r="3330" spans="1:9" x14ac:dyDescent="0.25">
      <c r="A3330" t="s">
        <v>1201</v>
      </c>
      <c r="B3330" t="str">
        <f>VLOOKUP(Tabla1[[#This Row],[Code]],[1]!Tabla4[#Data],2,FALSE)</f>
        <v>Rollo MetaGuard MGC Wrap 002 Mate 1,37x50m</v>
      </c>
      <c r="C3330">
        <v>3</v>
      </c>
      <c r="D3330" t="s">
        <v>108</v>
      </c>
      <c r="E3330" t="str">
        <f>VLOOKUP(Tabla1[[#This Row],[Cód. Atributo]],[1]!Tabla5[#Data],6,FALSE)</f>
        <v>Select</v>
      </c>
      <c r="F3330">
        <v>1</v>
      </c>
      <c r="G3330">
        <v>3</v>
      </c>
      <c r="H3330" t="s">
        <v>117</v>
      </c>
      <c r="I3330" t="str">
        <f>VLOOKUP(Tabla1[[#This Row],[Code]],'[1]Articulos Precio'!$A:$E,5,FALSE)</f>
        <v>A0001664</v>
      </c>
    </row>
    <row r="3331" spans="1:9" x14ac:dyDescent="0.25">
      <c r="A3331" t="s">
        <v>1201</v>
      </c>
      <c r="B3331" t="str">
        <f>VLOOKUP(Tabla1[[#This Row],[Code]],[1]!Tabla4[#Data],2,FALSE)</f>
        <v>Rollo MetaGuard MGC Wrap 002 Mate 1,37x50m</v>
      </c>
      <c r="C3331">
        <v>23</v>
      </c>
      <c r="D3331" t="s">
        <v>90</v>
      </c>
      <c r="E3331" t="str">
        <f>VLOOKUP(Tabla1[[#This Row],[Cód. Atributo]],[1]!Tabla5[#Data],6,FALSE)</f>
        <v>Select</v>
      </c>
      <c r="F3331">
        <v>2</v>
      </c>
      <c r="G3331">
        <v>3</v>
      </c>
      <c r="H3331" t="s">
        <v>91</v>
      </c>
      <c r="I3331" t="str">
        <f>VLOOKUP(Tabla1[[#This Row],[Code]],'[1]Articulos Precio'!$A:$E,5,FALSE)</f>
        <v>A0001664</v>
      </c>
    </row>
    <row r="3332" spans="1:9" x14ac:dyDescent="0.25">
      <c r="A3332" t="s">
        <v>1201</v>
      </c>
      <c r="B3332" t="str">
        <f>VLOOKUP(Tabla1[[#This Row],[Code]],[1]!Tabla4[#Data],2,FALSE)</f>
        <v>Rollo MetaGuard MGC Wrap 002 Mate 1,37x50m</v>
      </c>
      <c r="C3332">
        <v>25</v>
      </c>
      <c r="D3332" t="s">
        <v>94</v>
      </c>
      <c r="E3332" t="str">
        <f>VLOOKUP(Tabla1[[#This Row],[Cód. Atributo]],[1]!Tabla5[#Data],6,FALSE)</f>
        <v>Select</v>
      </c>
      <c r="F3332">
        <v>3</v>
      </c>
      <c r="G3332">
        <v>6</v>
      </c>
      <c r="H3332" t="s">
        <v>95</v>
      </c>
      <c r="I3332" t="str">
        <f>VLOOKUP(Tabla1[[#This Row],[Code]],'[1]Articulos Precio'!$A:$E,5,FALSE)</f>
        <v>A0001664</v>
      </c>
    </row>
    <row r="3333" spans="1:9" x14ac:dyDescent="0.25">
      <c r="A3333" t="s">
        <v>1201</v>
      </c>
      <c r="B3333" t="str">
        <f>VLOOKUP(Tabla1[[#This Row],[Code]],[1]!Tabla4[#Data],2,FALSE)</f>
        <v>Rollo MetaGuard MGC Wrap 002 Mate 1,37x50m</v>
      </c>
      <c r="C3333">
        <v>30</v>
      </c>
      <c r="D3333" t="s">
        <v>184</v>
      </c>
      <c r="E3333" t="str">
        <f>VLOOKUP(Tabla1[[#This Row],[Cód. Atributo]],[1]!Tabla5[#Data],6,FALSE)</f>
        <v>Select</v>
      </c>
      <c r="F3333">
        <v>4</v>
      </c>
      <c r="G3333">
        <v>7</v>
      </c>
      <c r="H3333" t="s">
        <v>1194</v>
      </c>
      <c r="I3333" t="str">
        <f>VLOOKUP(Tabla1[[#This Row],[Code]],'[1]Articulos Precio'!$A:$E,5,FALSE)</f>
        <v>A0001664</v>
      </c>
    </row>
    <row r="3334" spans="1:9" x14ac:dyDescent="0.25">
      <c r="A3334" t="s">
        <v>1201</v>
      </c>
      <c r="B3334" t="str">
        <f>VLOOKUP(Tabla1[[#This Row],[Code]],[1]!Tabla4[#Data],2,FALSE)</f>
        <v>Rollo MetaGuard MGC Wrap 002 Mate 1,37x50m</v>
      </c>
      <c r="C3334">
        <v>44</v>
      </c>
      <c r="D3334" t="s">
        <v>1189</v>
      </c>
      <c r="E3334" t="str">
        <f>VLOOKUP(Tabla1[[#This Row],[Cód. Atributo]],[1]!Tabla5[#Data],6,FALSE)</f>
        <v>Select</v>
      </c>
      <c r="F3334">
        <v>5</v>
      </c>
      <c r="G3334">
        <v>3</v>
      </c>
      <c r="H3334" t="s">
        <v>1200</v>
      </c>
      <c r="I3334" t="str">
        <f>VLOOKUP(Tabla1[[#This Row],[Code]],'[1]Articulos Precio'!$A:$E,5,FALSE)</f>
        <v>A0001664</v>
      </c>
    </row>
    <row r="3335" spans="1:9" x14ac:dyDescent="0.25">
      <c r="A3335" t="s">
        <v>1202</v>
      </c>
      <c r="B3335" t="str">
        <f>VLOOKUP(Tabla1[[#This Row],[Code]],[1]!Tabla4[#Data],2,FALSE)</f>
        <v>Rollo MetaGuard MGC Wrap 005 Brillo 1,37x50m</v>
      </c>
      <c r="C3335">
        <v>3</v>
      </c>
      <c r="D3335" t="s">
        <v>108</v>
      </c>
      <c r="E3335" t="str">
        <f>VLOOKUP(Tabla1[[#This Row],[Cód. Atributo]],[1]!Tabla5[#Data],6,FALSE)</f>
        <v>Select</v>
      </c>
      <c r="F3335">
        <v>1</v>
      </c>
      <c r="G3335">
        <v>3</v>
      </c>
      <c r="H3335" t="s">
        <v>117</v>
      </c>
      <c r="I3335" t="str">
        <f>VLOOKUP(Tabla1[[#This Row],[Code]],'[1]Articulos Precio'!$A:$E,5,FALSE)</f>
        <v>A0001664</v>
      </c>
    </row>
    <row r="3336" spans="1:9" x14ac:dyDescent="0.25">
      <c r="A3336" t="s">
        <v>1202</v>
      </c>
      <c r="B3336" t="str">
        <f>VLOOKUP(Tabla1[[#This Row],[Code]],[1]!Tabla4[#Data],2,FALSE)</f>
        <v>Rollo MetaGuard MGC Wrap 005 Brillo 1,37x50m</v>
      </c>
      <c r="C3336">
        <v>23</v>
      </c>
      <c r="D3336" t="s">
        <v>90</v>
      </c>
      <c r="E3336" t="str">
        <f>VLOOKUP(Tabla1[[#This Row],[Cód. Atributo]],[1]!Tabla5[#Data],6,FALSE)</f>
        <v>Select</v>
      </c>
      <c r="F3336">
        <v>2</v>
      </c>
      <c r="G3336">
        <v>3</v>
      </c>
      <c r="H3336" t="s">
        <v>91</v>
      </c>
      <c r="I3336" t="str">
        <f>VLOOKUP(Tabla1[[#This Row],[Code]],'[1]Articulos Precio'!$A:$E,5,FALSE)</f>
        <v>A0001664</v>
      </c>
    </row>
    <row r="3337" spans="1:9" x14ac:dyDescent="0.25">
      <c r="A3337" t="s">
        <v>1202</v>
      </c>
      <c r="B3337" t="str">
        <f>VLOOKUP(Tabla1[[#This Row],[Code]],[1]!Tabla4[#Data],2,FALSE)</f>
        <v>Rollo MetaGuard MGC Wrap 005 Brillo 1,37x50m</v>
      </c>
      <c r="C3337">
        <v>25</v>
      </c>
      <c r="D3337" t="s">
        <v>94</v>
      </c>
      <c r="E3337" t="str">
        <f>VLOOKUP(Tabla1[[#This Row],[Cód. Atributo]],[1]!Tabla5[#Data],6,FALSE)</f>
        <v>Select</v>
      </c>
      <c r="F3337">
        <v>3</v>
      </c>
      <c r="G3337">
        <v>6</v>
      </c>
      <c r="H3337" t="s">
        <v>95</v>
      </c>
      <c r="I3337" t="str">
        <f>VLOOKUP(Tabla1[[#This Row],[Code]],'[1]Articulos Precio'!$A:$E,5,FALSE)</f>
        <v>A0001664</v>
      </c>
    </row>
    <row r="3338" spans="1:9" x14ac:dyDescent="0.25">
      <c r="A3338" t="s">
        <v>1202</v>
      </c>
      <c r="B3338" t="str">
        <f>VLOOKUP(Tabla1[[#This Row],[Code]],[1]!Tabla4[#Data],2,FALSE)</f>
        <v>Rollo MetaGuard MGC Wrap 005 Brillo 1,37x50m</v>
      </c>
      <c r="C3338">
        <v>30</v>
      </c>
      <c r="D3338" t="s">
        <v>184</v>
      </c>
      <c r="E3338" t="str">
        <f>VLOOKUP(Tabla1[[#This Row],[Cód. Atributo]],[1]!Tabla5[#Data],6,FALSE)</f>
        <v>Select</v>
      </c>
      <c r="F3338">
        <v>4</v>
      </c>
      <c r="G3338">
        <v>7</v>
      </c>
      <c r="H3338" t="s">
        <v>1194</v>
      </c>
      <c r="I3338" t="str">
        <f>VLOOKUP(Tabla1[[#This Row],[Code]],'[1]Articulos Precio'!$A:$E,5,FALSE)</f>
        <v>A0001664</v>
      </c>
    </row>
    <row r="3339" spans="1:9" x14ac:dyDescent="0.25">
      <c r="A3339" t="s">
        <v>1202</v>
      </c>
      <c r="B3339" t="str">
        <f>VLOOKUP(Tabla1[[#This Row],[Code]],[1]!Tabla4[#Data],2,FALSE)</f>
        <v>Rollo MetaGuard MGC Wrap 005 Brillo 1,37x50m</v>
      </c>
      <c r="C3339">
        <v>44</v>
      </c>
      <c r="D3339" t="s">
        <v>1189</v>
      </c>
      <c r="E3339" t="str">
        <f>VLOOKUP(Tabla1[[#This Row],[Cód. Atributo]],[1]!Tabla5[#Data],6,FALSE)</f>
        <v>Select</v>
      </c>
      <c r="F3339">
        <v>5</v>
      </c>
      <c r="G3339">
        <v>3</v>
      </c>
      <c r="H3339" t="s">
        <v>1200</v>
      </c>
      <c r="I3339" t="str">
        <f>VLOOKUP(Tabla1[[#This Row],[Code]],'[1]Articulos Precio'!$A:$E,5,FALSE)</f>
        <v>A0001664</v>
      </c>
    </row>
    <row r="3340" spans="1:9" x14ac:dyDescent="0.25">
      <c r="A3340" t="s">
        <v>1203</v>
      </c>
      <c r="B3340" t="str">
        <f>VLOOKUP(Tabla1[[#This Row],[Code]],[1]!Tabla4[#Data],2,FALSE)</f>
        <v>Rollo Metamark MDi A-B (70 mc Adh Gris) Brillo MetaScape 1,37x50m</v>
      </c>
      <c r="C3340">
        <v>1</v>
      </c>
      <c r="D3340" t="s">
        <v>106</v>
      </c>
      <c r="E3340" t="str">
        <f>VLOOKUP(Tabla1[[#This Row],[Cód. Atributo]],[1]!Tabla5[#Data],6,FALSE)</f>
        <v>Select</v>
      </c>
      <c r="F3340">
        <v>1</v>
      </c>
      <c r="G3340">
        <v>1</v>
      </c>
      <c r="H3340" t="s">
        <v>107</v>
      </c>
      <c r="I3340" t="str">
        <f>VLOOKUP(Tabla1[[#This Row],[Code]],'[1]Articulos Precio'!$A:$E,5,FALSE)</f>
        <v>A0001667</v>
      </c>
    </row>
    <row r="3341" spans="1:9" x14ac:dyDescent="0.25">
      <c r="A3341" t="s">
        <v>1203</v>
      </c>
      <c r="B3341" t="str">
        <f>VLOOKUP(Tabla1[[#This Row],[Code]],[1]!Tabla4[#Data],2,FALSE)</f>
        <v>Rollo Metamark MDi A-B (70 mc Adh Gris) Brillo MetaScape 1,37x50m</v>
      </c>
      <c r="C3341">
        <v>3</v>
      </c>
      <c r="D3341" t="s">
        <v>108</v>
      </c>
      <c r="E3341" t="str">
        <f>VLOOKUP(Tabla1[[#This Row],[Cód. Atributo]],[1]!Tabla5[#Data],6,FALSE)</f>
        <v>Select</v>
      </c>
      <c r="F3341">
        <v>2</v>
      </c>
      <c r="G3341">
        <v>3</v>
      </c>
      <c r="H3341" t="s">
        <v>117</v>
      </c>
      <c r="I3341" t="str">
        <f>VLOOKUP(Tabla1[[#This Row],[Code]],'[1]Articulos Precio'!$A:$E,5,FALSE)</f>
        <v>A0001667</v>
      </c>
    </row>
    <row r="3342" spans="1:9" x14ac:dyDescent="0.25">
      <c r="A3342" t="s">
        <v>1203</v>
      </c>
      <c r="B3342" t="str">
        <f>VLOOKUP(Tabla1[[#This Row],[Code]],[1]!Tabla4[#Data],2,FALSE)</f>
        <v>Rollo Metamark MDi A-B (70 mc Adh Gris) Brillo MetaScape 1,37x50m</v>
      </c>
      <c r="C3342">
        <v>23</v>
      </c>
      <c r="D3342" t="s">
        <v>90</v>
      </c>
      <c r="E3342" t="str">
        <f>VLOOKUP(Tabla1[[#This Row],[Cód. Atributo]],[1]!Tabla5[#Data],6,FALSE)</f>
        <v>Select</v>
      </c>
      <c r="F3342">
        <v>3</v>
      </c>
      <c r="G3342">
        <v>2</v>
      </c>
      <c r="H3342" t="s">
        <v>136</v>
      </c>
      <c r="I3342" t="str">
        <f>VLOOKUP(Tabla1[[#This Row],[Code]],'[1]Articulos Precio'!$A:$E,5,FALSE)</f>
        <v>A0001667</v>
      </c>
    </row>
    <row r="3343" spans="1:9" x14ac:dyDescent="0.25">
      <c r="A3343" t="s">
        <v>1203</v>
      </c>
      <c r="B3343" t="str">
        <f>VLOOKUP(Tabla1[[#This Row],[Code]],[1]!Tabla4[#Data],2,FALSE)</f>
        <v>Rollo Metamark MDi A-B (70 mc Adh Gris) Brillo MetaScape 1,37x50m</v>
      </c>
      <c r="C3343">
        <v>25</v>
      </c>
      <c r="D3343" t="s">
        <v>94</v>
      </c>
      <c r="E3343" t="str">
        <f>VLOOKUP(Tabla1[[#This Row],[Cód. Atributo]],[1]!Tabla5[#Data],6,FALSE)</f>
        <v>Select</v>
      </c>
      <c r="F3343">
        <v>4</v>
      </c>
      <c r="G3343">
        <v>3</v>
      </c>
      <c r="H3343" t="s">
        <v>134</v>
      </c>
      <c r="I3343" t="str">
        <f>VLOOKUP(Tabla1[[#This Row],[Code]],'[1]Articulos Precio'!$A:$E,5,FALSE)</f>
        <v>A0001667</v>
      </c>
    </row>
    <row r="3344" spans="1:9" x14ac:dyDescent="0.25">
      <c r="A3344" t="s">
        <v>1203</v>
      </c>
      <c r="B3344" t="str">
        <f>VLOOKUP(Tabla1[[#This Row],[Code]],[1]!Tabla4[#Data],2,FALSE)</f>
        <v>Rollo Metamark MDi A-B (70 mc Adh Gris) Brillo MetaScape 1,37x50m</v>
      </c>
      <c r="C3344">
        <v>26</v>
      </c>
      <c r="D3344" t="s">
        <v>112</v>
      </c>
      <c r="E3344" t="str">
        <f>VLOOKUP(Tabla1[[#This Row],[Cód. Atributo]],[1]!Tabla5[#Data],6,FALSE)</f>
        <v>Select</v>
      </c>
      <c r="F3344">
        <v>5</v>
      </c>
      <c r="G3344">
        <v>3</v>
      </c>
      <c r="H3344" t="s">
        <v>113</v>
      </c>
      <c r="I3344" t="str">
        <f>VLOOKUP(Tabla1[[#This Row],[Code]],'[1]Articulos Precio'!$A:$E,5,FALSE)</f>
        <v>A0001667</v>
      </c>
    </row>
    <row r="3345" spans="1:9" x14ac:dyDescent="0.25">
      <c r="A3345" t="s">
        <v>1203</v>
      </c>
      <c r="B3345" t="str">
        <f>VLOOKUP(Tabla1[[#This Row],[Code]],[1]!Tabla4[#Data],2,FALSE)</f>
        <v>Rollo Metamark MDi A-B (70 mc Adh Gris) Brillo MetaScape 1,37x50m</v>
      </c>
      <c r="C3345">
        <v>31</v>
      </c>
      <c r="D3345" t="s">
        <v>114</v>
      </c>
      <c r="E3345" t="str">
        <f>VLOOKUP(Tabla1[[#This Row],[Cód. Atributo]],[1]!Tabla5[#Data],6,FALSE)</f>
        <v>Select</v>
      </c>
      <c r="F3345">
        <v>6</v>
      </c>
      <c r="G3345">
        <v>6</v>
      </c>
      <c r="H3345" t="s">
        <v>154</v>
      </c>
      <c r="I3345" t="str">
        <f>VLOOKUP(Tabla1[[#This Row],[Code]],'[1]Articulos Precio'!$A:$E,5,FALSE)</f>
        <v>A0001667</v>
      </c>
    </row>
    <row r="3346" spans="1:9" x14ac:dyDescent="0.25">
      <c r="A3346" t="s">
        <v>1184</v>
      </c>
      <c r="B3346" t="str">
        <f>VLOOKUP(Tabla1[[#This Row],[Code]],[1]!Tabla4[#Data],2,FALSE)</f>
        <v>M2 Metamark MT610 Negro 1,22 x 50m</v>
      </c>
      <c r="C3346">
        <v>25</v>
      </c>
      <c r="D3346" t="s">
        <v>94</v>
      </c>
      <c r="E3346" t="str">
        <f>VLOOKUP(Tabla1[[#This Row],[Cód. Atributo]],[1]!Tabla5[#Data],6,FALSE)</f>
        <v>Select</v>
      </c>
      <c r="F3346">
        <v>4</v>
      </c>
      <c r="G3346">
        <v>4</v>
      </c>
      <c r="H3346" t="s">
        <v>137</v>
      </c>
      <c r="I3346" t="str">
        <f>VLOOKUP(Tabla1[[#This Row],[Code]],'[1]Articulos Precio'!$A:$E,5,FALSE)</f>
        <v>A0000541</v>
      </c>
    </row>
    <row r="3347" spans="1:9" x14ac:dyDescent="0.25">
      <c r="A3347" t="s">
        <v>1184</v>
      </c>
      <c r="B3347" t="str">
        <f>VLOOKUP(Tabla1[[#This Row],[Code]],[1]!Tabla4[#Data],2,FALSE)</f>
        <v>M2 Metamark MT610 Negro 1,22 x 50m</v>
      </c>
      <c r="C3347">
        <v>23</v>
      </c>
      <c r="D3347" t="s">
        <v>90</v>
      </c>
      <c r="E3347" t="str">
        <f>VLOOKUP(Tabla1[[#This Row],[Cód. Atributo]],[1]!Tabla5[#Data],6,FALSE)</f>
        <v>Select</v>
      </c>
      <c r="F3347">
        <v>5</v>
      </c>
      <c r="G3347">
        <v>2</v>
      </c>
      <c r="H3347" t="s">
        <v>136</v>
      </c>
      <c r="I3347" t="str">
        <f>VLOOKUP(Tabla1[[#This Row],[Code]],'[1]Articulos Precio'!$A:$E,5,FALSE)</f>
        <v>A0000541</v>
      </c>
    </row>
    <row r="3348" spans="1:9" x14ac:dyDescent="0.25">
      <c r="A3348" t="s">
        <v>1204</v>
      </c>
      <c r="B3348" t="str">
        <f>VLOOKUP(Tabla1[[#This Row],[Code]],[1]!Tabla4[#Data],2,FALSE)</f>
        <v>M2 Metamark MT620 Gris Ligero 1,22 x 50m</v>
      </c>
      <c r="C3348">
        <v>8</v>
      </c>
      <c r="D3348" t="s">
        <v>86</v>
      </c>
      <c r="E3348" t="str">
        <f>VLOOKUP(Tabla1[[#This Row],[Cód. Atributo]],[1]!Tabla5[#Data],6,FALSE)</f>
        <v>Select</v>
      </c>
      <c r="F3348">
        <v>1</v>
      </c>
      <c r="G3348">
        <v>2</v>
      </c>
      <c r="H3348" t="s">
        <v>268</v>
      </c>
      <c r="I3348" t="str">
        <f>VLOOKUP(Tabla1[[#This Row],[Code]],'[1]Articulos Precio'!$A:$E,5,FALSE)</f>
        <v>A0000541</v>
      </c>
    </row>
    <row r="3349" spans="1:9" x14ac:dyDescent="0.25">
      <c r="A3349" t="s">
        <v>1204</v>
      </c>
      <c r="B3349" t="str">
        <f>VLOOKUP(Tabla1[[#This Row],[Code]],[1]!Tabla4[#Data],2,FALSE)</f>
        <v>M2 Metamark MT620 Gris Ligero 1,22 x 50m</v>
      </c>
      <c r="C3349">
        <v>14</v>
      </c>
      <c r="D3349" t="s">
        <v>1182</v>
      </c>
      <c r="E3349" t="str">
        <f>VLOOKUP(Tabla1[[#This Row],[Cód. Atributo]],[1]!Tabla5[#Data],6,FALSE)</f>
        <v>Color</v>
      </c>
      <c r="F3349">
        <v>2</v>
      </c>
      <c r="G3349">
        <v>3</v>
      </c>
      <c r="H3349" t="s">
        <v>1205</v>
      </c>
      <c r="I3349" t="str">
        <f>VLOOKUP(Tabla1[[#This Row],[Code]],'[1]Articulos Precio'!$A:$E,5,FALSE)</f>
        <v>A0000541</v>
      </c>
    </row>
    <row r="3350" spans="1:9" x14ac:dyDescent="0.25">
      <c r="A3350" t="s">
        <v>1204</v>
      </c>
      <c r="B3350" t="str">
        <f>VLOOKUP(Tabla1[[#This Row],[Code]],[1]!Tabla4[#Data],2,FALSE)</f>
        <v>M2 Metamark MT620 Gris Ligero 1,22 x 50m</v>
      </c>
      <c r="C3350">
        <v>24</v>
      </c>
      <c r="D3350" t="s">
        <v>96</v>
      </c>
      <c r="E3350" t="str">
        <f>VLOOKUP(Tabla1[[#This Row],[Cód. Atributo]],[1]!Tabla5[#Data],6,FALSE)</f>
        <v>Select</v>
      </c>
      <c r="F3350">
        <v>3</v>
      </c>
      <c r="G3350">
        <v>3</v>
      </c>
      <c r="H3350" t="s">
        <v>181</v>
      </c>
      <c r="I3350" t="str">
        <f>VLOOKUP(Tabla1[[#This Row],[Code]],'[1]Articulos Precio'!$A:$E,5,FALSE)</f>
        <v>A0000541</v>
      </c>
    </row>
    <row r="3351" spans="1:9" x14ac:dyDescent="0.25">
      <c r="A3351" t="s">
        <v>1204</v>
      </c>
      <c r="B3351" t="str">
        <f>VLOOKUP(Tabla1[[#This Row],[Code]],[1]!Tabla4[#Data],2,FALSE)</f>
        <v>M2 Metamark MT620 Gris Ligero 1,22 x 50m</v>
      </c>
      <c r="C3351">
        <v>25</v>
      </c>
      <c r="D3351" t="s">
        <v>94</v>
      </c>
      <c r="E3351" t="str">
        <f>VLOOKUP(Tabla1[[#This Row],[Cód. Atributo]],[1]!Tabla5[#Data],6,FALSE)</f>
        <v>Select</v>
      </c>
      <c r="F3351">
        <v>4</v>
      </c>
      <c r="G3351">
        <v>4</v>
      </c>
      <c r="H3351" t="s">
        <v>137</v>
      </c>
      <c r="I3351" t="str">
        <f>VLOOKUP(Tabla1[[#This Row],[Code]],'[1]Articulos Precio'!$A:$E,5,FALSE)</f>
        <v>A0000541</v>
      </c>
    </row>
    <row r="3352" spans="1:9" x14ac:dyDescent="0.25">
      <c r="A3352" t="s">
        <v>1204</v>
      </c>
      <c r="B3352" t="str">
        <f>VLOOKUP(Tabla1[[#This Row],[Code]],[1]!Tabla4[#Data],2,FALSE)</f>
        <v>M2 Metamark MT620 Gris Ligero 1,22 x 50m</v>
      </c>
      <c r="C3352">
        <v>23</v>
      </c>
      <c r="D3352" t="s">
        <v>90</v>
      </c>
      <c r="E3352" t="str">
        <f>VLOOKUP(Tabla1[[#This Row],[Cód. Atributo]],[1]!Tabla5[#Data],6,FALSE)</f>
        <v>Select</v>
      </c>
      <c r="F3352">
        <v>5</v>
      </c>
      <c r="G3352">
        <v>2</v>
      </c>
      <c r="H3352" t="s">
        <v>136</v>
      </c>
      <c r="I3352" t="str">
        <f>VLOOKUP(Tabla1[[#This Row],[Code]],'[1]Articulos Precio'!$A:$E,5,FALSE)</f>
        <v>A0000541</v>
      </c>
    </row>
    <row r="3353" spans="1:9" x14ac:dyDescent="0.25">
      <c r="A3353" t="s">
        <v>1206</v>
      </c>
      <c r="B3353" t="str">
        <f>VLOOKUP(Tabla1[[#This Row],[Code]],[1]!Tabla4[#Data],2,FALSE)</f>
        <v>M2 Metamark MT621 Gris Oscuro 1,22 x 50m</v>
      </c>
      <c r="C3353">
        <v>8</v>
      </c>
      <c r="D3353" t="s">
        <v>86</v>
      </c>
      <c r="E3353" t="str">
        <f>VLOOKUP(Tabla1[[#This Row],[Cód. Atributo]],[1]!Tabla5[#Data],6,FALSE)</f>
        <v>Select</v>
      </c>
      <c r="F3353">
        <v>1</v>
      </c>
      <c r="G3353">
        <v>2</v>
      </c>
      <c r="H3353" t="s">
        <v>268</v>
      </c>
      <c r="I3353" t="str">
        <f>VLOOKUP(Tabla1[[#This Row],[Code]],'[1]Articulos Precio'!$A:$E,5,FALSE)</f>
        <v>A0000541</v>
      </c>
    </row>
    <row r="3354" spans="1:9" x14ac:dyDescent="0.25">
      <c r="A3354" t="s">
        <v>1206</v>
      </c>
      <c r="B3354" t="str">
        <f>VLOOKUP(Tabla1[[#This Row],[Code]],[1]!Tabla4[#Data],2,FALSE)</f>
        <v>M2 Metamark MT621 Gris Oscuro 1,22 x 50m</v>
      </c>
      <c r="C3354">
        <v>14</v>
      </c>
      <c r="D3354" t="s">
        <v>1182</v>
      </c>
      <c r="E3354" t="str">
        <f>VLOOKUP(Tabla1[[#This Row],[Cód. Atributo]],[1]!Tabla5[#Data],6,FALSE)</f>
        <v>Color</v>
      </c>
      <c r="F3354">
        <v>2</v>
      </c>
      <c r="G3354">
        <v>4</v>
      </c>
      <c r="H3354" t="s">
        <v>1207</v>
      </c>
      <c r="I3354" t="str">
        <f>VLOOKUP(Tabla1[[#This Row],[Code]],'[1]Articulos Precio'!$A:$E,5,FALSE)</f>
        <v>A0000541</v>
      </c>
    </row>
    <row r="3355" spans="1:9" x14ac:dyDescent="0.25">
      <c r="A3355" t="s">
        <v>1206</v>
      </c>
      <c r="B3355" t="str">
        <f>VLOOKUP(Tabla1[[#This Row],[Code]],[1]!Tabla4[#Data],2,FALSE)</f>
        <v>M2 Metamark MT621 Gris Oscuro 1,22 x 50m</v>
      </c>
      <c r="C3355">
        <v>24</v>
      </c>
      <c r="D3355" t="s">
        <v>96</v>
      </c>
      <c r="E3355" t="str">
        <f>VLOOKUP(Tabla1[[#This Row],[Cód. Atributo]],[1]!Tabla5[#Data],6,FALSE)</f>
        <v>Select</v>
      </c>
      <c r="F3355">
        <v>3</v>
      </c>
      <c r="G3355">
        <v>3</v>
      </c>
      <c r="H3355" t="s">
        <v>181</v>
      </c>
      <c r="I3355" t="str">
        <f>VLOOKUP(Tabla1[[#This Row],[Code]],'[1]Articulos Precio'!$A:$E,5,FALSE)</f>
        <v>A0000541</v>
      </c>
    </row>
    <row r="3356" spans="1:9" x14ac:dyDescent="0.25">
      <c r="A3356" t="s">
        <v>1206</v>
      </c>
      <c r="B3356" t="str">
        <f>VLOOKUP(Tabla1[[#This Row],[Code]],[1]!Tabla4[#Data],2,FALSE)</f>
        <v>M2 Metamark MT621 Gris Oscuro 1,22 x 50m</v>
      </c>
      <c r="C3356">
        <v>25</v>
      </c>
      <c r="D3356" t="s">
        <v>94</v>
      </c>
      <c r="E3356" t="str">
        <f>VLOOKUP(Tabla1[[#This Row],[Cód. Atributo]],[1]!Tabla5[#Data],6,FALSE)</f>
        <v>Select</v>
      </c>
      <c r="F3356">
        <v>4</v>
      </c>
      <c r="G3356">
        <v>4</v>
      </c>
      <c r="H3356" t="s">
        <v>137</v>
      </c>
      <c r="I3356" t="str">
        <f>VLOOKUP(Tabla1[[#This Row],[Code]],'[1]Articulos Precio'!$A:$E,5,FALSE)</f>
        <v>A0000541</v>
      </c>
    </row>
    <row r="3357" spans="1:9" x14ac:dyDescent="0.25">
      <c r="A3357" t="s">
        <v>1206</v>
      </c>
      <c r="B3357" t="str">
        <f>VLOOKUP(Tabla1[[#This Row],[Code]],[1]!Tabla4[#Data],2,FALSE)</f>
        <v>M2 Metamark MT621 Gris Oscuro 1,22 x 50m</v>
      </c>
      <c r="C3357">
        <v>23</v>
      </c>
      <c r="D3357" t="s">
        <v>90</v>
      </c>
      <c r="E3357" t="str">
        <f>VLOOKUP(Tabla1[[#This Row],[Cód. Atributo]],[1]!Tabla5[#Data],6,FALSE)</f>
        <v>Select</v>
      </c>
      <c r="F3357">
        <v>5</v>
      </c>
      <c r="G3357">
        <v>2</v>
      </c>
      <c r="H3357" t="s">
        <v>136</v>
      </c>
      <c r="I3357" t="str">
        <f>VLOOKUP(Tabla1[[#This Row],[Code]],'[1]Articulos Precio'!$A:$E,5,FALSE)</f>
        <v>A0000541</v>
      </c>
    </row>
    <row r="3358" spans="1:9" x14ac:dyDescent="0.25">
      <c r="A3358" t="s">
        <v>1208</v>
      </c>
      <c r="B3358" t="str">
        <f>VLOOKUP(Tabla1[[#This Row],[Code]],[1]!Tabla4[#Data],2,FALSE)</f>
        <v>6085393800 - Assy, Ink Damper L 3FAI SJ 1000</v>
      </c>
      <c r="C3358">
        <v>100</v>
      </c>
      <c r="D3358" t="s">
        <v>979</v>
      </c>
      <c r="E3358" t="e">
        <f>VLOOKUP(Tabla1[[#This Row],[Cód. Atributo]],[1]!Tabla5[#Data],6,FALSE)</f>
        <v>#N/A</v>
      </c>
      <c r="F3358">
        <v>1</v>
      </c>
      <c r="G3358">
        <v>1</v>
      </c>
      <c r="I3358">
        <f>VLOOKUP(Tabla1[[#This Row],[Code]],'[1]Articulos Precio'!$A:$E,5,FALSE)</f>
        <v>0</v>
      </c>
    </row>
    <row r="3359" spans="1:9" x14ac:dyDescent="0.25">
      <c r="A3359" t="s">
        <v>1209</v>
      </c>
      <c r="B3359" t="str">
        <f>VLOOKUP(Tabla1[[#This Row],[Code]],[1]!Tabla4[#Data],2,FALSE)</f>
        <v>ML Cad-Cut Sportsfilm 370 Menta Pastel 500mm</v>
      </c>
      <c r="C3359">
        <v>2</v>
      </c>
      <c r="D3359" t="s">
        <v>10</v>
      </c>
      <c r="E3359" t="str">
        <f>VLOOKUP(Tabla1[[#This Row],[Cód. Atributo]],[1]!Tabla5[#Data],6,FALSE)</f>
        <v>Select</v>
      </c>
      <c r="F3359">
        <v>1</v>
      </c>
      <c r="G3359">
        <v>1</v>
      </c>
      <c r="H3359" t="s">
        <v>11</v>
      </c>
      <c r="I3359" t="str">
        <f>VLOOKUP(Tabla1[[#This Row],[Code]],'[1]Articulos Precio'!$A:$E,5,FALSE)</f>
        <v>A0000606</v>
      </c>
    </row>
    <row r="3360" spans="1:9" x14ac:dyDescent="0.25">
      <c r="A3360" t="s">
        <v>1209</v>
      </c>
      <c r="B3360" t="str">
        <f>VLOOKUP(Tabla1[[#This Row],[Code]],[1]!Tabla4[#Data],2,FALSE)</f>
        <v>ML Cad-Cut Sportsfilm 370 Menta Pastel 500mm</v>
      </c>
      <c r="C3360">
        <v>18</v>
      </c>
      <c r="D3360" t="s">
        <v>712</v>
      </c>
      <c r="E3360" t="str">
        <f>VLOOKUP(Tabla1[[#This Row],[Cód. Atributo]],[1]!Tabla5[#Data],6,FALSE)</f>
        <v>Color</v>
      </c>
      <c r="F3360">
        <v>2</v>
      </c>
      <c r="G3360">
        <v>47</v>
      </c>
      <c r="H3360" t="s">
        <v>1210</v>
      </c>
      <c r="I3360" t="str">
        <f>VLOOKUP(Tabla1[[#This Row],[Code]],'[1]Articulos Precio'!$A:$E,5,FALSE)</f>
        <v>A0000606</v>
      </c>
    </row>
    <row r="3361" spans="1:9" x14ac:dyDescent="0.25">
      <c r="A3361" t="s">
        <v>1211</v>
      </c>
      <c r="B3361" t="str">
        <f>VLOOKUP(Tabla1[[#This Row],[Code]],[1]!Tabla4[#Data],2,FALSE)</f>
        <v>ML Cad-Cut Sportsfilm 215 Rosa Oro 500mm</v>
      </c>
      <c r="C3361">
        <v>2</v>
      </c>
      <c r="D3361" t="s">
        <v>10</v>
      </c>
      <c r="E3361" t="str">
        <f>VLOOKUP(Tabla1[[#This Row],[Cód. Atributo]],[1]!Tabla5[#Data],6,FALSE)</f>
        <v>Select</v>
      </c>
      <c r="F3361">
        <v>1</v>
      </c>
      <c r="G3361">
        <v>1</v>
      </c>
      <c r="H3361" t="s">
        <v>11</v>
      </c>
      <c r="I3361" t="str">
        <f>VLOOKUP(Tabla1[[#This Row],[Code]],'[1]Articulos Precio'!$A:$E,5,FALSE)</f>
        <v>A0000606</v>
      </c>
    </row>
    <row r="3362" spans="1:9" x14ac:dyDescent="0.25">
      <c r="A3362" t="s">
        <v>1211</v>
      </c>
      <c r="B3362" t="str">
        <f>VLOOKUP(Tabla1[[#This Row],[Code]],[1]!Tabla4[#Data],2,FALSE)</f>
        <v>ML Cad-Cut Sportsfilm 215 Rosa Oro 500mm</v>
      </c>
      <c r="C3362">
        <v>18</v>
      </c>
      <c r="D3362" t="s">
        <v>712</v>
      </c>
      <c r="E3362" t="str">
        <f>VLOOKUP(Tabla1[[#This Row],[Cód. Atributo]],[1]!Tabla5[#Data],6,FALSE)</f>
        <v>Color</v>
      </c>
      <c r="F3362">
        <v>2</v>
      </c>
      <c r="G3362">
        <v>48</v>
      </c>
      <c r="H3362" t="s">
        <v>1212</v>
      </c>
      <c r="I3362" t="str">
        <f>VLOOKUP(Tabla1[[#This Row],[Code]],'[1]Articulos Precio'!$A:$E,5,FALSE)</f>
        <v>A0000606</v>
      </c>
    </row>
    <row r="3363" spans="1:9" x14ac:dyDescent="0.25">
      <c r="A3363" t="s">
        <v>1213</v>
      </c>
      <c r="B3363" t="str">
        <f>VLOOKUP(Tabla1[[#This Row],[Code]],[1]!Tabla4[#Data],2,FALSE)</f>
        <v>M2 Metamark MT630 Amarillo Limón 1,22 x 50m</v>
      </c>
      <c r="C3363">
        <v>8</v>
      </c>
      <c r="D3363" t="s">
        <v>86</v>
      </c>
      <c r="E3363" t="str">
        <f>VLOOKUP(Tabla1[[#This Row],[Cód. Atributo]],[1]!Tabla5[#Data],6,FALSE)</f>
        <v>Select</v>
      </c>
      <c r="F3363">
        <v>1</v>
      </c>
      <c r="G3363">
        <v>2</v>
      </c>
      <c r="H3363" t="s">
        <v>268</v>
      </c>
      <c r="I3363" t="str">
        <f>VLOOKUP(Tabla1[[#This Row],[Code]],'[1]Articulos Precio'!$A:$E,5,FALSE)</f>
        <v>A0000541</v>
      </c>
    </row>
    <row r="3364" spans="1:9" x14ac:dyDescent="0.25">
      <c r="A3364" t="s">
        <v>1213</v>
      </c>
      <c r="B3364" t="str">
        <f>VLOOKUP(Tabla1[[#This Row],[Code]],[1]!Tabla4[#Data],2,FALSE)</f>
        <v>M2 Metamark MT630 Amarillo Limón 1,22 x 50m</v>
      </c>
      <c r="C3364">
        <v>14</v>
      </c>
      <c r="D3364" t="s">
        <v>1182</v>
      </c>
      <c r="E3364" t="str">
        <f>VLOOKUP(Tabla1[[#This Row],[Cód. Atributo]],[1]!Tabla5[#Data],6,FALSE)</f>
        <v>Color</v>
      </c>
      <c r="F3364">
        <v>2</v>
      </c>
      <c r="G3364">
        <v>5</v>
      </c>
      <c r="H3364" t="s">
        <v>1214</v>
      </c>
      <c r="I3364" t="str">
        <f>VLOOKUP(Tabla1[[#This Row],[Code]],'[1]Articulos Precio'!$A:$E,5,FALSE)</f>
        <v>A0000541</v>
      </c>
    </row>
    <row r="3365" spans="1:9" x14ac:dyDescent="0.25">
      <c r="A3365" t="s">
        <v>1213</v>
      </c>
      <c r="B3365" t="str">
        <f>VLOOKUP(Tabla1[[#This Row],[Code]],[1]!Tabla4[#Data],2,FALSE)</f>
        <v>M2 Metamark MT630 Amarillo Limón 1,22 x 50m</v>
      </c>
      <c r="C3365">
        <v>24</v>
      </c>
      <c r="D3365" t="s">
        <v>96</v>
      </c>
      <c r="E3365" t="str">
        <f>VLOOKUP(Tabla1[[#This Row],[Cód. Atributo]],[1]!Tabla5[#Data],6,FALSE)</f>
        <v>Select</v>
      </c>
      <c r="F3365">
        <v>3</v>
      </c>
      <c r="G3365">
        <v>3</v>
      </c>
      <c r="H3365" t="s">
        <v>181</v>
      </c>
      <c r="I3365" t="str">
        <f>VLOOKUP(Tabla1[[#This Row],[Code]],'[1]Articulos Precio'!$A:$E,5,FALSE)</f>
        <v>A0000541</v>
      </c>
    </row>
    <row r="3366" spans="1:9" x14ac:dyDescent="0.25">
      <c r="A3366" t="s">
        <v>1213</v>
      </c>
      <c r="B3366" t="str">
        <f>VLOOKUP(Tabla1[[#This Row],[Code]],[1]!Tabla4[#Data],2,FALSE)</f>
        <v>M2 Metamark MT630 Amarillo Limón 1,22 x 50m</v>
      </c>
      <c r="C3366">
        <v>25</v>
      </c>
      <c r="D3366" t="s">
        <v>94</v>
      </c>
      <c r="E3366" t="str">
        <f>VLOOKUP(Tabla1[[#This Row],[Cód. Atributo]],[1]!Tabla5[#Data],6,FALSE)</f>
        <v>Select</v>
      </c>
      <c r="F3366">
        <v>4</v>
      </c>
      <c r="G3366">
        <v>4</v>
      </c>
      <c r="H3366" t="s">
        <v>137</v>
      </c>
      <c r="I3366" t="str">
        <f>VLOOKUP(Tabla1[[#This Row],[Code]],'[1]Articulos Precio'!$A:$E,5,FALSE)</f>
        <v>A0000541</v>
      </c>
    </row>
    <row r="3367" spans="1:9" x14ac:dyDescent="0.25">
      <c r="A3367" t="s">
        <v>1213</v>
      </c>
      <c r="B3367" t="str">
        <f>VLOOKUP(Tabla1[[#This Row],[Code]],[1]!Tabla4[#Data],2,FALSE)</f>
        <v>M2 Metamark MT630 Amarillo Limón 1,22 x 50m</v>
      </c>
      <c r="C3367">
        <v>23</v>
      </c>
      <c r="D3367" t="s">
        <v>90</v>
      </c>
      <c r="E3367" t="str">
        <f>VLOOKUP(Tabla1[[#This Row],[Cód. Atributo]],[1]!Tabla5[#Data],6,FALSE)</f>
        <v>Select</v>
      </c>
      <c r="F3367">
        <v>5</v>
      </c>
      <c r="G3367">
        <v>2</v>
      </c>
      <c r="H3367" t="s">
        <v>136</v>
      </c>
      <c r="I3367" t="str">
        <f>VLOOKUP(Tabla1[[#This Row],[Code]],'[1]Articulos Precio'!$A:$E,5,FALSE)</f>
        <v>A0000541</v>
      </c>
    </row>
    <row r="3368" spans="1:9" x14ac:dyDescent="0.25">
      <c r="A3368" t="s">
        <v>1215</v>
      </c>
      <c r="B3368" t="str">
        <f>VLOOKUP(Tabla1[[#This Row],[Code]],[1]!Tabla4[#Data],2,FALSE)</f>
        <v>M2 Metamark MT633 Naranja 1,22 x 50m</v>
      </c>
      <c r="C3368">
        <v>8</v>
      </c>
      <c r="D3368" t="s">
        <v>86</v>
      </c>
      <c r="E3368" t="str">
        <f>VLOOKUP(Tabla1[[#This Row],[Cód. Atributo]],[1]!Tabla5[#Data],6,FALSE)</f>
        <v>Select</v>
      </c>
      <c r="F3368">
        <v>1</v>
      </c>
      <c r="G3368">
        <v>2</v>
      </c>
      <c r="H3368" t="s">
        <v>268</v>
      </c>
      <c r="I3368" t="str">
        <f>VLOOKUP(Tabla1[[#This Row],[Code]],'[1]Articulos Precio'!$A:$E,5,FALSE)</f>
        <v>A0000541</v>
      </c>
    </row>
    <row r="3369" spans="1:9" x14ac:dyDescent="0.25">
      <c r="A3369" t="s">
        <v>1215</v>
      </c>
      <c r="B3369" t="str">
        <f>VLOOKUP(Tabla1[[#This Row],[Code]],[1]!Tabla4[#Data],2,FALSE)</f>
        <v>M2 Metamark MT633 Naranja 1,22 x 50m</v>
      </c>
      <c r="C3369">
        <v>14</v>
      </c>
      <c r="D3369" t="s">
        <v>1182</v>
      </c>
      <c r="E3369" t="str">
        <f>VLOOKUP(Tabla1[[#This Row],[Cód. Atributo]],[1]!Tabla5[#Data],6,FALSE)</f>
        <v>Color</v>
      </c>
      <c r="F3369">
        <v>2</v>
      </c>
      <c r="G3369">
        <v>6</v>
      </c>
      <c r="H3369" t="s">
        <v>1216</v>
      </c>
      <c r="I3369" t="str">
        <f>VLOOKUP(Tabla1[[#This Row],[Code]],'[1]Articulos Precio'!$A:$E,5,FALSE)</f>
        <v>A0000541</v>
      </c>
    </row>
    <row r="3370" spans="1:9" x14ac:dyDescent="0.25">
      <c r="A3370" t="s">
        <v>1215</v>
      </c>
      <c r="B3370" t="str">
        <f>VLOOKUP(Tabla1[[#This Row],[Code]],[1]!Tabla4[#Data],2,FALSE)</f>
        <v>M2 Metamark MT633 Naranja 1,22 x 50m</v>
      </c>
      <c r="C3370">
        <v>24</v>
      </c>
      <c r="D3370" t="s">
        <v>96</v>
      </c>
      <c r="E3370" t="str">
        <f>VLOOKUP(Tabla1[[#This Row],[Cód. Atributo]],[1]!Tabla5[#Data],6,FALSE)</f>
        <v>Select</v>
      </c>
      <c r="F3370">
        <v>3</v>
      </c>
      <c r="G3370">
        <v>3</v>
      </c>
      <c r="H3370" t="s">
        <v>181</v>
      </c>
      <c r="I3370" t="str">
        <f>VLOOKUP(Tabla1[[#This Row],[Code]],'[1]Articulos Precio'!$A:$E,5,FALSE)</f>
        <v>A0000541</v>
      </c>
    </row>
    <row r="3371" spans="1:9" x14ac:dyDescent="0.25">
      <c r="A3371" t="s">
        <v>1215</v>
      </c>
      <c r="B3371" t="str">
        <f>VLOOKUP(Tabla1[[#This Row],[Code]],[1]!Tabla4[#Data],2,FALSE)</f>
        <v>M2 Metamark MT633 Naranja 1,22 x 50m</v>
      </c>
      <c r="C3371">
        <v>25</v>
      </c>
      <c r="D3371" t="s">
        <v>94</v>
      </c>
      <c r="E3371" t="str">
        <f>VLOOKUP(Tabla1[[#This Row],[Cód. Atributo]],[1]!Tabla5[#Data],6,FALSE)</f>
        <v>Select</v>
      </c>
      <c r="F3371">
        <v>4</v>
      </c>
      <c r="G3371">
        <v>4</v>
      </c>
      <c r="H3371" t="s">
        <v>137</v>
      </c>
      <c r="I3371" t="str">
        <f>VLOOKUP(Tabla1[[#This Row],[Code]],'[1]Articulos Precio'!$A:$E,5,FALSE)</f>
        <v>A0000541</v>
      </c>
    </row>
    <row r="3372" spans="1:9" x14ac:dyDescent="0.25">
      <c r="A3372" t="s">
        <v>1215</v>
      </c>
      <c r="B3372" t="str">
        <f>VLOOKUP(Tabla1[[#This Row],[Code]],[1]!Tabla4[#Data],2,FALSE)</f>
        <v>M2 Metamark MT633 Naranja 1,22 x 50m</v>
      </c>
      <c r="C3372">
        <v>23</v>
      </c>
      <c r="D3372" t="s">
        <v>90</v>
      </c>
      <c r="E3372" t="str">
        <f>VLOOKUP(Tabla1[[#This Row],[Cód. Atributo]],[1]!Tabla5[#Data],6,FALSE)</f>
        <v>Select</v>
      </c>
      <c r="F3372">
        <v>5</v>
      </c>
      <c r="G3372">
        <v>2</v>
      </c>
      <c r="H3372" t="s">
        <v>136</v>
      </c>
      <c r="I3372" t="str">
        <f>VLOOKUP(Tabla1[[#This Row],[Code]],'[1]Articulos Precio'!$A:$E,5,FALSE)</f>
        <v>A0000541</v>
      </c>
    </row>
    <row r="3373" spans="1:9" x14ac:dyDescent="0.25">
      <c r="A3373" t="s">
        <v>1217</v>
      </c>
      <c r="B3373" t="str">
        <f>VLOOKUP(Tabla1[[#This Row],[Code]],[1]!Tabla4[#Data],2,FALSE)</f>
        <v>M2 Metamark MT635 Amarillo Botón 1,22 x 50m</v>
      </c>
      <c r="C3373">
        <v>8</v>
      </c>
      <c r="D3373" t="s">
        <v>86</v>
      </c>
      <c r="E3373" t="str">
        <f>VLOOKUP(Tabla1[[#This Row],[Cód. Atributo]],[1]!Tabla5[#Data],6,FALSE)</f>
        <v>Select</v>
      </c>
      <c r="F3373">
        <v>1</v>
      </c>
      <c r="G3373">
        <v>2</v>
      </c>
      <c r="H3373" t="s">
        <v>268</v>
      </c>
      <c r="I3373" t="str">
        <f>VLOOKUP(Tabla1[[#This Row],[Code]],'[1]Articulos Precio'!$A:$E,5,FALSE)</f>
        <v>A0000541</v>
      </c>
    </row>
    <row r="3374" spans="1:9" x14ac:dyDescent="0.25">
      <c r="A3374" t="s">
        <v>1217</v>
      </c>
      <c r="B3374" t="str">
        <f>VLOOKUP(Tabla1[[#This Row],[Code]],[1]!Tabla4[#Data],2,FALSE)</f>
        <v>M2 Metamark MT635 Amarillo Botón 1,22 x 50m</v>
      </c>
      <c r="C3374">
        <v>14</v>
      </c>
      <c r="D3374" t="s">
        <v>1182</v>
      </c>
      <c r="E3374" t="str">
        <f>VLOOKUP(Tabla1[[#This Row],[Cód. Atributo]],[1]!Tabla5[#Data],6,FALSE)</f>
        <v>Color</v>
      </c>
      <c r="F3374">
        <v>2</v>
      </c>
      <c r="G3374">
        <v>7</v>
      </c>
      <c r="H3374" t="s">
        <v>1218</v>
      </c>
      <c r="I3374" t="str">
        <f>VLOOKUP(Tabla1[[#This Row],[Code]],'[1]Articulos Precio'!$A:$E,5,FALSE)</f>
        <v>A0000541</v>
      </c>
    </row>
    <row r="3375" spans="1:9" x14ac:dyDescent="0.25">
      <c r="A3375" t="s">
        <v>1217</v>
      </c>
      <c r="B3375" t="str">
        <f>VLOOKUP(Tabla1[[#This Row],[Code]],[1]!Tabla4[#Data],2,FALSE)</f>
        <v>M2 Metamark MT635 Amarillo Botón 1,22 x 50m</v>
      </c>
      <c r="C3375">
        <v>24</v>
      </c>
      <c r="D3375" t="s">
        <v>96</v>
      </c>
      <c r="E3375" t="str">
        <f>VLOOKUP(Tabla1[[#This Row],[Cód. Atributo]],[1]!Tabla5[#Data],6,FALSE)</f>
        <v>Select</v>
      </c>
      <c r="F3375">
        <v>3</v>
      </c>
      <c r="G3375">
        <v>3</v>
      </c>
      <c r="H3375" t="s">
        <v>181</v>
      </c>
      <c r="I3375" t="str">
        <f>VLOOKUP(Tabla1[[#This Row],[Code]],'[1]Articulos Precio'!$A:$E,5,FALSE)</f>
        <v>A0000541</v>
      </c>
    </row>
    <row r="3376" spans="1:9" x14ac:dyDescent="0.25">
      <c r="A3376" t="s">
        <v>1217</v>
      </c>
      <c r="B3376" t="str">
        <f>VLOOKUP(Tabla1[[#This Row],[Code]],[1]!Tabla4[#Data],2,FALSE)</f>
        <v>M2 Metamark MT635 Amarillo Botón 1,22 x 50m</v>
      </c>
      <c r="C3376">
        <v>25</v>
      </c>
      <c r="D3376" t="s">
        <v>94</v>
      </c>
      <c r="E3376" t="str">
        <f>VLOOKUP(Tabla1[[#This Row],[Cód. Atributo]],[1]!Tabla5[#Data],6,FALSE)</f>
        <v>Select</v>
      </c>
      <c r="F3376">
        <v>4</v>
      </c>
      <c r="G3376">
        <v>4</v>
      </c>
      <c r="H3376" t="s">
        <v>137</v>
      </c>
      <c r="I3376" t="str">
        <f>VLOOKUP(Tabla1[[#This Row],[Code]],'[1]Articulos Precio'!$A:$E,5,FALSE)</f>
        <v>A0000541</v>
      </c>
    </row>
    <row r="3377" spans="1:9" x14ac:dyDescent="0.25">
      <c r="A3377" t="s">
        <v>1217</v>
      </c>
      <c r="B3377" t="str">
        <f>VLOOKUP(Tabla1[[#This Row],[Code]],[1]!Tabla4[#Data],2,FALSE)</f>
        <v>M2 Metamark MT635 Amarillo Botón 1,22 x 50m</v>
      </c>
      <c r="C3377">
        <v>23</v>
      </c>
      <c r="D3377" t="s">
        <v>90</v>
      </c>
      <c r="E3377" t="str">
        <f>VLOOKUP(Tabla1[[#This Row],[Cód. Atributo]],[1]!Tabla5[#Data],6,FALSE)</f>
        <v>Select</v>
      </c>
      <c r="F3377">
        <v>5</v>
      </c>
      <c r="G3377">
        <v>2</v>
      </c>
      <c r="H3377" t="s">
        <v>136</v>
      </c>
      <c r="I3377" t="str">
        <f>VLOOKUP(Tabla1[[#This Row],[Code]],'[1]Articulos Precio'!$A:$E,5,FALSE)</f>
        <v>A0000541</v>
      </c>
    </row>
    <row r="3378" spans="1:9" x14ac:dyDescent="0.25">
      <c r="A3378" t="s">
        <v>1219</v>
      </c>
      <c r="B3378" t="str">
        <f>VLOOKUP(Tabla1[[#This Row],[Code]],[1]!Tabla4[#Data],2,FALSE)</f>
        <v>M2 Metamark MT636 Mandarina 1,22 x 50m</v>
      </c>
      <c r="C3378">
        <v>8</v>
      </c>
      <c r="D3378" t="s">
        <v>86</v>
      </c>
      <c r="E3378" t="str">
        <f>VLOOKUP(Tabla1[[#This Row],[Cód. Atributo]],[1]!Tabla5[#Data],6,FALSE)</f>
        <v>Select</v>
      </c>
      <c r="F3378">
        <v>1</v>
      </c>
      <c r="G3378">
        <v>2</v>
      </c>
      <c r="H3378" t="s">
        <v>268</v>
      </c>
      <c r="I3378" t="str">
        <f>VLOOKUP(Tabla1[[#This Row],[Code]],'[1]Articulos Precio'!$A:$E,5,FALSE)</f>
        <v>A0000541</v>
      </c>
    </row>
    <row r="3379" spans="1:9" x14ac:dyDescent="0.25">
      <c r="A3379" t="s">
        <v>1219</v>
      </c>
      <c r="B3379" t="str">
        <f>VLOOKUP(Tabla1[[#This Row],[Code]],[1]!Tabla4[#Data],2,FALSE)</f>
        <v>M2 Metamark MT636 Mandarina 1,22 x 50m</v>
      </c>
      <c r="C3379">
        <v>14</v>
      </c>
      <c r="D3379" t="s">
        <v>1182</v>
      </c>
      <c r="E3379" t="str">
        <f>VLOOKUP(Tabla1[[#This Row],[Cód. Atributo]],[1]!Tabla5[#Data],6,FALSE)</f>
        <v>Color</v>
      </c>
      <c r="F3379">
        <v>2</v>
      </c>
      <c r="G3379">
        <v>8</v>
      </c>
      <c r="H3379" t="s">
        <v>1220</v>
      </c>
      <c r="I3379" t="str">
        <f>VLOOKUP(Tabla1[[#This Row],[Code]],'[1]Articulos Precio'!$A:$E,5,FALSE)</f>
        <v>A0000541</v>
      </c>
    </row>
    <row r="3380" spans="1:9" x14ac:dyDescent="0.25">
      <c r="A3380" t="s">
        <v>1219</v>
      </c>
      <c r="B3380" t="str">
        <f>VLOOKUP(Tabla1[[#This Row],[Code]],[1]!Tabla4[#Data],2,FALSE)</f>
        <v>M2 Metamark MT636 Mandarina 1,22 x 50m</v>
      </c>
      <c r="C3380">
        <v>24</v>
      </c>
      <c r="D3380" t="s">
        <v>96</v>
      </c>
      <c r="E3380" t="str">
        <f>VLOOKUP(Tabla1[[#This Row],[Cód. Atributo]],[1]!Tabla5[#Data],6,FALSE)</f>
        <v>Select</v>
      </c>
      <c r="F3380">
        <v>3</v>
      </c>
      <c r="G3380">
        <v>3</v>
      </c>
      <c r="H3380" t="s">
        <v>181</v>
      </c>
      <c r="I3380" t="str">
        <f>VLOOKUP(Tabla1[[#This Row],[Code]],'[1]Articulos Precio'!$A:$E,5,FALSE)</f>
        <v>A0000541</v>
      </c>
    </row>
    <row r="3381" spans="1:9" x14ac:dyDescent="0.25">
      <c r="A3381" t="s">
        <v>1219</v>
      </c>
      <c r="B3381" t="str">
        <f>VLOOKUP(Tabla1[[#This Row],[Code]],[1]!Tabla4[#Data],2,FALSE)</f>
        <v>M2 Metamark MT636 Mandarina 1,22 x 50m</v>
      </c>
      <c r="C3381">
        <v>25</v>
      </c>
      <c r="D3381" t="s">
        <v>94</v>
      </c>
      <c r="E3381" t="str">
        <f>VLOOKUP(Tabla1[[#This Row],[Cód. Atributo]],[1]!Tabla5[#Data],6,FALSE)</f>
        <v>Select</v>
      </c>
      <c r="F3381">
        <v>4</v>
      </c>
      <c r="G3381">
        <v>4</v>
      </c>
      <c r="H3381" t="s">
        <v>137</v>
      </c>
      <c r="I3381" t="str">
        <f>VLOOKUP(Tabla1[[#This Row],[Code]],'[1]Articulos Precio'!$A:$E,5,FALSE)</f>
        <v>A0000541</v>
      </c>
    </row>
    <row r="3382" spans="1:9" x14ac:dyDescent="0.25">
      <c r="A3382" t="s">
        <v>1219</v>
      </c>
      <c r="B3382" t="str">
        <f>VLOOKUP(Tabla1[[#This Row],[Code]],[1]!Tabla4[#Data],2,FALSE)</f>
        <v>M2 Metamark MT636 Mandarina 1,22 x 50m</v>
      </c>
      <c r="C3382">
        <v>23</v>
      </c>
      <c r="D3382" t="s">
        <v>90</v>
      </c>
      <c r="E3382" t="str">
        <f>VLOOKUP(Tabla1[[#This Row],[Cód. Atributo]],[1]!Tabla5[#Data],6,FALSE)</f>
        <v>Select</v>
      </c>
      <c r="F3382">
        <v>5</v>
      </c>
      <c r="G3382">
        <v>2</v>
      </c>
      <c r="H3382" t="s">
        <v>136</v>
      </c>
      <c r="I3382" t="str">
        <f>VLOOKUP(Tabla1[[#This Row],[Code]],'[1]Articulos Precio'!$A:$E,5,FALSE)</f>
        <v>A0000541</v>
      </c>
    </row>
    <row r="3383" spans="1:9" x14ac:dyDescent="0.25">
      <c r="A3383" t="s">
        <v>1221</v>
      </c>
      <c r="B3383" t="str">
        <f>VLOOKUP(Tabla1[[#This Row],[Code]],[1]!Tabla4[#Data],2,FALSE)</f>
        <v>M2 Metamark MT640 Rojo Ligero 1,22 x 50m</v>
      </c>
      <c r="C3383">
        <v>8</v>
      </c>
      <c r="D3383" t="s">
        <v>86</v>
      </c>
      <c r="E3383" t="str">
        <f>VLOOKUP(Tabla1[[#This Row],[Cód. Atributo]],[1]!Tabla5[#Data],6,FALSE)</f>
        <v>Select</v>
      </c>
      <c r="F3383">
        <v>1</v>
      </c>
      <c r="G3383">
        <v>2</v>
      </c>
      <c r="H3383" t="s">
        <v>268</v>
      </c>
      <c r="I3383" t="str">
        <f>VLOOKUP(Tabla1[[#This Row],[Code]],'[1]Articulos Precio'!$A:$E,5,FALSE)</f>
        <v>A0000541</v>
      </c>
    </row>
    <row r="3384" spans="1:9" x14ac:dyDescent="0.25">
      <c r="A3384" t="s">
        <v>1221</v>
      </c>
      <c r="B3384" t="str">
        <f>VLOOKUP(Tabla1[[#This Row],[Code]],[1]!Tabla4[#Data],2,FALSE)</f>
        <v>M2 Metamark MT640 Rojo Ligero 1,22 x 50m</v>
      </c>
      <c r="C3384">
        <v>14</v>
      </c>
      <c r="D3384" t="s">
        <v>1182</v>
      </c>
      <c r="E3384" t="str">
        <f>VLOOKUP(Tabla1[[#This Row],[Cód. Atributo]],[1]!Tabla5[#Data],6,FALSE)</f>
        <v>Color</v>
      </c>
      <c r="F3384">
        <v>2</v>
      </c>
      <c r="G3384">
        <v>9</v>
      </c>
      <c r="H3384" t="s">
        <v>1222</v>
      </c>
      <c r="I3384" t="str">
        <f>VLOOKUP(Tabla1[[#This Row],[Code]],'[1]Articulos Precio'!$A:$E,5,FALSE)</f>
        <v>A0000541</v>
      </c>
    </row>
    <row r="3385" spans="1:9" x14ac:dyDescent="0.25">
      <c r="A3385" t="s">
        <v>1221</v>
      </c>
      <c r="B3385" t="str">
        <f>VLOOKUP(Tabla1[[#This Row],[Code]],[1]!Tabla4[#Data],2,FALSE)</f>
        <v>M2 Metamark MT640 Rojo Ligero 1,22 x 50m</v>
      </c>
      <c r="C3385">
        <v>24</v>
      </c>
      <c r="D3385" t="s">
        <v>96</v>
      </c>
      <c r="E3385" t="str">
        <f>VLOOKUP(Tabla1[[#This Row],[Cód. Atributo]],[1]!Tabla5[#Data],6,FALSE)</f>
        <v>Select</v>
      </c>
      <c r="F3385">
        <v>3</v>
      </c>
      <c r="G3385">
        <v>3</v>
      </c>
      <c r="H3385" t="s">
        <v>181</v>
      </c>
      <c r="I3385" t="str">
        <f>VLOOKUP(Tabla1[[#This Row],[Code]],'[1]Articulos Precio'!$A:$E,5,FALSE)</f>
        <v>A0000541</v>
      </c>
    </row>
    <row r="3386" spans="1:9" x14ac:dyDescent="0.25">
      <c r="A3386" t="s">
        <v>1221</v>
      </c>
      <c r="B3386" t="str">
        <f>VLOOKUP(Tabla1[[#This Row],[Code]],[1]!Tabla4[#Data],2,FALSE)</f>
        <v>M2 Metamark MT640 Rojo Ligero 1,22 x 50m</v>
      </c>
      <c r="C3386">
        <v>25</v>
      </c>
      <c r="D3386" t="s">
        <v>94</v>
      </c>
      <c r="E3386" t="str">
        <f>VLOOKUP(Tabla1[[#This Row],[Cód. Atributo]],[1]!Tabla5[#Data],6,FALSE)</f>
        <v>Select</v>
      </c>
      <c r="F3386">
        <v>4</v>
      </c>
      <c r="G3386">
        <v>4</v>
      </c>
      <c r="H3386" t="s">
        <v>137</v>
      </c>
      <c r="I3386" t="str">
        <f>VLOOKUP(Tabla1[[#This Row],[Code]],'[1]Articulos Precio'!$A:$E,5,FALSE)</f>
        <v>A0000541</v>
      </c>
    </row>
    <row r="3387" spans="1:9" x14ac:dyDescent="0.25">
      <c r="A3387" t="s">
        <v>1221</v>
      </c>
      <c r="B3387" t="str">
        <f>VLOOKUP(Tabla1[[#This Row],[Code]],[1]!Tabla4[#Data],2,FALSE)</f>
        <v>M2 Metamark MT640 Rojo Ligero 1,22 x 50m</v>
      </c>
      <c r="C3387">
        <v>23</v>
      </c>
      <c r="D3387" t="s">
        <v>90</v>
      </c>
      <c r="E3387" t="str">
        <f>VLOOKUP(Tabla1[[#This Row],[Cód. Atributo]],[1]!Tabla5[#Data],6,FALSE)</f>
        <v>Select</v>
      </c>
      <c r="F3387">
        <v>5</v>
      </c>
      <c r="G3387">
        <v>2</v>
      </c>
      <c r="H3387" t="s">
        <v>136</v>
      </c>
      <c r="I3387" t="str">
        <f>VLOOKUP(Tabla1[[#This Row],[Code]],'[1]Articulos Precio'!$A:$E,5,FALSE)</f>
        <v>A0000541</v>
      </c>
    </row>
    <row r="3388" spans="1:9" x14ac:dyDescent="0.25">
      <c r="A3388" t="s">
        <v>1223</v>
      </c>
      <c r="B3388" t="str">
        <f>VLOOKUP(Tabla1[[#This Row],[Code]],[1]!Tabla4[#Data],2,FALSE)</f>
        <v>M2 Metamark MT641 Rojo Tomate 1,22 x 50m</v>
      </c>
      <c r="C3388">
        <v>8</v>
      </c>
      <c r="D3388" t="s">
        <v>86</v>
      </c>
      <c r="E3388" t="str">
        <f>VLOOKUP(Tabla1[[#This Row],[Cód. Atributo]],[1]!Tabla5[#Data],6,FALSE)</f>
        <v>Select</v>
      </c>
      <c r="F3388">
        <v>1</v>
      </c>
      <c r="G3388">
        <v>2</v>
      </c>
      <c r="H3388" t="s">
        <v>268</v>
      </c>
      <c r="I3388" t="str">
        <f>VLOOKUP(Tabla1[[#This Row],[Code]],'[1]Articulos Precio'!$A:$E,5,FALSE)</f>
        <v>A0000541</v>
      </c>
    </row>
    <row r="3389" spans="1:9" x14ac:dyDescent="0.25">
      <c r="A3389" t="s">
        <v>1223</v>
      </c>
      <c r="B3389" t="str">
        <f>VLOOKUP(Tabla1[[#This Row],[Code]],[1]!Tabla4[#Data],2,FALSE)</f>
        <v>M2 Metamark MT641 Rojo Tomate 1,22 x 50m</v>
      </c>
      <c r="C3389">
        <v>14</v>
      </c>
      <c r="D3389" t="s">
        <v>1182</v>
      </c>
      <c r="E3389" t="str">
        <f>VLOOKUP(Tabla1[[#This Row],[Cód. Atributo]],[1]!Tabla5[#Data],6,FALSE)</f>
        <v>Color</v>
      </c>
      <c r="F3389">
        <v>2</v>
      </c>
      <c r="G3389">
        <v>10</v>
      </c>
      <c r="H3389" t="s">
        <v>1224</v>
      </c>
      <c r="I3389" t="str">
        <f>VLOOKUP(Tabla1[[#This Row],[Code]],'[1]Articulos Precio'!$A:$E,5,FALSE)</f>
        <v>A0000541</v>
      </c>
    </row>
    <row r="3390" spans="1:9" x14ac:dyDescent="0.25">
      <c r="A3390" t="s">
        <v>1223</v>
      </c>
      <c r="B3390" t="str">
        <f>VLOOKUP(Tabla1[[#This Row],[Code]],[1]!Tabla4[#Data],2,FALSE)</f>
        <v>M2 Metamark MT641 Rojo Tomate 1,22 x 50m</v>
      </c>
      <c r="C3390">
        <v>24</v>
      </c>
      <c r="D3390" t="s">
        <v>96</v>
      </c>
      <c r="E3390" t="str">
        <f>VLOOKUP(Tabla1[[#This Row],[Cód. Atributo]],[1]!Tabla5[#Data],6,FALSE)</f>
        <v>Select</v>
      </c>
      <c r="F3390">
        <v>3</v>
      </c>
      <c r="G3390">
        <v>3</v>
      </c>
      <c r="H3390" t="s">
        <v>181</v>
      </c>
      <c r="I3390" t="str">
        <f>VLOOKUP(Tabla1[[#This Row],[Code]],'[1]Articulos Precio'!$A:$E,5,FALSE)</f>
        <v>A0000541</v>
      </c>
    </row>
    <row r="3391" spans="1:9" x14ac:dyDescent="0.25">
      <c r="A3391" t="s">
        <v>1223</v>
      </c>
      <c r="B3391" t="str">
        <f>VLOOKUP(Tabla1[[#This Row],[Code]],[1]!Tabla4[#Data],2,FALSE)</f>
        <v>M2 Metamark MT641 Rojo Tomate 1,22 x 50m</v>
      </c>
      <c r="C3391">
        <v>25</v>
      </c>
      <c r="D3391" t="s">
        <v>94</v>
      </c>
      <c r="E3391" t="str">
        <f>VLOOKUP(Tabla1[[#This Row],[Cód. Atributo]],[1]!Tabla5[#Data],6,FALSE)</f>
        <v>Select</v>
      </c>
      <c r="F3391">
        <v>4</v>
      </c>
      <c r="G3391">
        <v>4</v>
      </c>
      <c r="H3391" t="s">
        <v>137</v>
      </c>
      <c r="I3391" t="str">
        <f>VLOOKUP(Tabla1[[#This Row],[Code]],'[1]Articulos Precio'!$A:$E,5,FALSE)</f>
        <v>A0000541</v>
      </c>
    </row>
    <row r="3392" spans="1:9" x14ac:dyDescent="0.25">
      <c r="A3392" t="s">
        <v>1223</v>
      </c>
      <c r="B3392" t="str">
        <f>VLOOKUP(Tabla1[[#This Row],[Code]],[1]!Tabla4[#Data],2,FALSE)</f>
        <v>M2 Metamark MT641 Rojo Tomate 1,22 x 50m</v>
      </c>
      <c r="C3392">
        <v>23</v>
      </c>
      <c r="D3392" t="s">
        <v>90</v>
      </c>
      <c r="E3392" t="str">
        <f>VLOOKUP(Tabla1[[#This Row],[Cód. Atributo]],[1]!Tabla5[#Data],6,FALSE)</f>
        <v>Select</v>
      </c>
      <c r="F3392">
        <v>5</v>
      </c>
      <c r="G3392">
        <v>2</v>
      </c>
      <c r="H3392" t="s">
        <v>136</v>
      </c>
      <c r="I3392" t="str">
        <f>VLOOKUP(Tabla1[[#This Row],[Code]],'[1]Articulos Precio'!$A:$E,5,FALSE)</f>
        <v>A0000541</v>
      </c>
    </row>
    <row r="3393" spans="1:9" x14ac:dyDescent="0.25">
      <c r="A3393" t="s">
        <v>1225</v>
      </c>
      <c r="B3393" t="str">
        <f>VLOOKUP(Tabla1[[#This Row],[Code]],[1]!Tabla4[#Data],2,FALSE)</f>
        <v>M2 Metamark MT642 Rojo Carmesí 1,22 x 50m</v>
      </c>
      <c r="C3393">
        <v>8</v>
      </c>
      <c r="D3393" t="s">
        <v>86</v>
      </c>
      <c r="E3393" t="str">
        <f>VLOOKUP(Tabla1[[#This Row],[Cód. Atributo]],[1]!Tabla5[#Data],6,FALSE)</f>
        <v>Select</v>
      </c>
      <c r="F3393">
        <v>1</v>
      </c>
      <c r="G3393">
        <v>2</v>
      </c>
      <c r="H3393" t="s">
        <v>268</v>
      </c>
      <c r="I3393" t="str">
        <f>VLOOKUP(Tabla1[[#This Row],[Code]],'[1]Articulos Precio'!$A:$E,5,FALSE)</f>
        <v>A0000541</v>
      </c>
    </row>
    <row r="3394" spans="1:9" x14ac:dyDescent="0.25">
      <c r="A3394" t="s">
        <v>1225</v>
      </c>
      <c r="B3394" t="str">
        <f>VLOOKUP(Tabla1[[#This Row],[Code]],[1]!Tabla4[#Data],2,FALSE)</f>
        <v>M2 Metamark MT642 Rojo Carmesí 1,22 x 50m</v>
      </c>
      <c r="C3394">
        <v>14</v>
      </c>
      <c r="D3394" t="s">
        <v>1182</v>
      </c>
      <c r="E3394" t="str">
        <f>VLOOKUP(Tabla1[[#This Row],[Cód. Atributo]],[1]!Tabla5[#Data],6,FALSE)</f>
        <v>Color</v>
      </c>
      <c r="F3394">
        <v>2</v>
      </c>
      <c r="G3394">
        <v>11</v>
      </c>
      <c r="H3394" t="s">
        <v>1226</v>
      </c>
      <c r="I3394" t="str">
        <f>VLOOKUP(Tabla1[[#This Row],[Code]],'[1]Articulos Precio'!$A:$E,5,FALSE)</f>
        <v>A0000541</v>
      </c>
    </row>
    <row r="3395" spans="1:9" x14ac:dyDescent="0.25">
      <c r="A3395" t="s">
        <v>1225</v>
      </c>
      <c r="B3395" t="str">
        <f>VLOOKUP(Tabla1[[#This Row],[Code]],[1]!Tabla4[#Data],2,FALSE)</f>
        <v>M2 Metamark MT642 Rojo Carmesí 1,22 x 50m</v>
      </c>
      <c r="C3395">
        <v>24</v>
      </c>
      <c r="D3395" t="s">
        <v>96</v>
      </c>
      <c r="E3395" t="str">
        <f>VLOOKUP(Tabla1[[#This Row],[Cód. Atributo]],[1]!Tabla5[#Data],6,FALSE)</f>
        <v>Select</v>
      </c>
      <c r="F3395">
        <v>3</v>
      </c>
      <c r="G3395">
        <v>3</v>
      </c>
      <c r="H3395" t="s">
        <v>181</v>
      </c>
      <c r="I3395" t="str">
        <f>VLOOKUP(Tabla1[[#This Row],[Code]],'[1]Articulos Precio'!$A:$E,5,FALSE)</f>
        <v>A0000541</v>
      </c>
    </row>
    <row r="3396" spans="1:9" x14ac:dyDescent="0.25">
      <c r="A3396" t="s">
        <v>1225</v>
      </c>
      <c r="B3396" t="str">
        <f>VLOOKUP(Tabla1[[#This Row],[Code]],[1]!Tabla4[#Data],2,FALSE)</f>
        <v>M2 Metamark MT642 Rojo Carmesí 1,22 x 50m</v>
      </c>
      <c r="C3396">
        <v>25</v>
      </c>
      <c r="D3396" t="s">
        <v>94</v>
      </c>
      <c r="E3396" t="str">
        <f>VLOOKUP(Tabla1[[#This Row],[Cód. Atributo]],[1]!Tabla5[#Data],6,FALSE)</f>
        <v>Select</v>
      </c>
      <c r="F3396">
        <v>4</v>
      </c>
      <c r="G3396">
        <v>4</v>
      </c>
      <c r="H3396" t="s">
        <v>137</v>
      </c>
      <c r="I3396" t="str">
        <f>VLOOKUP(Tabla1[[#This Row],[Code]],'[1]Articulos Precio'!$A:$E,5,FALSE)</f>
        <v>A0000541</v>
      </c>
    </row>
    <row r="3397" spans="1:9" x14ac:dyDescent="0.25">
      <c r="A3397" t="s">
        <v>1225</v>
      </c>
      <c r="B3397" t="str">
        <f>VLOOKUP(Tabla1[[#This Row],[Code]],[1]!Tabla4[#Data],2,FALSE)</f>
        <v>M2 Metamark MT642 Rojo Carmesí 1,22 x 50m</v>
      </c>
      <c r="C3397">
        <v>23</v>
      </c>
      <c r="D3397" t="s">
        <v>90</v>
      </c>
      <c r="E3397" t="str">
        <f>VLOOKUP(Tabla1[[#This Row],[Cód. Atributo]],[1]!Tabla5[#Data],6,FALSE)</f>
        <v>Select</v>
      </c>
      <c r="F3397">
        <v>5</v>
      </c>
      <c r="G3397">
        <v>2</v>
      </c>
      <c r="H3397" t="s">
        <v>136</v>
      </c>
      <c r="I3397" t="str">
        <f>VLOOKUP(Tabla1[[#This Row],[Code]],'[1]Articulos Precio'!$A:$E,5,FALSE)</f>
        <v>A0000541</v>
      </c>
    </row>
    <row r="3398" spans="1:9" x14ac:dyDescent="0.25">
      <c r="A3398" t="s">
        <v>1227</v>
      </c>
      <c r="B3398" t="str">
        <f>VLOOKUP(Tabla1[[#This Row],[Code]],[1]!Tabla4[#Data],2,FALSE)</f>
        <v>M2 Metamark MT643 Rojo Cardenal 1,22 x 50m</v>
      </c>
      <c r="C3398">
        <v>8</v>
      </c>
      <c r="D3398" t="s">
        <v>86</v>
      </c>
      <c r="E3398" t="str">
        <f>VLOOKUP(Tabla1[[#This Row],[Cód. Atributo]],[1]!Tabla5[#Data],6,FALSE)</f>
        <v>Select</v>
      </c>
      <c r="F3398">
        <v>1</v>
      </c>
      <c r="G3398">
        <v>2</v>
      </c>
      <c r="H3398" t="s">
        <v>268</v>
      </c>
      <c r="I3398" t="str">
        <f>VLOOKUP(Tabla1[[#This Row],[Code]],'[1]Articulos Precio'!$A:$E,5,FALSE)</f>
        <v>A0000541</v>
      </c>
    </row>
    <row r="3399" spans="1:9" x14ac:dyDescent="0.25">
      <c r="A3399" t="s">
        <v>1227</v>
      </c>
      <c r="B3399" t="str">
        <f>VLOOKUP(Tabla1[[#This Row],[Code]],[1]!Tabla4[#Data],2,FALSE)</f>
        <v>M2 Metamark MT643 Rojo Cardenal 1,22 x 50m</v>
      </c>
      <c r="C3399">
        <v>14</v>
      </c>
      <c r="D3399" t="s">
        <v>1182</v>
      </c>
      <c r="E3399" t="str">
        <f>VLOOKUP(Tabla1[[#This Row],[Cód. Atributo]],[1]!Tabla5[#Data],6,FALSE)</f>
        <v>Color</v>
      </c>
      <c r="F3399">
        <v>2</v>
      </c>
      <c r="G3399">
        <v>12</v>
      </c>
      <c r="H3399" t="s">
        <v>1228</v>
      </c>
      <c r="I3399" t="str">
        <f>VLOOKUP(Tabla1[[#This Row],[Code]],'[1]Articulos Precio'!$A:$E,5,FALSE)</f>
        <v>A0000541</v>
      </c>
    </row>
    <row r="3400" spans="1:9" x14ac:dyDescent="0.25">
      <c r="A3400" t="s">
        <v>1227</v>
      </c>
      <c r="B3400" t="str">
        <f>VLOOKUP(Tabla1[[#This Row],[Code]],[1]!Tabla4[#Data],2,FALSE)</f>
        <v>M2 Metamark MT643 Rojo Cardenal 1,22 x 50m</v>
      </c>
      <c r="C3400">
        <v>24</v>
      </c>
      <c r="D3400" t="s">
        <v>96</v>
      </c>
      <c r="E3400" t="str">
        <f>VLOOKUP(Tabla1[[#This Row],[Cód. Atributo]],[1]!Tabla5[#Data],6,FALSE)</f>
        <v>Select</v>
      </c>
      <c r="F3400">
        <v>3</v>
      </c>
      <c r="G3400">
        <v>3</v>
      </c>
      <c r="H3400" t="s">
        <v>181</v>
      </c>
      <c r="I3400" t="str">
        <f>VLOOKUP(Tabla1[[#This Row],[Code]],'[1]Articulos Precio'!$A:$E,5,FALSE)</f>
        <v>A0000541</v>
      </c>
    </row>
    <row r="3401" spans="1:9" x14ac:dyDescent="0.25">
      <c r="A3401" t="s">
        <v>1227</v>
      </c>
      <c r="B3401" t="str">
        <f>VLOOKUP(Tabla1[[#This Row],[Code]],[1]!Tabla4[#Data],2,FALSE)</f>
        <v>M2 Metamark MT643 Rojo Cardenal 1,22 x 50m</v>
      </c>
      <c r="C3401">
        <v>25</v>
      </c>
      <c r="D3401" t="s">
        <v>94</v>
      </c>
      <c r="E3401" t="str">
        <f>VLOOKUP(Tabla1[[#This Row],[Cód. Atributo]],[1]!Tabla5[#Data],6,FALSE)</f>
        <v>Select</v>
      </c>
      <c r="F3401">
        <v>4</v>
      </c>
      <c r="G3401">
        <v>4</v>
      </c>
      <c r="H3401" t="s">
        <v>137</v>
      </c>
      <c r="I3401" t="str">
        <f>VLOOKUP(Tabla1[[#This Row],[Code]],'[1]Articulos Precio'!$A:$E,5,FALSE)</f>
        <v>A0000541</v>
      </c>
    </row>
    <row r="3402" spans="1:9" x14ac:dyDescent="0.25">
      <c r="A3402" t="s">
        <v>1227</v>
      </c>
      <c r="B3402" t="str">
        <f>VLOOKUP(Tabla1[[#This Row],[Code]],[1]!Tabla4[#Data],2,FALSE)</f>
        <v>M2 Metamark MT643 Rojo Cardenal 1,22 x 50m</v>
      </c>
      <c r="C3402">
        <v>23</v>
      </c>
      <c r="D3402" t="s">
        <v>90</v>
      </c>
      <c r="E3402" t="str">
        <f>VLOOKUP(Tabla1[[#This Row],[Cód. Atributo]],[1]!Tabla5[#Data],6,FALSE)</f>
        <v>Select</v>
      </c>
      <c r="F3402">
        <v>5</v>
      </c>
      <c r="G3402">
        <v>2</v>
      </c>
      <c r="H3402" t="s">
        <v>136</v>
      </c>
      <c r="I3402" t="str">
        <f>VLOOKUP(Tabla1[[#This Row],[Code]],'[1]Articulos Precio'!$A:$E,5,FALSE)</f>
        <v>A0000541</v>
      </c>
    </row>
    <row r="3403" spans="1:9" x14ac:dyDescent="0.25">
      <c r="A3403" t="s">
        <v>1229</v>
      </c>
      <c r="B3403" t="str">
        <f>VLOOKUP(Tabla1[[#This Row],[Code]],[1]!Tabla4[#Data],2,FALSE)</f>
        <v>M2 Metamark MT645 Rojo Vino 1,22 x 50m</v>
      </c>
      <c r="C3403">
        <v>8</v>
      </c>
      <c r="D3403" t="s">
        <v>86</v>
      </c>
      <c r="E3403" t="str">
        <f>VLOOKUP(Tabla1[[#This Row],[Cód. Atributo]],[1]!Tabla5[#Data],6,FALSE)</f>
        <v>Select</v>
      </c>
      <c r="F3403">
        <v>1</v>
      </c>
      <c r="G3403">
        <v>2</v>
      </c>
      <c r="H3403" t="s">
        <v>268</v>
      </c>
      <c r="I3403" t="str">
        <f>VLOOKUP(Tabla1[[#This Row],[Code]],'[1]Articulos Precio'!$A:$E,5,FALSE)</f>
        <v>A0000541</v>
      </c>
    </row>
    <row r="3404" spans="1:9" x14ac:dyDescent="0.25">
      <c r="A3404" t="s">
        <v>1229</v>
      </c>
      <c r="B3404" t="str">
        <f>VLOOKUP(Tabla1[[#This Row],[Code]],[1]!Tabla4[#Data],2,FALSE)</f>
        <v>M2 Metamark MT645 Rojo Vino 1,22 x 50m</v>
      </c>
      <c r="C3404">
        <v>14</v>
      </c>
      <c r="D3404" t="s">
        <v>1182</v>
      </c>
      <c r="E3404" t="str">
        <f>VLOOKUP(Tabla1[[#This Row],[Cód. Atributo]],[1]!Tabla5[#Data],6,FALSE)</f>
        <v>Color</v>
      </c>
      <c r="F3404">
        <v>2</v>
      </c>
      <c r="G3404">
        <v>13</v>
      </c>
      <c r="H3404" t="s">
        <v>1230</v>
      </c>
      <c r="I3404" t="str">
        <f>VLOOKUP(Tabla1[[#This Row],[Code]],'[1]Articulos Precio'!$A:$E,5,FALSE)</f>
        <v>A0000541</v>
      </c>
    </row>
    <row r="3405" spans="1:9" x14ac:dyDescent="0.25">
      <c r="A3405" t="s">
        <v>1229</v>
      </c>
      <c r="B3405" t="str">
        <f>VLOOKUP(Tabla1[[#This Row],[Code]],[1]!Tabla4[#Data],2,FALSE)</f>
        <v>M2 Metamark MT645 Rojo Vino 1,22 x 50m</v>
      </c>
      <c r="C3405">
        <v>24</v>
      </c>
      <c r="D3405" t="s">
        <v>96</v>
      </c>
      <c r="E3405" t="str">
        <f>VLOOKUP(Tabla1[[#This Row],[Cód. Atributo]],[1]!Tabla5[#Data],6,FALSE)</f>
        <v>Select</v>
      </c>
      <c r="F3405">
        <v>3</v>
      </c>
      <c r="G3405">
        <v>3</v>
      </c>
      <c r="H3405" t="s">
        <v>181</v>
      </c>
      <c r="I3405" t="str">
        <f>VLOOKUP(Tabla1[[#This Row],[Code]],'[1]Articulos Precio'!$A:$E,5,FALSE)</f>
        <v>A0000541</v>
      </c>
    </row>
    <row r="3406" spans="1:9" x14ac:dyDescent="0.25">
      <c r="A3406" t="s">
        <v>1229</v>
      </c>
      <c r="B3406" t="str">
        <f>VLOOKUP(Tabla1[[#This Row],[Code]],[1]!Tabla4[#Data],2,FALSE)</f>
        <v>M2 Metamark MT645 Rojo Vino 1,22 x 50m</v>
      </c>
      <c r="C3406">
        <v>25</v>
      </c>
      <c r="D3406" t="s">
        <v>94</v>
      </c>
      <c r="E3406" t="str">
        <f>VLOOKUP(Tabla1[[#This Row],[Cód. Atributo]],[1]!Tabla5[#Data],6,FALSE)</f>
        <v>Select</v>
      </c>
      <c r="F3406">
        <v>4</v>
      </c>
      <c r="G3406">
        <v>4</v>
      </c>
      <c r="H3406" t="s">
        <v>137</v>
      </c>
      <c r="I3406" t="str">
        <f>VLOOKUP(Tabla1[[#This Row],[Code]],'[1]Articulos Precio'!$A:$E,5,FALSE)</f>
        <v>A0000541</v>
      </c>
    </row>
    <row r="3407" spans="1:9" x14ac:dyDescent="0.25">
      <c r="A3407" t="s">
        <v>1229</v>
      </c>
      <c r="B3407" t="str">
        <f>VLOOKUP(Tabla1[[#This Row],[Code]],[1]!Tabla4[#Data],2,FALSE)</f>
        <v>M2 Metamark MT645 Rojo Vino 1,22 x 50m</v>
      </c>
      <c r="C3407">
        <v>23</v>
      </c>
      <c r="D3407" t="s">
        <v>90</v>
      </c>
      <c r="E3407" t="str">
        <f>VLOOKUP(Tabla1[[#This Row],[Cód. Atributo]],[1]!Tabla5[#Data],6,FALSE)</f>
        <v>Select</v>
      </c>
      <c r="F3407">
        <v>5</v>
      </c>
      <c r="G3407">
        <v>2</v>
      </c>
      <c r="H3407" t="s">
        <v>136</v>
      </c>
      <c r="I3407" t="str">
        <f>VLOOKUP(Tabla1[[#This Row],[Code]],'[1]Articulos Precio'!$A:$E,5,FALSE)</f>
        <v>A0000541</v>
      </c>
    </row>
    <row r="3408" spans="1:9" x14ac:dyDescent="0.25">
      <c r="A3408" t="s">
        <v>1231</v>
      </c>
      <c r="B3408" t="str">
        <f>VLOOKUP(Tabla1[[#This Row],[Code]],[1]!Tabla4[#Data],2,FALSE)</f>
        <v>M2 Metamark MT647 Rojo Escarlata 1,22 x 50m</v>
      </c>
      <c r="C3408">
        <v>8</v>
      </c>
      <c r="D3408" t="s">
        <v>86</v>
      </c>
      <c r="E3408" t="str">
        <f>VLOOKUP(Tabla1[[#This Row],[Cód. Atributo]],[1]!Tabla5[#Data],6,FALSE)</f>
        <v>Select</v>
      </c>
      <c r="F3408">
        <v>1</v>
      </c>
      <c r="G3408">
        <v>2</v>
      </c>
      <c r="H3408" t="s">
        <v>268</v>
      </c>
      <c r="I3408" t="str">
        <f>VLOOKUP(Tabla1[[#This Row],[Code]],'[1]Articulos Precio'!$A:$E,5,FALSE)</f>
        <v>A0000541</v>
      </c>
    </row>
    <row r="3409" spans="1:9" x14ac:dyDescent="0.25">
      <c r="A3409" t="s">
        <v>1231</v>
      </c>
      <c r="B3409" t="str">
        <f>VLOOKUP(Tabla1[[#This Row],[Code]],[1]!Tabla4[#Data],2,FALSE)</f>
        <v>M2 Metamark MT647 Rojo Escarlata 1,22 x 50m</v>
      </c>
      <c r="C3409">
        <v>14</v>
      </c>
      <c r="D3409" t="s">
        <v>1182</v>
      </c>
      <c r="E3409" t="str">
        <f>VLOOKUP(Tabla1[[#This Row],[Cód. Atributo]],[1]!Tabla5[#Data],6,FALSE)</f>
        <v>Color</v>
      </c>
      <c r="F3409">
        <v>2</v>
      </c>
      <c r="G3409">
        <v>14</v>
      </c>
      <c r="H3409" t="s">
        <v>1232</v>
      </c>
      <c r="I3409" t="str">
        <f>VLOOKUP(Tabla1[[#This Row],[Code]],'[1]Articulos Precio'!$A:$E,5,FALSE)</f>
        <v>A0000541</v>
      </c>
    </row>
    <row r="3410" spans="1:9" x14ac:dyDescent="0.25">
      <c r="A3410" t="s">
        <v>1231</v>
      </c>
      <c r="B3410" t="str">
        <f>VLOOKUP(Tabla1[[#This Row],[Code]],[1]!Tabla4[#Data],2,FALSE)</f>
        <v>M2 Metamark MT647 Rojo Escarlata 1,22 x 50m</v>
      </c>
      <c r="C3410">
        <v>24</v>
      </c>
      <c r="D3410" t="s">
        <v>96</v>
      </c>
      <c r="E3410" t="str">
        <f>VLOOKUP(Tabla1[[#This Row],[Cód. Atributo]],[1]!Tabla5[#Data],6,FALSE)</f>
        <v>Select</v>
      </c>
      <c r="F3410">
        <v>3</v>
      </c>
      <c r="G3410">
        <v>3</v>
      </c>
      <c r="H3410" t="s">
        <v>181</v>
      </c>
      <c r="I3410" t="str">
        <f>VLOOKUP(Tabla1[[#This Row],[Code]],'[1]Articulos Precio'!$A:$E,5,FALSE)</f>
        <v>A0000541</v>
      </c>
    </row>
    <row r="3411" spans="1:9" x14ac:dyDescent="0.25">
      <c r="A3411" t="s">
        <v>1231</v>
      </c>
      <c r="B3411" t="str">
        <f>VLOOKUP(Tabla1[[#This Row],[Code]],[1]!Tabla4[#Data],2,FALSE)</f>
        <v>M2 Metamark MT647 Rojo Escarlata 1,22 x 50m</v>
      </c>
      <c r="C3411">
        <v>25</v>
      </c>
      <c r="D3411" t="s">
        <v>94</v>
      </c>
      <c r="E3411" t="str">
        <f>VLOOKUP(Tabla1[[#This Row],[Cód. Atributo]],[1]!Tabla5[#Data],6,FALSE)</f>
        <v>Select</v>
      </c>
      <c r="F3411">
        <v>4</v>
      </c>
      <c r="G3411">
        <v>4</v>
      </c>
      <c r="H3411" t="s">
        <v>137</v>
      </c>
      <c r="I3411" t="str">
        <f>VLOOKUP(Tabla1[[#This Row],[Code]],'[1]Articulos Precio'!$A:$E,5,FALSE)</f>
        <v>A0000541</v>
      </c>
    </row>
    <row r="3412" spans="1:9" x14ac:dyDescent="0.25">
      <c r="A3412" t="s">
        <v>1231</v>
      </c>
      <c r="B3412" t="str">
        <f>VLOOKUP(Tabla1[[#This Row],[Code]],[1]!Tabla4[#Data],2,FALSE)</f>
        <v>M2 Metamark MT647 Rojo Escarlata 1,22 x 50m</v>
      </c>
      <c r="C3412">
        <v>23</v>
      </c>
      <c r="D3412" t="s">
        <v>90</v>
      </c>
      <c r="E3412" t="str">
        <f>VLOOKUP(Tabla1[[#This Row],[Cód. Atributo]],[1]!Tabla5[#Data],6,FALSE)</f>
        <v>Select</v>
      </c>
      <c r="F3412">
        <v>5</v>
      </c>
      <c r="G3412">
        <v>2</v>
      </c>
      <c r="H3412" t="s">
        <v>136</v>
      </c>
      <c r="I3412" t="str">
        <f>VLOOKUP(Tabla1[[#This Row],[Code]],'[1]Articulos Precio'!$A:$E,5,FALSE)</f>
        <v>A0000541</v>
      </c>
    </row>
    <row r="3413" spans="1:9" x14ac:dyDescent="0.25">
      <c r="A3413" t="s">
        <v>1233</v>
      </c>
      <c r="B3413" t="str">
        <f>VLOOKUP(Tabla1[[#This Row],[Code]],[1]!Tabla4[#Data],2,FALSE)</f>
        <v>M2 Metamark MT649 Burdeos 1,22 x 50m</v>
      </c>
      <c r="C3413">
        <v>8</v>
      </c>
      <c r="D3413" t="s">
        <v>86</v>
      </c>
      <c r="E3413" t="str">
        <f>VLOOKUP(Tabla1[[#This Row],[Cód. Atributo]],[1]!Tabla5[#Data],6,FALSE)</f>
        <v>Select</v>
      </c>
      <c r="F3413">
        <v>1</v>
      </c>
      <c r="G3413">
        <v>2</v>
      </c>
      <c r="H3413" t="s">
        <v>268</v>
      </c>
      <c r="I3413" t="str">
        <f>VLOOKUP(Tabla1[[#This Row],[Code]],'[1]Articulos Precio'!$A:$E,5,FALSE)</f>
        <v>A0000541</v>
      </c>
    </row>
    <row r="3414" spans="1:9" x14ac:dyDescent="0.25">
      <c r="A3414" t="s">
        <v>1233</v>
      </c>
      <c r="B3414" t="str">
        <f>VLOOKUP(Tabla1[[#This Row],[Code]],[1]!Tabla4[#Data],2,FALSE)</f>
        <v>M2 Metamark MT649 Burdeos 1,22 x 50m</v>
      </c>
      <c r="C3414">
        <v>14</v>
      </c>
      <c r="D3414" t="s">
        <v>1182</v>
      </c>
      <c r="E3414" t="str">
        <f>VLOOKUP(Tabla1[[#This Row],[Cód. Atributo]],[1]!Tabla5[#Data],6,FALSE)</f>
        <v>Color</v>
      </c>
      <c r="F3414">
        <v>2</v>
      </c>
      <c r="G3414">
        <v>15</v>
      </c>
      <c r="H3414" t="s">
        <v>1234</v>
      </c>
      <c r="I3414" t="str">
        <f>VLOOKUP(Tabla1[[#This Row],[Code]],'[1]Articulos Precio'!$A:$E,5,FALSE)</f>
        <v>A0000541</v>
      </c>
    </row>
    <row r="3415" spans="1:9" x14ac:dyDescent="0.25">
      <c r="A3415" t="s">
        <v>1233</v>
      </c>
      <c r="B3415" t="str">
        <f>VLOOKUP(Tabla1[[#This Row],[Code]],[1]!Tabla4[#Data],2,FALSE)</f>
        <v>M2 Metamark MT649 Burdeos 1,22 x 50m</v>
      </c>
      <c r="C3415">
        <v>24</v>
      </c>
      <c r="D3415" t="s">
        <v>96</v>
      </c>
      <c r="E3415" t="str">
        <f>VLOOKUP(Tabla1[[#This Row],[Cód. Atributo]],[1]!Tabla5[#Data],6,FALSE)</f>
        <v>Select</v>
      </c>
      <c r="F3415">
        <v>3</v>
      </c>
      <c r="G3415">
        <v>3</v>
      </c>
      <c r="H3415" t="s">
        <v>181</v>
      </c>
      <c r="I3415" t="str">
        <f>VLOOKUP(Tabla1[[#This Row],[Code]],'[1]Articulos Precio'!$A:$E,5,FALSE)</f>
        <v>A0000541</v>
      </c>
    </row>
    <row r="3416" spans="1:9" x14ac:dyDescent="0.25">
      <c r="A3416" t="s">
        <v>1233</v>
      </c>
      <c r="B3416" t="str">
        <f>VLOOKUP(Tabla1[[#This Row],[Code]],[1]!Tabla4[#Data],2,FALSE)</f>
        <v>M2 Metamark MT649 Burdeos 1,22 x 50m</v>
      </c>
      <c r="C3416">
        <v>25</v>
      </c>
      <c r="D3416" t="s">
        <v>94</v>
      </c>
      <c r="E3416" t="str">
        <f>VLOOKUP(Tabla1[[#This Row],[Cód. Atributo]],[1]!Tabla5[#Data],6,FALSE)</f>
        <v>Select</v>
      </c>
      <c r="F3416">
        <v>4</v>
      </c>
      <c r="G3416">
        <v>4</v>
      </c>
      <c r="H3416" t="s">
        <v>137</v>
      </c>
      <c r="I3416" t="str">
        <f>VLOOKUP(Tabla1[[#This Row],[Code]],'[1]Articulos Precio'!$A:$E,5,FALSE)</f>
        <v>A0000541</v>
      </c>
    </row>
    <row r="3417" spans="1:9" x14ac:dyDescent="0.25">
      <c r="A3417" t="s">
        <v>1233</v>
      </c>
      <c r="B3417" t="str">
        <f>VLOOKUP(Tabla1[[#This Row],[Code]],[1]!Tabla4[#Data],2,FALSE)</f>
        <v>M2 Metamark MT649 Burdeos 1,22 x 50m</v>
      </c>
      <c r="C3417">
        <v>23</v>
      </c>
      <c r="D3417" t="s">
        <v>90</v>
      </c>
      <c r="E3417" t="str">
        <f>VLOOKUP(Tabla1[[#This Row],[Cód. Atributo]],[1]!Tabla5[#Data],6,FALSE)</f>
        <v>Select</v>
      </c>
      <c r="F3417">
        <v>5</v>
      </c>
      <c r="G3417">
        <v>2</v>
      </c>
      <c r="H3417" t="s">
        <v>136</v>
      </c>
      <c r="I3417" t="str">
        <f>VLOOKUP(Tabla1[[#This Row],[Code]],'[1]Articulos Precio'!$A:$E,5,FALSE)</f>
        <v>A0000541</v>
      </c>
    </row>
    <row r="3418" spans="1:9" x14ac:dyDescent="0.25">
      <c r="A3418" t="s">
        <v>1235</v>
      </c>
      <c r="B3418" t="str">
        <f>VLOOKUP(Tabla1[[#This Row],[Code]],[1]!Tabla4[#Data],2,FALSE)</f>
        <v>M2 Metamark MT651 Azul Olímpico 1,22 x 50m</v>
      </c>
      <c r="C3418">
        <v>8</v>
      </c>
      <c r="D3418" t="s">
        <v>86</v>
      </c>
      <c r="E3418" t="str">
        <f>VLOOKUP(Tabla1[[#This Row],[Cód. Atributo]],[1]!Tabla5[#Data],6,FALSE)</f>
        <v>Select</v>
      </c>
      <c r="F3418">
        <v>1</v>
      </c>
      <c r="G3418">
        <v>2</v>
      </c>
      <c r="H3418" t="s">
        <v>268</v>
      </c>
      <c r="I3418" t="str">
        <f>VLOOKUP(Tabla1[[#This Row],[Code]],'[1]Articulos Precio'!$A:$E,5,FALSE)</f>
        <v>A0000541</v>
      </c>
    </row>
    <row r="3419" spans="1:9" x14ac:dyDescent="0.25">
      <c r="A3419" t="s">
        <v>1235</v>
      </c>
      <c r="B3419" t="str">
        <f>VLOOKUP(Tabla1[[#This Row],[Code]],[1]!Tabla4[#Data],2,FALSE)</f>
        <v>M2 Metamark MT651 Azul Olímpico 1,22 x 50m</v>
      </c>
      <c r="C3419">
        <v>14</v>
      </c>
      <c r="D3419" t="s">
        <v>1182</v>
      </c>
      <c r="E3419" t="str">
        <f>VLOOKUP(Tabla1[[#This Row],[Cód. Atributo]],[1]!Tabla5[#Data],6,FALSE)</f>
        <v>Color</v>
      </c>
      <c r="F3419">
        <v>2</v>
      </c>
      <c r="G3419">
        <v>16</v>
      </c>
      <c r="H3419" t="s">
        <v>1236</v>
      </c>
      <c r="I3419" t="str">
        <f>VLOOKUP(Tabla1[[#This Row],[Code]],'[1]Articulos Precio'!$A:$E,5,FALSE)</f>
        <v>A0000541</v>
      </c>
    </row>
    <row r="3420" spans="1:9" x14ac:dyDescent="0.25">
      <c r="A3420" t="s">
        <v>1235</v>
      </c>
      <c r="B3420" t="str">
        <f>VLOOKUP(Tabla1[[#This Row],[Code]],[1]!Tabla4[#Data],2,FALSE)</f>
        <v>M2 Metamark MT651 Azul Olímpico 1,22 x 50m</v>
      </c>
      <c r="C3420">
        <v>24</v>
      </c>
      <c r="D3420" t="s">
        <v>96</v>
      </c>
      <c r="E3420" t="str">
        <f>VLOOKUP(Tabla1[[#This Row],[Cód. Atributo]],[1]!Tabla5[#Data],6,FALSE)</f>
        <v>Select</v>
      </c>
      <c r="F3420">
        <v>3</v>
      </c>
      <c r="G3420">
        <v>3</v>
      </c>
      <c r="H3420" t="s">
        <v>181</v>
      </c>
      <c r="I3420" t="str">
        <f>VLOOKUP(Tabla1[[#This Row],[Code]],'[1]Articulos Precio'!$A:$E,5,FALSE)</f>
        <v>A0000541</v>
      </c>
    </row>
    <row r="3421" spans="1:9" x14ac:dyDescent="0.25">
      <c r="A3421" t="s">
        <v>1235</v>
      </c>
      <c r="B3421" t="str">
        <f>VLOOKUP(Tabla1[[#This Row],[Code]],[1]!Tabla4[#Data],2,FALSE)</f>
        <v>M2 Metamark MT651 Azul Olímpico 1,22 x 50m</v>
      </c>
      <c r="C3421">
        <v>25</v>
      </c>
      <c r="D3421" t="s">
        <v>94</v>
      </c>
      <c r="E3421" t="str">
        <f>VLOOKUP(Tabla1[[#This Row],[Cód. Atributo]],[1]!Tabla5[#Data],6,FALSE)</f>
        <v>Select</v>
      </c>
      <c r="F3421">
        <v>4</v>
      </c>
      <c r="G3421">
        <v>4</v>
      </c>
      <c r="H3421" t="s">
        <v>137</v>
      </c>
      <c r="I3421" t="str">
        <f>VLOOKUP(Tabla1[[#This Row],[Code]],'[1]Articulos Precio'!$A:$E,5,FALSE)</f>
        <v>A0000541</v>
      </c>
    </row>
    <row r="3422" spans="1:9" x14ac:dyDescent="0.25">
      <c r="A3422" t="s">
        <v>1235</v>
      </c>
      <c r="B3422" t="str">
        <f>VLOOKUP(Tabla1[[#This Row],[Code]],[1]!Tabla4[#Data],2,FALSE)</f>
        <v>M2 Metamark MT651 Azul Olímpico 1,22 x 50m</v>
      </c>
      <c r="C3422">
        <v>23</v>
      </c>
      <c r="D3422" t="s">
        <v>90</v>
      </c>
      <c r="E3422" t="str">
        <f>VLOOKUP(Tabla1[[#This Row],[Cód. Atributo]],[1]!Tabla5[#Data],6,FALSE)</f>
        <v>Select</v>
      </c>
      <c r="F3422">
        <v>5</v>
      </c>
      <c r="G3422">
        <v>2</v>
      </c>
      <c r="H3422" t="s">
        <v>136</v>
      </c>
      <c r="I3422" t="str">
        <f>VLOOKUP(Tabla1[[#This Row],[Code]],'[1]Articulos Precio'!$A:$E,5,FALSE)</f>
        <v>A0000541</v>
      </c>
    </row>
    <row r="3423" spans="1:9" x14ac:dyDescent="0.25">
      <c r="A3423" t="s">
        <v>1237</v>
      </c>
      <c r="B3423" t="str">
        <f>VLOOKUP(Tabla1[[#This Row],[Code]],[1]!Tabla4[#Data],2,FALSE)</f>
        <v>M2 Metamark MT653 Azul Intenso 1,22 x 50m</v>
      </c>
      <c r="C3423">
        <v>8</v>
      </c>
      <c r="D3423" t="s">
        <v>86</v>
      </c>
      <c r="E3423" t="str">
        <f>VLOOKUP(Tabla1[[#This Row],[Cód. Atributo]],[1]!Tabla5[#Data],6,FALSE)</f>
        <v>Select</v>
      </c>
      <c r="F3423">
        <v>1</v>
      </c>
      <c r="G3423">
        <v>2</v>
      </c>
      <c r="H3423" t="s">
        <v>268</v>
      </c>
      <c r="I3423" t="str">
        <f>VLOOKUP(Tabla1[[#This Row],[Code]],'[1]Articulos Precio'!$A:$E,5,FALSE)</f>
        <v>A0000541</v>
      </c>
    </row>
    <row r="3424" spans="1:9" x14ac:dyDescent="0.25">
      <c r="A3424" t="s">
        <v>1237</v>
      </c>
      <c r="B3424" t="str">
        <f>VLOOKUP(Tabla1[[#This Row],[Code]],[1]!Tabla4[#Data],2,FALSE)</f>
        <v>M2 Metamark MT653 Azul Intenso 1,22 x 50m</v>
      </c>
      <c r="C3424">
        <v>14</v>
      </c>
      <c r="D3424" t="s">
        <v>1182</v>
      </c>
      <c r="E3424" t="str">
        <f>VLOOKUP(Tabla1[[#This Row],[Cód. Atributo]],[1]!Tabla5[#Data],6,FALSE)</f>
        <v>Color</v>
      </c>
      <c r="F3424">
        <v>2</v>
      </c>
      <c r="G3424">
        <v>17</v>
      </c>
      <c r="H3424" t="s">
        <v>1238</v>
      </c>
      <c r="I3424" t="str">
        <f>VLOOKUP(Tabla1[[#This Row],[Code]],'[1]Articulos Precio'!$A:$E,5,FALSE)</f>
        <v>A0000541</v>
      </c>
    </row>
    <row r="3425" spans="1:9" x14ac:dyDescent="0.25">
      <c r="A3425" t="s">
        <v>1237</v>
      </c>
      <c r="B3425" t="str">
        <f>VLOOKUP(Tabla1[[#This Row],[Code]],[1]!Tabla4[#Data],2,FALSE)</f>
        <v>M2 Metamark MT653 Azul Intenso 1,22 x 50m</v>
      </c>
      <c r="C3425">
        <v>24</v>
      </c>
      <c r="D3425" t="s">
        <v>96</v>
      </c>
      <c r="E3425" t="str">
        <f>VLOOKUP(Tabla1[[#This Row],[Cód. Atributo]],[1]!Tabla5[#Data],6,FALSE)</f>
        <v>Select</v>
      </c>
      <c r="F3425">
        <v>3</v>
      </c>
      <c r="G3425">
        <v>3</v>
      </c>
      <c r="H3425" t="s">
        <v>181</v>
      </c>
      <c r="I3425" t="str">
        <f>VLOOKUP(Tabla1[[#This Row],[Code]],'[1]Articulos Precio'!$A:$E,5,FALSE)</f>
        <v>A0000541</v>
      </c>
    </row>
    <row r="3426" spans="1:9" x14ac:dyDescent="0.25">
      <c r="A3426" t="s">
        <v>1237</v>
      </c>
      <c r="B3426" t="str">
        <f>VLOOKUP(Tabla1[[#This Row],[Code]],[1]!Tabla4[#Data],2,FALSE)</f>
        <v>M2 Metamark MT653 Azul Intenso 1,22 x 50m</v>
      </c>
      <c r="C3426">
        <v>25</v>
      </c>
      <c r="D3426" t="s">
        <v>94</v>
      </c>
      <c r="E3426" t="str">
        <f>VLOOKUP(Tabla1[[#This Row],[Cód. Atributo]],[1]!Tabla5[#Data],6,FALSE)</f>
        <v>Select</v>
      </c>
      <c r="F3426">
        <v>4</v>
      </c>
      <c r="G3426">
        <v>4</v>
      </c>
      <c r="H3426" t="s">
        <v>137</v>
      </c>
      <c r="I3426" t="str">
        <f>VLOOKUP(Tabla1[[#This Row],[Code]],'[1]Articulos Precio'!$A:$E,5,FALSE)</f>
        <v>A0000541</v>
      </c>
    </row>
    <row r="3427" spans="1:9" x14ac:dyDescent="0.25">
      <c r="A3427" t="s">
        <v>1237</v>
      </c>
      <c r="B3427" t="str">
        <f>VLOOKUP(Tabla1[[#This Row],[Code]],[1]!Tabla4[#Data],2,FALSE)</f>
        <v>M2 Metamark MT653 Azul Intenso 1,22 x 50m</v>
      </c>
      <c r="C3427">
        <v>23</v>
      </c>
      <c r="D3427" t="s">
        <v>90</v>
      </c>
      <c r="E3427" t="str">
        <f>VLOOKUP(Tabla1[[#This Row],[Cód. Atributo]],[1]!Tabla5[#Data],6,FALSE)</f>
        <v>Select</v>
      </c>
      <c r="F3427">
        <v>5</v>
      </c>
      <c r="G3427">
        <v>2</v>
      </c>
      <c r="H3427" t="s">
        <v>136</v>
      </c>
      <c r="I3427" t="str">
        <f>VLOOKUP(Tabla1[[#This Row],[Code]],'[1]Articulos Precio'!$A:$E,5,FALSE)</f>
        <v>A0000541</v>
      </c>
    </row>
    <row r="3428" spans="1:9" x14ac:dyDescent="0.25">
      <c r="A3428" t="s">
        <v>1239</v>
      </c>
      <c r="B3428" t="str">
        <f>VLOOKUP(Tabla1[[#This Row],[Code]],[1]!Tabla4[#Data],2,FALSE)</f>
        <v>M2 Metamark MT654 Azul Medio 1,22 x 50m</v>
      </c>
      <c r="C3428">
        <v>8</v>
      </c>
      <c r="D3428" t="s">
        <v>86</v>
      </c>
      <c r="E3428" t="str">
        <f>VLOOKUP(Tabla1[[#This Row],[Cód. Atributo]],[1]!Tabla5[#Data],6,FALSE)</f>
        <v>Select</v>
      </c>
      <c r="F3428">
        <v>1</v>
      </c>
      <c r="G3428">
        <v>2</v>
      </c>
      <c r="H3428" t="s">
        <v>268</v>
      </c>
      <c r="I3428" t="str">
        <f>VLOOKUP(Tabla1[[#This Row],[Code]],'[1]Articulos Precio'!$A:$E,5,FALSE)</f>
        <v>A0000541</v>
      </c>
    </row>
    <row r="3429" spans="1:9" x14ac:dyDescent="0.25">
      <c r="A3429" t="s">
        <v>1239</v>
      </c>
      <c r="B3429" t="str">
        <f>VLOOKUP(Tabla1[[#This Row],[Code]],[1]!Tabla4[#Data],2,FALSE)</f>
        <v>M2 Metamark MT654 Azul Medio 1,22 x 50m</v>
      </c>
      <c r="C3429">
        <v>14</v>
      </c>
      <c r="D3429" t="s">
        <v>1182</v>
      </c>
      <c r="E3429" t="str">
        <f>VLOOKUP(Tabla1[[#This Row],[Cód. Atributo]],[1]!Tabla5[#Data],6,FALSE)</f>
        <v>Color</v>
      </c>
      <c r="F3429">
        <v>2</v>
      </c>
      <c r="G3429">
        <v>18</v>
      </c>
      <c r="H3429" t="s">
        <v>1240</v>
      </c>
      <c r="I3429" t="str">
        <f>VLOOKUP(Tabla1[[#This Row],[Code]],'[1]Articulos Precio'!$A:$E,5,FALSE)</f>
        <v>A0000541</v>
      </c>
    </row>
    <row r="3430" spans="1:9" x14ac:dyDescent="0.25">
      <c r="A3430" t="s">
        <v>1239</v>
      </c>
      <c r="B3430" t="str">
        <f>VLOOKUP(Tabla1[[#This Row],[Code]],[1]!Tabla4[#Data],2,FALSE)</f>
        <v>M2 Metamark MT654 Azul Medio 1,22 x 50m</v>
      </c>
      <c r="C3430">
        <v>24</v>
      </c>
      <c r="D3430" t="s">
        <v>96</v>
      </c>
      <c r="E3430" t="str">
        <f>VLOOKUP(Tabla1[[#This Row],[Cód. Atributo]],[1]!Tabla5[#Data],6,FALSE)</f>
        <v>Select</v>
      </c>
      <c r="F3430">
        <v>3</v>
      </c>
      <c r="G3430">
        <v>3</v>
      </c>
      <c r="H3430" t="s">
        <v>181</v>
      </c>
      <c r="I3430" t="str">
        <f>VLOOKUP(Tabla1[[#This Row],[Code]],'[1]Articulos Precio'!$A:$E,5,FALSE)</f>
        <v>A0000541</v>
      </c>
    </row>
    <row r="3431" spans="1:9" x14ac:dyDescent="0.25">
      <c r="A3431" t="s">
        <v>1239</v>
      </c>
      <c r="B3431" t="str">
        <f>VLOOKUP(Tabla1[[#This Row],[Code]],[1]!Tabla4[#Data],2,FALSE)</f>
        <v>M2 Metamark MT654 Azul Medio 1,22 x 50m</v>
      </c>
      <c r="C3431">
        <v>25</v>
      </c>
      <c r="D3431" t="s">
        <v>94</v>
      </c>
      <c r="E3431" t="str">
        <f>VLOOKUP(Tabla1[[#This Row],[Cód. Atributo]],[1]!Tabla5[#Data],6,FALSE)</f>
        <v>Select</v>
      </c>
      <c r="F3431">
        <v>4</v>
      </c>
      <c r="G3431">
        <v>4</v>
      </c>
      <c r="H3431" t="s">
        <v>137</v>
      </c>
      <c r="I3431" t="str">
        <f>VLOOKUP(Tabla1[[#This Row],[Code]],'[1]Articulos Precio'!$A:$E,5,FALSE)</f>
        <v>A0000541</v>
      </c>
    </row>
    <row r="3432" spans="1:9" x14ac:dyDescent="0.25">
      <c r="A3432" t="s">
        <v>1239</v>
      </c>
      <c r="B3432" t="str">
        <f>VLOOKUP(Tabla1[[#This Row],[Code]],[1]!Tabla4[#Data],2,FALSE)</f>
        <v>M2 Metamark MT654 Azul Medio 1,22 x 50m</v>
      </c>
      <c r="C3432">
        <v>23</v>
      </c>
      <c r="D3432" t="s">
        <v>90</v>
      </c>
      <c r="E3432" t="str">
        <f>VLOOKUP(Tabla1[[#This Row],[Cód. Atributo]],[1]!Tabla5[#Data],6,FALSE)</f>
        <v>Select</v>
      </c>
      <c r="F3432">
        <v>5</v>
      </c>
      <c r="G3432">
        <v>2</v>
      </c>
      <c r="H3432" t="s">
        <v>136</v>
      </c>
      <c r="I3432" t="str">
        <f>VLOOKUP(Tabla1[[#This Row],[Code]],'[1]Articulos Precio'!$A:$E,5,FALSE)</f>
        <v>A0000541</v>
      </c>
    </row>
    <row r="3433" spans="1:9" x14ac:dyDescent="0.25">
      <c r="A3433" t="s">
        <v>1241</v>
      </c>
      <c r="B3433" t="str">
        <f>VLOOKUP(Tabla1[[#This Row],[Code]],[1]!Tabla4[#Data],2,FALSE)</f>
        <v>M2 Metamark MT659 Azul Cobalto 1,22 x 50m</v>
      </c>
      <c r="C3433">
        <v>8</v>
      </c>
      <c r="D3433" t="s">
        <v>86</v>
      </c>
      <c r="E3433" t="str">
        <f>VLOOKUP(Tabla1[[#This Row],[Cód. Atributo]],[1]!Tabla5[#Data],6,FALSE)</f>
        <v>Select</v>
      </c>
      <c r="F3433">
        <v>1</v>
      </c>
      <c r="G3433">
        <v>2</v>
      </c>
      <c r="H3433" t="s">
        <v>268</v>
      </c>
      <c r="I3433" t="str">
        <f>VLOOKUP(Tabla1[[#This Row],[Code]],'[1]Articulos Precio'!$A:$E,5,FALSE)</f>
        <v>A0000541</v>
      </c>
    </row>
    <row r="3434" spans="1:9" x14ac:dyDescent="0.25">
      <c r="A3434" t="s">
        <v>1241</v>
      </c>
      <c r="B3434" t="str">
        <f>VLOOKUP(Tabla1[[#This Row],[Code]],[1]!Tabla4[#Data],2,FALSE)</f>
        <v>M2 Metamark MT659 Azul Cobalto 1,22 x 50m</v>
      </c>
      <c r="C3434">
        <v>14</v>
      </c>
      <c r="D3434" t="s">
        <v>1182</v>
      </c>
      <c r="E3434" t="str">
        <f>VLOOKUP(Tabla1[[#This Row],[Cód. Atributo]],[1]!Tabla5[#Data],6,FALSE)</f>
        <v>Color</v>
      </c>
      <c r="F3434">
        <v>2</v>
      </c>
      <c r="G3434">
        <v>19</v>
      </c>
      <c r="H3434" t="s">
        <v>1242</v>
      </c>
      <c r="I3434" t="str">
        <f>VLOOKUP(Tabla1[[#This Row],[Code]],'[1]Articulos Precio'!$A:$E,5,FALSE)</f>
        <v>A0000541</v>
      </c>
    </row>
    <row r="3435" spans="1:9" x14ac:dyDescent="0.25">
      <c r="A3435" t="s">
        <v>1241</v>
      </c>
      <c r="B3435" t="str">
        <f>VLOOKUP(Tabla1[[#This Row],[Code]],[1]!Tabla4[#Data],2,FALSE)</f>
        <v>M2 Metamark MT659 Azul Cobalto 1,22 x 50m</v>
      </c>
      <c r="C3435">
        <v>24</v>
      </c>
      <c r="D3435" t="s">
        <v>96</v>
      </c>
      <c r="E3435" t="str">
        <f>VLOOKUP(Tabla1[[#This Row],[Cód. Atributo]],[1]!Tabla5[#Data],6,FALSE)</f>
        <v>Select</v>
      </c>
      <c r="F3435">
        <v>3</v>
      </c>
      <c r="G3435">
        <v>3</v>
      </c>
      <c r="H3435" t="s">
        <v>181</v>
      </c>
      <c r="I3435" t="str">
        <f>VLOOKUP(Tabla1[[#This Row],[Code]],'[1]Articulos Precio'!$A:$E,5,FALSE)</f>
        <v>A0000541</v>
      </c>
    </row>
    <row r="3436" spans="1:9" x14ac:dyDescent="0.25">
      <c r="A3436" t="s">
        <v>1241</v>
      </c>
      <c r="B3436" t="str">
        <f>VLOOKUP(Tabla1[[#This Row],[Code]],[1]!Tabla4[#Data],2,FALSE)</f>
        <v>M2 Metamark MT659 Azul Cobalto 1,22 x 50m</v>
      </c>
      <c r="C3436">
        <v>25</v>
      </c>
      <c r="D3436" t="s">
        <v>94</v>
      </c>
      <c r="E3436" t="str">
        <f>VLOOKUP(Tabla1[[#This Row],[Cód. Atributo]],[1]!Tabla5[#Data],6,FALSE)</f>
        <v>Select</v>
      </c>
      <c r="F3436">
        <v>4</v>
      </c>
      <c r="G3436">
        <v>4</v>
      </c>
      <c r="H3436" t="s">
        <v>137</v>
      </c>
      <c r="I3436" t="str">
        <f>VLOOKUP(Tabla1[[#This Row],[Code]],'[1]Articulos Precio'!$A:$E,5,FALSE)</f>
        <v>A0000541</v>
      </c>
    </row>
    <row r="3437" spans="1:9" x14ac:dyDescent="0.25">
      <c r="A3437" t="s">
        <v>1241</v>
      </c>
      <c r="B3437" t="str">
        <f>VLOOKUP(Tabla1[[#This Row],[Code]],[1]!Tabla4[#Data],2,FALSE)</f>
        <v>M2 Metamark MT659 Azul Cobalto 1,22 x 50m</v>
      </c>
      <c r="C3437">
        <v>23</v>
      </c>
      <c r="D3437" t="s">
        <v>90</v>
      </c>
      <c r="E3437" t="str">
        <f>VLOOKUP(Tabla1[[#This Row],[Cód. Atributo]],[1]!Tabla5[#Data],6,FALSE)</f>
        <v>Select</v>
      </c>
      <c r="F3437">
        <v>5</v>
      </c>
      <c r="G3437">
        <v>2</v>
      </c>
      <c r="H3437" t="s">
        <v>136</v>
      </c>
      <c r="I3437" t="str">
        <f>VLOOKUP(Tabla1[[#This Row],[Code]],'[1]Articulos Precio'!$A:$E,5,FALSE)</f>
        <v>A0000541</v>
      </c>
    </row>
    <row r="3438" spans="1:9" x14ac:dyDescent="0.25">
      <c r="A3438" t="s">
        <v>1243</v>
      </c>
      <c r="B3438" t="str">
        <f>VLOOKUP(Tabla1[[#This Row],[Code]],[1]!Tabla4[#Data],2,FALSE)</f>
        <v>M2 Metamark MT660 Verde Lima 1,22 x 50m</v>
      </c>
      <c r="C3438">
        <v>8</v>
      </c>
      <c r="D3438" t="s">
        <v>86</v>
      </c>
      <c r="E3438" t="str">
        <f>VLOOKUP(Tabla1[[#This Row],[Cód. Atributo]],[1]!Tabla5[#Data],6,FALSE)</f>
        <v>Select</v>
      </c>
      <c r="F3438">
        <v>1</v>
      </c>
      <c r="G3438">
        <v>2</v>
      </c>
      <c r="H3438" t="s">
        <v>268</v>
      </c>
      <c r="I3438" t="str">
        <f>VLOOKUP(Tabla1[[#This Row],[Code]],'[1]Articulos Precio'!$A:$E,5,FALSE)</f>
        <v>A0000541</v>
      </c>
    </row>
    <row r="3439" spans="1:9" x14ac:dyDescent="0.25">
      <c r="A3439" t="s">
        <v>1243</v>
      </c>
      <c r="B3439" t="str">
        <f>VLOOKUP(Tabla1[[#This Row],[Code]],[1]!Tabla4[#Data],2,FALSE)</f>
        <v>M2 Metamark MT660 Verde Lima 1,22 x 50m</v>
      </c>
      <c r="C3439">
        <v>14</v>
      </c>
      <c r="D3439" t="s">
        <v>1182</v>
      </c>
      <c r="E3439" t="str">
        <f>VLOOKUP(Tabla1[[#This Row],[Cód. Atributo]],[1]!Tabla5[#Data],6,FALSE)</f>
        <v>Color</v>
      </c>
      <c r="F3439">
        <v>2</v>
      </c>
      <c r="G3439">
        <v>20</v>
      </c>
      <c r="H3439" t="s">
        <v>1244</v>
      </c>
      <c r="I3439" t="str">
        <f>VLOOKUP(Tabla1[[#This Row],[Code]],'[1]Articulos Precio'!$A:$E,5,FALSE)</f>
        <v>A0000541</v>
      </c>
    </row>
    <row r="3440" spans="1:9" x14ac:dyDescent="0.25">
      <c r="A3440" t="s">
        <v>1243</v>
      </c>
      <c r="B3440" t="str">
        <f>VLOOKUP(Tabla1[[#This Row],[Code]],[1]!Tabla4[#Data],2,FALSE)</f>
        <v>M2 Metamark MT660 Verde Lima 1,22 x 50m</v>
      </c>
      <c r="C3440">
        <v>24</v>
      </c>
      <c r="D3440" t="s">
        <v>96</v>
      </c>
      <c r="E3440" t="str">
        <f>VLOOKUP(Tabla1[[#This Row],[Cód. Atributo]],[1]!Tabla5[#Data],6,FALSE)</f>
        <v>Select</v>
      </c>
      <c r="F3440">
        <v>3</v>
      </c>
      <c r="G3440">
        <v>3</v>
      </c>
      <c r="H3440" t="s">
        <v>181</v>
      </c>
      <c r="I3440" t="str">
        <f>VLOOKUP(Tabla1[[#This Row],[Code]],'[1]Articulos Precio'!$A:$E,5,FALSE)</f>
        <v>A0000541</v>
      </c>
    </row>
    <row r="3441" spans="1:9" x14ac:dyDescent="0.25">
      <c r="A3441" t="s">
        <v>1243</v>
      </c>
      <c r="B3441" t="str">
        <f>VLOOKUP(Tabla1[[#This Row],[Code]],[1]!Tabla4[#Data],2,FALSE)</f>
        <v>M2 Metamark MT660 Verde Lima 1,22 x 50m</v>
      </c>
      <c r="C3441">
        <v>25</v>
      </c>
      <c r="D3441" t="s">
        <v>94</v>
      </c>
      <c r="E3441" t="str">
        <f>VLOOKUP(Tabla1[[#This Row],[Cód. Atributo]],[1]!Tabla5[#Data],6,FALSE)</f>
        <v>Select</v>
      </c>
      <c r="F3441">
        <v>4</v>
      </c>
      <c r="G3441">
        <v>4</v>
      </c>
      <c r="H3441" t="s">
        <v>137</v>
      </c>
      <c r="I3441" t="str">
        <f>VLOOKUP(Tabla1[[#This Row],[Code]],'[1]Articulos Precio'!$A:$E,5,FALSE)</f>
        <v>A0000541</v>
      </c>
    </row>
    <row r="3442" spans="1:9" x14ac:dyDescent="0.25">
      <c r="A3442" t="s">
        <v>1243</v>
      </c>
      <c r="B3442" t="str">
        <f>VLOOKUP(Tabla1[[#This Row],[Code]],[1]!Tabla4[#Data],2,FALSE)</f>
        <v>M2 Metamark MT660 Verde Lima 1,22 x 50m</v>
      </c>
      <c r="C3442">
        <v>23</v>
      </c>
      <c r="D3442" t="s">
        <v>90</v>
      </c>
      <c r="E3442" t="str">
        <f>VLOOKUP(Tabla1[[#This Row],[Cód. Atributo]],[1]!Tabla5[#Data],6,FALSE)</f>
        <v>Select</v>
      </c>
      <c r="F3442">
        <v>5</v>
      </c>
      <c r="G3442">
        <v>2</v>
      </c>
      <c r="H3442" t="s">
        <v>136</v>
      </c>
      <c r="I3442" t="str">
        <f>VLOOKUP(Tabla1[[#This Row],[Code]],'[1]Articulos Precio'!$A:$E,5,FALSE)</f>
        <v>A0000541</v>
      </c>
    </row>
    <row r="3443" spans="1:9" x14ac:dyDescent="0.25">
      <c r="A3443" t="s">
        <v>1245</v>
      </c>
      <c r="B3443" t="str">
        <f>VLOOKUP(Tabla1[[#This Row],[Code]],[1]!Tabla4[#Data],2,FALSE)</f>
        <v>M2 Metamark MT665 Verde Azulado 1,22 x 50m</v>
      </c>
      <c r="C3443">
        <v>8</v>
      </c>
      <c r="D3443" t="s">
        <v>86</v>
      </c>
      <c r="E3443" t="str">
        <f>VLOOKUP(Tabla1[[#This Row],[Cód. Atributo]],[1]!Tabla5[#Data],6,FALSE)</f>
        <v>Select</v>
      </c>
      <c r="F3443">
        <v>1</v>
      </c>
      <c r="G3443">
        <v>2</v>
      </c>
      <c r="H3443" t="s">
        <v>268</v>
      </c>
      <c r="I3443" t="str">
        <f>VLOOKUP(Tabla1[[#This Row],[Code]],'[1]Articulos Precio'!$A:$E,5,FALSE)</f>
        <v>A0000541</v>
      </c>
    </row>
    <row r="3444" spans="1:9" x14ac:dyDescent="0.25">
      <c r="A3444" t="s">
        <v>1245</v>
      </c>
      <c r="B3444" t="str">
        <f>VLOOKUP(Tabla1[[#This Row],[Code]],[1]!Tabla4[#Data],2,FALSE)</f>
        <v>M2 Metamark MT665 Verde Azulado 1,22 x 50m</v>
      </c>
      <c r="C3444">
        <v>14</v>
      </c>
      <c r="D3444" t="s">
        <v>1182</v>
      </c>
      <c r="E3444" t="str">
        <f>VLOOKUP(Tabla1[[#This Row],[Cód. Atributo]],[1]!Tabla5[#Data],6,FALSE)</f>
        <v>Color</v>
      </c>
      <c r="F3444">
        <v>2</v>
      </c>
      <c r="G3444">
        <v>21</v>
      </c>
      <c r="H3444" t="s">
        <v>1246</v>
      </c>
      <c r="I3444" t="str">
        <f>VLOOKUP(Tabla1[[#This Row],[Code]],'[1]Articulos Precio'!$A:$E,5,FALSE)</f>
        <v>A0000541</v>
      </c>
    </row>
    <row r="3445" spans="1:9" x14ac:dyDescent="0.25">
      <c r="A3445" t="s">
        <v>1245</v>
      </c>
      <c r="B3445" t="str">
        <f>VLOOKUP(Tabla1[[#This Row],[Code]],[1]!Tabla4[#Data],2,FALSE)</f>
        <v>M2 Metamark MT665 Verde Azulado 1,22 x 50m</v>
      </c>
      <c r="C3445">
        <v>24</v>
      </c>
      <c r="D3445" t="s">
        <v>96</v>
      </c>
      <c r="E3445" t="str">
        <f>VLOOKUP(Tabla1[[#This Row],[Cód. Atributo]],[1]!Tabla5[#Data],6,FALSE)</f>
        <v>Select</v>
      </c>
      <c r="F3445">
        <v>3</v>
      </c>
      <c r="G3445">
        <v>3</v>
      </c>
      <c r="H3445" t="s">
        <v>181</v>
      </c>
      <c r="I3445" t="str">
        <f>VLOOKUP(Tabla1[[#This Row],[Code]],'[1]Articulos Precio'!$A:$E,5,FALSE)</f>
        <v>A0000541</v>
      </c>
    </row>
    <row r="3446" spans="1:9" x14ac:dyDescent="0.25">
      <c r="A3446" t="s">
        <v>1245</v>
      </c>
      <c r="B3446" t="str">
        <f>VLOOKUP(Tabla1[[#This Row],[Code]],[1]!Tabla4[#Data],2,FALSE)</f>
        <v>M2 Metamark MT665 Verde Azulado 1,22 x 50m</v>
      </c>
      <c r="C3446">
        <v>25</v>
      </c>
      <c r="D3446" t="s">
        <v>94</v>
      </c>
      <c r="E3446" t="str">
        <f>VLOOKUP(Tabla1[[#This Row],[Cód. Atributo]],[1]!Tabla5[#Data],6,FALSE)</f>
        <v>Select</v>
      </c>
      <c r="F3446">
        <v>4</v>
      </c>
      <c r="G3446">
        <v>4</v>
      </c>
      <c r="H3446" t="s">
        <v>137</v>
      </c>
      <c r="I3446" t="str">
        <f>VLOOKUP(Tabla1[[#This Row],[Code]],'[1]Articulos Precio'!$A:$E,5,FALSE)</f>
        <v>A0000541</v>
      </c>
    </row>
    <row r="3447" spans="1:9" x14ac:dyDescent="0.25">
      <c r="A3447" t="s">
        <v>1245</v>
      </c>
      <c r="B3447" t="str">
        <f>VLOOKUP(Tabla1[[#This Row],[Code]],[1]!Tabla4[#Data],2,FALSE)</f>
        <v>M2 Metamark MT665 Verde Azulado 1,22 x 50m</v>
      </c>
      <c r="C3447">
        <v>23</v>
      </c>
      <c r="D3447" t="s">
        <v>90</v>
      </c>
      <c r="E3447" t="str">
        <f>VLOOKUP(Tabla1[[#This Row],[Cód. Atributo]],[1]!Tabla5[#Data],6,FALSE)</f>
        <v>Select</v>
      </c>
      <c r="F3447">
        <v>5</v>
      </c>
      <c r="G3447">
        <v>2</v>
      </c>
      <c r="H3447" t="s">
        <v>136</v>
      </c>
      <c r="I3447" t="str">
        <f>VLOOKUP(Tabla1[[#This Row],[Code]],'[1]Articulos Precio'!$A:$E,5,FALSE)</f>
        <v>A0000541</v>
      </c>
    </row>
    <row r="3448" spans="1:9" x14ac:dyDescent="0.25">
      <c r="A3448" t="s">
        <v>1247</v>
      </c>
      <c r="B3448" t="str">
        <f>VLOOKUP(Tabla1[[#This Row],[Code]],[1]!Tabla4[#Data],2,FALSE)</f>
        <v>M2 Metamark MT666 Verde Turquesa 1,22 x 50m</v>
      </c>
      <c r="C3448">
        <v>8</v>
      </c>
      <c r="D3448" t="s">
        <v>86</v>
      </c>
      <c r="E3448" t="str">
        <f>VLOOKUP(Tabla1[[#This Row],[Cód. Atributo]],[1]!Tabla5[#Data],6,FALSE)</f>
        <v>Select</v>
      </c>
      <c r="F3448">
        <v>1</v>
      </c>
      <c r="G3448">
        <v>2</v>
      </c>
      <c r="H3448" t="s">
        <v>268</v>
      </c>
      <c r="I3448" t="str">
        <f>VLOOKUP(Tabla1[[#This Row],[Code]],'[1]Articulos Precio'!$A:$E,5,FALSE)</f>
        <v>A0000541</v>
      </c>
    </row>
    <row r="3449" spans="1:9" x14ac:dyDescent="0.25">
      <c r="A3449" t="s">
        <v>1247</v>
      </c>
      <c r="B3449" t="str">
        <f>VLOOKUP(Tabla1[[#This Row],[Code]],[1]!Tabla4[#Data],2,FALSE)</f>
        <v>M2 Metamark MT666 Verde Turquesa 1,22 x 50m</v>
      </c>
      <c r="C3449">
        <v>14</v>
      </c>
      <c r="D3449" t="s">
        <v>1182</v>
      </c>
      <c r="E3449" t="str">
        <f>VLOOKUP(Tabla1[[#This Row],[Cód. Atributo]],[1]!Tabla5[#Data],6,FALSE)</f>
        <v>Color</v>
      </c>
      <c r="F3449">
        <v>2</v>
      </c>
      <c r="G3449">
        <v>22</v>
      </c>
      <c r="H3449" t="s">
        <v>1248</v>
      </c>
      <c r="I3449" t="str">
        <f>VLOOKUP(Tabla1[[#This Row],[Code]],'[1]Articulos Precio'!$A:$E,5,FALSE)</f>
        <v>A0000541</v>
      </c>
    </row>
    <row r="3450" spans="1:9" x14ac:dyDescent="0.25">
      <c r="A3450" t="s">
        <v>1247</v>
      </c>
      <c r="B3450" t="str">
        <f>VLOOKUP(Tabla1[[#This Row],[Code]],[1]!Tabla4[#Data],2,FALSE)</f>
        <v>M2 Metamark MT666 Verde Turquesa 1,22 x 50m</v>
      </c>
      <c r="C3450">
        <v>24</v>
      </c>
      <c r="D3450" t="s">
        <v>96</v>
      </c>
      <c r="E3450" t="str">
        <f>VLOOKUP(Tabla1[[#This Row],[Cód. Atributo]],[1]!Tabla5[#Data],6,FALSE)</f>
        <v>Select</v>
      </c>
      <c r="F3450">
        <v>3</v>
      </c>
      <c r="G3450">
        <v>3</v>
      </c>
      <c r="H3450" t="s">
        <v>181</v>
      </c>
      <c r="I3450" t="str">
        <f>VLOOKUP(Tabla1[[#This Row],[Code]],'[1]Articulos Precio'!$A:$E,5,FALSE)</f>
        <v>A0000541</v>
      </c>
    </row>
    <row r="3451" spans="1:9" x14ac:dyDescent="0.25">
      <c r="A3451" t="s">
        <v>1247</v>
      </c>
      <c r="B3451" t="str">
        <f>VLOOKUP(Tabla1[[#This Row],[Code]],[1]!Tabla4[#Data],2,FALSE)</f>
        <v>M2 Metamark MT666 Verde Turquesa 1,22 x 50m</v>
      </c>
      <c r="C3451">
        <v>25</v>
      </c>
      <c r="D3451" t="s">
        <v>94</v>
      </c>
      <c r="E3451" t="str">
        <f>VLOOKUP(Tabla1[[#This Row],[Cód. Atributo]],[1]!Tabla5[#Data],6,FALSE)</f>
        <v>Select</v>
      </c>
      <c r="F3451">
        <v>4</v>
      </c>
      <c r="G3451">
        <v>4</v>
      </c>
      <c r="H3451" t="s">
        <v>137</v>
      </c>
      <c r="I3451" t="str">
        <f>VLOOKUP(Tabla1[[#This Row],[Code]],'[1]Articulos Precio'!$A:$E,5,FALSE)</f>
        <v>A0000541</v>
      </c>
    </row>
    <row r="3452" spans="1:9" x14ac:dyDescent="0.25">
      <c r="A3452" t="s">
        <v>1247</v>
      </c>
      <c r="B3452" t="str">
        <f>VLOOKUP(Tabla1[[#This Row],[Code]],[1]!Tabla4[#Data],2,FALSE)</f>
        <v>M2 Metamark MT666 Verde Turquesa 1,22 x 50m</v>
      </c>
      <c r="C3452">
        <v>23</v>
      </c>
      <c r="D3452" t="s">
        <v>90</v>
      </c>
      <c r="E3452" t="str">
        <f>VLOOKUP(Tabla1[[#This Row],[Cód. Atributo]],[1]!Tabla5[#Data],6,FALSE)</f>
        <v>Select</v>
      </c>
      <c r="F3452">
        <v>5</v>
      </c>
      <c r="G3452">
        <v>2</v>
      </c>
      <c r="H3452" t="s">
        <v>136</v>
      </c>
      <c r="I3452" t="str">
        <f>VLOOKUP(Tabla1[[#This Row],[Code]],'[1]Articulos Precio'!$A:$E,5,FALSE)</f>
        <v>A0000541</v>
      </c>
    </row>
    <row r="3453" spans="1:9" x14ac:dyDescent="0.25">
      <c r="A3453" t="s">
        <v>1249</v>
      </c>
      <c r="B3453" t="str">
        <f>VLOOKUP(Tabla1[[#This Row],[Code]],[1]!Tabla4[#Data],2,FALSE)</f>
        <v>M2 Metamark MT667 Verde Forestal 1,22 x 50m</v>
      </c>
      <c r="C3453">
        <v>8</v>
      </c>
      <c r="D3453" t="s">
        <v>86</v>
      </c>
      <c r="E3453" t="str">
        <f>VLOOKUP(Tabla1[[#This Row],[Cód. Atributo]],[1]!Tabla5[#Data],6,FALSE)</f>
        <v>Select</v>
      </c>
      <c r="F3453">
        <v>1</v>
      </c>
      <c r="G3453">
        <v>2</v>
      </c>
      <c r="H3453" t="s">
        <v>268</v>
      </c>
      <c r="I3453" t="str">
        <f>VLOOKUP(Tabla1[[#This Row],[Code]],'[1]Articulos Precio'!$A:$E,5,FALSE)</f>
        <v>A0000541</v>
      </c>
    </row>
    <row r="3454" spans="1:9" x14ac:dyDescent="0.25">
      <c r="A3454" t="s">
        <v>1249</v>
      </c>
      <c r="B3454" t="str">
        <f>VLOOKUP(Tabla1[[#This Row],[Code]],[1]!Tabla4[#Data],2,FALSE)</f>
        <v>M2 Metamark MT667 Verde Forestal 1,22 x 50m</v>
      </c>
      <c r="C3454">
        <v>14</v>
      </c>
      <c r="D3454" t="s">
        <v>1182</v>
      </c>
      <c r="E3454" t="str">
        <f>VLOOKUP(Tabla1[[#This Row],[Cód. Atributo]],[1]!Tabla5[#Data],6,FALSE)</f>
        <v>Color</v>
      </c>
      <c r="F3454">
        <v>2</v>
      </c>
      <c r="G3454">
        <v>23</v>
      </c>
      <c r="H3454" t="s">
        <v>1250</v>
      </c>
      <c r="I3454" t="str">
        <f>VLOOKUP(Tabla1[[#This Row],[Code]],'[1]Articulos Precio'!$A:$E,5,FALSE)</f>
        <v>A0000541</v>
      </c>
    </row>
    <row r="3455" spans="1:9" x14ac:dyDescent="0.25">
      <c r="A3455" t="s">
        <v>1249</v>
      </c>
      <c r="B3455" t="str">
        <f>VLOOKUP(Tabla1[[#This Row],[Code]],[1]!Tabla4[#Data],2,FALSE)</f>
        <v>M2 Metamark MT667 Verde Forestal 1,22 x 50m</v>
      </c>
      <c r="C3455">
        <v>24</v>
      </c>
      <c r="D3455" t="s">
        <v>96</v>
      </c>
      <c r="E3455" t="str">
        <f>VLOOKUP(Tabla1[[#This Row],[Cód. Atributo]],[1]!Tabla5[#Data],6,FALSE)</f>
        <v>Select</v>
      </c>
      <c r="F3455">
        <v>3</v>
      </c>
      <c r="G3455">
        <v>3</v>
      </c>
      <c r="H3455" t="s">
        <v>181</v>
      </c>
      <c r="I3455" t="str">
        <f>VLOOKUP(Tabla1[[#This Row],[Code]],'[1]Articulos Precio'!$A:$E,5,FALSE)</f>
        <v>A0000541</v>
      </c>
    </row>
    <row r="3456" spans="1:9" x14ac:dyDescent="0.25">
      <c r="A3456" t="s">
        <v>1249</v>
      </c>
      <c r="B3456" t="str">
        <f>VLOOKUP(Tabla1[[#This Row],[Code]],[1]!Tabla4[#Data],2,FALSE)</f>
        <v>M2 Metamark MT667 Verde Forestal 1,22 x 50m</v>
      </c>
      <c r="C3456">
        <v>25</v>
      </c>
      <c r="D3456" t="s">
        <v>94</v>
      </c>
      <c r="E3456" t="str">
        <f>VLOOKUP(Tabla1[[#This Row],[Cód. Atributo]],[1]!Tabla5[#Data],6,FALSE)</f>
        <v>Select</v>
      </c>
      <c r="F3456">
        <v>4</v>
      </c>
      <c r="G3456">
        <v>4</v>
      </c>
      <c r="H3456" t="s">
        <v>137</v>
      </c>
      <c r="I3456" t="str">
        <f>VLOOKUP(Tabla1[[#This Row],[Code]],'[1]Articulos Precio'!$A:$E,5,FALSE)</f>
        <v>A0000541</v>
      </c>
    </row>
    <row r="3457" spans="1:9" x14ac:dyDescent="0.25">
      <c r="A3457" t="s">
        <v>1249</v>
      </c>
      <c r="B3457" t="str">
        <f>VLOOKUP(Tabla1[[#This Row],[Code]],[1]!Tabla4[#Data],2,FALSE)</f>
        <v>M2 Metamark MT667 Verde Forestal 1,22 x 50m</v>
      </c>
      <c r="C3457">
        <v>23</v>
      </c>
      <c r="D3457" t="s">
        <v>90</v>
      </c>
      <c r="E3457" t="str">
        <f>VLOOKUP(Tabla1[[#This Row],[Cód. Atributo]],[1]!Tabla5[#Data],6,FALSE)</f>
        <v>Select</v>
      </c>
      <c r="F3457">
        <v>5</v>
      </c>
      <c r="G3457">
        <v>2</v>
      </c>
      <c r="H3457" t="s">
        <v>136</v>
      </c>
      <c r="I3457" t="str">
        <f>VLOOKUP(Tabla1[[#This Row],[Code]],'[1]Articulos Precio'!$A:$E,5,FALSE)</f>
        <v>A0000541</v>
      </c>
    </row>
    <row r="3458" spans="1:9" x14ac:dyDescent="0.25">
      <c r="A3458" t="s">
        <v>1251</v>
      </c>
      <c r="B3458" t="str">
        <f>VLOOKUP(Tabla1[[#This Row],[Code]],[1]!Tabla4[#Data],2,FALSE)</f>
        <v>M2 Metamark MT668 Verde Prado 1,22 x 50m</v>
      </c>
      <c r="C3458">
        <v>8</v>
      </c>
      <c r="D3458" t="s">
        <v>86</v>
      </c>
      <c r="E3458" t="str">
        <f>VLOOKUP(Tabla1[[#This Row],[Cód. Atributo]],[1]!Tabla5[#Data],6,FALSE)</f>
        <v>Select</v>
      </c>
      <c r="F3458">
        <v>1</v>
      </c>
      <c r="G3458">
        <v>2</v>
      </c>
      <c r="H3458" t="s">
        <v>268</v>
      </c>
      <c r="I3458" t="str">
        <f>VLOOKUP(Tabla1[[#This Row],[Code]],'[1]Articulos Precio'!$A:$E,5,FALSE)</f>
        <v>A0000541</v>
      </c>
    </row>
    <row r="3459" spans="1:9" x14ac:dyDescent="0.25">
      <c r="A3459" t="s">
        <v>1251</v>
      </c>
      <c r="B3459" t="str">
        <f>VLOOKUP(Tabla1[[#This Row],[Code]],[1]!Tabla4[#Data],2,FALSE)</f>
        <v>M2 Metamark MT668 Verde Prado 1,22 x 50m</v>
      </c>
      <c r="C3459">
        <v>14</v>
      </c>
      <c r="D3459" t="s">
        <v>1182</v>
      </c>
      <c r="E3459" t="str">
        <f>VLOOKUP(Tabla1[[#This Row],[Cód. Atributo]],[1]!Tabla5[#Data],6,FALSE)</f>
        <v>Color</v>
      </c>
      <c r="F3459">
        <v>2</v>
      </c>
      <c r="G3459">
        <v>24</v>
      </c>
      <c r="H3459" t="s">
        <v>1252</v>
      </c>
      <c r="I3459" t="str">
        <f>VLOOKUP(Tabla1[[#This Row],[Code]],'[1]Articulos Precio'!$A:$E,5,FALSE)</f>
        <v>A0000541</v>
      </c>
    </row>
    <row r="3460" spans="1:9" x14ac:dyDescent="0.25">
      <c r="A3460" t="s">
        <v>1251</v>
      </c>
      <c r="B3460" t="str">
        <f>VLOOKUP(Tabla1[[#This Row],[Code]],[1]!Tabla4[#Data],2,FALSE)</f>
        <v>M2 Metamark MT668 Verde Prado 1,22 x 50m</v>
      </c>
      <c r="C3460">
        <v>24</v>
      </c>
      <c r="D3460" t="s">
        <v>96</v>
      </c>
      <c r="E3460" t="str">
        <f>VLOOKUP(Tabla1[[#This Row],[Cód. Atributo]],[1]!Tabla5[#Data],6,FALSE)</f>
        <v>Select</v>
      </c>
      <c r="F3460">
        <v>3</v>
      </c>
      <c r="G3460">
        <v>3</v>
      </c>
      <c r="H3460" t="s">
        <v>181</v>
      </c>
      <c r="I3460" t="str">
        <f>VLOOKUP(Tabla1[[#This Row],[Code]],'[1]Articulos Precio'!$A:$E,5,FALSE)</f>
        <v>A0000541</v>
      </c>
    </row>
    <row r="3461" spans="1:9" x14ac:dyDescent="0.25">
      <c r="A3461" t="s">
        <v>1251</v>
      </c>
      <c r="B3461" t="str">
        <f>VLOOKUP(Tabla1[[#This Row],[Code]],[1]!Tabla4[#Data],2,FALSE)</f>
        <v>M2 Metamark MT668 Verde Prado 1,22 x 50m</v>
      </c>
      <c r="C3461">
        <v>25</v>
      </c>
      <c r="D3461" t="s">
        <v>94</v>
      </c>
      <c r="E3461" t="str">
        <f>VLOOKUP(Tabla1[[#This Row],[Cód. Atributo]],[1]!Tabla5[#Data],6,FALSE)</f>
        <v>Select</v>
      </c>
      <c r="F3461">
        <v>4</v>
      </c>
      <c r="G3461">
        <v>4</v>
      </c>
      <c r="H3461" t="s">
        <v>137</v>
      </c>
      <c r="I3461" t="str">
        <f>VLOOKUP(Tabla1[[#This Row],[Code]],'[1]Articulos Precio'!$A:$E,5,FALSE)</f>
        <v>A0000541</v>
      </c>
    </row>
    <row r="3462" spans="1:9" x14ac:dyDescent="0.25">
      <c r="A3462" t="s">
        <v>1251</v>
      </c>
      <c r="B3462" t="str">
        <f>VLOOKUP(Tabla1[[#This Row],[Code]],[1]!Tabla4[#Data],2,FALSE)</f>
        <v>M2 Metamark MT668 Verde Prado 1,22 x 50m</v>
      </c>
      <c r="C3462">
        <v>23</v>
      </c>
      <c r="D3462" t="s">
        <v>90</v>
      </c>
      <c r="E3462" t="str">
        <f>VLOOKUP(Tabla1[[#This Row],[Cód. Atributo]],[1]!Tabla5[#Data],6,FALSE)</f>
        <v>Select</v>
      </c>
      <c r="F3462">
        <v>5</v>
      </c>
      <c r="G3462">
        <v>2</v>
      </c>
      <c r="H3462" t="s">
        <v>136</v>
      </c>
      <c r="I3462" t="str">
        <f>VLOOKUP(Tabla1[[#This Row],[Code]],'[1]Articulos Precio'!$A:$E,5,FALSE)</f>
        <v>A0000541</v>
      </c>
    </row>
    <row r="3463" spans="1:9" x14ac:dyDescent="0.25">
      <c r="A3463" t="s">
        <v>1253</v>
      </c>
      <c r="B3463" t="str">
        <f>VLOOKUP(Tabla1[[#This Row],[Code]],[1]!Tabla4[#Data],2,FALSE)</f>
        <v>M2 Metamark MT669 Verde Trébol 1,22 x 50m</v>
      </c>
      <c r="C3463">
        <v>8</v>
      </c>
      <c r="D3463" t="s">
        <v>86</v>
      </c>
      <c r="E3463" t="str">
        <f>VLOOKUP(Tabla1[[#This Row],[Cód. Atributo]],[1]!Tabla5[#Data],6,FALSE)</f>
        <v>Select</v>
      </c>
      <c r="F3463">
        <v>1</v>
      </c>
      <c r="G3463">
        <v>2</v>
      </c>
      <c r="H3463" t="s">
        <v>268</v>
      </c>
      <c r="I3463" t="str">
        <f>VLOOKUP(Tabla1[[#This Row],[Code]],'[1]Articulos Precio'!$A:$E,5,FALSE)</f>
        <v>A0000541</v>
      </c>
    </row>
    <row r="3464" spans="1:9" x14ac:dyDescent="0.25">
      <c r="A3464" t="s">
        <v>1253</v>
      </c>
      <c r="B3464" t="str">
        <f>VLOOKUP(Tabla1[[#This Row],[Code]],[1]!Tabla4[#Data],2,FALSE)</f>
        <v>M2 Metamark MT669 Verde Trébol 1,22 x 50m</v>
      </c>
      <c r="C3464">
        <v>14</v>
      </c>
      <c r="D3464" t="s">
        <v>1182</v>
      </c>
      <c r="E3464" t="str">
        <f>VLOOKUP(Tabla1[[#This Row],[Cód. Atributo]],[1]!Tabla5[#Data],6,FALSE)</f>
        <v>Color</v>
      </c>
      <c r="F3464">
        <v>2</v>
      </c>
      <c r="G3464">
        <v>25</v>
      </c>
      <c r="H3464" t="s">
        <v>1254</v>
      </c>
      <c r="I3464" t="str">
        <f>VLOOKUP(Tabla1[[#This Row],[Code]],'[1]Articulos Precio'!$A:$E,5,FALSE)</f>
        <v>A0000541</v>
      </c>
    </row>
    <row r="3465" spans="1:9" x14ac:dyDescent="0.25">
      <c r="A3465" t="s">
        <v>1253</v>
      </c>
      <c r="B3465" t="str">
        <f>VLOOKUP(Tabla1[[#This Row],[Code]],[1]!Tabla4[#Data],2,FALSE)</f>
        <v>M2 Metamark MT669 Verde Trébol 1,22 x 50m</v>
      </c>
      <c r="C3465">
        <v>24</v>
      </c>
      <c r="D3465" t="s">
        <v>96</v>
      </c>
      <c r="E3465" t="str">
        <f>VLOOKUP(Tabla1[[#This Row],[Cód. Atributo]],[1]!Tabla5[#Data],6,FALSE)</f>
        <v>Select</v>
      </c>
      <c r="F3465">
        <v>3</v>
      </c>
      <c r="G3465">
        <v>3</v>
      </c>
      <c r="H3465" t="s">
        <v>181</v>
      </c>
      <c r="I3465" t="str">
        <f>VLOOKUP(Tabla1[[#This Row],[Code]],'[1]Articulos Precio'!$A:$E,5,FALSE)</f>
        <v>A0000541</v>
      </c>
    </row>
    <row r="3466" spans="1:9" x14ac:dyDescent="0.25">
      <c r="A3466" t="s">
        <v>1253</v>
      </c>
      <c r="B3466" t="str">
        <f>VLOOKUP(Tabla1[[#This Row],[Code]],[1]!Tabla4[#Data],2,FALSE)</f>
        <v>M2 Metamark MT669 Verde Trébol 1,22 x 50m</v>
      </c>
      <c r="C3466">
        <v>25</v>
      </c>
      <c r="D3466" t="s">
        <v>94</v>
      </c>
      <c r="E3466" t="str">
        <f>VLOOKUP(Tabla1[[#This Row],[Cód. Atributo]],[1]!Tabla5[#Data],6,FALSE)</f>
        <v>Select</v>
      </c>
      <c r="F3466">
        <v>4</v>
      </c>
      <c r="G3466">
        <v>4</v>
      </c>
      <c r="H3466" t="s">
        <v>137</v>
      </c>
      <c r="I3466" t="str">
        <f>VLOOKUP(Tabla1[[#This Row],[Code]],'[1]Articulos Precio'!$A:$E,5,FALSE)</f>
        <v>A0000541</v>
      </c>
    </row>
    <row r="3467" spans="1:9" x14ac:dyDescent="0.25">
      <c r="A3467" t="s">
        <v>1253</v>
      </c>
      <c r="B3467" t="str">
        <f>VLOOKUP(Tabla1[[#This Row],[Code]],[1]!Tabla4[#Data],2,FALSE)</f>
        <v>M2 Metamark MT669 Verde Trébol 1,22 x 50m</v>
      </c>
      <c r="C3467">
        <v>23</v>
      </c>
      <c r="D3467" t="s">
        <v>90</v>
      </c>
      <c r="E3467" t="str">
        <f>VLOOKUP(Tabla1[[#This Row],[Cód. Atributo]],[1]!Tabla5[#Data],6,FALSE)</f>
        <v>Select</v>
      </c>
      <c r="F3467">
        <v>5</v>
      </c>
      <c r="G3467">
        <v>2</v>
      </c>
      <c r="H3467" t="s">
        <v>136</v>
      </c>
      <c r="I3467" t="str">
        <f>VLOOKUP(Tabla1[[#This Row],[Code]],'[1]Articulos Precio'!$A:$E,5,FALSE)</f>
        <v>A0000541</v>
      </c>
    </row>
    <row r="3468" spans="1:9" x14ac:dyDescent="0.25">
      <c r="A3468" t="s">
        <v>1255</v>
      </c>
      <c r="B3468" t="str">
        <f>VLOOKUP(Tabla1[[#This Row],[Code]],[1]!Tabla4[#Data],2,FALSE)</f>
        <v>M2 Metamark MT670 Marfil 1,22 x 50m</v>
      </c>
      <c r="C3468">
        <v>8</v>
      </c>
      <c r="D3468" t="s">
        <v>86</v>
      </c>
      <c r="E3468" t="str">
        <f>VLOOKUP(Tabla1[[#This Row],[Cód. Atributo]],[1]!Tabla5[#Data],6,FALSE)</f>
        <v>Select</v>
      </c>
      <c r="F3468">
        <v>1</v>
      </c>
      <c r="G3468">
        <v>2</v>
      </c>
      <c r="H3468" t="s">
        <v>268</v>
      </c>
      <c r="I3468" t="str">
        <f>VLOOKUP(Tabla1[[#This Row],[Code]],'[1]Articulos Precio'!$A:$E,5,FALSE)</f>
        <v>A0000541</v>
      </c>
    </row>
    <row r="3469" spans="1:9" x14ac:dyDescent="0.25">
      <c r="A3469" t="s">
        <v>1255</v>
      </c>
      <c r="B3469" t="str">
        <f>VLOOKUP(Tabla1[[#This Row],[Code]],[1]!Tabla4[#Data],2,FALSE)</f>
        <v>M2 Metamark MT670 Marfil 1,22 x 50m</v>
      </c>
      <c r="C3469">
        <v>14</v>
      </c>
      <c r="D3469" t="s">
        <v>1182</v>
      </c>
      <c r="E3469" t="str">
        <f>VLOOKUP(Tabla1[[#This Row],[Cód. Atributo]],[1]!Tabla5[#Data],6,FALSE)</f>
        <v>Color</v>
      </c>
      <c r="F3469">
        <v>2</v>
      </c>
      <c r="G3469">
        <v>26</v>
      </c>
      <c r="H3469" t="s">
        <v>1256</v>
      </c>
      <c r="I3469" t="str">
        <f>VLOOKUP(Tabla1[[#This Row],[Code]],'[1]Articulos Precio'!$A:$E,5,FALSE)</f>
        <v>A0000541</v>
      </c>
    </row>
    <row r="3470" spans="1:9" x14ac:dyDescent="0.25">
      <c r="A3470" t="s">
        <v>1255</v>
      </c>
      <c r="B3470" t="str">
        <f>VLOOKUP(Tabla1[[#This Row],[Code]],[1]!Tabla4[#Data],2,FALSE)</f>
        <v>M2 Metamark MT670 Marfil 1,22 x 50m</v>
      </c>
      <c r="C3470">
        <v>24</v>
      </c>
      <c r="D3470" t="s">
        <v>96</v>
      </c>
      <c r="E3470" t="str">
        <f>VLOOKUP(Tabla1[[#This Row],[Cód. Atributo]],[1]!Tabla5[#Data],6,FALSE)</f>
        <v>Select</v>
      </c>
      <c r="F3470">
        <v>3</v>
      </c>
      <c r="G3470">
        <v>3</v>
      </c>
      <c r="H3470" t="s">
        <v>181</v>
      </c>
      <c r="I3470" t="str">
        <f>VLOOKUP(Tabla1[[#This Row],[Code]],'[1]Articulos Precio'!$A:$E,5,FALSE)</f>
        <v>A0000541</v>
      </c>
    </row>
    <row r="3471" spans="1:9" x14ac:dyDescent="0.25">
      <c r="A3471" t="s">
        <v>1255</v>
      </c>
      <c r="B3471" t="str">
        <f>VLOOKUP(Tabla1[[#This Row],[Code]],[1]!Tabla4[#Data],2,FALSE)</f>
        <v>M2 Metamark MT670 Marfil 1,22 x 50m</v>
      </c>
      <c r="C3471">
        <v>25</v>
      </c>
      <c r="D3471" t="s">
        <v>94</v>
      </c>
      <c r="E3471" t="str">
        <f>VLOOKUP(Tabla1[[#This Row],[Cód. Atributo]],[1]!Tabla5[#Data],6,FALSE)</f>
        <v>Select</v>
      </c>
      <c r="F3471">
        <v>4</v>
      </c>
      <c r="G3471">
        <v>4</v>
      </c>
      <c r="H3471" t="s">
        <v>137</v>
      </c>
      <c r="I3471" t="str">
        <f>VLOOKUP(Tabla1[[#This Row],[Code]],'[1]Articulos Precio'!$A:$E,5,FALSE)</f>
        <v>A0000541</v>
      </c>
    </row>
    <row r="3472" spans="1:9" x14ac:dyDescent="0.25">
      <c r="A3472" t="s">
        <v>1255</v>
      </c>
      <c r="B3472" t="str">
        <f>VLOOKUP(Tabla1[[#This Row],[Code]],[1]!Tabla4[#Data],2,FALSE)</f>
        <v>M2 Metamark MT670 Marfil 1,22 x 50m</v>
      </c>
      <c r="C3472">
        <v>23</v>
      </c>
      <c r="D3472" t="s">
        <v>90</v>
      </c>
      <c r="E3472" t="str">
        <f>VLOOKUP(Tabla1[[#This Row],[Cód. Atributo]],[1]!Tabla5[#Data],6,FALSE)</f>
        <v>Select</v>
      </c>
      <c r="F3472">
        <v>5</v>
      </c>
      <c r="G3472">
        <v>2</v>
      </c>
      <c r="H3472" t="s">
        <v>136</v>
      </c>
      <c r="I3472" t="str">
        <f>VLOOKUP(Tabla1[[#This Row],[Code]],'[1]Articulos Precio'!$A:$E,5,FALSE)</f>
        <v>A0000541</v>
      </c>
    </row>
    <row r="3473" spans="1:9" x14ac:dyDescent="0.25">
      <c r="A3473" t="s">
        <v>1257</v>
      </c>
      <c r="B3473" t="str">
        <f>VLOOKUP(Tabla1[[#This Row],[Code]],[1]!Tabla4[#Data],2,FALSE)</f>
        <v>M2 Metamark MT672 Marrón 1,22 x 50m</v>
      </c>
      <c r="C3473">
        <v>8</v>
      </c>
      <c r="D3473" t="s">
        <v>86</v>
      </c>
      <c r="E3473" t="str">
        <f>VLOOKUP(Tabla1[[#This Row],[Cód. Atributo]],[1]!Tabla5[#Data],6,FALSE)</f>
        <v>Select</v>
      </c>
      <c r="F3473">
        <v>1</v>
      </c>
      <c r="G3473">
        <v>2</v>
      </c>
      <c r="H3473" t="s">
        <v>268</v>
      </c>
      <c r="I3473" t="str">
        <f>VLOOKUP(Tabla1[[#This Row],[Code]],'[1]Articulos Precio'!$A:$E,5,FALSE)</f>
        <v>A0000541</v>
      </c>
    </row>
    <row r="3474" spans="1:9" x14ac:dyDescent="0.25">
      <c r="A3474" t="s">
        <v>1257</v>
      </c>
      <c r="B3474" t="str">
        <f>VLOOKUP(Tabla1[[#This Row],[Code]],[1]!Tabla4[#Data],2,FALSE)</f>
        <v>M2 Metamark MT672 Marrón 1,22 x 50m</v>
      </c>
      <c r="C3474">
        <v>14</v>
      </c>
      <c r="D3474" t="s">
        <v>1182</v>
      </c>
      <c r="E3474" t="str">
        <f>VLOOKUP(Tabla1[[#This Row],[Cód. Atributo]],[1]!Tabla5[#Data],6,FALSE)</f>
        <v>Color</v>
      </c>
      <c r="F3474">
        <v>2</v>
      </c>
      <c r="G3474">
        <v>27</v>
      </c>
      <c r="H3474" t="s">
        <v>1258</v>
      </c>
      <c r="I3474" t="str">
        <f>VLOOKUP(Tabla1[[#This Row],[Code]],'[1]Articulos Precio'!$A:$E,5,FALSE)</f>
        <v>A0000541</v>
      </c>
    </row>
    <row r="3475" spans="1:9" x14ac:dyDescent="0.25">
      <c r="A3475" t="s">
        <v>1257</v>
      </c>
      <c r="B3475" t="str">
        <f>VLOOKUP(Tabla1[[#This Row],[Code]],[1]!Tabla4[#Data],2,FALSE)</f>
        <v>M2 Metamark MT672 Marrón 1,22 x 50m</v>
      </c>
      <c r="C3475">
        <v>24</v>
      </c>
      <c r="D3475" t="s">
        <v>96</v>
      </c>
      <c r="E3475" t="str">
        <f>VLOOKUP(Tabla1[[#This Row],[Cód. Atributo]],[1]!Tabla5[#Data],6,FALSE)</f>
        <v>Select</v>
      </c>
      <c r="F3475">
        <v>3</v>
      </c>
      <c r="G3475">
        <v>3</v>
      </c>
      <c r="H3475" t="s">
        <v>181</v>
      </c>
      <c r="I3475" t="str">
        <f>VLOOKUP(Tabla1[[#This Row],[Code]],'[1]Articulos Precio'!$A:$E,5,FALSE)</f>
        <v>A0000541</v>
      </c>
    </row>
    <row r="3476" spans="1:9" x14ac:dyDescent="0.25">
      <c r="A3476" t="s">
        <v>1257</v>
      </c>
      <c r="B3476" t="str">
        <f>VLOOKUP(Tabla1[[#This Row],[Code]],[1]!Tabla4[#Data],2,FALSE)</f>
        <v>M2 Metamark MT672 Marrón 1,22 x 50m</v>
      </c>
      <c r="C3476">
        <v>25</v>
      </c>
      <c r="D3476" t="s">
        <v>94</v>
      </c>
      <c r="E3476" t="str">
        <f>VLOOKUP(Tabla1[[#This Row],[Cód. Atributo]],[1]!Tabla5[#Data],6,FALSE)</f>
        <v>Select</v>
      </c>
      <c r="F3476">
        <v>4</v>
      </c>
      <c r="G3476">
        <v>4</v>
      </c>
      <c r="H3476" t="s">
        <v>137</v>
      </c>
      <c r="I3476" t="str">
        <f>VLOOKUP(Tabla1[[#This Row],[Code]],'[1]Articulos Precio'!$A:$E,5,FALSE)</f>
        <v>A0000541</v>
      </c>
    </row>
    <row r="3477" spans="1:9" x14ac:dyDescent="0.25">
      <c r="A3477" t="s">
        <v>1257</v>
      </c>
      <c r="B3477" t="str">
        <f>VLOOKUP(Tabla1[[#This Row],[Code]],[1]!Tabla4[#Data],2,FALSE)</f>
        <v>M2 Metamark MT672 Marrón 1,22 x 50m</v>
      </c>
      <c r="C3477">
        <v>23</v>
      </c>
      <c r="D3477" t="s">
        <v>90</v>
      </c>
      <c r="E3477" t="str">
        <f>VLOOKUP(Tabla1[[#This Row],[Cód. Atributo]],[1]!Tabla5[#Data],6,FALSE)</f>
        <v>Select</v>
      </c>
      <c r="F3477">
        <v>5</v>
      </c>
      <c r="G3477">
        <v>2</v>
      </c>
      <c r="H3477" t="s">
        <v>136</v>
      </c>
      <c r="I3477" t="str">
        <f>VLOOKUP(Tabla1[[#This Row],[Code]],'[1]Articulos Precio'!$A:$E,5,FALSE)</f>
        <v>A0000541</v>
      </c>
    </row>
    <row r="3478" spans="1:9" x14ac:dyDescent="0.25">
      <c r="A3478" t="s">
        <v>1259</v>
      </c>
      <c r="B3478" t="str">
        <f>VLOOKUP(Tabla1[[#This Row],[Code]],[1]!Tabla4[#Data],2,FALSE)</f>
        <v>M2 Metamark MT675 Azul Oriental 1,22 x 50m</v>
      </c>
      <c r="C3478">
        <v>8</v>
      </c>
      <c r="D3478" t="s">
        <v>86</v>
      </c>
      <c r="E3478" t="str">
        <f>VLOOKUP(Tabla1[[#This Row],[Cód. Atributo]],[1]!Tabla5[#Data],6,FALSE)</f>
        <v>Select</v>
      </c>
      <c r="F3478">
        <v>1</v>
      </c>
      <c r="G3478">
        <v>2</v>
      </c>
      <c r="H3478" t="s">
        <v>268</v>
      </c>
      <c r="I3478" t="str">
        <f>VLOOKUP(Tabla1[[#This Row],[Code]],'[1]Articulos Precio'!$A:$E,5,FALSE)</f>
        <v>A0000541</v>
      </c>
    </row>
    <row r="3479" spans="1:9" x14ac:dyDescent="0.25">
      <c r="A3479" t="s">
        <v>1259</v>
      </c>
      <c r="B3479" t="str">
        <f>VLOOKUP(Tabla1[[#This Row],[Code]],[1]!Tabla4[#Data],2,FALSE)</f>
        <v>M2 Metamark MT675 Azul Oriental 1,22 x 50m</v>
      </c>
      <c r="C3479">
        <v>14</v>
      </c>
      <c r="D3479" t="s">
        <v>1182</v>
      </c>
      <c r="E3479" t="str">
        <f>VLOOKUP(Tabla1[[#This Row],[Cód. Atributo]],[1]!Tabla5[#Data],6,FALSE)</f>
        <v>Color</v>
      </c>
      <c r="F3479">
        <v>2</v>
      </c>
      <c r="G3479">
        <v>28</v>
      </c>
      <c r="H3479" t="s">
        <v>1260</v>
      </c>
      <c r="I3479" t="str">
        <f>VLOOKUP(Tabla1[[#This Row],[Code]],'[1]Articulos Precio'!$A:$E,5,FALSE)</f>
        <v>A0000541</v>
      </c>
    </row>
    <row r="3480" spans="1:9" x14ac:dyDescent="0.25">
      <c r="A3480" t="s">
        <v>1259</v>
      </c>
      <c r="B3480" t="str">
        <f>VLOOKUP(Tabla1[[#This Row],[Code]],[1]!Tabla4[#Data],2,FALSE)</f>
        <v>M2 Metamark MT675 Azul Oriental 1,22 x 50m</v>
      </c>
      <c r="C3480">
        <v>24</v>
      </c>
      <c r="D3480" t="s">
        <v>96</v>
      </c>
      <c r="E3480" t="str">
        <f>VLOOKUP(Tabla1[[#This Row],[Cód. Atributo]],[1]!Tabla5[#Data],6,FALSE)</f>
        <v>Select</v>
      </c>
      <c r="F3480">
        <v>3</v>
      </c>
      <c r="G3480">
        <v>3</v>
      </c>
      <c r="H3480" t="s">
        <v>181</v>
      </c>
      <c r="I3480" t="str">
        <f>VLOOKUP(Tabla1[[#This Row],[Code]],'[1]Articulos Precio'!$A:$E,5,FALSE)</f>
        <v>A0000541</v>
      </c>
    </row>
    <row r="3481" spans="1:9" x14ac:dyDescent="0.25">
      <c r="A3481" t="s">
        <v>1259</v>
      </c>
      <c r="B3481" t="str">
        <f>VLOOKUP(Tabla1[[#This Row],[Code]],[1]!Tabla4[#Data],2,FALSE)</f>
        <v>M2 Metamark MT675 Azul Oriental 1,22 x 50m</v>
      </c>
      <c r="C3481">
        <v>25</v>
      </c>
      <c r="D3481" t="s">
        <v>94</v>
      </c>
      <c r="E3481" t="str">
        <f>VLOOKUP(Tabla1[[#This Row],[Cód. Atributo]],[1]!Tabla5[#Data],6,FALSE)</f>
        <v>Select</v>
      </c>
      <c r="F3481">
        <v>4</v>
      </c>
      <c r="G3481">
        <v>4</v>
      </c>
      <c r="H3481" t="s">
        <v>137</v>
      </c>
      <c r="I3481" t="str">
        <f>VLOOKUP(Tabla1[[#This Row],[Code]],'[1]Articulos Precio'!$A:$E,5,FALSE)</f>
        <v>A0000541</v>
      </c>
    </row>
    <row r="3482" spans="1:9" x14ac:dyDescent="0.25">
      <c r="A3482" t="s">
        <v>1259</v>
      </c>
      <c r="B3482" t="str">
        <f>VLOOKUP(Tabla1[[#This Row],[Code]],[1]!Tabla4[#Data],2,FALSE)</f>
        <v>M2 Metamark MT675 Azul Oriental 1,22 x 50m</v>
      </c>
      <c r="C3482">
        <v>23</v>
      </c>
      <c r="D3482" t="s">
        <v>90</v>
      </c>
      <c r="E3482" t="str">
        <f>VLOOKUP(Tabla1[[#This Row],[Cód. Atributo]],[1]!Tabla5[#Data],6,FALSE)</f>
        <v>Select</v>
      </c>
      <c r="F3482">
        <v>5</v>
      </c>
      <c r="G3482">
        <v>2</v>
      </c>
      <c r="H3482" t="s">
        <v>136</v>
      </c>
      <c r="I3482" t="str">
        <f>VLOOKUP(Tabla1[[#This Row],[Code]],'[1]Articulos Precio'!$A:$E,5,FALSE)</f>
        <v>A0000541</v>
      </c>
    </row>
    <row r="3483" spans="1:9" x14ac:dyDescent="0.25">
      <c r="A3483" t="s">
        <v>1261</v>
      </c>
      <c r="B3483" t="str">
        <f>VLOOKUP(Tabla1[[#This Row],[Code]],[1]!Tabla4[#Data],2,FALSE)</f>
        <v>M2 Metamark MT676 Azul Proceso, 1,22 x 50m</v>
      </c>
      <c r="C3483">
        <v>8</v>
      </c>
      <c r="D3483" t="s">
        <v>86</v>
      </c>
      <c r="E3483" t="str">
        <f>VLOOKUP(Tabla1[[#This Row],[Cód. Atributo]],[1]!Tabla5[#Data],6,FALSE)</f>
        <v>Select</v>
      </c>
      <c r="F3483">
        <v>1</v>
      </c>
      <c r="G3483">
        <v>2</v>
      </c>
      <c r="H3483" t="s">
        <v>268</v>
      </c>
      <c r="I3483" t="str">
        <f>VLOOKUP(Tabla1[[#This Row],[Code]],'[1]Articulos Precio'!$A:$E,5,FALSE)</f>
        <v>A0000541</v>
      </c>
    </row>
    <row r="3484" spans="1:9" x14ac:dyDescent="0.25">
      <c r="A3484" t="s">
        <v>1261</v>
      </c>
      <c r="B3484" t="str">
        <f>VLOOKUP(Tabla1[[#This Row],[Code]],[1]!Tabla4[#Data],2,FALSE)</f>
        <v>M2 Metamark MT676 Azul Proceso, 1,22 x 50m</v>
      </c>
      <c r="C3484">
        <v>14</v>
      </c>
      <c r="D3484" t="s">
        <v>1182</v>
      </c>
      <c r="E3484" t="str">
        <f>VLOOKUP(Tabla1[[#This Row],[Cód. Atributo]],[1]!Tabla5[#Data],6,FALSE)</f>
        <v>Color</v>
      </c>
      <c r="F3484">
        <v>2</v>
      </c>
      <c r="G3484">
        <v>29</v>
      </c>
      <c r="H3484" t="s">
        <v>1262</v>
      </c>
      <c r="I3484" t="str">
        <f>VLOOKUP(Tabla1[[#This Row],[Code]],'[1]Articulos Precio'!$A:$E,5,FALSE)</f>
        <v>A0000541</v>
      </c>
    </row>
    <row r="3485" spans="1:9" x14ac:dyDescent="0.25">
      <c r="A3485" t="s">
        <v>1261</v>
      </c>
      <c r="B3485" t="str">
        <f>VLOOKUP(Tabla1[[#This Row],[Code]],[1]!Tabla4[#Data],2,FALSE)</f>
        <v>M2 Metamark MT676 Azul Proceso, 1,22 x 50m</v>
      </c>
      <c r="C3485">
        <v>24</v>
      </c>
      <c r="D3485" t="s">
        <v>96</v>
      </c>
      <c r="E3485" t="str">
        <f>VLOOKUP(Tabla1[[#This Row],[Cód. Atributo]],[1]!Tabla5[#Data],6,FALSE)</f>
        <v>Select</v>
      </c>
      <c r="F3485">
        <v>3</v>
      </c>
      <c r="G3485">
        <v>3</v>
      </c>
      <c r="H3485" t="s">
        <v>181</v>
      </c>
      <c r="I3485" t="str">
        <f>VLOOKUP(Tabla1[[#This Row],[Code]],'[1]Articulos Precio'!$A:$E,5,FALSE)</f>
        <v>A0000541</v>
      </c>
    </row>
    <row r="3486" spans="1:9" x14ac:dyDescent="0.25">
      <c r="A3486" t="s">
        <v>1261</v>
      </c>
      <c r="B3486" t="str">
        <f>VLOOKUP(Tabla1[[#This Row],[Code]],[1]!Tabla4[#Data],2,FALSE)</f>
        <v>M2 Metamark MT676 Azul Proceso, 1,22 x 50m</v>
      </c>
      <c r="C3486">
        <v>25</v>
      </c>
      <c r="D3486" t="s">
        <v>94</v>
      </c>
      <c r="E3486" t="str">
        <f>VLOOKUP(Tabla1[[#This Row],[Cód. Atributo]],[1]!Tabla5[#Data],6,FALSE)</f>
        <v>Select</v>
      </c>
      <c r="F3486">
        <v>4</v>
      </c>
      <c r="G3486">
        <v>4</v>
      </c>
      <c r="H3486" t="s">
        <v>137</v>
      </c>
      <c r="I3486" t="str">
        <f>VLOOKUP(Tabla1[[#This Row],[Code]],'[1]Articulos Precio'!$A:$E,5,FALSE)</f>
        <v>A0000541</v>
      </c>
    </row>
    <row r="3487" spans="1:9" x14ac:dyDescent="0.25">
      <c r="A3487" t="s">
        <v>1261</v>
      </c>
      <c r="B3487" t="str">
        <f>VLOOKUP(Tabla1[[#This Row],[Code]],[1]!Tabla4[#Data],2,FALSE)</f>
        <v>M2 Metamark MT676 Azul Proceso, 1,22 x 50m</v>
      </c>
      <c r="C3487">
        <v>23</v>
      </c>
      <c r="D3487" t="s">
        <v>90</v>
      </c>
      <c r="E3487" t="str">
        <f>VLOOKUP(Tabla1[[#This Row],[Cód. Atributo]],[1]!Tabla5[#Data],6,FALSE)</f>
        <v>Select</v>
      </c>
      <c r="F3487">
        <v>5</v>
      </c>
      <c r="G3487">
        <v>2</v>
      </c>
      <c r="H3487" t="s">
        <v>136</v>
      </c>
      <c r="I3487" t="str">
        <f>VLOOKUP(Tabla1[[#This Row],[Code]],'[1]Articulos Precio'!$A:$E,5,FALSE)</f>
        <v>A0000541</v>
      </c>
    </row>
    <row r="3488" spans="1:9" x14ac:dyDescent="0.25">
      <c r="A3488" t="s">
        <v>1263</v>
      </c>
      <c r="B3488" t="str">
        <f>VLOOKUP(Tabla1[[#This Row],[Code]],[1]!Tabla4[#Data],2,FALSE)</f>
        <v>M2 Metamark MT677 Azul Real 1,22 x 50m</v>
      </c>
      <c r="C3488">
        <v>8</v>
      </c>
      <c r="D3488" t="s">
        <v>86</v>
      </c>
      <c r="E3488" t="str">
        <f>VLOOKUP(Tabla1[[#This Row],[Cód. Atributo]],[1]!Tabla5[#Data],6,FALSE)</f>
        <v>Select</v>
      </c>
      <c r="F3488">
        <v>1</v>
      </c>
      <c r="G3488">
        <v>2</v>
      </c>
      <c r="H3488" t="s">
        <v>268</v>
      </c>
      <c r="I3488" t="str">
        <f>VLOOKUP(Tabla1[[#This Row],[Code]],'[1]Articulos Precio'!$A:$E,5,FALSE)</f>
        <v>A0000541</v>
      </c>
    </row>
    <row r="3489" spans="1:9" x14ac:dyDescent="0.25">
      <c r="A3489" t="s">
        <v>1263</v>
      </c>
      <c r="B3489" t="str">
        <f>VLOOKUP(Tabla1[[#This Row],[Code]],[1]!Tabla4[#Data],2,FALSE)</f>
        <v>M2 Metamark MT677 Azul Real 1,22 x 50m</v>
      </c>
      <c r="C3489">
        <v>14</v>
      </c>
      <c r="D3489" t="s">
        <v>1182</v>
      </c>
      <c r="E3489" t="str">
        <f>VLOOKUP(Tabla1[[#This Row],[Cód. Atributo]],[1]!Tabla5[#Data],6,FALSE)</f>
        <v>Color</v>
      </c>
      <c r="F3489">
        <v>2</v>
      </c>
      <c r="G3489">
        <v>30</v>
      </c>
      <c r="H3489" t="s">
        <v>1264</v>
      </c>
      <c r="I3489" t="str">
        <f>VLOOKUP(Tabla1[[#This Row],[Code]],'[1]Articulos Precio'!$A:$E,5,FALSE)</f>
        <v>A0000541</v>
      </c>
    </row>
    <row r="3490" spans="1:9" x14ac:dyDescent="0.25">
      <c r="A3490" t="s">
        <v>1263</v>
      </c>
      <c r="B3490" t="str">
        <f>VLOOKUP(Tabla1[[#This Row],[Code]],[1]!Tabla4[#Data],2,FALSE)</f>
        <v>M2 Metamark MT677 Azul Real 1,22 x 50m</v>
      </c>
      <c r="C3490">
        <v>24</v>
      </c>
      <c r="D3490" t="s">
        <v>96</v>
      </c>
      <c r="E3490" t="str">
        <f>VLOOKUP(Tabla1[[#This Row],[Cód. Atributo]],[1]!Tabla5[#Data],6,FALSE)</f>
        <v>Select</v>
      </c>
      <c r="F3490">
        <v>3</v>
      </c>
      <c r="G3490">
        <v>3</v>
      </c>
      <c r="H3490" t="s">
        <v>181</v>
      </c>
      <c r="I3490" t="str">
        <f>VLOOKUP(Tabla1[[#This Row],[Code]],'[1]Articulos Precio'!$A:$E,5,FALSE)</f>
        <v>A0000541</v>
      </c>
    </row>
    <row r="3491" spans="1:9" x14ac:dyDescent="0.25">
      <c r="A3491" t="s">
        <v>1263</v>
      </c>
      <c r="B3491" t="str">
        <f>VLOOKUP(Tabla1[[#This Row],[Code]],[1]!Tabla4[#Data],2,FALSE)</f>
        <v>M2 Metamark MT677 Azul Real 1,22 x 50m</v>
      </c>
      <c r="C3491">
        <v>25</v>
      </c>
      <c r="D3491" t="s">
        <v>94</v>
      </c>
      <c r="E3491" t="str">
        <f>VLOOKUP(Tabla1[[#This Row],[Cód. Atributo]],[1]!Tabla5[#Data],6,FALSE)</f>
        <v>Select</v>
      </c>
      <c r="F3491">
        <v>4</v>
      </c>
      <c r="G3491">
        <v>4</v>
      </c>
      <c r="H3491" t="s">
        <v>137</v>
      </c>
      <c r="I3491" t="str">
        <f>VLOOKUP(Tabla1[[#This Row],[Code]],'[1]Articulos Precio'!$A:$E,5,FALSE)</f>
        <v>A0000541</v>
      </c>
    </row>
    <row r="3492" spans="1:9" x14ac:dyDescent="0.25">
      <c r="A3492" t="s">
        <v>1263</v>
      </c>
      <c r="B3492" t="str">
        <f>VLOOKUP(Tabla1[[#This Row],[Code]],[1]!Tabla4[#Data],2,FALSE)</f>
        <v>M2 Metamark MT677 Azul Real 1,22 x 50m</v>
      </c>
      <c r="C3492">
        <v>23</v>
      </c>
      <c r="D3492" t="s">
        <v>90</v>
      </c>
      <c r="E3492" t="str">
        <f>VLOOKUP(Tabla1[[#This Row],[Cód. Atributo]],[1]!Tabla5[#Data],6,FALSE)</f>
        <v>Select</v>
      </c>
      <c r="F3492">
        <v>5</v>
      </c>
      <c r="G3492">
        <v>2</v>
      </c>
      <c r="H3492" t="s">
        <v>136</v>
      </c>
      <c r="I3492" t="str">
        <f>VLOOKUP(Tabla1[[#This Row],[Code]],'[1]Articulos Precio'!$A:$E,5,FALSE)</f>
        <v>A0000541</v>
      </c>
    </row>
    <row r="3493" spans="1:9" x14ac:dyDescent="0.25">
      <c r="A3493" t="s">
        <v>1265</v>
      </c>
      <c r="B3493" t="str">
        <f>VLOOKUP(Tabla1[[#This Row],[Code]],[1]!Tabla4[#Data],2,FALSE)</f>
        <v>ML Cad-Cut Sportsfilm 254 Rosa Vintage 500mm</v>
      </c>
      <c r="C3493">
        <v>2</v>
      </c>
      <c r="D3493" t="s">
        <v>10</v>
      </c>
      <c r="E3493" t="str">
        <f>VLOOKUP(Tabla1[[#This Row],[Cód. Atributo]],[1]!Tabla5[#Data],6,FALSE)</f>
        <v>Select</v>
      </c>
      <c r="F3493">
        <v>1</v>
      </c>
      <c r="G3493">
        <v>1</v>
      </c>
      <c r="H3493" t="s">
        <v>11</v>
      </c>
      <c r="I3493" t="str">
        <f>VLOOKUP(Tabla1[[#This Row],[Code]],'[1]Articulos Precio'!$A:$E,5,FALSE)</f>
        <v>A0000606</v>
      </c>
    </row>
    <row r="3494" spans="1:9" x14ac:dyDescent="0.25">
      <c r="A3494" t="s">
        <v>1265</v>
      </c>
      <c r="B3494" t="str">
        <f>VLOOKUP(Tabla1[[#This Row],[Code]],[1]!Tabla4[#Data],2,FALSE)</f>
        <v>ML Cad-Cut Sportsfilm 254 Rosa Vintage 500mm</v>
      </c>
      <c r="C3494">
        <v>18</v>
      </c>
      <c r="D3494" t="s">
        <v>712</v>
      </c>
      <c r="E3494" t="str">
        <f>VLOOKUP(Tabla1[[#This Row],[Cód. Atributo]],[1]!Tabla5[#Data],6,FALSE)</f>
        <v>Color</v>
      </c>
      <c r="F3494">
        <v>2</v>
      </c>
      <c r="G3494">
        <v>49</v>
      </c>
      <c r="H3494" t="s">
        <v>1266</v>
      </c>
      <c r="I3494" t="str">
        <f>VLOOKUP(Tabla1[[#This Row],[Code]],'[1]Articulos Precio'!$A:$E,5,FALSE)</f>
        <v>A0000606</v>
      </c>
    </row>
    <row r="3495" spans="1:9" x14ac:dyDescent="0.25">
      <c r="A3495" t="s">
        <v>1267</v>
      </c>
      <c r="B3495" t="str">
        <f>VLOOKUP(Tabla1[[#This Row],[Code]],[1]!Tabla4[#Data],2,FALSE)</f>
        <v>M2 Metamark MT678 Cathay Verde 1,22 x 50m</v>
      </c>
      <c r="C3495">
        <v>8</v>
      </c>
      <c r="D3495" t="s">
        <v>86</v>
      </c>
      <c r="E3495" t="str">
        <f>VLOOKUP(Tabla1[[#This Row],[Cód. Atributo]],[1]!Tabla5[#Data],6,FALSE)</f>
        <v>Select</v>
      </c>
      <c r="F3495">
        <v>1</v>
      </c>
      <c r="G3495">
        <v>2</v>
      </c>
      <c r="H3495" t="s">
        <v>268</v>
      </c>
      <c r="I3495" t="str">
        <f>VLOOKUP(Tabla1[[#This Row],[Code]],'[1]Articulos Precio'!$A:$E,5,FALSE)</f>
        <v>A0000541</v>
      </c>
    </row>
    <row r="3496" spans="1:9" x14ac:dyDescent="0.25">
      <c r="A3496" t="s">
        <v>1267</v>
      </c>
      <c r="B3496" t="str">
        <f>VLOOKUP(Tabla1[[#This Row],[Code]],[1]!Tabla4[#Data],2,FALSE)</f>
        <v>M2 Metamark MT678 Cathay Verde 1,22 x 50m</v>
      </c>
      <c r="C3496">
        <v>14</v>
      </c>
      <c r="D3496" t="s">
        <v>1182</v>
      </c>
      <c r="E3496" t="str">
        <f>VLOOKUP(Tabla1[[#This Row],[Cód. Atributo]],[1]!Tabla5[#Data],6,FALSE)</f>
        <v>Color</v>
      </c>
      <c r="F3496">
        <v>2</v>
      </c>
      <c r="G3496">
        <v>31</v>
      </c>
      <c r="H3496" t="s">
        <v>1268</v>
      </c>
      <c r="I3496" t="str">
        <f>VLOOKUP(Tabla1[[#This Row],[Code]],'[1]Articulos Precio'!$A:$E,5,FALSE)</f>
        <v>A0000541</v>
      </c>
    </row>
    <row r="3497" spans="1:9" x14ac:dyDescent="0.25">
      <c r="A3497" t="s">
        <v>1267</v>
      </c>
      <c r="B3497" t="str">
        <f>VLOOKUP(Tabla1[[#This Row],[Code]],[1]!Tabla4[#Data],2,FALSE)</f>
        <v>M2 Metamark MT678 Cathay Verde 1,22 x 50m</v>
      </c>
      <c r="C3497">
        <v>24</v>
      </c>
      <c r="D3497" t="s">
        <v>96</v>
      </c>
      <c r="E3497" t="str">
        <f>VLOOKUP(Tabla1[[#This Row],[Cód. Atributo]],[1]!Tabla5[#Data],6,FALSE)</f>
        <v>Select</v>
      </c>
      <c r="F3497">
        <v>3</v>
      </c>
      <c r="G3497">
        <v>3</v>
      </c>
      <c r="H3497" t="s">
        <v>181</v>
      </c>
      <c r="I3497" t="str">
        <f>VLOOKUP(Tabla1[[#This Row],[Code]],'[1]Articulos Precio'!$A:$E,5,FALSE)</f>
        <v>A0000541</v>
      </c>
    </row>
    <row r="3498" spans="1:9" x14ac:dyDescent="0.25">
      <c r="A3498" t="s">
        <v>1267</v>
      </c>
      <c r="B3498" t="str">
        <f>VLOOKUP(Tabla1[[#This Row],[Code]],[1]!Tabla4[#Data],2,FALSE)</f>
        <v>M2 Metamark MT678 Cathay Verde 1,22 x 50m</v>
      </c>
      <c r="C3498">
        <v>25</v>
      </c>
      <c r="D3498" t="s">
        <v>94</v>
      </c>
      <c r="E3498" t="str">
        <f>VLOOKUP(Tabla1[[#This Row],[Cód. Atributo]],[1]!Tabla5[#Data],6,FALSE)</f>
        <v>Select</v>
      </c>
      <c r="F3498">
        <v>4</v>
      </c>
      <c r="G3498">
        <v>4</v>
      </c>
      <c r="H3498" t="s">
        <v>137</v>
      </c>
      <c r="I3498" t="str">
        <f>VLOOKUP(Tabla1[[#This Row],[Code]],'[1]Articulos Precio'!$A:$E,5,FALSE)</f>
        <v>A0000541</v>
      </c>
    </row>
    <row r="3499" spans="1:9" x14ac:dyDescent="0.25">
      <c r="A3499" t="s">
        <v>1267</v>
      </c>
      <c r="B3499" t="str">
        <f>VLOOKUP(Tabla1[[#This Row],[Code]],[1]!Tabla4[#Data],2,FALSE)</f>
        <v>M2 Metamark MT678 Cathay Verde 1,22 x 50m</v>
      </c>
      <c r="C3499">
        <v>23</v>
      </c>
      <c r="D3499" t="s">
        <v>90</v>
      </c>
      <c r="E3499" t="str">
        <f>VLOOKUP(Tabla1[[#This Row],[Cód. Atributo]],[1]!Tabla5[#Data],6,FALSE)</f>
        <v>Select</v>
      </c>
      <c r="F3499">
        <v>5</v>
      </c>
      <c r="G3499">
        <v>2</v>
      </c>
      <c r="H3499" t="s">
        <v>136</v>
      </c>
      <c r="I3499" t="str">
        <f>VLOOKUP(Tabla1[[#This Row],[Code]],'[1]Articulos Precio'!$A:$E,5,FALSE)</f>
        <v>A0000541</v>
      </c>
    </row>
    <row r="3500" spans="1:9" x14ac:dyDescent="0.25">
      <c r="A3500" t="s">
        <v>1269</v>
      </c>
      <c r="B3500" t="str">
        <f>VLOOKUP(Tabla1[[#This Row],[Code]],[1]!Tabla4[#Data],2,FALSE)</f>
        <v>M2 Metamark MT679 Verde Menta 1,22 x 50m</v>
      </c>
      <c r="C3500">
        <v>8</v>
      </c>
      <c r="D3500" t="s">
        <v>86</v>
      </c>
      <c r="E3500" t="str">
        <f>VLOOKUP(Tabla1[[#This Row],[Cód. Atributo]],[1]!Tabla5[#Data],6,FALSE)</f>
        <v>Select</v>
      </c>
      <c r="F3500">
        <v>1</v>
      </c>
      <c r="G3500">
        <v>2</v>
      </c>
      <c r="H3500" t="s">
        <v>268</v>
      </c>
      <c r="I3500" t="str">
        <f>VLOOKUP(Tabla1[[#This Row],[Code]],'[1]Articulos Precio'!$A:$E,5,FALSE)</f>
        <v>A0000541</v>
      </c>
    </row>
    <row r="3501" spans="1:9" x14ac:dyDescent="0.25">
      <c r="A3501" t="s">
        <v>1269</v>
      </c>
      <c r="B3501" t="str">
        <f>VLOOKUP(Tabla1[[#This Row],[Code]],[1]!Tabla4[#Data],2,FALSE)</f>
        <v>M2 Metamark MT679 Verde Menta 1,22 x 50m</v>
      </c>
      <c r="C3501">
        <v>14</v>
      </c>
      <c r="D3501" t="s">
        <v>1182</v>
      </c>
      <c r="E3501" t="str">
        <f>VLOOKUP(Tabla1[[#This Row],[Cód. Atributo]],[1]!Tabla5[#Data],6,FALSE)</f>
        <v>Color</v>
      </c>
      <c r="F3501">
        <v>2</v>
      </c>
      <c r="G3501">
        <v>32</v>
      </c>
      <c r="H3501" t="s">
        <v>1270</v>
      </c>
      <c r="I3501" t="str">
        <f>VLOOKUP(Tabla1[[#This Row],[Code]],'[1]Articulos Precio'!$A:$E,5,FALSE)</f>
        <v>A0000541</v>
      </c>
    </row>
    <row r="3502" spans="1:9" x14ac:dyDescent="0.25">
      <c r="A3502" t="s">
        <v>1269</v>
      </c>
      <c r="B3502" t="str">
        <f>VLOOKUP(Tabla1[[#This Row],[Code]],[1]!Tabla4[#Data],2,FALSE)</f>
        <v>M2 Metamark MT679 Verde Menta 1,22 x 50m</v>
      </c>
      <c r="C3502">
        <v>24</v>
      </c>
      <c r="D3502" t="s">
        <v>96</v>
      </c>
      <c r="E3502" t="str">
        <f>VLOOKUP(Tabla1[[#This Row],[Cód. Atributo]],[1]!Tabla5[#Data],6,FALSE)</f>
        <v>Select</v>
      </c>
      <c r="F3502">
        <v>3</v>
      </c>
      <c r="G3502">
        <v>3</v>
      </c>
      <c r="H3502" t="s">
        <v>181</v>
      </c>
      <c r="I3502" t="str">
        <f>VLOOKUP(Tabla1[[#This Row],[Code]],'[1]Articulos Precio'!$A:$E,5,FALSE)</f>
        <v>A0000541</v>
      </c>
    </row>
    <row r="3503" spans="1:9" x14ac:dyDescent="0.25">
      <c r="A3503" t="s">
        <v>1269</v>
      </c>
      <c r="B3503" t="str">
        <f>VLOOKUP(Tabla1[[#This Row],[Code]],[1]!Tabla4[#Data],2,FALSE)</f>
        <v>M2 Metamark MT679 Verde Menta 1,22 x 50m</v>
      </c>
      <c r="C3503">
        <v>25</v>
      </c>
      <c r="D3503" t="s">
        <v>94</v>
      </c>
      <c r="E3503" t="str">
        <f>VLOOKUP(Tabla1[[#This Row],[Cód. Atributo]],[1]!Tabla5[#Data],6,FALSE)</f>
        <v>Select</v>
      </c>
      <c r="F3503">
        <v>4</v>
      </c>
      <c r="G3503">
        <v>4</v>
      </c>
      <c r="H3503" t="s">
        <v>137</v>
      </c>
      <c r="I3503" t="str">
        <f>VLOOKUP(Tabla1[[#This Row],[Code]],'[1]Articulos Precio'!$A:$E,5,FALSE)</f>
        <v>A0000541</v>
      </c>
    </row>
    <row r="3504" spans="1:9" x14ac:dyDescent="0.25">
      <c r="A3504" t="s">
        <v>1269</v>
      </c>
      <c r="B3504" t="str">
        <f>VLOOKUP(Tabla1[[#This Row],[Code]],[1]!Tabla4[#Data],2,FALSE)</f>
        <v>M2 Metamark MT679 Verde Menta 1,22 x 50m</v>
      </c>
      <c r="C3504">
        <v>23</v>
      </c>
      <c r="D3504" t="s">
        <v>90</v>
      </c>
      <c r="E3504" t="str">
        <f>VLOOKUP(Tabla1[[#This Row],[Cód. Atributo]],[1]!Tabla5[#Data],6,FALSE)</f>
        <v>Select</v>
      </c>
      <c r="F3504">
        <v>5</v>
      </c>
      <c r="G3504">
        <v>2</v>
      </c>
      <c r="H3504" t="s">
        <v>136</v>
      </c>
      <c r="I3504" t="str">
        <f>VLOOKUP(Tabla1[[#This Row],[Code]],'[1]Articulos Precio'!$A:$E,5,FALSE)</f>
        <v>A0000541</v>
      </c>
    </row>
    <row r="3505" spans="1:9" x14ac:dyDescent="0.25">
      <c r="A3505" t="s">
        <v>1271</v>
      </c>
      <c r="B3505" t="str">
        <f>VLOOKUP(Tabla1[[#This Row],[Code]],[1]!Tabla4[#Data],2,FALSE)</f>
        <v>M2 Metamark MT683 Violeta 1,22 x 50m</v>
      </c>
      <c r="C3505">
        <v>8</v>
      </c>
      <c r="D3505" t="s">
        <v>86</v>
      </c>
      <c r="E3505" t="str">
        <f>VLOOKUP(Tabla1[[#This Row],[Cód. Atributo]],[1]!Tabla5[#Data],6,FALSE)</f>
        <v>Select</v>
      </c>
      <c r="F3505">
        <v>1</v>
      </c>
      <c r="G3505">
        <v>2</v>
      </c>
      <c r="H3505" t="s">
        <v>268</v>
      </c>
      <c r="I3505" t="str">
        <f>VLOOKUP(Tabla1[[#This Row],[Code]],'[1]Articulos Precio'!$A:$E,5,FALSE)</f>
        <v>A0000541</v>
      </c>
    </row>
    <row r="3506" spans="1:9" x14ac:dyDescent="0.25">
      <c r="A3506" t="s">
        <v>1271</v>
      </c>
      <c r="B3506" t="str">
        <f>VLOOKUP(Tabla1[[#This Row],[Code]],[1]!Tabla4[#Data],2,FALSE)</f>
        <v>M2 Metamark MT683 Violeta 1,22 x 50m</v>
      </c>
      <c r="C3506">
        <v>14</v>
      </c>
      <c r="D3506" t="s">
        <v>1182</v>
      </c>
      <c r="E3506" t="str">
        <f>VLOOKUP(Tabla1[[#This Row],[Cód. Atributo]],[1]!Tabla5[#Data],6,FALSE)</f>
        <v>Color</v>
      </c>
      <c r="F3506">
        <v>2</v>
      </c>
      <c r="G3506">
        <v>33</v>
      </c>
      <c r="H3506" t="s">
        <v>1272</v>
      </c>
      <c r="I3506" t="str">
        <f>VLOOKUP(Tabla1[[#This Row],[Code]],'[1]Articulos Precio'!$A:$E,5,FALSE)</f>
        <v>A0000541</v>
      </c>
    </row>
    <row r="3507" spans="1:9" x14ac:dyDescent="0.25">
      <c r="A3507" t="s">
        <v>1271</v>
      </c>
      <c r="B3507" t="str">
        <f>VLOOKUP(Tabla1[[#This Row],[Code]],[1]!Tabla4[#Data],2,FALSE)</f>
        <v>M2 Metamark MT683 Violeta 1,22 x 50m</v>
      </c>
      <c r="C3507">
        <v>24</v>
      </c>
      <c r="D3507" t="s">
        <v>96</v>
      </c>
      <c r="E3507" t="str">
        <f>VLOOKUP(Tabla1[[#This Row],[Cód. Atributo]],[1]!Tabla5[#Data],6,FALSE)</f>
        <v>Select</v>
      </c>
      <c r="F3507">
        <v>3</v>
      </c>
      <c r="G3507">
        <v>3</v>
      </c>
      <c r="H3507" t="s">
        <v>181</v>
      </c>
      <c r="I3507" t="str">
        <f>VLOOKUP(Tabla1[[#This Row],[Code]],'[1]Articulos Precio'!$A:$E,5,FALSE)</f>
        <v>A0000541</v>
      </c>
    </row>
    <row r="3508" spans="1:9" x14ac:dyDescent="0.25">
      <c r="A3508" t="s">
        <v>1271</v>
      </c>
      <c r="B3508" t="str">
        <f>VLOOKUP(Tabla1[[#This Row],[Code]],[1]!Tabla4[#Data],2,FALSE)</f>
        <v>M2 Metamark MT683 Violeta 1,22 x 50m</v>
      </c>
      <c r="C3508">
        <v>25</v>
      </c>
      <c r="D3508" t="s">
        <v>94</v>
      </c>
      <c r="E3508" t="str">
        <f>VLOOKUP(Tabla1[[#This Row],[Cód. Atributo]],[1]!Tabla5[#Data],6,FALSE)</f>
        <v>Select</v>
      </c>
      <c r="F3508">
        <v>4</v>
      </c>
      <c r="G3508">
        <v>4</v>
      </c>
      <c r="H3508" t="s">
        <v>137</v>
      </c>
      <c r="I3508" t="str">
        <f>VLOOKUP(Tabla1[[#This Row],[Code]],'[1]Articulos Precio'!$A:$E,5,FALSE)</f>
        <v>A0000541</v>
      </c>
    </row>
    <row r="3509" spans="1:9" x14ac:dyDescent="0.25">
      <c r="A3509" t="s">
        <v>1271</v>
      </c>
      <c r="B3509" t="str">
        <f>VLOOKUP(Tabla1[[#This Row],[Code]],[1]!Tabla4[#Data],2,FALSE)</f>
        <v>M2 Metamark MT683 Violeta 1,22 x 50m</v>
      </c>
      <c r="C3509">
        <v>23</v>
      </c>
      <c r="D3509" t="s">
        <v>90</v>
      </c>
      <c r="E3509" t="str">
        <f>VLOOKUP(Tabla1[[#This Row],[Cód. Atributo]],[1]!Tabla5[#Data],6,FALSE)</f>
        <v>Select</v>
      </c>
      <c r="F3509">
        <v>5</v>
      </c>
      <c r="G3509">
        <v>2</v>
      </c>
      <c r="H3509" t="s">
        <v>136</v>
      </c>
      <c r="I3509" t="str">
        <f>VLOOKUP(Tabla1[[#This Row],[Code]],'[1]Articulos Precio'!$A:$E,5,FALSE)</f>
        <v>A0000541</v>
      </c>
    </row>
    <row r="3510" spans="1:9" x14ac:dyDescent="0.25">
      <c r="A3510" t="s">
        <v>1273</v>
      </c>
      <c r="B3510" t="str">
        <f>VLOOKUP(Tabla1[[#This Row],[Code]],[1]!Tabla4[#Data],2,FALSE)</f>
        <v>M2 Metamark MT684 Rose 1,22 x 50m</v>
      </c>
      <c r="C3510">
        <v>8</v>
      </c>
      <c r="D3510" t="s">
        <v>86</v>
      </c>
      <c r="E3510" t="str">
        <f>VLOOKUP(Tabla1[[#This Row],[Cód. Atributo]],[1]!Tabla5[#Data],6,FALSE)</f>
        <v>Select</v>
      </c>
      <c r="F3510">
        <v>1</v>
      </c>
      <c r="G3510">
        <v>2</v>
      </c>
      <c r="H3510" t="s">
        <v>268</v>
      </c>
      <c r="I3510" t="str">
        <f>VLOOKUP(Tabla1[[#This Row],[Code]],'[1]Articulos Precio'!$A:$E,5,FALSE)</f>
        <v>A0000541</v>
      </c>
    </row>
    <row r="3511" spans="1:9" x14ac:dyDescent="0.25">
      <c r="A3511" t="s">
        <v>1273</v>
      </c>
      <c r="B3511" t="str">
        <f>VLOOKUP(Tabla1[[#This Row],[Code]],[1]!Tabla4[#Data],2,FALSE)</f>
        <v>M2 Metamark MT684 Rose 1,22 x 50m</v>
      </c>
      <c r="C3511">
        <v>14</v>
      </c>
      <c r="D3511" t="s">
        <v>1182</v>
      </c>
      <c r="E3511" t="str">
        <f>VLOOKUP(Tabla1[[#This Row],[Cód. Atributo]],[1]!Tabla5[#Data],6,FALSE)</f>
        <v>Color</v>
      </c>
      <c r="F3511">
        <v>2</v>
      </c>
      <c r="G3511">
        <v>34</v>
      </c>
      <c r="H3511" t="s">
        <v>1274</v>
      </c>
      <c r="I3511" t="str">
        <f>VLOOKUP(Tabla1[[#This Row],[Code]],'[1]Articulos Precio'!$A:$E,5,FALSE)</f>
        <v>A0000541</v>
      </c>
    </row>
    <row r="3512" spans="1:9" x14ac:dyDescent="0.25">
      <c r="A3512" t="s">
        <v>1273</v>
      </c>
      <c r="B3512" t="str">
        <f>VLOOKUP(Tabla1[[#This Row],[Code]],[1]!Tabla4[#Data],2,FALSE)</f>
        <v>M2 Metamark MT684 Rose 1,22 x 50m</v>
      </c>
      <c r="C3512">
        <v>24</v>
      </c>
      <c r="D3512" t="s">
        <v>96</v>
      </c>
      <c r="E3512" t="str">
        <f>VLOOKUP(Tabla1[[#This Row],[Cód. Atributo]],[1]!Tabla5[#Data],6,FALSE)</f>
        <v>Select</v>
      </c>
      <c r="F3512">
        <v>3</v>
      </c>
      <c r="G3512">
        <v>3</v>
      </c>
      <c r="H3512" t="s">
        <v>181</v>
      </c>
      <c r="I3512" t="str">
        <f>VLOOKUP(Tabla1[[#This Row],[Code]],'[1]Articulos Precio'!$A:$E,5,FALSE)</f>
        <v>A0000541</v>
      </c>
    </row>
    <row r="3513" spans="1:9" x14ac:dyDescent="0.25">
      <c r="A3513" t="s">
        <v>1273</v>
      </c>
      <c r="B3513" t="str">
        <f>VLOOKUP(Tabla1[[#This Row],[Code]],[1]!Tabla4[#Data],2,FALSE)</f>
        <v>M2 Metamark MT684 Rose 1,22 x 50m</v>
      </c>
      <c r="C3513">
        <v>25</v>
      </c>
      <c r="D3513" t="s">
        <v>94</v>
      </c>
      <c r="E3513" t="str">
        <f>VLOOKUP(Tabla1[[#This Row],[Cód. Atributo]],[1]!Tabla5[#Data],6,FALSE)</f>
        <v>Select</v>
      </c>
      <c r="F3513">
        <v>4</v>
      </c>
      <c r="G3513">
        <v>4</v>
      </c>
      <c r="H3513" t="s">
        <v>137</v>
      </c>
      <c r="I3513" t="str">
        <f>VLOOKUP(Tabla1[[#This Row],[Code]],'[1]Articulos Precio'!$A:$E,5,FALSE)</f>
        <v>A0000541</v>
      </c>
    </row>
    <row r="3514" spans="1:9" x14ac:dyDescent="0.25">
      <c r="A3514" t="s">
        <v>1273</v>
      </c>
      <c r="B3514" t="str">
        <f>VLOOKUP(Tabla1[[#This Row],[Code]],[1]!Tabla4[#Data],2,FALSE)</f>
        <v>M2 Metamark MT684 Rose 1,22 x 50m</v>
      </c>
      <c r="C3514">
        <v>23</v>
      </c>
      <c r="D3514" t="s">
        <v>90</v>
      </c>
      <c r="E3514" t="str">
        <f>VLOOKUP(Tabla1[[#This Row],[Cód. Atributo]],[1]!Tabla5[#Data],6,FALSE)</f>
        <v>Select</v>
      </c>
      <c r="F3514">
        <v>5</v>
      </c>
      <c r="G3514">
        <v>2</v>
      </c>
      <c r="H3514" t="s">
        <v>136</v>
      </c>
      <c r="I3514" t="str">
        <f>VLOOKUP(Tabla1[[#This Row],[Code]],'[1]Articulos Precio'!$A:$E,5,FALSE)</f>
        <v>A0000541</v>
      </c>
    </row>
    <row r="3515" spans="1:9" x14ac:dyDescent="0.25">
      <c r="A3515" t="s">
        <v>1275</v>
      </c>
      <c r="B3515" t="str">
        <f>VLOOKUP(Tabla1[[#This Row],[Code]],[1]!Tabla4[#Data],2,FALSE)</f>
        <v>M2 Metamark MT685 Frambuesa 1,22 x 50m</v>
      </c>
      <c r="C3515">
        <v>8</v>
      </c>
      <c r="D3515" t="s">
        <v>86</v>
      </c>
      <c r="E3515" t="str">
        <f>VLOOKUP(Tabla1[[#This Row],[Cód. Atributo]],[1]!Tabla5[#Data],6,FALSE)</f>
        <v>Select</v>
      </c>
      <c r="F3515">
        <v>1</v>
      </c>
      <c r="G3515">
        <v>2</v>
      </c>
      <c r="H3515" t="s">
        <v>268</v>
      </c>
      <c r="I3515" t="str">
        <f>VLOOKUP(Tabla1[[#This Row],[Code]],'[1]Articulos Precio'!$A:$E,5,FALSE)</f>
        <v>A0000541</v>
      </c>
    </row>
    <row r="3516" spans="1:9" x14ac:dyDescent="0.25">
      <c r="A3516" t="s">
        <v>1275</v>
      </c>
      <c r="B3516" t="str">
        <f>VLOOKUP(Tabla1[[#This Row],[Code]],[1]!Tabla4[#Data],2,FALSE)</f>
        <v>M2 Metamark MT685 Frambuesa 1,22 x 50m</v>
      </c>
      <c r="C3516">
        <v>14</v>
      </c>
      <c r="D3516" t="s">
        <v>1182</v>
      </c>
      <c r="E3516" t="str">
        <f>VLOOKUP(Tabla1[[#This Row],[Cód. Atributo]],[1]!Tabla5[#Data],6,FALSE)</f>
        <v>Color</v>
      </c>
      <c r="F3516">
        <v>2</v>
      </c>
      <c r="G3516">
        <v>35</v>
      </c>
      <c r="H3516" t="s">
        <v>1276</v>
      </c>
      <c r="I3516" t="str">
        <f>VLOOKUP(Tabla1[[#This Row],[Code]],'[1]Articulos Precio'!$A:$E,5,FALSE)</f>
        <v>A0000541</v>
      </c>
    </row>
    <row r="3517" spans="1:9" x14ac:dyDescent="0.25">
      <c r="A3517" t="s">
        <v>1275</v>
      </c>
      <c r="B3517" t="str">
        <f>VLOOKUP(Tabla1[[#This Row],[Code]],[1]!Tabla4[#Data],2,FALSE)</f>
        <v>M2 Metamark MT685 Frambuesa 1,22 x 50m</v>
      </c>
      <c r="C3517">
        <v>24</v>
      </c>
      <c r="D3517" t="s">
        <v>96</v>
      </c>
      <c r="E3517" t="str">
        <f>VLOOKUP(Tabla1[[#This Row],[Cód. Atributo]],[1]!Tabla5[#Data],6,FALSE)</f>
        <v>Select</v>
      </c>
      <c r="F3517">
        <v>3</v>
      </c>
      <c r="G3517">
        <v>3</v>
      </c>
      <c r="H3517" t="s">
        <v>181</v>
      </c>
      <c r="I3517" t="str">
        <f>VLOOKUP(Tabla1[[#This Row],[Code]],'[1]Articulos Precio'!$A:$E,5,FALSE)</f>
        <v>A0000541</v>
      </c>
    </row>
    <row r="3518" spans="1:9" x14ac:dyDescent="0.25">
      <c r="A3518" t="s">
        <v>1275</v>
      </c>
      <c r="B3518" t="str">
        <f>VLOOKUP(Tabla1[[#This Row],[Code]],[1]!Tabla4[#Data],2,FALSE)</f>
        <v>M2 Metamark MT685 Frambuesa 1,22 x 50m</v>
      </c>
      <c r="C3518">
        <v>25</v>
      </c>
      <c r="D3518" t="s">
        <v>94</v>
      </c>
      <c r="E3518" t="str">
        <f>VLOOKUP(Tabla1[[#This Row],[Cód. Atributo]],[1]!Tabla5[#Data],6,FALSE)</f>
        <v>Select</v>
      </c>
      <c r="F3518">
        <v>4</v>
      </c>
      <c r="G3518">
        <v>4</v>
      </c>
      <c r="H3518" t="s">
        <v>137</v>
      </c>
      <c r="I3518" t="str">
        <f>VLOOKUP(Tabla1[[#This Row],[Code]],'[1]Articulos Precio'!$A:$E,5,FALSE)</f>
        <v>A0000541</v>
      </c>
    </row>
    <row r="3519" spans="1:9" x14ac:dyDescent="0.25">
      <c r="A3519" t="s">
        <v>1275</v>
      </c>
      <c r="B3519" t="str">
        <f>VLOOKUP(Tabla1[[#This Row],[Code]],[1]!Tabla4[#Data],2,FALSE)</f>
        <v>M2 Metamark MT685 Frambuesa 1,22 x 50m</v>
      </c>
      <c r="C3519">
        <v>23</v>
      </c>
      <c r="D3519" t="s">
        <v>90</v>
      </c>
      <c r="E3519" t="str">
        <f>VLOOKUP(Tabla1[[#This Row],[Cód. Atributo]],[1]!Tabla5[#Data],6,FALSE)</f>
        <v>Select</v>
      </c>
      <c r="F3519">
        <v>5</v>
      </c>
      <c r="G3519">
        <v>2</v>
      </c>
      <c r="H3519" t="s">
        <v>136</v>
      </c>
      <c r="I3519" t="str">
        <f>VLOOKUP(Tabla1[[#This Row],[Code]],'[1]Articulos Precio'!$A:$E,5,FALSE)</f>
        <v>A0000541</v>
      </c>
    </row>
    <row r="3520" spans="1:9" x14ac:dyDescent="0.25">
      <c r="A3520" t="s">
        <v>1277</v>
      </c>
      <c r="B3520" t="str">
        <f>VLOOKUP(Tabla1[[#This Row],[Code]],[1]!Tabla4[#Data],2,FALSE)</f>
        <v>M2 MM-CC Colour Change 00 Blanco Brillo 1,52x50m</v>
      </c>
      <c r="C3520">
        <v>8</v>
      </c>
      <c r="D3520" t="s">
        <v>86</v>
      </c>
      <c r="E3520" t="str">
        <f>VLOOKUP(Tabla1[[#This Row],[Cód. Atributo]],[1]!Tabla5[#Data],6,FALSE)</f>
        <v>Select</v>
      </c>
      <c r="F3520">
        <v>1</v>
      </c>
      <c r="G3520">
        <v>4</v>
      </c>
      <c r="H3520" t="s">
        <v>87</v>
      </c>
      <c r="I3520" t="str">
        <f>VLOOKUP(Tabla1[[#This Row],[Code]],'[1]Articulos Precio'!$A:$E,5,FALSE)</f>
        <v>A0002095</v>
      </c>
    </row>
    <row r="3521" spans="1:9" x14ac:dyDescent="0.25">
      <c r="A3521" t="s">
        <v>1277</v>
      </c>
      <c r="B3521" t="str">
        <f>VLOOKUP(Tabla1[[#This Row],[Code]],[1]!Tabla4[#Data],2,FALSE)</f>
        <v>M2 MM-CC Colour Change 00 Blanco Brillo 1,52x50m</v>
      </c>
      <c r="C3521">
        <v>54</v>
      </c>
      <c r="D3521" t="s">
        <v>88</v>
      </c>
      <c r="E3521" t="str">
        <f>VLOOKUP(Tabla1[[#This Row],[Cód. Atributo]],[1]!Tabla5[#Data],6,FALSE)</f>
        <v>Color</v>
      </c>
      <c r="F3521">
        <v>2</v>
      </c>
      <c r="G3521">
        <v>1</v>
      </c>
      <c r="H3521" t="s">
        <v>1278</v>
      </c>
      <c r="I3521" t="str">
        <f>VLOOKUP(Tabla1[[#This Row],[Code]],'[1]Articulos Precio'!$A:$E,5,FALSE)</f>
        <v>A0002095</v>
      </c>
    </row>
    <row r="3522" spans="1:9" x14ac:dyDescent="0.25">
      <c r="A3522" t="s">
        <v>1277</v>
      </c>
      <c r="B3522" t="str">
        <f>VLOOKUP(Tabla1[[#This Row],[Code]],[1]!Tabla4[#Data],2,FALSE)</f>
        <v>M2 MM-CC Colour Change 00 Blanco Brillo 1,52x50m</v>
      </c>
      <c r="C3522">
        <v>23</v>
      </c>
      <c r="D3522" t="s">
        <v>90</v>
      </c>
      <c r="E3522" t="str">
        <f>VLOOKUP(Tabla1[[#This Row],[Cód. Atributo]],[1]!Tabla5[#Data],6,FALSE)</f>
        <v>Select</v>
      </c>
      <c r="F3522">
        <v>3</v>
      </c>
      <c r="G3522">
        <v>5</v>
      </c>
      <c r="H3522" t="s">
        <v>1279</v>
      </c>
      <c r="I3522" t="str">
        <f>VLOOKUP(Tabla1[[#This Row],[Code]],'[1]Articulos Precio'!$A:$E,5,FALSE)</f>
        <v>A0002095</v>
      </c>
    </row>
    <row r="3523" spans="1:9" x14ac:dyDescent="0.25">
      <c r="A3523" t="s">
        <v>1277</v>
      </c>
      <c r="B3523" t="str">
        <f>VLOOKUP(Tabla1[[#This Row],[Code]],[1]!Tabla4[#Data],2,FALSE)</f>
        <v>M2 MM-CC Colour Change 00 Blanco Brillo 1,52x50m</v>
      </c>
      <c r="C3523">
        <v>28</v>
      </c>
      <c r="D3523" t="s">
        <v>92</v>
      </c>
      <c r="E3523" t="str">
        <f>VLOOKUP(Tabla1[[#This Row],[Cód. Atributo]],[1]!Tabla5[#Data],6,FALSE)</f>
        <v>Select</v>
      </c>
      <c r="F3523">
        <v>4</v>
      </c>
      <c r="G3523">
        <v>1</v>
      </c>
      <c r="H3523" t="s">
        <v>93</v>
      </c>
      <c r="I3523" t="str">
        <f>VLOOKUP(Tabla1[[#This Row],[Code]],'[1]Articulos Precio'!$A:$E,5,FALSE)</f>
        <v>A0002095</v>
      </c>
    </row>
    <row r="3524" spans="1:9" x14ac:dyDescent="0.25">
      <c r="A3524" t="s">
        <v>1277</v>
      </c>
      <c r="B3524" t="str">
        <f>VLOOKUP(Tabla1[[#This Row],[Code]],[1]!Tabla4[#Data],2,FALSE)</f>
        <v>M2 MM-CC Colour Change 00 Blanco Brillo 1,52x50m</v>
      </c>
      <c r="C3524">
        <v>25</v>
      </c>
      <c r="D3524" t="s">
        <v>94</v>
      </c>
      <c r="E3524" t="str">
        <f>VLOOKUP(Tabla1[[#This Row],[Cód. Atributo]],[1]!Tabla5[#Data],6,FALSE)</f>
        <v>Select</v>
      </c>
      <c r="F3524">
        <v>5</v>
      </c>
      <c r="G3524">
        <v>4</v>
      </c>
      <c r="H3524" t="s">
        <v>137</v>
      </c>
      <c r="I3524" t="str">
        <f>VLOOKUP(Tabla1[[#This Row],[Code]],'[1]Articulos Precio'!$A:$E,5,FALSE)</f>
        <v>A0002095</v>
      </c>
    </row>
    <row r="3525" spans="1:9" x14ac:dyDescent="0.25">
      <c r="A3525" t="s">
        <v>1277</v>
      </c>
      <c r="B3525" t="str">
        <f>VLOOKUP(Tabla1[[#This Row],[Code]],[1]!Tabla4[#Data],2,FALSE)</f>
        <v>M2 MM-CC Colour Change 00 Blanco Brillo 1,52x50m</v>
      </c>
      <c r="C3525">
        <v>24</v>
      </c>
      <c r="D3525" t="s">
        <v>96</v>
      </c>
      <c r="E3525" t="str">
        <f>VLOOKUP(Tabla1[[#This Row],[Cód. Atributo]],[1]!Tabla5[#Data],6,FALSE)</f>
        <v>Select</v>
      </c>
      <c r="F3525">
        <v>6</v>
      </c>
      <c r="G3525">
        <v>6</v>
      </c>
      <c r="H3525" t="s">
        <v>97</v>
      </c>
      <c r="I3525" t="str">
        <f>VLOOKUP(Tabla1[[#This Row],[Code]],'[1]Articulos Precio'!$A:$E,5,FALSE)</f>
        <v>A0002095</v>
      </c>
    </row>
    <row r="3526" spans="1:9" x14ac:dyDescent="0.25">
      <c r="A3526" t="s">
        <v>1280</v>
      </c>
      <c r="B3526" t="str">
        <f>VLOOKUP(Tabla1[[#This Row],[Code]],[1]!Tabla4[#Data],2,FALSE)</f>
        <v>M2 MM-CC Colour Change 01M Blanco Mate 1,52x50m</v>
      </c>
      <c r="C3526">
        <v>8</v>
      </c>
      <c r="D3526" t="s">
        <v>86</v>
      </c>
      <c r="E3526" t="str">
        <f>VLOOKUP(Tabla1[[#This Row],[Cód. Atributo]],[1]!Tabla5[#Data],6,FALSE)</f>
        <v>Select</v>
      </c>
      <c r="F3526">
        <v>1</v>
      </c>
      <c r="G3526">
        <v>4</v>
      </c>
      <c r="H3526" t="s">
        <v>87</v>
      </c>
      <c r="I3526" t="str">
        <f>VLOOKUP(Tabla1[[#This Row],[Code]],'[1]Articulos Precio'!$A:$E,5,FALSE)</f>
        <v>A0002095</v>
      </c>
    </row>
    <row r="3527" spans="1:9" x14ac:dyDescent="0.25">
      <c r="A3527" t="s">
        <v>1280</v>
      </c>
      <c r="B3527" t="str">
        <f>VLOOKUP(Tabla1[[#This Row],[Code]],[1]!Tabla4[#Data],2,FALSE)</f>
        <v>M2 MM-CC Colour Change 01M Blanco Mate 1,52x50m</v>
      </c>
      <c r="C3527">
        <v>54</v>
      </c>
      <c r="D3527" t="s">
        <v>88</v>
      </c>
      <c r="E3527" t="str">
        <f>VLOOKUP(Tabla1[[#This Row],[Cód. Atributo]],[1]!Tabla5[#Data],6,FALSE)</f>
        <v>Color</v>
      </c>
      <c r="F3527">
        <v>2</v>
      </c>
      <c r="G3527">
        <v>2</v>
      </c>
      <c r="H3527" t="s">
        <v>1281</v>
      </c>
      <c r="I3527" t="str">
        <f>VLOOKUP(Tabla1[[#This Row],[Code]],'[1]Articulos Precio'!$A:$E,5,FALSE)</f>
        <v>A0002095</v>
      </c>
    </row>
    <row r="3528" spans="1:9" x14ac:dyDescent="0.25">
      <c r="A3528" t="s">
        <v>1280</v>
      </c>
      <c r="B3528" t="str">
        <f>VLOOKUP(Tabla1[[#This Row],[Code]],[1]!Tabla4[#Data],2,FALSE)</f>
        <v>M2 MM-CC Colour Change 01M Blanco Mate 1,52x50m</v>
      </c>
      <c r="C3528">
        <v>23</v>
      </c>
      <c r="D3528" t="s">
        <v>90</v>
      </c>
      <c r="E3528" t="str">
        <f>VLOOKUP(Tabla1[[#This Row],[Cód. Atributo]],[1]!Tabla5[#Data],6,FALSE)</f>
        <v>Select</v>
      </c>
      <c r="F3528">
        <v>3</v>
      </c>
      <c r="G3528">
        <v>5</v>
      </c>
      <c r="H3528" t="s">
        <v>1279</v>
      </c>
      <c r="I3528" t="str">
        <f>VLOOKUP(Tabla1[[#This Row],[Code]],'[1]Articulos Precio'!$A:$E,5,FALSE)</f>
        <v>A0002095</v>
      </c>
    </row>
    <row r="3529" spans="1:9" x14ac:dyDescent="0.25">
      <c r="A3529" t="s">
        <v>1280</v>
      </c>
      <c r="B3529" t="str">
        <f>VLOOKUP(Tabla1[[#This Row],[Code]],[1]!Tabla4[#Data],2,FALSE)</f>
        <v>M2 MM-CC Colour Change 01M Blanco Mate 1,52x50m</v>
      </c>
      <c r="C3529">
        <v>28</v>
      </c>
      <c r="D3529" t="s">
        <v>92</v>
      </c>
      <c r="E3529" t="str">
        <f>VLOOKUP(Tabla1[[#This Row],[Cód. Atributo]],[1]!Tabla5[#Data],6,FALSE)</f>
        <v>Select</v>
      </c>
      <c r="F3529">
        <v>4</v>
      </c>
      <c r="G3529">
        <v>2</v>
      </c>
      <c r="H3529" t="s">
        <v>102</v>
      </c>
      <c r="I3529" t="str">
        <f>VLOOKUP(Tabla1[[#This Row],[Code]],'[1]Articulos Precio'!$A:$E,5,FALSE)</f>
        <v>A0002095</v>
      </c>
    </row>
    <row r="3530" spans="1:9" x14ac:dyDescent="0.25">
      <c r="A3530" t="s">
        <v>1280</v>
      </c>
      <c r="B3530" t="str">
        <f>VLOOKUP(Tabla1[[#This Row],[Code]],[1]!Tabla4[#Data],2,FALSE)</f>
        <v>M2 MM-CC Colour Change 01M Blanco Mate 1,52x50m</v>
      </c>
      <c r="C3530">
        <v>25</v>
      </c>
      <c r="D3530" t="s">
        <v>94</v>
      </c>
      <c r="E3530" t="str">
        <f>VLOOKUP(Tabla1[[#This Row],[Cód. Atributo]],[1]!Tabla5[#Data],6,FALSE)</f>
        <v>Select</v>
      </c>
      <c r="F3530">
        <v>5</v>
      </c>
      <c r="G3530">
        <v>4</v>
      </c>
      <c r="H3530" t="s">
        <v>137</v>
      </c>
      <c r="I3530" t="str">
        <f>VLOOKUP(Tabla1[[#This Row],[Code]],'[1]Articulos Precio'!$A:$E,5,FALSE)</f>
        <v>A0002095</v>
      </c>
    </row>
    <row r="3531" spans="1:9" x14ac:dyDescent="0.25">
      <c r="A3531" t="s">
        <v>1280</v>
      </c>
      <c r="B3531" t="str">
        <f>VLOOKUP(Tabla1[[#This Row],[Code]],[1]!Tabla4[#Data],2,FALSE)</f>
        <v>M2 MM-CC Colour Change 01M Blanco Mate 1,52x50m</v>
      </c>
      <c r="C3531">
        <v>24</v>
      </c>
      <c r="D3531" t="s">
        <v>96</v>
      </c>
      <c r="E3531" t="str">
        <f>VLOOKUP(Tabla1[[#This Row],[Cód. Atributo]],[1]!Tabla5[#Data],6,FALSE)</f>
        <v>Select</v>
      </c>
      <c r="F3531">
        <v>6</v>
      </c>
      <c r="G3531">
        <v>6</v>
      </c>
      <c r="H3531" t="s">
        <v>97</v>
      </c>
      <c r="I3531" t="str">
        <f>VLOOKUP(Tabla1[[#This Row],[Code]],'[1]Articulos Precio'!$A:$E,5,FALSE)</f>
        <v>A0002095</v>
      </c>
    </row>
    <row r="3532" spans="1:9" x14ac:dyDescent="0.25">
      <c r="A3532" t="s">
        <v>1282</v>
      </c>
      <c r="B3532" t="str">
        <f>VLOOKUP(Tabla1[[#This Row],[Code]],[1]!Tabla4[#Data],2,FALSE)</f>
        <v>M2 MM-CC Colour Change 10 Negro Brillo 1,52x50m</v>
      </c>
      <c r="C3532">
        <v>8</v>
      </c>
      <c r="D3532" t="s">
        <v>86</v>
      </c>
      <c r="E3532" t="str">
        <f>VLOOKUP(Tabla1[[#This Row],[Cód. Atributo]],[1]!Tabla5[#Data],6,FALSE)</f>
        <v>Select</v>
      </c>
      <c r="F3532">
        <v>1</v>
      </c>
      <c r="G3532">
        <v>4</v>
      </c>
      <c r="H3532" t="s">
        <v>87</v>
      </c>
      <c r="I3532" t="str">
        <f>VLOOKUP(Tabla1[[#This Row],[Code]],'[1]Articulos Precio'!$A:$E,5,FALSE)</f>
        <v>A0002095</v>
      </c>
    </row>
    <row r="3533" spans="1:9" x14ac:dyDescent="0.25">
      <c r="A3533" t="s">
        <v>1282</v>
      </c>
      <c r="B3533" t="str">
        <f>VLOOKUP(Tabla1[[#This Row],[Code]],[1]!Tabla4[#Data],2,FALSE)</f>
        <v>M2 MM-CC Colour Change 10 Negro Brillo 1,52x50m</v>
      </c>
      <c r="C3533">
        <v>54</v>
      </c>
      <c r="D3533" t="s">
        <v>88</v>
      </c>
      <c r="E3533" t="str">
        <f>VLOOKUP(Tabla1[[#This Row],[Cód. Atributo]],[1]!Tabla5[#Data],6,FALSE)</f>
        <v>Color</v>
      </c>
      <c r="F3533">
        <v>2</v>
      </c>
      <c r="G3533">
        <v>3</v>
      </c>
      <c r="H3533" t="s">
        <v>1283</v>
      </c>
      <c r="I3533" t="str">
        <f>VLOOKUP(Tabla1[[#This Row],[Code]],'[1]Articulos Precio'!$A:$E,5,FALSE)</f>
        <v>A0002095</v>
      </c>
    </row>
    <row r="3534" spans="1:9" x14ac:dyDescent="0.25">
      <c r="A3534" t="s">
        <v>1282</v>
      </c>
      <c r="B3534" t="str">
        <f>VLOOKUP(Tabla1[[#This Row],[Code]],[1]!Tabla4[#Data],2,FALSE)</f>
        <v>M2 MM-CC Colour Change 10 Negro Brillo 1,52x50m</v>
      </c>
      <c r="C3534">
        <v>23</v>
      </c>
      <c r="D3534" t="s">
        <v>90</v>
      </c>
      <c r="E3534" t="str">
        <f>VLOOKUP(Tabla1[[#This Row],[Cód. Atributo]],[1]!Tabla5[#Data],6,FALSE)</f>
        <v>Select</v>
      </c>
      <c r="F3534">
        <v>3</v>
      </c>
      <c r="G3534">
        <v>5</v>
      </c>
      <c r="H3534" t="s">
        <v>1279</v>
      </c>
      <c r="I3534" t="str">
        <f>VLOOKUP(Tabla1[[#This Row],[Code]],'[1]Articulos Precio'!$A:$E,5,FALSE)</f>
        <v>A0002095</v>
      </c>
    </row>
    <row r="3535" spans="1:9" x14ac:dyDescent="0.25">
      <c r="A3535" t="s">
        <v>1282</v>
      </c>
      <c r="B3535" t="str">
        <f>VLOOKUP(Tabla1[[#This Row],[Code]],[1]!Tabla4[#Data],2,FALSE)</f>
        <v>M2 MM-CC Colour Change 10 Negro Brillo 1,52x50m</v>
      </c>
      <c r="C3535">
        <v>28</v>
      </c>
      <c r="D3535" t="s">
        <v>92</v>
      </c>
      <c r="E3535" t="str">
        <f>VLOOKUP(Tabla1[[#This Row],[Cód. Atributo]],[1]!Tabla5[#Data],6,FALSE)</f>
        <v>Select</v>
      </c>
      <c r="F3535">
        <v>4</v>
      </c>
      <c r="G3535">
        <v>1</v>
      </c>
      <c r="H3535" t="s">
        <v>93</v>
      </c>
      <c r="I3535" t="str">
        <f>VLOOKUP(Tabla1[[#This Row],[Code]],'[1]Articulos Precio'!$A:$E,5,FALSE)</f>
        <v>A0002095</v>
      </c>
    </row>
    <row r="3536" spans="1:9" x14ac:dyDescent="0.25">
      <c r="A3536" t="s">
        <v>1282</v>
      </c>
      <c r="B3536" t="str">
        <f>VLOOKUP(Tabla1[[#This Row],[Code]],[1]!Tabla4[#Data],2,FALSE)</f>
        <v>M2 MM-CC Colour Change 10 Negro Brillo 1,52x50m</v>
      </c>
      <c r="C3536">
        <v>25</v>
      </c>
      <c r="D3536" t="s">
        <v>94</v>
      </c>
      <c r="E3536" t="str">
        <f>VLOOKUP(Tabla1[[#This Row],[Cód. Atributo]],[1]!Tabla5[#Data],6,FALSE)</f>
        <v>Select</v>
      </c>
      <c r="F3536">
        <v>5</v>
      </c>
      <c r="G3536">
        <v>4</v>
      </c>
      <c r="H3536" t="s">
        <v>137</v>
      </c>
      <c r="I3536" t="str">
        <f>VLOOKUP(Tabla1[[#This Row],[Code]],'[1]Articulos Precio'!$A:$E,5,FALSE)</f>
        <v>A0002095</v>
      </c>
    </row>
    <row r="3537" spans="1:9" x14ac:dyDescent="0.25">
      <c r="A3537" t="s">
        <v>1282</v>
      </c>
      <c r="B3537" t="str">
        <f>VLOOKUP(Tabla1[[#This Row],[Code]],[1]!Tabla4[#Data],2,FALSE)</f>
        <v>M2 MM-CC Colour Change 10 Negro Brillo 1,52x50m</v>
      </c>
      <c r="C3537">
        <v>24</v>
      </c>
      <c r="D3537" t="s">
        <v>96</v>
      </c>
      <c r="E3537" t="str">
        <f>VLOOKUP(Tabla1[[#This Row],[Cód. Atributo]],[1]!Tabla5[#Data],6,FALSE)</f>
        <v>Select</v>
      </c>
      <c r="F3537">
        <v>6</v>
      </c>
      <c r="G3537">
        <v>6</v>
      </c>
      <c r="H3537" t="s">
        <v>97</v>
      </c>
      <c r="I3537" t="str">
        <f>VLOOKUP(Tabla1[[#This Row],[Code]],'[1]Articulos Precio'!$A:$E,5,FALSE)</f>
        <v>A0002095</v>
      </c>
    </row>
    <row r="3538" spans="1:9" x14ac:dyDescent="0.25">
      <c r="A3538" t="s">
        <v>1284</v>
      </c>
      <c r="B3538" t="str">
        <f>VLOOKUP(Tabla1[[#This Row],[Code]],[1]!Tabla4[#Data],2,FALSE)</f>
        <v>M2 MM-CC Colour Change 11 Negro Mate 1,52x50m</v>
      </c>
      <c r="C3538">
        <v>8</v>
      </c>
      <c r="D3538" t="s">
        <v>86</v>
      </c>
      <c r="E3538" t="str">
        <f>VLOOKUP(Tabla1[[#This Row],[Cód. Atributo]],[1]!Tabla5[#Data],6,FALSE)</f>
        <v>Select</v>
      </c>
      <c r="F3538">
        <v>1</v>
      </c>
      <c r="G3538">
        <v>4</v>
      </c>
      <c r="H3538" t="s">
        <v>87</v>
      </c>
      <c r="I3538" t="str">
        <f>VLOOKUP(Tabla1[[#This Row],[Code]],'[1]Articulos Precio'!$A:$E,5,FALSE)</f>
        <v>A0002095</v>
      </c>
    </row>
    <row r="3539" spans="1:9" x14ac:dyDescent="0.25">
      <c r="A3539" t="s">
        <v>1284</v>
      </c>
      <c r="B3539" t="str">
        <f>VLOOKUP(Tabla1[[#This Row],[Code]],[1]!Tabla4[#Data],2,FALSE)</f>
        <v>M2 MM-CC Colour Change 11 Negro Mate 1,52x50m</v>
      </c>
      <c r="C3539">
        <v>54</v>
      </c>
      <c r="D3539" t="s">
        <v>88</v>
      </c>
      <c r="E3539" t="str">
        <f>VLOOKUP(Tabla1[[#This Row],[Cód. Atributo]],[1]!Tabla5[#Data],6,FALSE)</f>
        <v>Color</v>
      </c>
      <c r="F3539">
        <v>2</v>
      </c>
      <c r="G3539">
        <v>4</v>
      </c>
      <c r="H3539" t="s">
        <v>1285</v>
      </c>
      <c r="I3539" t="str">
        <f>VLOOKUP(Tabla1[[#This Row],[Code]],'[1]Articulos Precio'!$A:$E,5,FALSE)</f>
        <v>A0002095</v>
      </c>
    </row>
    <row r="3540" spans="1:9" x14ac:dyDescent="0.25">
      <c r="A3540" t="s">
        <v>1284</v>
      </c>
      <c r="B3540" t="str">
        <f>VLOOKUP(Tabla1[[#This Row],[Code]],[1]!Tabla4[#Data],2,FALSE)</f>
        <v>M2 MM-CC Colour Change 11 Negro Mate 1,52x50m</v>
      </c>
      <c r="C3540">
        <v>23</v>
      </c>
      <c r="D3540" t="s">
        <v>90</v>
      </c>
      <c r="E3540" t="str">
        <f>VLOOKUP(Tabla1[[#This Row],[Cód. Atributo]],[1]!Tabla5[#Data],6,FALSE)</f>
        <v>Select</v>
      </c>
      <c r="F3540">
        <v>3</v>
      </c>
      <c r="G3540">
        <v>5</v>
      </c>
      <c r="H3540" t="s">
        <v>1279</v>
      </c>
      <c r="I3540" t="str">
        <f>VLOOKUP(Tabla1[[#This Row],[Code]],'[1]Articulos Precio'!$A:$E,5,FALSE)</f>
        <v>A0002095</v>
      </c>
    </row>
    <row r="3541" spans="1:9" x14ac:dyDescent="0.25">
      <c r="A3541" t="s">
        <v>1284</v>
      </c>
      <c r="B3541" t="str">
        <f>VLOOKUP(Tabla1[[#This Row],[Code]],[1]!Tabla4[#Data],2,FALSE)</f>
        <v>M2 MM-CC Colour Change 11 Negro Mate 1,52x50m</v>
      </c>
      <c r="C3541">
        <v>28</v>
      </c>
      <c r="D3541" t="s">
        <v>92</v>
      </c>
      <c r="E3541" t="str">
        <f>VLOOKUP(Tabla1[[#This Row],[Cód. Atributo]],[1]!Tabla5[#Data],6,FALSE)</f>
        <v>Select</v>
      </c>
      <c r="F3541">
        <v>4</v>
      </c>
      <c r="G3541">
        <v>2</v>
      </c>
      <c r="H3541" t="s">
        <v>102</v>
      </c>
      <c r="I3541" t="str">
        <f>VLOOKUP(Tabla1[[#This Row],[Code]],'[1]Articulos Precio'!$A:$E,5,FALSE)</f>
        <v>A0002095</v>
      </c>
    </row>
    <row r="3542" spans="1:9" x14ac:dyDescent="0.25">
      <c r="A3542" t="s">
        <v>1284</v>
      </c>
      <c r="B3542" t="str">
        <f>VLOOKUP(Tabla1[[#This Row],[Code]],[1]!Tabla4[#Data],2,FALSE)</f>
        <v>M2 MM-CC Colour Change 11 Negro Mate 1,52x50m</v>
      </c>
      <c r="C3542">
        <v>25</v>
      </c>
      <c r="D3542" t="s">
        <v>94</v>
      </c>
      <c r="E3542" t="str">
        <f>VLOOKUP(Tabla1[[#This Row],[Cód. Atributo]],[1]!Tabla5[#Data],6,FALSE)</f>
        <v>Select</v>
      </c>
      <c r="F3542">
        <v>5</v>
      </c>
      <c r="G3542">
        <v>4</v>
      </c>
      <c r="H3542" t="s">
        <v>137</v>
      </c>
      <c r="I3542" t="str">
        <f>VLOOKUP(Tabla1[[#This Row],[Code]],'[1]Articulos Precio'!$A:$E,5,FALSE)</f>
        <v>A0002095</v>
      </c>
    </row>
    <row r="3543" spans="1:9" x14ac:dyDescent="0.25">
      <c r="A3543" t="s">
        <v>1284</v>
      </c>
      <c r="B3543" t="str">
        <f>VLOOKUP(Tabla1[[#This Row],[Code]],[1]!Tabla4[#Data],2,FALSE)</f>
        <v>M2 MM-CC Colour Change 11 Negro Mate 1,52x50m</v>
      </c>
      <c r="C3543">
        <v>24</v>
      </c>
      <c r="D3543" t="s">
        <v>96</v>
      </c>
      <c r="E3543" t="str">
        <f>VLOOKUP(Tabla1[[#This Row],[Cód. Atributo]],[1]!Tabla5[#Data],6,FALSE)</f>
        <v>Select</v>
      </c>
      <c r="F3543">
        <v>6</v>
      </c>
      <c r="G3543">
        <v>6</v>
      </c>
      <c r="H3543" t="s">
        <v>97</v>
      </c>
      <c r="I3543" t="str">
        <f>VLOOKUP(Tabla1[[#This Row],[Code]],'[1]Articulos Precio'!$A:$E,5,FALSE)</f>
        <v>A0002095</v>
      </c>
    </row>
    <row r="3544" spans="1:9" x14ac:dyDescent="0.25">
      <c r="A3544" t="s">
        <v>1286</v>
      </c>
      <c r="B3544" t="str">
        <f>VLOOKUP(Tabla1[[#This Row],[Code]],[1]!Tabla4[#Data],2,FALSE)</f>
        <v>M2 MM-CC Colour Change 13 Naranja Señal Brillo 1,52x50m</v>
      </c>
      <c r="C3544">
        <v>8</v>
      </c>
      <c r="D3544" t="s">
        <v>86</v>
      </c>
      <c r="E3544" t="str">
        <f>VLOOKUP(Tabla1[[#This Row],[Cód. Atributo]],[1]!Tabla5[#Data],6,FALSE)</f>
        <v>Select</v>
      </c>
      <c r="F3544">
        <v>1</v>
      </c>
      <c r="G3544">
        <v>4</v>
      </c>
      <c r="H3544" t="s">
        <v>87</v>
      </c>
      <c r="I3544" t="str">
        <f>VLOOKUP(Tabla1[[#This Row],[Code]],'[1]Articulos Precio'!$A:$E,5,FALSE)</f>
        <v>A0002095</v>
      </c>
    </row>
    <row r="3545" spans="1:9" x14ac:dyDescent="0.25">
      <c r="A3545" t="s">
        <v>1286</v>
      </c>
      <c r="B3545" t="str">
        <f>VLOOKUP(Tabla1[[#This Row],[Code]],[1]!Tabla4[#Data],2,FALSE)</f>
        <v>M2 MM-CC Colour Change 13 Naranja Señal Brillo 1,52x50m</v>
      </c>
      <c r="C3545">
        <v>54</v>
      </c>
      <c r="D3545" t="s">
        <v>88</v>
      </c>
      <c r="E3545" t="str">
        <f>VLOOKUP(Tabla1[[#This Row],[Cód. Atributo]],[1]!Tabla5[#Data],6,FALSE)</f>
        <v>Color</v>
      </c>
      <c r="F3545">
        <v>2</v>
      </c>
      <c r="G3545">
        <v>5</v>
      </c>
      <c r="H3545" t="s">
        <v>1287</v>
      </c>
      <c r="I3545" t="str">
        <f>VLOOKUP(Tabla1[[#This Row],[Code]],'[1]Articulos Precio'!$A:$E,5,FALSE)</f>
        <v>A0002095</v>
      </c>
    </row>
    <row r="3546" spans="1:9" x14ac:dyDescent="0.25">
      <c r="A3546" t="s">
        <v>1286</v>
      </c>
      <c r="B3546" t="str">
        <f>VLOOKUP(Tabla1[[#This Row],[Code]],[1]!Tabla4[#Data],2,FALSE)</f>
        <v>M2 MM-CC Colour Change 13 Naranja Señal Brillo 1,52x50m</v>
      </c>
      <c r="C3546">
        <v>23</v>
      </c>
      <c r="D3546" t="s">
        <v>90</v>
      </c>
      <c r="E3546" t="str">
        <f>VLOOKUP(Tabla1[[#This Row],[Cód. Atributo]],[1]!Tabla5[#Data],6,FALSE)</f>
        <v>Select</v>
      </c>
      <c r="F3546">
        <v>3</v>
      </c>
      <c r="G3546">
        <v>5</v>
      </c>
      <c r="H3546" t="s">
        <v>1279</v>
      </c>
      <c r="I3546" t="str">
        <f>VLOOKUP(Tabla1[[#This Row],[Code]],'[1]Articulos Precio'!$A:$E,5,FALSE)</f>
        <v>A0002095</v>
      </c>
    </row>
    <row r="3547" spans="1:9" x14ac:dyDescent="0.25">
      <c r="A3547" t="s">
        <v>1286</v>
      </c>
      <c r="B3547" t="str">
        <f>VLOOKUP(Tabla1[[#This Row],[Code]],[1]!Tabla4[#Data],2,FALSE)</f>
        <v>M2 MM-CC Colour Change 13 Naranja Señal Brillo 1,52x50m</v>
      </c>
      <c r="C3547">
        <v>28</v>
      </c>
      <c r="D3547" t="s">
        <v>92</v>
      </c>
      <c r="E3547" t="str">
        <f>VLOOKUP(Tabla1[[#This Row],[Cód. Atributo]],[1]!Tabla5[#Data],6,FALSE)</f>
        <v>Select</v>
      </c>
      <c r="F3547">
        <v>4</v>
      </c>
      <c r="G3547">
        <v>1</v>
      </c>
      <c r="H3547" t="s">
        <v>93</v>
      </c>
      <c r="I3547" t="str">
        <f>VLOOKUP(Tabla1[[#This Row],[Code]],'[1]Articulos Precio'!$A:$E,5,FALSE)</f>
        <v>A0002095</v>
      </c>
    </row>
    <row r="3548" spans="1:9" x14ac:dyDescent="0.25">
      <c r="A3548" t="s">
        <v>1286</v>
      </c>
      <c r="B3548" t="str">
        <f>VLOOKUP(Tabla1[[#This Row],[Code]],[1]!Tabla4[#Data],2,FALSE)</f>
        <v>M2 MM-CC Colour Change 13 Naranja Señal Brillo 1,52x50m</v>
      </c>
      <c r="C3548">
        <v>25</v>
      </c>
      <c r="D3548" t="s">
        <v>94</v>
      </c>
      <c r="E3548" t="str">
        <f>VLOOKUP(Tabla1[[#This Row],[Cód. Atributo]],[1]!Tabla5[#Data],6,FALSE)</f>
        <v>Select</v>
      </c>
      <c r="F3548">
        <v>5</v>
      </c>
      <c r="G3548">
        <v>4</v>
      </c>
      <c r="H3548" t="s">
        <v>137</v>
      </c>
      <c r="I3548" t="str">
        <f>VLOOKUP(Tabla1[[#This Row],[Code]],'[1]Articulos Precio'!$A:$E,5,FALSE)</f>
        <v>A0002095</v>
      </c>
    </row>
    <row r="3549" spans="1:9" x14ac:dyDescent="0.25">
      <c r="A3549" t="s">
        <v>1286</v>
      </c>
      <c r="B3549" t="str">
        <f>VLOOKUP(Tabla1[[#This Row],[Code]],[1]!Tabla4[#Data],2,FALSE)</f>
        <v>M2 MM-CC Colour Change 13 Naranja Señal Brillo 1,52x50m</v>
      </c>
      <c r="C3549">
        <v>24</v>
      </c>
      <c r="D3549" t="s">
        <v>96</v>
      </c>
      <c r="E3549" t="str">
        <f>VLOOKUP(Tabla1[[#This Row],[Cód. Atributo]],[1]!Tabla5[#Data],6,FALSE)</f>
        <v>Select</v>
      </c>
      <c r="F3549">
        <v>6</v>
      </c>
      <c r="G3549">
        <v>6</v>
      </c>
      <c r="H3549" t="s">
        <v>97</v>
      </c>
      <c r="I3549" t="str">
        <f>VLOOKUP(Tabla1[[#This Row],[Code]],'[1]Articulos Precio'!$A:$E,5,FALSE)</f>
        <v>A0002095</v>
      </c>
    </row>
    <row r="3550" spans="1:9" x14ac:dyDescent="0.25">
      <c r="A3550" t="s">
        <v>1288</v>
      </c>
      <c r="B3550" t="str">
        <f>VLOOKUP(Tabla1[[#This Row],[Code]],[1]!Tabla4[#Data],2,FALSE)</f>
        <v>M2 MM-CC Colour Change 21 Gris Detroit Brillo 1,52x50m</v>
      </c>
      <c r="C3550">
        <v>8</v>
      </c>
      <c r="D3550" t="s">
        <v>86</v>
      </c>
      <c r="E3550" t="str">
        <f>VLOOKUP(Tabla1[[#This Row],[Cód. Atributo]],[1]!Tabla5[#Data],6,FALSE)</f>
        <v>Select</v>
      </c>
      <c r="F3550">
        <v>1</v>
      </c>
      <c r="G3550">
        <v>4</v>
      </c>
      <c r="H3550" t="s">
        <v>87</v>
      </c>
      <c r="I3550" t="str">
        <f>VLOOKUP(Tabla1[[#This Row],[Code]],'[1]Articulos Precio'!$A:$E,5,FALSE)</f>
        <v>A0002095</v>
      </c>
    </row>
    <row r="3551" spans="1:9" x14ac:dyDescent="0.25">
      <c r="A3551" t="s">
        <v>1288</v>
      </c>
      <c r="B3551" t="str">
        <f>VLOOKUP(Tabla1[[#This Row],[Code]],[1]!Tabla4[#Data],2,FALSE)</f>
        <v>M2 MM-CC Colour Change 21 Gris Detroit Brillo 1,52x50m</v>
      </c>
      <c r="C3551">
        <v>54</v>
      </c>
      <c r="D3551" t="s">
        <v>88</v>
      </c>
      <c r="E3551" t="str">
        <f>VLOOKUP(Tabla1[[#This Row],[Cód. Atributo]],[1]!Tabla5[#Data],6,FALSE)</f>
        <v>Color</v>
      </c>
      <c r="F3551">
        <v>2</v>
      </c>
      <c r="G3551">
        <v>6</v>
      </c>
      <c r="H3551" t="s">
        <v>1289</v>
      </c>
      <c r="I3551" t="str">
        <f>VLOOKUP(Tabla1[[#This Row],[Code]],'[1]Articulos Precio'!$A:$E,5,FALSE)</f>
        <v>A0002095</v>
      </c>
    </row>
    <row r="3552" spans="1:9" x14ac:dyDescent="0.25">
      <c r="A3552" t="s">
        <v>1288</v>
      </c>
      <c r="B3552" t="str">
        <f>VLOOKUP(Tabla1[[#This Row],[Code]],[1]!Tabla4[#Data],2,FALSE)</f>
        <v>M2 MM-CC Colour Change 21 Gris Detroit Brillo 1,52x50m</v>
      </c>
      <c r="C3552">
        <v>23</v>
      </c>
      <c r="D3552" t="s">
        <v>90</v>
      </c>
      <c r="E3552" t="str">
        <f>VLOOKUP(Tabla1[[#This Row],[Cód. Atributo]],[1]!Tabla5[#Data],6,FALSE)</f>
        <v>Select</v>
      </c>
      <c r="F3552">
        <v>3</v>
      </c>
      <c r="G3552">
        <v>5</v>
      </c>
      <c r="H3552" t="s">
        <v>1279</v>
      </c>
      <c r="I3552" t="str">
        <f>VLOOKUP(Tabla1[[#This Row],[Code]],'[1]Articulos Precio'!$A:$E,5,FALSE)</f>
        <v>A0002095</v>
      </c>
    </row>
    <row r="3553" spans="1:9" x14ac:dyDescent="0.25">
      <c r="A3553" t="s">
        <v>1288</v>
      </c>
      <c r="B3553" t="str">
        <f>VLOOKUP(Tabla1[[#This Row],[Code]],[1]!Tabla4[#Data],2,FALSE)</f>
        <v>M2 MM-CC Colour Change 21 Gris Detroit Brillo 1,52x50m</v>
      </c>
      <c r="C3553">
        <v>28</v>
      </c>
      <c r="D3553" t="s">
        <v>92</v>
      </c>
      <c r="E3553" t="str">
        <f>VLOOKUP(Tabla1[[#This Row],[Cód. Atributo]],[1]!Tabla5[#Data],6,FALSE)</f>
        <v>Select</v>
      </c>
      <c r="F3553">
        <v>4</v>
      </c>
      <c r="G3553">
        <v>1</v>
      </c>
      <c r="H3553" t="s">
        <v>93</v>
      </c>
      <c r="I3553" t="str">
        <f>VLOOKUP(Tabla1[[#This Row],[Code]],'[1]Articulos Precio'!$A:$E,5,FALSE)</f>
        <v>A0002095</v>
      </c>
    </row>
    <row r="3554" spans="1:9" x14ac:dyDescent="0.25">
      <c r="A3554" t="s">
        <v>1288</v>
      </c>
      <c r="B3554" t="str">
        <f>VLOOKUP(Tabla1[[#This Row],[Code]],[1]!Tabla4[#Data],2,FALSE)</f>
        <v>M2 MM-CC Colour Change 21 Gris Detroit Brillo 1,52x50m</v>
      </c>
      <c r="C3554">
        <v>25</v>
      </c>
      <c r="D3554" t="s">
        <v>94</v>
      </c>
      <c r="E3554" t="str">
        <f>VLOOKUP(Tabla1[[#This Row],[Cód. Atributo]],[1]!Tabla5[#Data],6,FALSE)</f>
        <v>Select</v>
      </c>
      <c r="F3554">
        <v>5</v>
      </c>
      <c r="G3554">
        <v>4</v>
      </c>
      <c r="H3554" t="s">
        <v>137</v>
      </c>
      <c r="I3554" t="str">
        <f>VLOOKUP(Tabla1[[#This Row],[Code]],'[1]Articulos Precio'!$A:$E,5,FALSE)</f>
        <v>A0002095</v>
      </c>
    </row>
    <row r="3555" spans="1:9" x14ac:dyDescent="0.25">
      <c r="A3555" t="s">
        <v>1288</v>
      </c>
      <c r="B3555" t="str">
        <f>VLOOKUP(Tabla1[[#This Row],[Code]],[1]!Tabla4[#Data],2,FALSE)</f>
        <v>M2 MM-CC Colour Change 21 Gris Detroit Brillo 1,52x50m</v>
      </c>
      <c r="C3555">
        <v>24</v>
      </c>
      <c r="D3555" t="s">
        <v>96</v>
      </c>
      <c r="E3555" t="str">
        <f>VLOOKUP(Tabla1[[#This Row],[Cód. Atributo]],[1]!Tabla5[#Data],6,FALSE)</f>
        <v>Select</v>
      </c>
      <c r="F3555">
        <v>6</v>
      </c>
      <c r="G3555">
        <v>6</v>
      </c>
      <c r="H3555" t="s">
        <v>97</v>
      </c>
      <c r="I3555" t="str">
        <f>VLOOKUP(Tabla1[[#This Row],[Code]],'[1]Articulos Precio'!$A:$E,5,FALSE)</f>
        <v>A0002095</v>
      </c>
    </row>
    <row r="3556" spans="1:9" x14ac:dyDescent="0.25">
      <c r="A3556" t="s">
        <v>1290</v>
      </c>
      <c r="B3556" t="str">
        <f>VLOOKUP(Tabla1[[#This Row],[Code]],[1]!Tabla4[#Data],2,FALSE)</f>
        <v>M2 MM-CC Colour Change 29 Gris Nardo Brillo 1,52x50m</v>
      </c>
      <c r="C3556">
        <v>8</v>
      </c>
      <c r="D3556" t="s">
        <v>86</v>
      </c>
      <c r="E3556" t="str">
        <f>VLOOKUP(Tabla1[[#This Row],[Cód. Atributo]],[1]!Tabla5[#Data],6,FALSE)</f>
        <v>Select</v>
      </c>
      <c r="F3556">
        <v>1</v>
      </c>
      <c r="G3556">
        <v>4</v>
      </c>
      <c r="H3556" t="s">
        <v>87</v>
      </c>
      <c r="I3556" t="str">
        <f>VLOOKUP(Tabla1[[#This Row],[Code]],'[1]Articulos Precio'!$A:$E,5,FALSE)</f>
        <v>A0002095</v>
      </c>
    </row>
    <row r="3557" spans="1:9" x14ac:dyDescent="0.25">
      <c r="A3557" t="s">
        <v>1290</v>
      </c>
      <c r="B3557" t="str">
        <f>VLOOKUP(Tabla1[[#This Row],[Code]],[1]!Tabla4[#Data],2,FALSE)</f>
        <v>M2 MM-CC Colour Change 29 Gris Nardo Brillo 1,52x50m</v>
      </c>
      <c r="C3557">
        <v>54</v>
      </c>
      <c r="D3557" t="s">
        <v>88</v>
      </c>
      <c r="E3557" t="str">
        <f>VLOOKUP(Tabla1[[#This Row],[Cód. Atributo]],[1]!Tabla5[#Data],6,FALSE)</f>
        <v>Color</v>
      </c>
      <c r="F3557">
        <v>2</v>
      </c>
      <c r="G3557">
        <v>7</v>
      </c>
      <c r="H3557" t="s">
        <v>1291</v>
      </c>
      <c r="I3557" t="str">
        <f>VLOOKUP(Tabla1[[#This Row],[Code]],'[1]Articulos Precio'!$A:$E,5,FALSE)</f>
        <v>A0002095</v>
      </c>
    </row>
    <row r="3558" spans="1:9" x14ac:dyDescent="0.25">
      <c r="A3558" t="s">
        <v>1290</v>
      </c>
      <c r="B3558" t="str">
        <f>VLOOKUP(Tabla1[[#This Row],[Code]],[1]!Tabla4[#Data],2,FALSE)</f>
        <v>M2 MM-CC Colour Change 29 Gris Nardo Brillo 1,52x50m</v>
      </c>
      <c r="C3558">
        <v>23</v>
      </c>
      <c r="D3558" t="s">
        <v>90</v>
      </c>
      <c r="E3558" t="str">
        <f>VLOOKUP(Tabla1[[#This Row],[Cód. Atributo]],[1]!Tabla5[#Data],6,FALSE)</f>
        <v>Select</v>
      </c>
      <c r="F3558">
        <v>3</v>
      </c>
      <c r="G3558">
        <v>5</v>
      </c>
      <c r="H3558" t="s">
        <v>1279</v>
      </c>
      <c r="I3558" t="str">
        <f>VLOOKUP(Tabla1[[#This Row],[Code]],'[1]Articulos Precio'!$A:$E,5,FALSE)</f>
        <v>A0002095</v>
      </c>
    </row>
    <row r="3559" spans="1:9" x14ac:dyDescent="0.25">
      <c r="A3559" t="s">
        <v>1290</v>
      </c>
      <c r="B3559" t="str">
        <f>VLOOKUP(Tabla1[[#This Row],[Code]],[1]!Tabla4[#Data],2,FALSE)</f>
        <v>M2 MM-CC Colour Change 29 Gris Nardo Brillo 1,52x50m</v>
      </c>
      <c r="C3559">
        <v>28</v>
      </c>
      <c r="D3559" t="s">
        <v>92</v>
      </c>
      <c r="E3559" t="str">
        <f>VLOOKUP(Tabla1[[#This Row],[Cód. Atributo]],[1]!Tabla5[#Data],6,FALSE)</f>
        <v>Select</v>
      </c>
      <c r="F3559">
        <v>4</v>
      </c>
      <c r="G3559">
        <v>1</v>
      </c>
      <c r="H3559" t="s">
        <v>93</v>
      </c>
      <c r="I3559" t="str">
        <f>VLOOKUP(Tabla1[[#This Row],[Code]],'[1]Articulos Precio'!$A:$E,5,FALSE)</f>
        <v>A0002095</v>
      </c>
    </row>
    <row r="3560" spans="1:9" x14ac:dyDescent="0.25">
      <c r="A3560" t="s">
        <v>1290</v>
      </c>
      <c r="B3560" t="str">
        <f>VLOOKUP(Tabla1[[#This Row],[Code]],[1]!Tabla4[#Data],2,FALSE)</f>
        <v>M2 MM-CC Colour Change 29 Gris Nardo Brillo 1,52x50m</v>
      </c>
      <c r="C3560">
        <v>25</v>
      </c>
      <c r="D3560" t="s">
        <v>94</v>
      </c>
      <c r="E3560" t="str">
        <f>VLOOKUP(Tabla1[[#This Row],[Cód. Atributo]],[1]!Tabla5[#Data],6,FALSE)</f>
        <v>Select</v>
      </c>
      <c r="F3560">
        <v>5</v>
      </c>
      <c r="G3560">
        <v>4</v>
      </c>
      <c r="H3560" t="s">
        <v>137</v>
      </c>
      <c r="I3560" t="str">
        <f>VLOOKUP(Tabla1[[#This Row],[Code]],'[1]Articulos Precio'!$A:$E,5,FALSE)</f>
        <v>A0002095</v>
      </c>
    </row>
    <row r="3561" spans="1:9" x14ac:dyDescent="0.25">
      <c r="A3561" t="s">
        <v>1290</v>
      </c>
      <c r="B3561" t="str">
        <f>VLOOKUP(Tabla1[[#This Row],[Code]],[1]!Tabla4[#Data],2,FALSE)</f>
        <v>M2 MM-CC Colour Change 29 Gris Nardo Brillo 1,52x50m</v>
      </c>
      <c r="C3561">
        <v>24</v>
      </c>
      <c r="D3561" t="s">
        <v>96</v>
      </c>
      <c r="E3561" t="str">
        <f>VLOOKUP(Tabla1[[#This Row],[Cód. Atributo]],[1]!Tabla5[#Data],6,FALSE)</f>
        <v>Select</v>
      </c>
      <c r="F3561">
        <v>6</v>
      </c>
      <c r="G3561">
        <v>6</v>
      </c>
      <c r="H3561" t="s">
        <v>97</v>
      </c>
      <c r="I3561" t="str">
        <f>VLOOKUP(Tabla1[[#This Row],[Code]],'[1]Articulos Precio'!$A:$E,5,FALSE)</f>
        <v>A0002095</v>
      </c>
    </row>
    <row r="3562" spans="1:9" x14ac:dyDescent="0.25">
      <c r="A3562" t="s">
        <v>1292</v>
      </c>
      <c r="B3562" t="str">
        <f>VLOOKUP(Tabla1[[#This Row],[Code]],[1]!Tabla4[#Data],2,FALSE)</f>
        <v>M2 MM-CC Colour Change 31 Daytona Brillo 1,52x50m</v>
      </c>
      <c r="C3562">
        <v>8</v>
      </c>
      <c r="D3562" t="s">
        <v>86</v>
      </c>
      <c r="E3562" t="str">
        <f>VLOOKUP(Tabla1[[#This Row],[Cód. Atributo]],[1]!Tabla5[#Data],6,FALSE)</f>
        <v>Select</v>
      </c>
      <c r="F3562">
        <v>1</v>
      </c>
      <c r="G3562">
        <v>4</v>
      </c>
      <c r="H3562" t="s">
        <v>87</v>
      </c>
      <c r="I3562" t="str">
        <f>VLOOKUP(Tabla1[[#This Row],[Code]],'[1]Articulos Precio'!$A:$E,5,FALSE)</f>
        <v>A0002095</v>
      </c>
    </row>
    <row r="3563" spans="1:9" x14ac:dyDescent="0.25">
      <c r="A3563" t="s">
        <v>1292</v>
      </c>
      <c r="B3563" t="str">
        <f>VLOOKUP(Tabla1[[#This Row],[Code]],[1]!Tabla4[#Data],2,FALSE)</f>
        <v>M2 MM-CC Colour Change 31 Daytona Brillo 1,52x50m</v>
      </c>
      <c r="C3563">
        <v>54</v>
      </c>
      <c r="D3563" t="s">
        <v>88</v>
      </c>
      <c r="E3563" t="str">
        <f>VLOOKUP(Tabla1[[#This Row],[Cód. Atributo]],[1]!Tabla5[#Data],6,FALSE)</f>
        <v>Color</v>
      </c>
      <c r="F3563">
        <v>2</v>
      </c>
      <c r="G3563">
        <v>8</v>
      </c>
      <c r="H3563" t="s">
        <v>1293</v>
      </c>
      <c r="I3563" t="str">
        <f>VLOOKUP(Tabla1[[#This Row],[Code]],'[1]Articulos Precio'!$A:$E,5,FALSE)</f>
        <v>A0002095</v>
      </c>
    </row>
    <row r="3564" spans="1:9" x14ac:dyDescent="0.25">
      <c r="A3564" t="s">
        <v>1292</v>
      </c>
      <c r="B3564" t="str">
        <f>VLOOKUP(Tabla1[[#This Row],[Code]],[1]!Tabla4[#Data],2,FALSE)</f>
        <v>M2 MM-CC Colour Change 31 Daytona Brillo 1,52x50m</v>
      </c>
      <c r="C3564">
        <v>23</v>
      </c>
      <c r="D3564" t="s">
        <v>90</v>
      </c>
      <c r="E3564" t="str">
        <f>VLOOKUP(Tabla1[[#This Row],[Cód. Atributo]],[1]!Tabla5[#Data],6,FALSE)</f>
        <v>Select</v>
      </c>
      <c r="F3564">
        <v>3</v>
      </c>
      <c r="G3564">
        <v>5</v>
      </c>
      <c r="H3564" t="s">
        <v>1279</v>
      </c>
      <c r="I3564" t="str">
        <f>VLOOKUP(Tabla1[[#This Row],[Code]],'[1]Articulos Precio'!$A:$E,5,FALSE)</f>
        <v>A0002095</v>
      </c>
    </row>
    <row r="3565" spans="1:9" x14ac:dyDescent="0.25">
      <c r="A3565" t="s">
        <v>1292</v>
      </c>
      <c r="B3565" t="str">
        <f>VLOOKUP(Tabla1[[#This Row],[Code]],[1]!Tabla4[#Data],2,FALSE)</f>
        <v>M2 MM-CC Colour Change 31 Daytona Brillo 1,52x50m</v>
      </c>
      <c r="C3565">
        <v>28</v>
      </c>
      <c r="D3565" t="s">
        <v>92</v>
      </c>
      <c r="E3565" t="str">
        <f>VLOOKUP(Tabla1[[#This Row],[Cód. Atributo]],[1]!Tabla5[#Data],6,FALSE)</f>
        <v>Select</v>
      </c>
      <c r="F3565">
        <v>4</v>
      </c>
      <c r="G3565">
        <v>1</v>
      </c>
      <c r="H3565" t="s">
        <v>93</v>
      </c>
      <c r="I3565" t="str">
        <f>VLOOKUP(Tabla1[[#This Row],[Code]],'[1]Articulos Precio'!$A:$E,5,FALSE)</f>
        <v>A0002095</v>
      </c>
    </row>
    <row r="3566" spans="1:9" x14ac:dyDescent="0.25">
      <c r="A3566" t="s">
        <v>1292</v>
      </c>
      <c r="B3566" t="str">
        <f>VLOOKUP(Tabla1[[#This Row],[Code]],[1]!Tabla4[#Data],2,FALSE)</f>
        <v>M2 MM-CC Colour Change 31 Daytona Brillo 1,52x50m</v>
      </c>
      <c r="C3566">
        <v>25</v>
      </c>
      <c r="D3566" t="s">
        <v>94</v>
      </c>
      <c r="E3566" t="str">
        <f>VLOOKUP(Tabla1[[#This Row],[Cód. Atributo]],[1]!Tabla5[#Data],6,FALSE)</f>
        <v>Select</v>
      </c>
      <c r="F3566">
        <v>5</v>
      </c>
      <c r="G3566">
        <v>4</v>
      </c>
      <c r="H3566" t="s">
        <v>137</v>
      </c>
      <c r="I3566" t="str">
        <f>VLOOKUP(Tabla1[[#This Row],[Code]],'[1]Articulos Precio'!$A:$E,5,FALSE)</f>
        <v>A0002095</v>
      </c>
    </row>
    <row r="3567" spans="1:9" x14ac:dyDescent="0.25">
      <c r="A3567" t="s">
        <v>1292</v>
      </c>
      <c r="B3567" t="str">
        <f>VLOOKUP(Tabla1[[#This Row],[Code]],[1]!Tabla4[#Data],2,FALSE)</f>
        <v>M2 MM-CC Colour Change 31 Daytona Brillo 1,52x50m</v>
      </c>
      <c r="C3567">
        <v>24</v>
      </c>
      <c r="D3567" t="s">
        <v>96</v>
      </c>
      <c r="E3567" t="str">
        <f>VLOOKUP(Tabla1[[#This Row],[Cód. Atributo]],[1]!Tabla5[#Data],6,FALSE)</f>
        <v>Select</v>
      </c>
      <c r="F3567">
        <v>6</v>
      </c>
      <c r="G3567">
        <v>6</v>
      </c>
      <c r="H3567" t="s">
        <v>97</v>
      </c>
      <c r="I3567" t="str">
        <f>VLOOKUP(Tabla1[[#This Row],[Code]],'[1]Articulos Precio'!$A:$E,5,FALSE)</f>
        <v>A0002095</v>
      </c>
    </row>
    <row r="3568" spans="1:9" x14ac:dyDescent="0.25">
      <c r="A3568" t="s">
        <v>1294</v>
      </c>
      <c r="B3568" t="str">
        <f>VLOOKUP(Tabla1[[#This Row],[Code]],[1]!Tabla4[#Data],2,FALSE)</f>
        <v>M2 MM-CC Colour Change 42 Rojo Brillo 1,52x50m</v>
      </c>
      <c r="C3568">
        <v>8</v>
      </c>
      <c r="D3568" t="s">
        <v>86</v>
      </c>
      <c r="E3568" t="str">
        <f>VLOOKUP(Tabla1[[#This Row],[Cód. Atributo]],[1]!Tabla5[#Data],6,FALSE)</f>
        <v>Select</v>
      </c>
      <c r="F3568">
        <v>1</v>
      </c>
      <c r="G3568">
        <v>4</v>
      </c>
      <c r="H3568" t="s">
        <v>87</v>
      </c>
      <c r="I3568" t="str">
        <f>VLOOKUP(Tabla1[[#This Row],[Code]],'[1]Articulos Precio'!$A:$E,5,FALSE)</f>
        <v>A0002095</v>
      </c>
    </row>
    <row r="3569" spans="1:9" x14ac:dyDescent="0.25">
      <c r="A3569" t="s">
        <v>1294</v>
      </c>
      <c r="B3569" t="str">
        <f>VLOOKUP(Tabla1[[#This Row],[Code]],[1]!Tabla4[#Data],2,FALSE)</f>
        <v>M2 MM-CC Colour Change 42 Rojo Brillo 1,52x50m</v>
      </c>
      <c r="C3569">
        <v>54</v>
      </c>
      <c r="D3569" t="s">
        <v>88</v>
      </c>
      <c r="E3569" t="str">
        <f>VLOOKUP(Tabla1[[#This Row],[Cód. Atributo]],[1]!Tabla5[#Data],6,FALSE)</f>
        <v>Color</v>
      </c>
      <c r="F3569">
        <v>2</v>
      </c>
      <c r="G3569">
        <v>9</v>
      </c>
      <c r="H3569" t="s">
        <v>1295</v>
      </c>
      <c r="I3569" t="str">
        <f>VLOOKUP(Tabla1[[#This Row],[Code]],'[1]Articulos Precio'!$A:$E,5,FALSE)</f>
        <v>A0002095</v>
      </c>
    </row>
    <row r="3570" spans="1:9" x14ac:dyDescent="0.25">
      <c r="A3570" t="s">
        <v>1294</v>
      </c>
      <c r="B3570" t="str">
        <f>VLOOKUP(Tabla1[[#This Row],[Code]],[1]!Tabla4[#Data],2,FALSE)</f>
        <v>M2 MM-CC Colour Change 42 Rojo Brillo 1,52x50m</v>
      </c>
      <c r="C3570">
        <v>23</v>
      </c>
      <c r="D3570" t="s">
        <v>90</v>
      </c>
      <c r="E3570" t="str">
        <f>VLOOKUP(Tabla1[[#This Row],[Cód. Atributo]],[1]!Tabla5[#Data],6,FALSE)</f>
        <v>Select</v>
      </c>
      <c r="F3570">
        <v>3</v>
      </c>
      <c r="G3570">
        <v>5</v>
      </c>
      <c r="H3570" t="s">
        <v>1279</v>
      </c>
      <c r="I3570" t="str">
        <f>VLOOKUP(Tabla1[[#This Row],[Code]],'[1]Articulos Precio'!$A:$E,5,FALSE)</f>
        <v>A0002095</v>
      </c>
    </row>
    <row r="3571" spans="1:9" x14ac:dyDescent="0.25">
      <c r="A3571" t="s">
        <v>1294</v>
      </c>
      <c r="B3571" t="str">
        <f>VLOOKUP(Tabla1[[#This Row],[Code]],[1]!Tabla4[#Data],2,FALSE)</f>
        <v>M2 MM-CC Colour Change 42 Rojo Brillo 1,52x50m</v>
      </c>
      <c r="C3571">
        <v>28</v>
      </c>
      <c r="D3571" t="s">
        <v>92</v>
      </c>
      <c r="E3571" t="str">
        <f>VLOOKUP(Tabla1[[#This Row],[Cód. Atributo]],[1]!Tabla5[#Data],6,FALSE)</f>
        <v>Select</v>
      </c>
      <c r="F3571">
        <v>4</v>
      </c>
      <c r="G3571">
        <v>1</v>
      </c>
      <c r="H3571" t="s">
        <v>93</v>
      </c>
      <c r="I3571" t="str">
        <f>VLOOKUP(Tabla1[[#This Row],[Code]],'[1]Articulos Precio'!$A:$E,5,FALSE)</f>
        <v>A0002095</v>
      </c>
    </row>
    <row r="3572" spans="1:9" x14ac:dyDescent="0.25">
      <c r="A3572" t="s">
        <v>1294</v>
      </c>
      <c r="B3572" t="str">
        <f>VLOOKUP(Tabla1[[#This Row],[Code]],[1]!Tabla4[#Data],2,FALSE)</f>
        <v>M2 MM-CC Colour Change 42 Rojo Brillo 1,52x50m</v>
      </c>
      <c r="C3572">
        <v>25</v>
      </c>
      <c r="D3572" t="s">
        <v>94</v>
      </c>
      <c r="E3572" t="str">
        <f>VLOOKUP(Tabla1[[#This Row],[Cód. Atributo]],[1]!Tabla5[#Data],6,FALSE)</f>
        <v>Select</v>
      </c>
      <c r="F3572">
        <v>5</v>
      </c>
      <c r="G3572">
        <v>4</v>
      </c>
      <c r="H3572" t="s">
        <v>137</v>
      </c>
      <c r="I3572" t="str">
        <f>VLOOKUP(Tabla1[[#This Row],[Code]],'[1]Articulos Precio'!$A:$E,5,FALSE)</f>
        <v>A0002095</v>
      </c>
    </row>
    <row r="3573" spans="1:9" x14ac:dyDescent="0.25">
      <c r="A3573" t="s">
        <v>1294</v>
      </c>
      <c r="B3573" t="str">
        <f>VLOOKUP(Tabla1[[#This Row],[Code]],[1]!Tabla4[#Data],2,FALSE)</f>
        <v>M2 MM-CC Colour Change 42 Rojo Brillo 1,52x50m</v>
      </c>
      <c r="C3573">
        <v>24</v>
      </c>
      <c r="D3573" t="s">
        <v>96</v>
      </c>
      <c r="E3573" t="str">
        <f>VLOOKUP(Tabla1[[#This Row],[Cód. Atributo]],[1]!Tabla5[#Data],6,FALSE)</f>
        <v>Select</v>
      </c>
      <c r="F3573">
        <v>6</v>
      </c>
      <c r="G3573">
        <v>6</v>
      </c>
      <c r="H3573" t="s">
        <v>97</v>
      </c>
      <c r="I3573" t="str">
        <f>VLOOKUP(Tabla1[[#This Row],[Code]],'[1]Articulos Precio'!$A:$E,5,FALSE)</f>
        <v>A0002095</v>
      </c>
    </row>
    <row r="3574" spans="1:9" x14ac:dyDescent="0.25">
      <c r="A3574" t="s">
        <v>1296</v>
      </c>
      <c r="B3574" t="str">
        <f>VLOOKUP(Tabla1[[#This Row],[Code]],[1]!Tabla4[#Data],2,FALSE)</f>
        <v>M2 MM-CC Colour Change 48 Carmín Brillo 1,52x50m</v>
      </c>
      <c r="C3574">
        <v>8</v>
      </c>
      <c r="D3574" t="s">
        <v>86</v>
      </c>
      <c r="E3574" t="str">
        <f>VLOOKUP(Tabla1[[#This Row],[Cód. Atributo]],[1]!Tabla5[#Data],6,FALSE)</f>
        <v>Select</v>
      </c>
      <c r="F3574">
        <v>1</v>
      </c>
      <c r="G3574">
        <v>4</v>
      </c>
      <c r="H3574" t="s">
        <v>87</v>
      </c>
      <c r="I3574" t="str">
        <f>VLOOKUP(Tabla1[[#This Row],[Code]],'[1]Articulos Precio'!$A:$E,5,FALSE)</f>
        <v>A0002095</v>
      </c>
    </row>
    <row r="3575" spans="1:9" x14ac:dyDescent="0.25">
      <c r="A3575" t="s">
        <v>1296</v>
      </c>
      <c r="B3575" t="str">
        <f>VLOOKUP(Tabla1[[#This Row],[Code]],[1]!Tabla4[#Data],2,FALSE)</f>
        <v>M2 MM-CC Colour Change 48 Carmín Brillo 1,52x50m</v>
      </c>
      <c r="C3575">
        <v>54</v>
      </c>
      <c r="D3575" t="s">
        <v>88</v>
      </c>
      <c r="E3575" t="str">
        <f>VLOOKUP(Tabla1[[#This Row],[Cód. Atributo]],[1]!Tabla5[#Data],6,FALSE)</f>
        <v>Color</v>
      </c>
      <c r="F3575">
        <v>2</v>
      </c>
      <c r="G3575">
        <v>10</v>
      </c>
      <c r="H3575" t="s">
        <v>1297</v>
      </c>
      <c r="I3575" t="str">
        <f>VLOOKUP(Tabla1[[#This Row],[Code]],'[1]Articulos Precio'!$A:$E,5,FALSE)</f>
        <v>A0002095</v>
      </c>
    </row>
    <row r="3576" spans="1:9" x14ac:dyDescent="0.25">
      <c r="A3576" t="s">
        <v>1296</v>
      </c>
      <c r="B3576" t="str">
        <f>VLOOKUP(Tabla1[[#This Row],[Code]],[1]!Tabla4[#Data],2,FALSE)</f>
        <v>M2 MM-CC Colour Change 48 Carmín Brillo 1,52x50m</v>
      </c>
      <c r="C3576">
        <v>23</v>
      </c>
      <c r="D3576" t="s">
        <v>90</v>
      </c>
      <c r="E3576" t="str">
        <f>VLOOKUP(Tabla1[[#This Row],[Cód. Atributo]],[1]!Tabla5[#Data],6,FALSE)</f>
        <v>Select</v>
      </c>
      <c r="F3576">
        <v>3</v>
      </c>
      <c r="G3576">
        <v>5</v>
      </c>
      <c r="H3576" t="s">
        <v>1279</v>
      </c>
      <c r="I3576" t="str">
        <f>VLOOKUP(Tabla1[[#This Row],[Code]],'[1]Articulos Precio'!$A:$E,5,FALSE)</f>
        <v>A0002095</v>
      </c>
    </row>
    <row r="3577" spans="1:9" x14ac:dyDescent="0.25">
      <c r="A3577" t="s">
        <v>1296</v>
      </c>
      <c r="B3577" t="str">
        <f>VLOOKUP(Tabla1[[#This Row],[Code]],[1]!Tabla4[#Data],2,FALSE)</f>
        <v>M2 MM-CC Colour Change 48 Carmín Brillo 1,52x50m</v>
      </c>
      <c r="C3577">
        <v>28</v>
      </c>
      <c r="D3577" t="s">
        <v>92</v>
      </c>
      <c r="E3577" t="str">
        <f>VLOOKUP(Tabla1[[#This Row],[Cód. Atributo]],[1]!Tabla5[#Data],6,FALSE)</f>
        <v>Select</v>
      </c>
      <c r="F3577">
        <v>4</v>
      </c>
      <c r="G3577">
        <v>1</v>
      </c>
      <c r="H3577" t="s">
        <v>93</v>
      </c>
      <c r="I3577" t="str">
        <f>VLOOKUP(Tabla1[[#This Row],[Code]],'[1]Articulos Precio'!$A:$E,5,FALSE)</f>
        <v>A0002095</v>
      </c>
    </row>
    <row r="3578" spans="1:9" x14ac:dyDescent="0.25">
      <c r="A3578" t="s">
        <v>1296</v>
      </c>
      <c r="B3578" t="str">
        <f>VLOOKUP(Tabla1[[#This Row],[Code]],[1]!Tabla4[#Data],2,FALSE)</f>
        <v>M2 MM-CC Colour Change 48 Carmín Brillo 1,52x50m</v>
      </c>
      <c r="C3578">
        <v>25</v>
      </c>
      <c r="D3578" t="s">
        <v>94</v>
      </c>
      <c r="E3578" t="str">
        <f>VLOOKUP(Tabla1[[#This Row],[Cód. Atributo]],[1]!Tabla5[#Data],6,FALSE)</f>
        <v>Select</v>
      </c>
      <c r="F3578">
        <v>5</v>
      </c>
      <c r="G3578">
        <v>4</v>
      </c>
      <c r="H3578" t="s">
        <v>137</v>
      </c>
      <c r="I3578" t="str">
        <f>VLOOKUP(Tabla1[[#This Row],[Code]],'[1]Articulos Precio'!$A:$E,5,FALSE)</f>
        <v>A0002095</v>
      </c>
    </row>
    <row r="3579" spans="1:9" x14ac:dyDescent="0.25">
      <c r="A3579" t="s">
        <v>1296</v>
      </c>
      <c r="B3579" t="str">
        <f>VLOOKUP(Tabla1[[#This Row],[Code]],[1]!Tabla4[#Data],2,FALSE)</f>
        <v>M2 MM-CC Colour Change 48 Carmín Brillo 1,52x50m</v>
      </c>
      <c r="C3579">
        <v>24</v>
      </c>
      <c r="D3579" t="s">
        <v>96</v>
      </c>
      <c r="E3579" t="str">
        <f>VLOOKUP(Tabla1[[#This Row],[Cód. Atributo]],[1]!Tabla5[#Data],6,FALSE)</f>
        <v>Select</v>
      </c>
      <c r="F3579">
        <v>6</v>
      </c>
      <c r="G3579">
        <v>6</v>
      </c>
      <c r="H3579" t="s">
        <v>97</v>
      </c>
      <c r="I3579" t="str">
        <f>VLOOKUP(Tabla1[[#This Row],[Code]],'[1]Articulos Precio'!$A:$E,5,FALSE)</f>
        <v>A0002095</v>
      </c>
    </row>
    <row r="3580" spans="1:9" x14ac:dyDescent="0.25">
      <c r="A3580" t="s">
        <v>1298</v>
      </c>
      <c r="B3580" t="str">
        <f>VLOOKUP(Tabla1[[#This Row],[Code]],[1]!Tabla4[#Data],2,FALSE)</f>
        <v>M2 MM-CC Colour Change 52 Azul Francés Brillo 1,52x50m</v>
      </c>
      <c r="C3580">
        <v>8</v>
      </c>
      <c r="D3580" t="s">
        <v>86</v>
      </c>
      <c r="E3580" t="str">
        <f>VLOOKUP(Tabla1[[#This Row],[Cód. Atributo]],[1]!Tabla5[#Data],6,FALSE)</f>
        <v>Select</v>
      </c>
      <c r="F3580">
        <v>1</v>
      </c>
      <c r="G3580">
        <v>4</v>
      </c>
      <c r="H3580" t="s">
        <v>87</v>
      </c>
      <c r="I3580" t="str">
        <f>VLOOKUP(Tabla1[[#This Row],[Code]],'[1]Articulos Precio'!$A:$E,5,FALSE)</f>
        <v>A0002095</v>
      </c>
    </row>
    <row r="3581" spans="1:9" x14ac:dyDescent="0.25">
      <c r="A3581" t="s">
        <v>1298</v>
      </c>
      <c r="B3581" t="str">
        <f>VLOOKUP(Tabla1[[#This Row],[Code]],[1]!Tabla4[#Data],2,FALSE)</f>
        <v>M2 MM-CC Colour Change 52 Azul Francés Brillo 1,52x50m</v>
      </c>
      <c r="C3581">
        <v>54</v>
      </c>
      <c r="D3581" t="s">
        <v>88</v>
      </c>
      <c r="E3581" t="str">
        <f>VLOOKUP(Tabla1[[#This Row],[Cód. Atributo]],[1]!Tabla5[#Data],6,FALSE)</f>
        <v>Color</v>
      </c>
      <c r="F3581">
        <v>2</v>
      </c>
      <c r="G3581">
        <v>11</v>
      </c>
      <c r="H3581" t="s">
        <v>1299</v>
      </c>
      <c r="I3581" t="str">
        <f>VLOOKUP(Tabla1[[#This Row],[Code]],'[1]Articulos Precio'!$A:$E,5,FALSE)</f>
        <v>A0002095</v>
      </c>
    </row>
    <row r="3582" spans="1:9" x14ac:dyDescent="0.25">
      <c r="A3582" t="s">
        <v>1298</v>
      </c>
      <c r="B3582" t="str">
        <f>VLOOKUP(Tabla1[[#This Row],[Code]],[1]!Tabla4[#Data],2,FALSE)</f>
        <v>M2 MM-CC Colour Change 52 Azul Francés Brillo 1,52x50m</v>
      </c>
      <c r="C3582">
        <v>23</v>
      </c>
      <c r="D3582" t="s">
        <v>90</v>
      </c>
      <c r="E3582" t="str">
        <f>VLOOKUP(Tabla1[[#This Row],[Cód. Atributo]],[1]!Tabla5[#Data],6,FALSE)</f>
        <v>Select</v>
      </c>
      <c r="F3582">
        <v>3</v>
      </c>
      <c r="G3582">
        <v>5</v>
      </c>
      <c r="H3582" t="s">
        <v>1279</v>
      </c>
      <c r="I3582" t="str">
        <f>VLOOKUP(Tabla1[[#This Row],[Code]],'[1]Articulos Precio'!$A:$E,5,FALSE)</f>
        <v>A0002095</v>
      </c>
    </row>
    <row r="3583" spans="1:9" x14ac:dyDescent="0.25">
      <c r="A3583" t="s">
        <v>1298</v>
      </c>
      <c r="B3583" t="str">
        <f>VLOOKUP(Tabla1[[#This Row],[Code]],[1]!Tabla4[#Data],2,FALSE)</f>
        <v>M2 MM-CC Colour Change 52 Azul Francés Brillo 1,52x50m</v>
      </c>
      <c r="C3583">
        <v>28</v>
      </c>
      <c r="D3583" t="s">
        <v>92</v>
      </c>
      <c r="E3583" t="str">
        <f>VLOOKUP(Tabla1[[#This Row],[Cód. Atributo]],[1]!Tabla5[#Data],6,FALSE)</f>
        <v>Select</v>
      </c>
      <c r="F3583">
        <v>4</v>
      </c>
      <c r="G3583">
        <v>1</v>
      </c>
      <c r="H3583" t="s">
        <v>93</v>
      </c>
      <c r="I3583" t="str">
        <f>VLOOKUP(Tabla1[[#This Row],[Code]],'[1]Articulos Precio'!$A:$E,5,FALSE)</f>
        <v>A0002095</v>
      </c>
    </row>
    <row r="3584" spans="1:9" x14ac:dyDescent="0.25">
      <c r="A3584" t="s">
        <v>1298</v>
      </c>
      <c r="B3584" t="str">
        <f>VLOOKUP(Tabla1[[#This Row],[Code]],[1]!Tabla4[#Data],2,FALSE)</f>
        <v>M2 MM-CC Colour Change 52 Azul Francés Brillo 1,52x50m</v>
      </c>
      <c r="C3584">
        <v>25</v>
      </c>
      <c r="D3584" t="s">
        <v>94</v>
      </c>
      <c r="E3584" t="str">
        <f>VLOOKUP(Tabla1[[#This Row],[Cód. Atributo]],[1]!Tabla5[#Data],6,FALSE)</f>
        <v>Select</v>
      </c>
      <c r="F3584">
        <v>5</v>
      </c>
      <c r="G3584">
        <v>4</v>
      </c>
      <c r="H3584" t="s">
        <v>137</v>
      </c>
      <c r="I3584" t="str">
        <f>VLOOKUP(Tabla1[[#This Row],[Code]],'[1]Articulos Precio'!$A:$E,5,FALSE)</f>
        <v>A0002095</v>
      </c>
    </row>
    <row r="3585" spans="1:9" x14ac:dyDescent="0.25">
      <c r="A3585" t="s">
        <v>1298</v>
      </c>
      <c r="B3585" t="str">
        <f>VLOOKUP(Tabla1[[#This Row],[Code]],[1]!Tabla4[#Data],2,FALSE)</f>
        <v>M2 MM-CC Colour Change 52 Azul Francés Brillo 1,52x50m</v>
      </c>
      <c r="C3585">
        <v>24</v>
      </c>
      <c r="D3585" t="s">
        <v>96</v>
      </c>
      <c r="E3585" t="str">
        <f>VLOOKUP(Tabla1[[#This Row],[Cód. Atributo]],[1]!Tabla5[#Data],6,FALSE)</f>
        <v>Select</v>
      </c>
      <c r="F3585">
        <v>6</v>
      </c>
      <c r="G3585">
        <v>6</v>
      </c>
      <c r="H3585" t="s">
        <v>97</v>
      </c>
      <c r="I3585" t="str">
        <f>VLOOKUP(Tabla1[[#This Row],[Code]],'[1]Articulos Precio'!$A:$E,5,FALSE)</f>
        <v>A0002095</v>
      </c>
    </row>
    <row r="3586" spans="1:9" x14ac:dyDescent="0.25">
      <c r="A3586" t="s">
        <v>1300</v>
      </c>
      <c r="B3586" t="str">
        <f>VLOOKUP(Tabla1[[#This Row],[Code]],[1]!Tabla4[#Data],2,FALSE)</f>
        <v>M2 MM-CC Colour Change 55 Azul Fénix Brillo 1,52x50m</v>
      </c>
      <c r="C3586">
        <v>8</v>
      </c>
      <c r="D3586" t="s">
        <v>86</v>
      </c>
      <c r="E3586" t="str">
        <f>VLOOKUP(Tabla1[[#This Row],[Cód. Atributo]],[1]!Tabla5[#Data],6,FALSE)</f>
        <v>Select</v>
      </c>
      <c r="F3586">
        <v>1</v>
      </c>
      <c r="G3586">
        <v>4</v>
      </c>
      <c r="H3586" t="s">
        <v>87</v>
      </c>
      <c r="I3586" t="str">
        <f>VLOOKUP(Tabla1[[#This Row],[Code]],'[1]Articulos Precio'!$A:$E,5,FALSE)</f>
        <v>A0002095</v>
      </c>
    </row>
    <row r="3587" spans="1:9" x14ac:dyDescent="0.25">
      <c r="A3587" t="s">
        <v>1300</v>
      </c>
      <c r="B3587" t="str">
        <f>VLOOKUP(Tabla1[[#This Row],[Code]],[1]!Tabla4[#Data],2,FALSE)</f>
        <v>M2 MM-CC Colour Change 55 Azul Fénix Brillo 1,52x50m</v>
      </c>
      <c r="C3587">
        <v>54</v>
      </c>
      <c r="D3587" t="s">
        <v>88</v>
      </c>
      <c r="E3587" t="str">
        <f>VLOOKUP(Tabla1[[#This Row],[Cód. Atributo]],[1]!Tabla5[#Data],6,FALSE)</f>
        <v>Color</v>
      </c>
      <c r="F3587">
        <v>2</v>
      </c>
      <c r="G3587">
        <v>12</v>
      </c>
      <c r="H3587" t="s">
        <v>1301</v>
      </c>
      <c r="I3587" t="str">
        <f>VLOOKUP(Tabla1[[#This Row],[Code]],'[1]Articulos Precio'!$A:$E,5,FALSE)</f>
        <v>A0002095</v>
      </c>
    </row>
    <row r="3588" spans="1:9" x14ac:dyDescent="0.25">
      <c r="A3588" t="s">
        <v>1300</v>
      </c>
      <c r="B3588" t="str">
        <f>VLOOKUP(Tabla1[[#This Row],[Code]],[1]!Tabla4[#Data],2,FALSE)</f>
        <v>M2 MM-CC Colour Change 55 Azul Fénix Brillo 1,52x50m</v>
      </c>
      <c r="C3588">
        <v>23</v>
      </c>
      <c r="D3588" t="s">
        <v>90</v>
      </c>
      <c r="E3588" t="str">
        <f>VLOOKUP(Tabla1[[#This Row],[Cód. Atributo]],[1]!Tabla5[#Data],6,FALSE)</f>
        <v>Select</v>
      </c>
      <c r="F3588">
        <v>3</v>
      </c>
      <c r="G3588">
        <v>5</v>
      </c>
      <c r="H3588" t="s">
        <v>1279</v>
      </c>
      <c r="I3588" t="str">
        <f>VLOOKUP(Tabla1[[#This Row],[Code]],'[1]Articulos Precio'!$A:$E,5,FALSE)</f>
        <v>A0002095</v>
      </c>
    </row>
    <row r="3589" spans="1:9" x14ac:dyDescent="0.25">
      <c r="A3589" t="s">
        <v>1300</v>
      </c>
      <c r="B3589" t="str">
        <f>VLOOKUP(Tabla1[[#This Row],[Code]],[1]!Tabla4[#Data],2,FALSE)</f>
        <v>M2 MM-CC Colour Change 55 Azul Fénix Brillo 1,52x50m</v>
      </c>
      <c r="C3589">
        <v>28</v>
      </c>
      <c r="D3589" t="s">
        <v>92</v>
      </c>
      <c r="E3589" t="str">
        <f>VLOOKUP(Tabla1[[#This Row],[Cód. Atributo]],[1]!Tabla5[#Data],6,FALSE)</f>
        <v>Select</v>
      </c>
      <c r="F3589">
        <v>4</v>
      </c>
      <c r="G3589">
        <v>1</v>
      </c>
      <c r="H3589" t="s">
        <v>93</v>
      </c>
      <c r="I3589" t="str">
        <f>VLOOKUP(Tabla1[[#This Row],[Code]],'[1]Articulos Precio'!$A:$E,5,FALSE)</f>
        <v>A0002095</v>
      </c>
    </row>
    <row r="3590" spans="1:9" x14ac:dyDescent="0.25">
      <c r="A3590" t="s">
        <v>1300</v>
      </c>
      <c r="B3590" t="str">
        <f>VLOOKUP(Tabla1[[#This Row],[Code]],[1]!Tabla4[#Data],2,FALSE)</f>
        <v>M2 MM-CC Colour Change 55 Azul Fénix Brillo 1,52x50m</v>
      </c>
      <c r="C3590">
        <v>25</v>
      </c>
      <c r="D3590" t="s">
        <v>94</v>
      </c>
      <c r="E3590" t="str">
        <f>VLOOKUP(Tabla1[[#This Row],[Cód. Atributo]],[1]!Tabla5[#Data],6,FALSE)</f>
        <v>Select</v>
      </c>
      <c r="F3590">
        <v>5</v>
      </c>
      <c r="G3590">
        <v>4</v>
      </c>
      <c r="H3590" t="s">
        <v>137</v>
      </c>
      <c r="I3590" t="str">
        <f>VLOOKUP(Tabla1[[#This Row],[Code]],'[1]Articulos Precio'!$A:$E,5,FALSE)</f>
        <v>A0002095</v>
      </c>
    </row>
    <row r="3591" spans="1:9" x14ac:dyDescent="0.25">
      <c r="A3591" t="s">
        <v>1300</v>
      </c>
      <c r="B3591" t="str">
        <f>VLOOKUP(Tabla1[[#This Row],[Code]],[1]!Tabla4[#Data],2,FALSE)</f>
        <v>M2 MM-CC Colour Change 55 Azul Fénix Brillo 1,52x50m</v>
      </c>
      <c r="C3591">
        <v>24</v>
      </c>
      <c r="D3591" t="s">
        <v>96</v>
      </c>
      <c r="E3591" t="str">
        <f>VLOOKUP(Tabla1[[#This Row],[Cód. Atributo]],[1]!Tabla5[#Data],6,FALSE)</f>
        <v>Select</v>
      </c>
      <c r="F3591">
        <v>6</v>
      </c>
      <c r="G3591">
        <v>6</v>
      </c>
      <c r="H3591" t="s">
        <v>97</v>
      </c>
      <c r="I3591" t="str">
        <f>VLOOKUP(Tabla1[[#This Row],[Code]],'[1]Articulos Precio'!$A:$E,5,FALSE)</f>
        <v>A0002095</v>
      </c>
    </row>
    <row r="3592" spans="1:9" x14ac:dyDescent="0.25">
      <c r="A3592" t="s">
        <v>1302</v>
      </c>
      <c r="B3592" t="str">
        <f>VLOOKUP(Tabla1[[#This Row],[Code]],[1]!Tabla4[#Data],2,FALSE)</f>
        <v>M2 MM-CC Colour Change 62 Verde Java Brillo 1,52x50m</v>
      </c>
      <c r="C3592">
        <v>8</v>
      </c>
      <c r="D3592" t="s">
        <v>86</v>
      </c>
      <c r="E3592" t="str">
        <f>VLOOKUP(Tabla1[[#This Row],[Cód. Atributo]],[1]!Tabla5[#Data],6,FALSE)</f>
        <v>Select</v>
      </c>
      <c r="F3592">
        <v>1</v>
      </c>
      <c r="G3592">
        <v>4</v>
      </c>
      <c r="H3592" t="s">
        <v>87</v>
      </c>
      <c r="I3592" t="str">
        <f>VLOOKUP(Tabla1[[#This Row],[Code]],'[1]Articulos Precio'!$A:$E,5,FALSE)</f>
        <v>A0002095</v>
      </c>
    </row>
    <row r="3593" spans="1:9" x14ac:dyDescent="0.25">
      <c r="A3593" t="s">
        <v>1302</v>
      </c>
      <c r="B3593" t="str">
        <f>VLOOKUP(Tabla1[[#This Row],[Code]],[1]!Tabla4[#Data],2,FALSE)</f>
        <v>M2 MM-CC Colour Change 62 Verde Java Brillo 1,52x50m</v>
      </c>
      <c r="C3593">
        <v>54</v>
      </c>
      <c r="D3593" t="s">
        <v>88</v>
      </c>
      <c r="E3593" t="str">
        <f>VLOOKUP(Tabla1[[#This Row],[Cód. Atributo]],[1]!Tabla5[#Data],6,FALSE)</f>
        <v>Color</v>
      </c>
      <c r="F3593">
        <v>2</v>
      </c>
      <c r="G3593">
        <v>13</v>
      </c>
      <c r="H3593" t="s">
        <v>1303</v>
      </c>
      <c r="I3593" t="str">
        <f>VLOOKUP(Tabla1[[#This Row],[Code]],'[1]Articulos Precio'!$A:$E,5,FALSE)</f>
        <v>A0002095</v>
      </c>
    </row>
    <row r="3594" spans="1:9" x14ac:dyDescent="0.25">
      <c r="A3594" t="s">
        <v>1302</v>
      </c>
      <c r="B3594" t="str">
        <f>VLOOKUP(Tabla1[[#This Row],[Code]],[1]!Tabla4[#Data],2,FALSE)</f>
        <v>M2 MM-CC Colour Change 62 Verde Java Brillo 1,52x50m</v>
      </c>
      <c r="C3594">
        <v>23</v>
      </c>
      <c r="D3594" t="s">
        <v>90</v>
      </c>
      <c r="E3594" t="str">
        <f>VLOOKUP(Tabla1[[#This Row],[Cód. Atributo]],[1]!Tabla5[#Data],6,FALSE)</f>
        <v>Select</v>
      </c>
      <c r="F3594">
        <v>3</v>
      </c>
      <c r="G3594">
        <v>5</v>
      </c>
      <c r="H3594" t="s">
        <v>1279</v>
      </c>
      <c r="I3594" t="str">
        <f>VLOOKUP(Tabla1[[#This Row],[Code]],'[1]Articulos Precio'!$A:$E,5,FALSE)</f>
        <v>A0002095</v>
      </c>
    </row>
    <row r="3595" spans="1:9" x14ac:dyDescent="0.25">
      <c r="A3595" t="s">
        <v>1302</v>
      </c>
      <c r="B3595" t="str">
        <f>VLOOKUP(Tabla1[[#This Row],[Code]],[1]!Tabla4[#Data],2,FALSE)</f>
        <v>M2 MM-CC Colour Change 62 Verde Java Brillo 1,52x50m</v>
      </c>
      <c r="C3595">
        <v>28</v>
      </c>
      <c r="D3595" t="s">
        <v>92</v>
      </c>
      <c r="E3595" t="str">
        <f>VLOOKUP(Tabla1[[#This Row],[Cód. Atributo]],[1]!Tabla5[#Data],6,FALSE)</f>
        <v>Select</v>
      </c>
      <c r="F3595">
        <v>4</v>
      </c>
      <c r="G3595">
        <v>1</v>
      </c>
      <c r="H3595" t="s">
        <v>93</v>
      </c>
      <c r="I3595" t="str">
        <f>VLOOKUP(Tabla1[[#This Row],[Code]],'[1]Articulos Precio'!$A:$E,5,FALSE)</f>
        <v>A0002095</v>
      </c>
    </row>
    <row r="3596" spans="1:9" x14ac:dyDescent="0.25">
      <c r="A3596" t="s">
        <v>1302</v>
      </c>
      <c r="B3596" t="str">
        <f>VLOOKUP(Tabla1[[#This Row],[Code]],[1]!Tabla4[#Data],2,FALSE)</f>
        <v>M2 MM-CC Colour Change 62 Verde Java Brillo 1,52x50m</v>
      </c>
      <c r="C3596">
        <v>25</v>
      </c>
      <c r="D3596" t="s">
        <v>94</v>
      </c>
      <c r="E3596" t="str">
        <f>VLOOKUP(Tabla1[[#This Row],[Cód. Atributo]],[1]!Tabla5[#Data],6,FALSE)</f>
        <v>Select</v>
      </c>
      <c r="F3596">
        <v>5</v>
      </c>
      <c r="G3596">
        <v>4</v>
      </c>
      <c r="H3596" t="s">
        <v>137</v>
      </c>
      <c r="I3596" t="str">
        <f>VLOOKUP(Tabla1[[#This Row],[Code]],'[1]Articulos Precio'!$A:$E,5,FALSE)</f>
        <v>A0002095</v>
      </c>
    </row>
    <row r="3597" spans="1:9" x14ac:dyDescent="0.25">
      <c r="A3597" t="s">
        <v>1302</v>
      </c>
      <c r="B3597" t="str">
        <f>VLOOKUP(Tabla1[[#This Row],[Code]],[1]!Tabla4[#Data],2,FALSE)</f>
        <v>M2 MM-CC Colour Change 62 Verde Java Brillo 1,52x50m</v>
      </c>
      <c r="C3597">
        <v>24</v>
      </c>
      <c r="D3597" t="s">
        <v>96</v>
      </c>
      <c r="E3597" t="str">
        <f>VLOOKUP(Tabla1[[#This Row],[Cód. Atributo]],[1]!Tabla5[#Data],6,FALSE)</f>
        <v>Select</v>
      </c>
      <c r="F3597">
        <v>6</v>
      </c>
      <c r="G3597">
        <v>6</v>
      </c>
      <c r="H3597" t="s">
        <v>97</v>
      </c>
      <c r="I3597" t="str">
        <f>VLOOKUP(Tabla1[[#This Row],[Code]],'[1]Articulos Precio'!$A:$E,5,FALSE)</f>
        <v>A0002095</v>
      </c>
    </row>
    <row r="3598" spans="1:9" x14ac:dyDescent="0.25">
      <c r="A3598" t="s">
        <v>1304</v>
      </c>
      <c r="B3598" t="str">
        <f>VLOOKUP(Tabla1[[#This Row],[Code]],[1]!Tabla4[#Data],2,FALSE)</f>
        <v>M2 MM-CC Colour Change 65 Verde Azulado Brillo 1,52x50m</v>
      </c>
      <c r="C3598">
        <v>8</v>
      </c>
      <c r="D3598" t="s">
        <v>86</v>
      </c>
      <c r="E3598" t="str">
        <f>VLOOKUP(Tabla1[[#This Row],[Cód. Atributo]],[1]!Tabla5[#Data],6,FALSE)</f>
        <v>Select</v>
      </c>
      <c r="F3598">
        <v>1</v>
      </c>
      <c r="G3598">
        <v>4</v>
      </c>
      <c r="H3598" t="s">
        <v>87</v>
      </c>
      <c r="I3598" t="str">
        <f>VLOOKUP(Tabla1[[#This Row],[Code]],'[1]Articulos Precio'!$A:$E,5,FALSE)</f>
        <v>A0002095</v>
      </c>
    </row>
    <row r="3599" spans="1:9" x14ac:dyDescent="0.25">
      <c r="A3599" t="s">
        <v>1304</v>
      </c>
      <c r="B3599" t="str">
        <f>VLOOKUP(Tabla1[[#This Row],[Code]],[1]!Tabla4[#Data],2,FALSE)</f>
        <v>M2 MM-CC Colour Change 65 Verde Azulado Brillo 1,52x50m</v>
      </c>
      <c r="C3599">
        <v>54</v>
      </c>
      <c r="D3599" t="s">
        <v>88</v>
      </c>
      <c r="E3599" t="str">
        <f>VLOOKUP(Tabla1[[#This Row],[Cód. Atributo]],[1]!Tabla5[#Data],6,FALSE)</f>
        <v>Color</v>
      </c>
      <c r="F3599">
        <v>2</v>
      </c>
      <c r="G3599">
        <v>14</v>
      </c>
      <c r="H3599" t="s">
        <v>1305</v>
      </c>
      <c r="I3599" t="str">
        <f>VLOOKUP(Tabla1[[#This Row],[Code]],'[1]Articulos Precio'!$A:$E,5,FALSE)</f>
        <v>A0002095</v>
      </c>
    </row>
    <row r="3600" spans="1:9" x14ac:dyDescent="0.25">
      <c r="A3600" t="s">
        <v>1304</v>
      </c>
      <c r="B3600" t="str">
        <f>VLOOKUP(Tabla1[[#This Row],[Code]],[1]!Tabla4[#Data],2,FALSE)</f>
        <v>M2 MM-CC Colour Change 65 Verde Azulado Brillo 1,52x50m</v>
      </c>
      <c r="C3600">
        <v>23</v>
      </c>
      <c r="D3600" t="s">
        <v>90</v>
      </c>
      <c r="E3600" t="str">
        <f>VLOOKUP(Tabla1[[#This Row],[Cód. Atributo]],[1]!Tabla5[#Data],6,FALSE)</f>
        <v>Select</v>
      </c>
      <c r="F3600">
        <v>3</v>
      </c>
      <c r="G3600">
        <v>5</v>
      </c>
      <c r="H3600" t="s">
        <v>1279</v>
      </c>
      <c r="I3600" t="str">
        <f>VLOOKUP(Tabla1[[#This Row],[Code]],'[1]Articulos Precio'!$A:$E,5,FALSE)</f>
        <v>A0002095</v>
      </c>
    </row>
    <row r="3601" spans="1:9" x14ac:dyDescent="0.25">
      <c r="A3601" t="s">
        <v>1304</v>
      </c>
      <c r="B3601" t="str">
        <f>VLOOKUP(Tabla1[[#This Row],[Code]],[1]!Tabla4[#Data],2,FALSE)</f>
        <v>M2 MM-CC Colour Change 65 Verde Azulado Brillo 1,52x50m</v>
      </c>
      <c r="C3601">
        <v>28</v>
      </c>
      <c r="D3601" t="s">
        <v>92</v>
      </c>
      <c r="E3601" t="str">
        <f>VLOOKUP(Tabla1[[#This Row],[Cód. Atributo]],[1]!Tabla5[#Data],6,FALSE)</f>
        <v>Select</v>
      </c>
      <c r="F3601">
        <v>4</v>
      </c>
      <c r="G3601">
        <v>1</v>
      </c>
      <c r="H3601" t="s">
        <v>93</v>
      </c>
      <c r="I3601" t="str">
        <f>VLOOKUP(Tabla1[[#This Row],[Code]],'[1]Articulos Precio'!$A:$E,5,FALSE)</f>
        <v>A0002095</v>
      </c>
    </row>
    <row r="3602" spans="1:9" x14ac:dyDescent="0.25">
      <c r="A3602" t="s">
        <v>1304</v>
      </c>
      <c r="B3602" t="str">
        <f>VLOOKUP(Tabla1[[#This Row],[Code]],[1]!Tabla4[#Data],2,FALSE)</f>
        <v>M2 MM-CC Colour Change 65 Verde Azulado Brillo 1,52x50m</v>
      </c>
      <c r="C3602">
        <v>25</v>
      </c>
      <c r="D3602" t="s">
        <v>94</v>
      </c>
      <c r="E3602" t="str">
        <f>VLOOKUP(Tabla1[[#This Row],[Cód. Atributo]],[1]!Tabla5[#Data],6,FALSE)</f>
        <v>Select</v>
      </c>
      <c r="F3602">
        <v>5</v>
      </c>
      <c r="G3602">
        <v>4</v>
      </c>
      <c r="H3602" t="s">
        <v>137</v>
      </c>
      <c r="I3602" t="str">
        <f>VLOOKUP(Tabla1[[#This Row],[Code]],'[1]Articulos Precio'!$A:$E,5,FALSE)</f>
        <v>A0002095</v>
      </c>
    </row>
    <row r="3603" spans="1:9" x14ac:dyDescent="0.25">
      <c r="A3603" t="s">
        <v>1304</v>
      </c>
      <c r="B3603" t="str">
        <f>VLOOKUP(Tabla1[[#This Row],[Code]],[1]!Tabla4[#Data],2,FALSE)</f>
        <v>M2 MM-CC Colour Change 65 Verde Azulado Brillo 1,52x50m</v>
      </c>
      <c r="C3603">
        <v>24</v>
      </c>
      <c r="D3603" t="s">
        <v>96</v>
      </c>
      <c r="E3603" t="str">
        <f>VLOOKUP(Tabla1[[#This Row],[Cód. Atributo]],[1]!Tabla5[#Data],6,FALSE)</f>
        <v>Select</v>
      </c>
      <c r="F3603">
        <v>6</v>
      </c>
      <c r="G3603">
        <v>6</v>
      </c>
      <c r="H3603" t="s">
        <v>97</v>
      </c>
      <c r="I3603" t="str">
        <f>VLOOKUP(Tabla1[[#This Row],[Code]],'[1]Articulos Precio'!$A:$E,5,FALSE)</f>
        <v>A0002095</v>
      </c>
    </row>
    <row r="3604" spans="1:9" x14ac:dyDescent="0.25">
      <c r="A3604" t="s">
        <v>1306</v>
      </c>
      <c r="B3604" t="str">
        <f>VLOOKUP(Tabla1[[#This Row],[Code]],[1]!Tabla4[#Data],2,FALSE)</f>
        <v>M2 MM-CC Colour Change 67 Verde Neon Brillo 1,52x50m</v>
      </c>
      <c r="C3604">
        <v>8</v>
      </c>
      <c r="D3604" t="s">
        <v>86</v>
      </c>
      <c r="E3604" t="str">
        <f>VLOOKUP(Tabla1[[#This Row],[Cód. Atributo]],[1]!Tabla5[#Data],6,FALSE)</f>
        <v>Select</v>
      </c>
      <c r="F3604">
        <v>1</v>
      </c>
      <c r="G3604">
        <v>4</v>
      </c>
      <c r="H3604" t="s">
        <v>87</v>
      </c>
      <c r="I3604" t="str">
        <f>VLOOKUP(Tabla1[[#This Row],[Code]],'[1]Articulos Precio'!$A:$E,5,FALSE)</f>
        <v>A0002095</v>
      </c>
    </row>
    <row r="3605" spans="1:9" x14ac:dyDescent="0.25">
      <c r="A3605" t="s">
        <v>1306</v>
      </c>
      <c r="B3605" t="str">
        <f>VLOOKUP(Tabla1[[#This Row],[Code]],[1]!Tabla4[#Data],2,FALSE)</f>
        <v>M2 MM-CC Colour Change 67 Verde Neon Brillo 1,52x50m</v>
      </c>
      <c r="C3605">
        <v>54</v>
      </c>
      <c r="D3605" t="s">
        <v>88</v>
      </c>
      <c r="E3605" t="str">
        <f>VLOOKUP(Tabla1[[#This Row],[Cód. Atributo]],[1]!Tabla5[#Data],6,FALSE)</f>
        <v>Color</v>
      </c>
      <c r="F3605">
        <v>2</v>
      </c>
      <c r="G3605">
        <v>15</v>
      </c>
      <c r="H3605" t="s">
        <v>1307</v>
      </c>
      <c r="I3605" t="str">
        <f>VLOOKUP(Tabla1[[#This Row],[Code]],'[1]Articulos Precio'!$A:$E,5,FALSE)</f>
        <v>A0002095</v>
      </c>
    </row>
    <row r="3606" spans="1:9" x14ac:dyDescent="0.25">
      <c r="A3606" t="s">
        <v>1306</v>
      </c>
      <c r="B3606" t="str">
        <f>VLOOKUP(Tabla1[[#This Row],[Code]],[1]!Tabla4[#Data],2,FALSE)</f>
        <v>M2 MM-CC Colour Change 67 Verde Neon Brillo 1,52x50m</v>
      </c>
      <c r="C3606">
        <v>23</v>
      </c>
      <c r="D3606" t="s">
        <v>90</v>
      </c>
      <c r="E3606" t="str">
        <f>VLOOKUP(Tabla1[[#This Row],[Cód. Atributo]],[1]!Tabla5[#Data],6,FALSE)</f>
        <v>Select</v>
      </c>
      <c r="F3606">
        <v>3</v>
      </c>
      <c r="G3606">
        <v>5</v>
      </c>
      <c r="H3606" t="s">
        <v>1279</v>
      </c>
      <c r="I3606" t="str">
        <f>VLOOKUP(Tabla1[[#This Row],[Code]],'[1]Articulos Precio'!$A:$E,5,FALSE)</f>
        <v>A0002095</v>
      </c>
    </row>
    <row r="3607" spans="1:9" x14ac:dyDescent="0.25">
      <c r="A3607" t="s">
        <v>1306</v>
      </c>
      <c r="B3607" t="str">
        <f>VLOOKUP(Tabla1[[#This Row],[Code]],[1]!Tabla4[#Data],2,FALSE)</f>
        <v>M2 MM-CC Colour Change 67 Verde Neon Brillo 1,52x50m</v>
      </c>
      <c r="C3607">
        <v>28</v>
      </c>
      <c r="D3607" t="s">
        <v>92</v>
      </c>
      <c r="E3607" t="str">
        <f>VLOOKUP(Tabla1[[#This Row],[Cód. Atributo]],[1]!Tabla5[#Data],6,FALSE)</f>
        <v>Select</v>
      </c>
      <c r="F3607">
        <v>4</v>
      </c>
      <c r="G3607">
        <v>1</v>
      </c>
      <c r="H3607" t="s">
        <v>93</v>
      </c>
      <c r="I3607" t="str">
        <f>VLOOKUP(Tabla1[[#This Row],[Code]],'[1]Articulos Precio'!$A:$E,5,FALSE)</f>
        <v>A0002095</v>
      </c>
    </row>
    <row r="3608" spans="1:9" x14ac:dyDescent="0.25">
      <c r="A3608" t="s">
        <v>1306</v>
      </c>
      <c r="B3608" t="str">
        <f>VLOOKUP(Tabla1[[#This Row],[Code]],[1]!Tabla4[#Data],2,FALSE)</f>
        <v>M2 MM-CC Colour Change 67 Verde Neon Brillo 1,52x50m</v>
      </c>
      <c r="C3608">
        <v>25</v>
      </c>
      <c r="D3608" t="s">
        <v>94</v>
      </c>
      <c r="E3608" t="str">
        <f>VLOOKUP(Tabla1[[#This Row],[Cód. Atributo]],[1]!Tabla5[#Data],6,FALSE)</f>
        <v>Select</v>
      </c>
      <c r="F3608">
        <v>5</v>
      </c>
      <c r="G3608">
        <v>4</v>
      </c>
      <c r="H3608" t="s">
        <v>137</v>
      </c>
      <c r="I3608" t="str">
        <f>VLOOKUP(Tabla1[[#This Row],[Code]],'[1]Articulos Precio'!$A:$E,5,FALSE)</f>
        <v>A0002095</v>
      </c>
    </row>
    <row r="3609" spans="1:9" x14ac:dyDescent="0.25">
      <c r="A3609" t="s">
        <v>1306</v>
      </c>
      <c r="B3609" t="str">
        <f>VLOOKUP(Tabla1[[#This Row],[Code]],[1]!Tabla4[#Data],2,FALSE)</f>
        <v>M2 MM-CC Colour Change 67 Verde Neon Brillo 1,52x50m</v>
      </c>
      <c r="C3609">
        <v>24</v>
      </c>
      <c r="D3609" t="s">
        <v>96</v>
      </c>
      <c r="E3609" t="str">
        <f>VLOOKUP(Tabla1[[#This Row],[Cód. Atributo]],[1]!Tabla5[#Data],6,FALSE)</f>
        <v>Select</v>
      </c>
      <c r="F3609">
        <v>6</v>
      </c>
      <c r="G3609">
        <v>6</v>
      </c>
      <c r="H3609" t="s">
        <v>97</v>
      </c>
      <c r="I3609" t="str">
        <f>VLOOKUP(Tabla1[[#This Row],[Code]],'[1]Articulos Precio'!$A:$E,5,FALSE)</f>
        <v>A0002095</v>
      </c>
    </row>
    <row r="3610" spans="1:9" x14ac:dyDescent="0.25">
      <c r="A3610" t="s">
        <v>1308</v>
      </c>
      <c r="B3610" t="str">
        <f>VLOOKUP(Tabla1[[#This Row],[Code]],[1]!Tabla4[#Data],2,FALSE)</f>
        <v>M2 MM-CC Colour Change 69 Verde Carrera Brillo 1,52x50m</v>
      </c>
      <c r="C3610">
        <v>8</v>
      </c>
      <c r="D3610" t="s">
        <v>86</v>
      </c>
      <c r="E3610" t="str">
        <f>VLOOKUP(Tabla1[[#This Row],[Cód. Atributo]],[1]!Tabla5[#Data],6,FALSE)</f>
        <v>Select</v>
      </c>
      <c r="F3610">
        <v>1</v>
      </c>
      <c r="G3610">
        <v>4</v>
      </c>
      <c r="H3610" t="s">
        <v>87</v>
      </c>
      <c r="I3610" t="str">
        <f>VLOOKUP(Tabla1[[#This Row],[Code]],'[1]Articulos Precio'!$A:$E,5,FALSE)</f>
        <v>A0002095</v>
      </c>
    </row>
    <row r="3611" spans="1:9" x14ac:dyDescent="0.25">
      <c r="A3611" t="s">
        <v>1308</v>
      </c>
      <c r="B3611" t="str">
        <f>VLOOKUP(Tabla1[[#This Row],[Code]],[1]!Tabla4[#Data],2,FALSE)</f>
        <v>M2 MM-CC Colour Change 69 Verde Carrera Brillo 1,52x50m</v>
      </c>
      <c r="C3611">
        <v>54</v>
      </c>
      <c r="D3611" t="s">
        <v>88</v>
      </c>
      <c r="E3611" t="str">
        <f>VLOOKUP(Tabla1[[#This Row],[Cód. Atributo]],[1]!Tabla5[#Data],6,FALSE)</f>
        <v>Color</v>
      </c>
      <c r="F3611">
        <v>2</v>
      </c>
      <c r="G3611">
        <v>16</v>
      </c>
      <c r="H3611" t="s">
        <v>1309</v>
      </c>
      <c r="I3611" t="str">
        <f>VLOOKUP(Tabla1[[#This Row],[Code]],'[1]Articulos Precio'!$A:$E,5,FALSE)</f>
        <v>A0002095</v>
      </c>
    </row>
    <row r="3612" spans="1:9" x14ac:dyDescent="0.25">
      <c r="A3612" t="s">
        <v>1308</v>
      </c>
      <c r="B3612" t="str">
        <f>VLOOKUP(Tabla1[[#This Row],[Code]],[1]!Tabla4[#Data],2,FALSE)</f>
        <v>M2 MM-CC Colour Change 69 Verde Carrera Brillo 1,52x50m</v>
      </c>
      <c r="C3612">
        <v>23</v>
      </c>
      <c r="D3612" t="s">
        <v>90</v>
      </c>
      <c r="E3612" t="str">
        <f>VLOOKUP(Tabla1[[#This Row],[Cód. Atributo]],[1]!Tabla5[#Data],6,FALSE)</f>
        <v>Select</v>
      </c>
      <c r="F3612">
        <v>3</v>
      </c>
      <c r="G3612">
        <v>5</v>
      </c>
      <c r="H3612" t="s">
        <v>1279</v>
      </c>
      <c r="I3612" t="str">
        <f>VLOOKUP(Tabla1[[#This Row],[Code]],'[1]Articulos Precio'!$A:$E,5,FALSE)</f>
        <v>A0002095</v>
      </c>
    </row>
    <row r="3613" spans="1:9" x14ac:dyDescent="0.25">
      <c r="A3613" t="s">
        <v>1308</v>
      </c>
      <c r="B3613" t="str">
        <f>VLOOKUP(Tabla1[[#This Row],[Code]],[1]!Tabla4[#Data],2,FALSE)</f>
        <v>M2 MM-CC Colour Change 69 Verde Carrera Brillo 1,52x50m</v>
      </c>
      <c r="C3613">
        <v>28</v>
      </c>
      <c r="D3613" t="s">
        <v>92</v>
      </c>
      <c r="E3613" t="str">
        <f>VLOOKUP(Tabla1[[#This Row],[Cód. Atributo]],[1]!Tabla5[#Data],6,FALSE)</f>
        <v>Select</v>
      </c>
      <c r="F3613">
        <v>4</v>
      </c>
      <c r="G3613">
        <v>1</v>
      </c>
      <c r="H3613" t="s">
        <v>93</v>
      </c>
      <c r="I3613" t="str">
        <f>VLOOKUP(Tabla1[[#This Row],[Code]],'[1]Articulos Precio'!$A:$E,5,FALSE)</f>
        <v>A0002095</v>
      </c>
    </row>
    <row r="3614" spans="1:9" x14ac:dyDescent="0.25">
      <c r="A3614" t="s">
        <v>1308</v>
      </c>
      <c r="B3614" t="str">
        <f>VLOOKUP(Tabla1[[#This Row],[Code]],[1]!Tabla4[#Data],2,FALSE)</f>
        <v>M2 MM-CC Colour Change 69 Verde Carrera Brillo 1,52x50m</v>
      </c>
      <c r="C3614">
        <v>25</v>
      </c>
      <c r="D3614" t="s">
        <v>94</v>
      </c>
      <c r="E3614" t="str">
        <f>VLOOKUP(Tabla1[[#This Row],[Cód. Atributo]],[1]!Tabla5[#Data],6,FALSE)</f>
        <v>Select</v>
      </c>
      <c r="F3614">
        <v>5</v>
      </c>
      <c r="G3614">
        <v>4</v>
      </c>
      <c r="H3614" t="s">
        <v>137</v>
      </c>
      <c r="I3614" t="str">
        <f>VLOOKUP(Tabla1[[#This Row],[Code]],'[1]Articulos Precio'!$A:$E,5,FALSE)</f>
        <v>A0002095</v>
      </c>
    </row>
    <row r="3615" spans="1:9" x14ac:dyDescent="0.25">
      <c r="A3615" t="s">
        <v>1308</v>
      </c>
      <c r="B3615" t="str">
        <f>VLOOKUP(Tabla1[[#This Row],[Code]],[1]!Tabla4[#Data],2,FALSE)</f>
        <v>M2 MM-CC Colour Change 69 Verde Carrera Brillo 1,52x50m</v>
      </c>
      <c r="C3615">
        <v>24</v>
      </c>
      <c r="D3615" t="s">
        <v>96</v>
      </c>
      <c r="E3615" t="str">
        <f>VLOOKUP(Tabla1[[#This Row],[Cód. Atributo]],[1]!Tabla5[#Data],6,FALSE)</f>
        <v>Select</v>
      </c>
      <c r="F3615">
        <v>6</v>
      </c>
      <c r="G3615">
        <v>6</v>
      </c>
      <c r="H3615" t="s">
        <v>97</v>
      </c>
      <c r="I3615" t="str">
        <f>VLOOKUP(Tabla1[[#This Row],[Code]],'[1]Articulos Precio'!$A:$E,5,FALSE)</f>
        <v>A0002095</v>
      </c>
    </row>
    <row r="3616" spans="1:9" x14ac:dyDescent="0.25">
      <c r="A3616" t="s">
        <v>1310</v>
      </c>
      <c r="B3616" t="str">
        <f>VLOOKUP(Tabla1[[#This Row],[Code]],[1]!Tabla4[#Data],2,FALSE)</f>
        <v>M2 MM-CC Colour Change 90 Plata Brillo 1,52x50m</v>
      </c>
      <c r="C3616">
        <v>8</v>
      </c>
      <c r="D3616" t="s">
        <v>86</v>
      </c>
      <c r="E3616" t="str">
        <f>VLOOKUP(Tabla1[[#This Row],[Cód. Atributo]],[1]!Tabla5[#Data],6,FALSE)</f>
        <v>Select</v>
      </c>
      <c r="F3616">
        <v>1</v>
      </c>
      <c r="G3616">
        <v>4</v>
      </c>
      <c r="H3616" t="s">
        <v>87</v>
      </c>
      <c r="I3616" t="str">
        <f>VLOOKUP(Tabla1[[#This Row],[Code]],'[1]Articulos Precio'!$A:$E,5,FALSE)</f>
        <v>A0002095</v>
      </c>
    </row>
    <row r="3617" spans="1:9" x14ac:dyDescent="0.25">
      <c r="A3617" t="s">
        <v>1310</v>
      </c>
      <c r="B3617" t="str">
        <f>VLOOKUP(Tabla1[[#This Row],[Code]],[1]!Tabla4[#Data],2,FALSE)</f>
        <v>M2 MM-CC Colour Change 90 Plata Brillo 1,52x50m</v>
      </c>
      <c r="C3617">
        <v>54</v>
      </c>
      <c r="D3617" t="s">
        <v>88</v>
      </c>
      <c r="E3617" t="str">
        <f>VLOOKUP(Tabla1[[#This Row],[Cód. Atributo]],[1]!Tabla5[#Data],6,FALSE)</f>
        <v>Color</v>
      </c>
      <c r="F3617">
        <v>2</v>
      </c>
      <c r="G3617">
        <v>17</v>
      </c>
      <c r="H3617" t="s">
        <v>1311</v>
      </c>
      <c r="I3617" t="str">
        <f>VLOOKUP(Tabla1[[#This Row],[Code]],'[1]Articulos Precio'!$A:$E,5,FALSE)</f>
        <v>A0002095</v>
      </c>
    </row>
    <row r="3618" spans="1:9" x14ac:dyDescent="0.25">
      <c r="A3618" t="s">
        <v>1310</v>
      </c>
      <c r="B3618" t="str">
        <f>VLOOKUP(Tabla1[[#This Row],[Code]],[1]!Tabla4[#Data],2,FALSE)</f>
        <v>M2 MM-CC Colour Change 90 Plata Brillo 1,52x50m</v>
      </c>
      <c r="C3618">
        <v>23</v>
      </c>
      <c r="D3618" t="s">
        <v>90</v>
      </c>
      <c r="E3618" t="str">
        <f>VLOOKUP(Tabla1[[#This Row],[Cód. Atributo]],[1]!Tabla5[#Data],6,FALSE)</f>
        <v>Select</v>
      </c>
      <c r="F3618">
        <v>3</v>
      </c>
      <c r="G3618">
        <v>5</v>
      </c>
      <c r="H3618" t="s">
        <v>1279</v>
      </c>
      <c r="I3618" t="str">
        <f>VLOOKUP(Tabla1[[#This Row],[Code]],'[1]Articulos Precio'!$A:$E,5,FALSE)</f>
        <v>A0002095</v>
      </c>
    </row>
    <row r="3619" spans="1:9" x14ac:dyDescent="0.25">
      <c r="A3619" t="s">
        <v>1310</v>
      </c>
      <c r="B3619" t="str">
        <f>VLOOKUP(Tabla1[[#This Row],[Code]],[1]!Tabla4[#Data],2,FALSE)</f>
        <v>M2 MM-CC Colour Change 90 Plata Brillo 1,52x50m</v>
      </c>
      <c r="C3619">
        <v>28</v>
      </c>
      <c r="D3619" t="s">
        <v>92</v>
      </c>
      <c r="E3619" t="str">
        <f>VLOOKUP(Tabla1[[#This Row],[Cód. Atributo]],[1]!Tabla5[#Data],6,FALSE)</f>
        <v>Select</v>
      </c>
      <c r="F3619">
        <v>4</v>
      </c>
      <c r="G3619">
        <v>1</v>
      </c>
      <c r="H3619" t="s">
        <v>93</v>
      </c>
      <c r="I3619" t="str">
        <f>VLOOKUP(Tabla1[[#This Row],[Code]],'[1]Articulos Precio'!$A:$E,5,FALSE)</f>
        <v>A0002095</v>
      </c>
    </row>
    <row r="3620" spans="1:9" x14ac:dyDescent="0.25">
      <c r="A3620" t="s">
        <v>1310</v>
      </c>
      <c r="B3620" t="str">
        <f>VLOOKUP(Tabla1[[#This Row],[Code]],[1]!Tabla4[#Data],2,FALSE)</f>
        <v>M2 MM-CC Colour Change 90 Plata Brillo 1,52x50m</v>
      </c>
      <c r="C3620">
        <v>25</v>
      </c>
      <c r="D3620" t="s">
        <v>94</v>
      </c>
      <c r="E3620" t="str">
        <f>VLOOKUP(Tabla1[[#This Row],[Cód. Atributo]],[1]!Tabla5[#Data],6,FALSE)</f>
        <v>Select</v>
      </c>
      <c r="F3620">
        <v>5</v>
      </c>
      <c r="G3620">
        <v>4</v>
      </c>
      <c r="H3620" t="s">
        <v>137</v>
      </c>
      <c r="I3620" t="str">
        <f>VLOOKUP(Tabla1[[#This Row],[Code]],'[1]Articulos Precio'!$A:$E,5,FALSE)</f>
        <v>A0002095</v>
      </c>
    </row>
    <row r="3621" spans="1:9" x14ac:dyDescent="0.25">
      <c r="A3621" t="s">
        <v>1310</v>
      </c>
      <c r="B3621" t="str">
        <f>VLOOKUP(Tabla1[[#This Row],[Code]],[1]!Tabla4[#Data],2,FALSE)</f>
        <v>M2 MM-CC Colour Change 90 Plata Brillo 1,52x50m</v>
      </c>
      <c r="C3621">
        <v>24</v>
      </c>
      <c r="D3621" t="s">
        <v>96</v>
      </c>
      <c r="E3621" t="str">
        <f>VLOOKUP(Tabla1[[#This Row],[Cód. Atributo]],[1]!Tabla5[#Data],6,FALSE)</f>
        <v>Select</v>
      </c>
      <c r="F3621">
        <v>6</v>
      </c>
      <c r="G3621">
        <v>6</v>
      </c>
      <c r="H3621" t="s">
        <v>97</v>
      </c>
      <c r="I3621" t="str">
        <f>VLOOKUP(Tabla1[[#This Row],[Code]],'[1]Articulos Precio'!$A:$E,5,FALSE)</f>
        <v>A0002095</v>
      </c>
    </row>
    <row r="3622" spans="1:9" x14ac:dyDescent="0.25">
      <c r="A3622" t="s">
        <v>1312</v>
      </c>
      <c r="B3622" t="str">
        <f>VLOOKUP(Tabla1[[#This Row],[Code]],[1]!Tabla4[#Data],2,FALSE)</f>
        <v>M2 MM-CC Colour Change 93 Gunmetal Mate 1,52x50m</v>
      </c>
      <c r="C3622">
        <v>8</v>
      </c>
      <c r="D3622" t="s">
        <v>86</v>
      </c>
      <c r="E3622" t="str">
        <f>VLOOKUP(Tabla1[[#This Row],[Cód. Atributo]],[1]!Tabla5[#Data],6,FALSE)</f>
        <v>Select</v>
      </c>
      <c r="F3622">
        <v>1</v>
      </c>
      <c r="G3622">
        <v>4</v>
      </c>
      <c r="H3622" t="s">
        <v>87</v>
      </c>
      <c r="I3622" t="str">
        <f>VLOOKUP(Tabla1[[#This Row],[Code]],'[1]Articulos Precio'!$A:$E,5,FALSE)</f>
        <v>A0002095</v>
      </c>
    </row>
    <row r="3623" spans="1:9" x14ac:dyDescent="0.25">
      <c r="A3623" t="s">
        <v>1312</v>
      </c>
      <c r="B3623" t="str">
        <f>VLOOKUP(Tabla1[[#This Row],[Code]],[1]!Tabla4[#Data],2,FALSE)</f>
        <v>M2 MM-CC Colour Change 93 Gunmetal Mate 1,52x50m</v>
      </c>
      <c r="C3623">
        <v>54</v>
      </c>
      <c r="D3623" t="s">
        <v>88</v>
      </c>
      <c r="E3623" t="str">
        <f>VLOOKUP(Tabla1[[#This Row],[Cód. Atributo]],[1]!Tabla5[#Data],6,FALSE)</f>
        <v>Color</v>
      </c>
      <c r="F3623">
        <v>2</v>
      </c>
      <c r="G3623">
        <v>18</v>
      </c>
      <c r="H3623" t="s">
        <v>1313</v>
      </c>
      <c r="I3623" t="str">
        <f>VLOOKUP(Tabla1[[#This Row],[Code]],'[1]Articulos Precio'!$A:$E,5,FALSE)</f>
        <v>A0002095</v>
      </c>
    </row>
    <row r="3624" spans="1:9" x14ac:dyDescent="0.25">
      <c r="A3624" t="s">
        <v>1312</v>
      </c>
      <c r="B3624" t="str">
        <f>VLOOKUP(Tabla1[[#This Row],[Code]],[1]!Tabla4[#Data],2,FALSE)</f>
        <v>M2 MM-CC Colour Change 93 Gunmetal Mate 1,52x50m</v>
      </c>
      <c r="C3624">
        <v>23</v>
      </c>
      <c r="D3624" t="s">
        <v>90</v>
      </c>
      <c r="E3624" t="str">
        <f>VLOOKUP(Tabla1[[#This Row],[Cód. Atributo]],[1]!Tabla5[#Data],6,FALSE)</f>
        <v>Select</v>
      </c>
      <c r="F3624">
        <v>3</v>
      </c>
      <c r="G3624">
        <v>5</v>
      </c>
      <c r="H3624" t="s">
        <v>1279</v>
      </c>
      <c r="I3624" t="str">
        <f>VLOOKUP(Tabla1[[#This Row],[Code]],'[1]Articulos Precio'!$A:$E,5,FALSE)</f>
        <v>A0002095</v>
      </c>
    </row>
    <row r="3625" spans="1:9" x14ac:dyDescent="0.25">
      <c r="A3625" t="s">
        <v>1312</v>
      </c>
      <c r="B3625" t="str">
        <f>VLOOKUP(Tabla1[[#This Row],[Code]],[1]!Tabla4[#Data],2,FALSE)</f>
        <v>M2 MM-CC Colour Change 93 Gunmetal Mate 1,52x50m</v>
      </c>
      <c r="C3625">
        <v>28</v>
      </c>
      <c r="D3625" t="s">
        <v>92</v>
      </c>
      <c r="E3625" t="str">
        <f>VLOOKUP(Tabla1[[#This Row],[Cód. Atributo]],[1]!Tabla5[#Data],6,FALSE)</f>
        <v>Select</v>
      </c>
      <c r="F3625">
        <v>4</v>
      </c>
      <c r="G3625">
        <v>2</v>
      </c>
      <c r="H3625" t="s">
        <v>102</v>
      </c>
      <c r="I3625" t="str">
        <f>VLOOKUP(Tabla1[[#This Row],[Code]],'[1]Articulos Precio'!$A:$E,5,FALSE)</f>
        <v>A0002095</v>
      </c>
    </row>
    <row r="3626" spans="1:9" x14ac:dyDescent="0.25">
      <c r="A3626" t="s">
        <v>1312</v>
      </c>
      <c r="B3626" t="str">
        <f>VLOOKUP(Tabla1[[#This Row],[Code]],[1]!Tabla4[#Data],2,FALSE)</f>
        <v>M2 MM-CC Colour Change 93 Gunmetal Mate 1,52x50m</v>
      </c>
      <c r="C3626">
        <v>25</v>
      </c>
      <c r="D3626" t="s">
        <v>94</v>
      </c>
      <c r="E3626" t="str">
        <f>VLOOKUP(Tabla1[[#This Row],[Cód. Atributo]],[1]!Tabla5[#Data],6,FALSE)</f>
        <v>Select</v>
      </c>
      <c r="F3626">
        <v>5</v>
      </c>
      <c r="G3626">
        <v>4</v>
      </c>
      <c r="H3626" t="s">
        <v>137</v>
      </c>
      <c r="I3626" t="str">
        <f>VLOOKUP(Tabla1[[#This Row],[Code]],'[1]Articulos Precio'!$A:$E,5,FALSE)</f>
        <v>A0002095</v>
      </c>
    </row>
    <row r="3627" spans="1:9" x14ac:dyDescent="0.25">
      <c r="A3627" t="s">
        <v>1312</v>
      </c>
      <c r="B3627" t="str">
        <f>VLOOKUP(Tabla1[[#This Row],[Code]],[1]!Tabla4[#Data],2,FALSE)</f>
        <v>M2 MM-CC Colour Change 93 Gunmetal Mate 1,52x50m</v>
      </c>
      <c r="C3627">
        <v>24</v>
      </c>
      <c r="D3627" t="s">
        <v>96</v>
      </c>
      <c r="E3627" t="str">
        <f>VLOOKUP(Tabla1[[#This Row],[Cód. Atributo]],[1]!Tabla5[#Data],6,FALSE)</f>
        <v>Select</v>
      </c>
      <c r="F3627">
        <v>6</v>
      </c>
      <c r="G3627">
        <v>6</v>
      </c>
      <c r="H3627" t="s">
        <v>97</v>
      </c>
      <c r="I3627" t="str">
        <f>VLOOKUP(Tabla1[[#This Row],[Code]],'[1]Articulos Precio'!$A:$E,5,FALSE)</f>
        <v>A0002095</v>
      </c>
    </row>
    <row r="3628" spans="1:9" x14ac:dyDescent="0.25">
      <c r="A3628" t="s">
        <v>1312</v>
      </c>
      <c r="B3628" t="str">
        <f>VLOOKUP(Tabla1[[#This Row],[Code]],[1]!Tabla4[#Data],2,FALSE)</f>
        <v>M2 MM-CC Colour Change 93 Gunmetal Mate 1,52x50m</v>
      </c>
      <c r="E3628" t="e">
        <f>VLOOKUP(Tabla1[[#This Row],[Cód. Atributo]],[1]!Tabla5[#Data],6,FALSE)</f>
        <v>#N/A</v>
      </c>
      <c r="F3628">
        <v>7</v>
      </c>
      <c r="I3628" t="str">
        <f>VLOOKUP(Tabla1[[#This Row],[Code]],'[1]Articulos Precio'!$A:$E,5,FALSE)</f>
        <v>A0002095</v>
      </c>
    </row>
    <row r="3629" spans="1:9" x14ac:dyDescent="0.25">
      <c r="A3629" t="s">
        <v>1314</v>
      </c>
      <c r="B3629" t="str">
        <f>VLOOKUP(Tabla1[[#This Row],[Code]],[1]!Tabla4[#Data],2,FALSE)</f>
        <v>M2 MM-CC Colour Change 95 Aluminio Brillo 1,52x50m</v>
      </c>
      <c r="C3629">
        <v>8</v>
      </c>
      <c r="D3629" t="s">
        <v>86</v>
      </c>
      <c r="E3629" t="str">
        <f>VLOOKUP(Tabla1[[#This Row],[Cód. Atributo]],[1]!Tabla5[#Data],6,FALSE)</f>
        <v>Select</v>
      </c>
      <c r="F3629">
        <v>1</v>
      </c>
      <c r="G3629">
        <v>4</v>
      </c>
      <c r="H3629" t="s">
        <v>87</v>
      </c>
      <c r="I3629" t="str">
        <f>VLOOKUP(Tabla1[[#This Row],[Code]],'[1]Articulos Precio'!$A:$E,5,FALSE)</f>
        <v>A0002095</v>
      </c>
    </row>
    <row r="3630" spans="1:9" x14ac:dyDescent="0.25">
      <c r="A3630" t="s">
        <v>1314</v>
      </c>
      <c r="B3630" t="str">
        <f>VLOOKUP(Tabla1[[#This Row],[Code]],[1]!Tabla4[#Data],2,FALSE)</f>
        <v>M2 MM-CC Colour Change 95 Aluminio Brillo 1,52x50m</v>
      </c>
      <c r="C3630">
        <v>54</v>
      </c>
      <c r="D3630" t="s">
        <v>88</v>
      </c>
      <c r="E3630" t="str">
        <f>VLOOKUP(Tabla1[[#This Row],[Cód. Atributo]],[1]!Tabla5[#Data],6,FALSE)</f>
        <v>Color</v>
      </c>
      <c r="F3630">
        <v>2</v>
      </c>
      <c r="G3630">
        <v>19</v>
      </c>
      <c r="H3630" t="s">
        <v>1315</v>
      </c>
      <c r="I3630" t="str">
        <f>VLOOKUP(Tabla1[[#This Row],[Code]],'[1]Articulos Precio'!$A:$E,5,FALSE)</f>
        <v>A0002095</v>
      </c>
    </row>
    <row r="3631" spans="1:9" x14ac:dyDescent="0.25">
      <c r="A3631" t="s">
        <v>1314</v>
      </c>
      <c r="B3631" t="str">
        <f>VLOOKUP(Tabla1[[#This Row],[Code]],[1]!Tabla4[#Data],2,FALSE)</f>
        <v>M2 MM-CC Colour Change 95 Aluminio Brillo 1,52x50m</v>
      </c>
      <c r="C3631">
        <v>23</v>
      </c>
      <c r="D3631" t="s">
        <v>90</v>
      </c>
      <c r="E3631" t="str">
        <f>VLOOKUP(Tabla1[[#This Row],[Cód. Atributo]],[1]!Tabla5[#Data],6,FALSE)</f>
        <v>Select</v>
      </c>
      <c r="F3631">
        <v>3</v>
      </c>
      <c r="G3631">
        <v>5</v>
      </c>
      <c r="H3631" t="s">
        <v>1279</v>
      </c>
      <c r="I3631" t="str">
        <f>VLOOKUP(Tabla1[[#This Row],[Code]],'[1]Articulos Precio'!$A:$E,5,FALSE)</f>
        <v>A0002095</v>
      </c>
    </row>
    <row r="3632" spans="1:9" x14ac:dyDescent="0.25">
      <c r="A3632" t="s">
        <v>1314</v>
      </c>
      <c r="B3632" t="str">
        <f>VLOOKUP(Tabla1[[#This Row],[Code]],[1]!Tabla4[#Data],2,FALSE)</f>
        <v>M2 MM-CC Colour Change 95 Aluminio Brillo 1,52x50m</v>
      </c>
      <c r="C3632">
        <v>28</v>
      </c>
      <c r="D3632" t="s">
        <v>92</v>
      </c>
      <c r="E3632" t="str">
        <f>VLOOKUP(Tabla1[[#This Row],[Cód. Atributo]],[1]!Tabla5[#Data],6,FALSE)</f>
        <v>Select</v>
      </c>
      <c r="F3632">
        <v>4</v>
      </c>
      <c r="G3632">
        <v>1</v>
      </c>
      <c r="H3632" t="s">
        <v>93</v>
      </c>
      <c r="I3632" t="str">
        <f>VLOOKUP(Tabla1[[#This Row],[Code]],'[1]Articulos Precio'!$A:$E,5,FALSE)</f>
        <v>A0002095</v>
      </c>
    </row>
    <row r="3633" spans="1:9" x14ac:dyDescent="0.25">
      <c r="A3633" t="s">
        <v>1314</v>
      </c>
      <c r="B3633" t="str">
        <f>VLOOKUP(Tabla1[[#This Row],[Code]],[1]!Tabla4[#Data],2,FALSE)</f>
        <v>M2 MM-CC Colour Change 95 Aluminio Brillo 1,52x50m</v>
      </c>
      <c r="C3633">
        <v>25</v>
      </c>
      <c r="D3633" t="s">
        <v>94</v>
      </c>
      <c r="E3633" t="str">
        <f>VLOOKUP(Tabla1[[#This Row],[Cód. Atributo]],[1]!Tabla5[#Data],6,FALSE)</f>
        <v>Select</v>
      </c>
      <c r="F3633">
        <v>5</v>
      </c>
      <c r="G3633">
        <v>4</v>
      </c>
      <c r="H3633" t="s">
        <v>137</v>
      </c>
      <c r="I3633" t="str">
        <f>VLOOKUP(Tabla1[[#This Row],[Code]],'[1]Articulos Precio'!$A:$E,5,FALSE)</f>
        <v>A0002095</v>
      </c>
    </row>
    <row r="3634" spans="1:9" x14ac:dyDescent="0.25">
      <c r="A3634" t="s">
        <v>1314</v>
      </c>
      <c r="B3634" t="str">
        <f>VLOOKUP(Tabla1[[#This Row],[Code]],[1]!Tabla4[#Data],2,FALSE)</f>
        <v>M2 MM-CC Colour Change 95 Aluminio Brillo 1,52x50m</v>
      </c>
      <c r="C3634">
        <v>24</v>
      </c>
      <c r="D3634" t="s">
        <v>96</v>
      </c>
      <c r="E3634" t="str">
        <f>VLOOKUP(Tabla1[[#This Row],[Cód. Atributo]],[1]!Tabla5[#Data],6,FALSE)</f>
        <v>Select</v>
      </c>
      <c r="F3634">
        <v>6</v>
      </c>
      <c r="G3634">
        <v>6</v>
      </c>
      <c r="H3634" t="s">
        <v>97</v>
      </c>
      <c r="I3634" t="str">
        <f>VLOOKUP(Tabla1[[#This Row],[Code]],'[1]Articulos Precio'!$A:$E,5,FALSE)</f>
        <v>A0002095</v>
      </c>
    </row>
    <row r="3635" spans="1:9" x14ac:dyDescent="0.25">
      <c r="A3635" t="s">
        <v>1316</v>
      </c>
      <c r="B3635" t="str">
        <f>VLOOKUP(Tabla1[[#This Row],[Code]],[1]!Tabla4[#Data],2,FALSE)</f>
        <v>M2 MM-CC Colour Change 96 Grafito Brillo 1,52x50m</v>
      </c>
      <c r="C3635">
        <v>8</v>
      </c>
      <c r="D3635" t="s">
        <v>86</v>
      </c>
      <c r="E3635" t="str">
        <f>VLOOKUP(Tabla1[[#This Row],[Cód. Atributo]],[1]!Tabla5[#Data],6,FALSE)</f>
        <v>Select</v>
      </c>
      <c r="F3635">
        <v>1</v>
      </c>
      <c r="G3635">
        <v>4</v>
      </c>
      <c r="H3635" t="s">
        <v>87</v>
      </c>
      <c r="I3635" t="str">
        <f>VLOOKUP(Tabla1[[#This Row],[Code]],'[1]Articulos Precio'!$A:$E,5,FALSE)</f>
        <v>A0002095</v>
      </c>
    </row>
    <row r="3636" spans="1:9" x14ac:dyDescent="0.25">
      <c r="A3636" t="s">
        <v>1316</v>
      </c>
      <c r="B3636" t="str">
        <f>VLOOKUP(Tabla1[[#This Row],[Code]],[1]!Tabla4[#Data],2,FALSE)</f>
        <v>M2 MM-CC Colour Change 96 Grafito Brillo 1,52x50m</v>
      </c>
      <c r="C3636">
        <v>54</v>
      </c>
      <c r="D3636" t="s">
        <v>88</v>
      </c>
      <c r="E3636" t="str">
        <f>VLOOKUP(Tabla1[[#This Row],[Cód. Atributo]],[1]!Tabla5[#Data],6,FALSE)</f>
        <v>Color</v>
      </c>
      <c r="F3636">
        <v>2</v>
      </c>
      <c r="G3636">
        <v>20</v>
      </c>
      <c r="H3636" t="s">
        <v>1317</v>
      </c>
      <c r="I3636" t="str">
        <f>VLOOKUP(Tabla1[[#This Row],[Code]],'[1]Articulos Precio'!$A:$E,5,FALSE)</f>
        <v>A0002095</v>
      </c>
    </row>
    <row r="3637" spans="1:9" x14ac:dyDescent="0.25">
      <c r="A3637" t="s">
        <v>1316</v>
      </c>
      <c r="B3637" t="str">
        <f>VLOOKUP(Tabla1[[#This Row],[Code]],[1]!Tabla4[#Data],2,FALSE)</f>
        <v>M2 MM-CC Colour Change 96 Grafito Brillo 1,52x50m</v>
      </c>
      <c r="C3637">
        <v>23</v>
      </c>
      <c r="D3637" t="s">
        <v>90</v>
      </c>
      <c r="E3637" t="str">
        <f>VLOOKUP(Tabla1[[#This Row],[Cód. Atributo]],[1]!Tabla5[#Data],6,FALSE)</f>
        <v>Select</v>
      </c>
      <c r="F3637">
        <v>3</v>
      </c>
      <c r="G3637">
        <v>5</v>
      </c>
      <c r="H3637" t="s">
        <v>1279</v>
      </c>
      <c r="I3637" t="str">
        <f>VLOOKUP(Tabla1[[#This Row],[Code]],'[1]Articulos Precio'!$A:$E,5,FALSE)</f>
        <v>A0002095</v>
      </c>
    </row>
    <row r="3638" spans="1:9" x14ac:dyDescent="0.25">
      <c r="A3638" t="s">
        <v>1316</v>
      </c>
      <c r="B3638" t="str">
        <f>VLOOKUP(Tabla1[[#This Row],[Code]],[1]!Tabla4[#Data],2,FALSE)</f>
        <v>M2 MM-CC Colour Change 96 Grafito Brillo 1,52x50m</v>
      </c>
      <c r="C3638">
        <v>28</v>
      </c>
      <c r="D3638" t="s">
        <v>92</v>
      </c>
      <c r="E3638" t="str">
        <f>VLOOKUP(Tabla1[[#This Row],[Cód. Atributo]],[1]!Tabla5[#Data],6,FALSE)</f>
        <v>Select</v>
      </c>
      <c r="F3638">
        <v>4</v>
      </c>
      <c r="G3638">
        <v>1</v>
      </c>
      <c r="H3638" t="s">
        <v>93</v>
      </c>
      <c r="I3638" t="str">
        <f>VLOOKUP(Tabla1[[#This Row],[Code]],'[1]Articulos Precio'!$A:$E,5,FALSE)</f>
        <v>A0002095</v>
      </c>
    </row>
    <row r="3639" spans="1:9" x14ac:dyDescent="0.25">
      <c r="A3639" t="s">
        <v>1316</v>
      </c>
      <c r="B3639" t="str">
        <f>VLOOKUP(Tabla1[[#This Row],[Code]],[1]!Tabla4[#Data],2,FALSE)</f>
        <v>M2 MM-CC Colour Change 96 Grafito Brillo 1,52x50m</v>
      </c>
      <c r="C3639">
        <v>25</v>
      </c>
      <c r="D3639" t="s">
        <v>94</v>
      </c>
      <c r="E3639" t="str">
        <f>VLOOKUP(Tabla1[[#This Row],[Cód. Atributo]],[1]!Tabla5[#Data],6,FALSE)</f>
        <v>Select</v>
      </c>
      <c r="F3639">
        <v>5</v>
      </c>
      <c r="G3639">
        <v>4</v>
      </c>
      <c r="H3639" t="s">
        <v>137</v>
      </c>
      <c r="I3639" t="str">
        <f>VLOOKUP(Tabla1[[#This Row],[Code]],'[1]Articulos Precio'!$A:$E,5,FALSE)</f>
        <v>A0002095</v>
      </c>
    </row>
    <row r="3640" spans="1:9" x14ac:dyDescent="0.25">
      <c r="A3640" t="s">
        <v>1316</v>
      </c>
      <c r="B3640" t="str">
        <f>VLOOKUP(Tabla1[[#This Row],[Code]],[1]!Tabla4[#Data],2,FALSE)</f>
        <v>M2 MM-CC Colour Change 96 Grafito Brillo 1,52x50m</v>
      </c>
      <c r="C3640">
        <v>24</v>
      </c>
      <c r="D3640" t="s">
        <v>96</v>
      </c>
      <c r="E3640" t="str">
        <f>VLOOKUP(Tabla1[[#This Row],[Cód. Atributo]],[1]!Tabla5[#Data],6,FALSE)</f>
        <v>Select</v>
      </c>
      <c r="F3640">
        <v>6</v>
      </c>
      <c r="G3640">
        <v>6</v>
      </c>
      <c r="H3640" t="s">
        <v>97</v>
      </c>
      <c r="I3640" t="str">
        <f>VLOOKUP(Tabla1[[#This Row],[Code]],'[1]Articulos Precio'!$A:$E,5,FALSE)</f>
        <v>A0002095</v>
      </c>
    </row>
    <row r="3641" spans="1:9" x14ac:dyDescent="0.25">
      <c r="A3641" t="s">
        <v>1318</v>
      </c>
      <c r="B3641" t="str">
        <f>VLOOKUP(Tabla1[[#This Row],[Code]],[1]!Tabla4[#Data],2,FALSE)</f>
        <v>M2 Nekoosa EZ Color EC1024 Gris Medio Mate 0,61 x 45,7m</v>
      </c>
      <c r="C3641">
        <v>8</v>
      </c>
      <c r="D3641" t="s">
        <v>86</v>
      </c>
      <c r="E3641" t="str">
        <f>VLOOKUP(Tabla1[[#This Row],[Cód. Atributo]],[1]!Tabla5[#Data],6,FALSE)</f>
        <v>Select</v>
      </c>
      <c r="F3641">
        <v>1</v>
      </c>
      <c r="G3641">
        <v>1</v>
      </c>
      <c r="H3641" t="s">
        <v>263</v>
      </c>
      <c r="I3641" t="str">
        <f>VLOOKUP(Tabla1[[#This Row],[Code]],'[1]Articulos Precio'!$A:$E,5,FALSE)</f>
        <v>A0002670</v>
      </c>
    </row>
    <row r="3642" spans="1:9" x14ac:dyDescent="0.25">
      <c r="A3642" t="s">
        <v>1318</v>
      </c>
      <c r="B3642" t="str">
        <f>VLOOKUP(Tabla1[[#This Row],[Code]],[1]!Tabla4[#Data],2,FALSE)</f>
        <v>M2 Nekoosa EZ Color EC1024 Gris Medio Mate 0,61 x 45,7m</v>
      </c>
      <c r="C3642">
        <v>51</v>
      </c>
      <c r="D3642" t="s">
        <v>1319</v>
      </c>
      <c r="E3642" t="str">
        <f>VLOOKUP(Tabla1[[#This Row],[Cód. Atributo]],[1]!Tabla5[#Data],6,FALSE)</f>
        <v>Select</v>
      </c>
      <c r="F3642">
        <v>2</v>
      </c>
      <c r="G3642">
        <v>3</v>
      </c>
      <c r="H3642" t="s">
        <v>1320</v>
      </c>
      <c r="I3642" t="str">
        <f>VLOOKUP(Tabla1[[#This Row],[Code]],'[1]Articulos Precio'!$A:$E,5,FALSE)</f>
        <v>A0002670</v>
      </c>
    </row>
    <row r="3643" spans="1:9" x14ac:dyDescent="0.25">
      <c r="A3643" t="s">
        <v>1318</v>
      </c>
      <c r="B3643" t="str">
        <f>VLOOKUP(Tabla1[[#This Row],[Code]],[1]!Tabla4[#Data],2,FALSE)</f>
        <v>M2 Nekoosa EZ Color EC1024 Gris Medio Mate 0,61 x 45,7m</v>
      </c>
      <c r="C3643">
        <v>23</v>
      </c>
      <c r="D3643" t="s">
        <v>90</v>
      </c>
      <c r="E3643" t="str">
        <f>VLOOKUP(Tabla1[[#This Row],[Cód. Atributo]],[1]!Tabla5[#Data],6,FALSE)</f>
        <v>Select</v>
      </c>
      <c r="F3643">
        <v>3</v>
      </c>
      <c r="G3643">
        <v>2</v>
      </c>
      <c r="H3643" t="s">
        <v>136</v>
      </c>
      <c r="I3643" t="str">
        <f>VLOOKUP(Tabla1[[#This Row],[Code]],'[1]Articulos Precio'!$A:$E,5,FALSE)</f>
        <v>A0002670</v>
      </c>
    </row>
    <row r="3644" spans="1:9" x14ac:dyDescent="0.25">
      <c r="A3644" t="s">
        <v>1318</v>
      </c>
      <c r="B3644" t="str">
        <f>VLOOKUP(Tabla1[[#This Row],[Code]],[1]!Tabla4[#Data],2,FALSE)</f>
        <v>M2 Nekoosa EZ Color EC1024 Gris Medio Mate 0,61 x 45,7m</v>
      </c>
      <c r="C3644">
        <v>28</v>
      </c>
      <c r="D3644" t="s">
        <v>92</v>
      </c>
      <c r="E3644" t="str">
        <f>VLOOKUP(Tabla1[[#This Row],[Cód. Atributo]],[1]!Tabla5[#Data],6,FALSE)</f>
        <v>Select</v>
      </c>
      <c r="F3644">
        <v>4</v>
      </c>
      <c r="G3644">
        <v>2</v>
      </c>
      <c r="H3644" t="s">
        <v>102</v>
      </c>
      <c r="I3644" t="str">
        <f>VLOOKUP(Tabla1[[#This Row],[Code]],'[1]Articulos Precio'!$A:$E,5,FALSE)</f>
        <v>A0002670</v>
      </c>
    </row>
    <row r="3645" spans="1:9" x14ac:dyDescent="0.25">
      <c r="A3645" t="s">
        <v>1318</v>
      </c>
      <c r="B3645" t="str">
        <f>VLOOKUP(Tabla1[[#This Row],[Code]],[1]!Tabla4[#Data],2,FALSE)</f>
        <v>M2 Nekoosa EZ Color EC1024 Gris Medio Mate 0,61 x 45,7m</v>
      </c>
      <c r="C3645">
        <v>25</v>
      </c>
      <c r="D3645" t="s">
        <v>94</v>
      </c>
      <c r="E3645" t="str">
        <f>VLOOKUP(Tabla1[[#This Row],[Cód. Atributo]],[1]!Tabla5[#Data],6,FALSE)</f>
        <v>Select</v>
      </c>
      <c r="F3645">
        <v>5</v>
      </c>
      <c r="G3645">
        <v>7</v>
      </c>
      <c r="H3645" t="s">
        <v>1321</v>
      </c>
      <c r="I3645" t="str">
        <f>VLOOKUP(Tabla1[[#This Row],[Code]],'[1]Articulos Precio'!$A:$E,5,FALSE)</f>
        <v>A0002670</v>
      </c>
    </row>
    <row r="3646" spans="1:9" x14ac:dyDescent="0.25">
      <c r="A3646" t="s">
        <v>1318</v>
      </c>
      <c r="B3646" t="str">
        <f>VLOOKUP(Tabla1[[#This Row],[Code]],[1]!Tabla4[#Data],2,FALSE)</f>
        <v>M2 Nekoosa EZ Color EC1024 Gris Medio Mate 0,61 x 45,7m</v>
      </c>
      <c r="C3646">
        <v>24</v>
      </c>
      <c r="D3646" t="s">
        <v>96</v>
      </c>
      <c r="E3646" t="str">
        <f>VLOOKUP(Tabla1[[#This Row],[Cód. Atributo]],[1]!Tabla5[#Data],6,FALSE)</f>
        <v>Select</v>
      </c>
      <c r="F3646">
        <v>6</v>
      </c>
      <c r="G3646">
        <v>2</v>
      </c>
      <c r="H3646" t="s">
        <v>266</v>
      </c>
      <c r="I3646" t="str">
        <f>VLOOKUP(Tabla1[[#This Row],[Code]],'[1]Articulos Precio'!$A:$E,5,FALSE)</f>
        <v>A0002670</v>
      </c>
    </row>
    <row r="3647" spans="1:9" x14ac:dyDescent="0.25">
      <c r="A3647" t="s">
        <v>1318</v>
      </c>
      <c r="B3647" t="str">
        <f>VLOOKUP(Tabla1[[#This Row],[Code]],[1]!Tabla4[#Data],2,FALSE)</f>
        <v>M2 Nekoosa EZ Color EC1024 Gris Medio Mate 0,61 x 45,7m</v>
      </c>
      <c r="C3647">
        <v>31</v>
      </c>
      <c r="D3647" t="s">
        <v>114</v>
      </c>
      <c r="E3647" t="str">
        <f>VLOOKUP(Tabla1[[#This Row],[Cód. Atributo]],[1]!Tabla5[#Data],6,FALSE)</f>
        <v>Select</v>
      </c>
      <c r="F3647">
        <v>7</v>
      </c>
      <c r="G3647">
        <v>14</v>
      </c>
      <c r="H3647" t="s">
        <v>1322</v>
      </c>
      <c r="I3647" t="str">
        <f>VLOOKUP(Tabla1[[#This Row],[Code]],'[1]Articulos Precio'!$A:$E,5,FALSE)</f>
        <v>A0002670</v>
      </c>
    </row>
    <row r="3648" spans="1:9" x14ac:dyDescent="0.25">
      <c r="A3648" t="s">
        <v>1323</v>
      </c>
      <c r="B3648" t="str">
        <f>VLOOKUP(Tabla1[[#This Row],[Code]],[1]!Tabla4[#Data],2,FALSE)</f>
        <v>M2 Nekoosa EZ Color EC1024 Gris Medio Mate 1,22 x 45,7m</v>
      </c>
      <c r="C3648">
        <v>8</v>
      </c>
      <c r="D3648" t="s">
        <v>86</v>
      </c>
      <c r="E3648" t="str">
        <f>VLOOKUP(Tabla1[[#This Row],[Cód. Atributo]],[1]!Tabla5[#Data],6,FALSE)</f>
        <v>Select</v>
      </c>
      <c r="F3648">
        <v>1</v>
      </c>
      <c r="G3648">
        <v>2</v>
      </c>
      <c r="H3648" t="s">
        <v>268</v>
      </c>
      <c r="I3648" t="str">
        <f>VLOOKUP(Tabla1[[#This Row],[Code]],'[1]Articulos Precio'!$A:$E,5,FALSE)</f>
        <v>A0002670</v>
      </c>
    </row>
    <row r="3649" spans="1:9" x14ac:dyDescent="0.25">
      <c r="A3649" t="s">
        <v>1323</v>
      </c>
      <c r="B3649" t="str">
        <f>VLOOKUP(Tabla1[[#This Row],[Code]],[1]!Tabla4[#Data],2,FALSE)</f>
        <v>M2 Nekoosa EZ Color EC1024 Gris Medio Mate 1,22 x 45,7m</v>
      </c>
      <c r="C3649">
        <v>51</v>
      </c>
      <c r="D3649" t="s">
        <v>1319</v>
      </c>
      <c r="E3649" t="str">
        <f>VLOOKUP(Tabla1[[#This Row],[Cód. Atributo]],[1]!Tabla5[#Data],6,FALSE)</f>
        <v>Select</v>
      </c>
      <c r="F3649">
        <v>2</v>
      </c>
      <c r="G3649">
        <v>3</v>
      </c>
      <c r="H3649" t="s">
        <v>1320</v>
      </c>
      <c r="I3649" t="str">
        <f>VLOOKUP(Tabla1[[#This Row],[Code]],'[1]Articulos Precio'!$A:$E,5,FALSE)</f>
        <v>A0002670</v>
      </c>
    </row>
    <row r="3650" spans="1:9" x14ac:dyDescent="0.25">
      <c r="A3650" t="s">
        <v>1323</v>
      </c>
      <c r="B3650" t="str">
        <f>VLOOKUP(Tabla1[[#This Row],[Code]],[1]!Tabla4[#Data],2,FALSE)</f>
        <v>M2 Nekoosa EZ Color EC1024 Gris Medio Mate 1,22 x 45,7m</v>
      </c>
      <c r="C3650">
        <v>23</v>
      </c>
      <c r="D3650" t="s">
        <v>90</v>
      </c>
      <c r="E3650" t="str">
        <f>VLOOKUP(Tabla1[[#This Row],[Cód. Atributo]],[1]!Tabla5[#Data],6,FALSE)</f>
        <v>Select</v>
      </c>
      <c r="F3650">
        <v>3</v>
      </c>
      <c r="G3650">
        <v>2</v>
      </c>
      <c r="H3650" t="s">
        <v>136</v>
      </c>
      <c r="I3650" t="str">
        <f>VLOOKUP(Tabla1[[#This Row],[Code]],'[1]Articulos Precio'!$A:$E,5,FALSE)</f>
        <v>A0002670</v>
      </c>
    </row>
    <row r="3651" spans="1:9" x14ac:dyDescent="0.25">
      <c r="A3651" t="s">
        <v>1323</v>
      </c>
      <c r="B3651" t="str">
        <f>VLOOKUP(Tabla1[[#This Row],[Code]],[1]!Tabla4[#Data],2,FALSE)</f>
        <v>M2 Nekoosa EZ Color EC1024 Gris Medio Mate 1,22 x 45,7m</v>
      </c>
      <c r="C3651">
        <v>28</v>
      </c>
      <c r="D3651" t="s">
        <v>92</v>
      </c>
      <c r="E3651" t="str">
        <f>VLOOKUP(Tabla1[[#This Row],[Cód. Atributo]],[1]!Tabla5[#Data],6,FALSE)</f>
        <v>Select</v>
      </c>
      <c r="F3651">
        <v>4</v>
      </c>
      <c r="G3651">
        <v>2</v>
      </c>
      <c r="H3651" t="s">
        <v>102</v>
      </c>
      <c r="I3651" t="str">
        <f>VLOOKUP(Tabla1[[#This Row],[Code]],'[1]Articulos Precio'!$A:$E,5,FALSE)</f>
        <v>A0002670</v>
      </c>
    </row>
    <row r="3652" spans="1:9" x14ac:dyDescent="0.25">
      <c r="A3652" t="s">
        <v>1323</v>
      </c>
      <c r="B3652" t="str">
        <f>VLOOKUP(Tabla1[[#This Row],[Code]],[1]!Tabla4[#Data],2,FALSE)</f>
        <v>M2 Nekoosa EZ Color EC1024 Gris Medio Mate 1,22 x 45,7m</v>
      </c>
      <c r="C3652">
        <v>25</v>
      </c>
      <c r="D3652" t="s">
        <v>94</v>
      </c>
      <c r="E3652" t="str">
        <f>VLOOKUP(Tabla1[[#This Row],[Cód. Atributo]],[1]!Tabla5[#Data],6,FALSE)</f>
        <v>Select</v>
      </c>
      <c r="F3652">
        <v>5</v>
      </c>
      <c r="G3652">
        <v>7</v>
      </c>
      <c r="H3652" t="s">
        <v>1321</v>
      </c>
      <c r="I3652" t="str">
        <f>VLOOKUP(Tabla1[[#This Row],[Code]],'[1]Articulos Precio'!$A:$E,5,FALSE)</f>
        <v>A0002670</v>
      </c>
    </row>
    <row r="3653" spans="1:9" x14ac:dyDescent="0.25">
      <c r="A3653" t="s">
        <v>1323</v>
      </c>
      <c r="B3653" t="str">
        <f>VLOOKUP(Tabla1[[#This Row],[Code]],[1]!Tabla4[#Data],2,FALSE)</f>
        <v>M2 Nekoosa EZ Color EC1024 Gris Medio Mate 1,22 x 45,7m</v>
      </c>
      <c r="C3653">
        <v>24</v>
      </c>
      <c r="D3653" t="s">
        <v>96</v>
      </c>
      <c r="E3653" t="str">
        <f>VLOOKUP(Tabla1[[#This Row],[Cód. Atributo]],[1]!Tabla5[#Data],6,FALSE)</f>
        <v>Select</v>
      </c>
      <c r="F3653">
        <v>6</v>
      </c>
      <c r="G3653">
        <v>2</v>
      </c>
      <c r="H3653" t="s">
        <v>266</v>
      </c>
      <c r="I3653" t="str">
        <f>VLOOKUP(Tabla1[[#This Row],[Code]],'[1]Articulos Precio'!$A:$E,5,FALSE)</f>
        <v>A0002670</v>
      </c>
    </row>
    <row r="3654" spans="1:9" x14ac:dyDescent="0.25">
      <c r="A3654" t="s">
        <v>1323</v>
      </c>
      <c r="B3654" t="str">
        <f>VLOOKUP(Tabla1[[#This Row],[Code]],[1]!Tabla4[#Data],2,FALSE)</f>
        <v>M2 Nekoosa EZ Color EC1024 Gris Medio Mate 1,22 x 45,7m</v>
      </c>
      <c r="C3654">
        <v>31</v>
      </c>
      <c r="D3654" t="s">
        <v>114</v>
      </c>
      <c r="E3654" t="str">
        <f>VLOOKUP(Tabla1[[#This Row],[Cód. Atributo]],[1]!Tabla5[#Data],6,FALSE)</f>
        <v>Select</v>
      </c>
      <c r="F3654">
        <v>7</v>
      </c>
      <c r="G3654">
        <v>14</v>
      </c>
      <c r="H3654" t="s">
        <v>1322</v>
      </c>
      <c r="I3654" t="str">
        <f>VLOOKUP(Tabla1[[#This Row],[Code]],'[1]Articulos Precio'!$A:$E,5,FALSE)</f>
        <v>A0002670</v>
      </c>
    </row>
    <row r="3655" spans="1:9" x14ac:dyDescent="0.25">
      <c r="A3655" t="s">
        <v>1324</v>
      </c>
      <c r="B3655" t="str">
        <f>VLOOKUP(Tabla1[[#This Row],[Code]],[1]!Tabla4[#Data],2,FALSE)</f>
        <v>M2 Nekoosa EZ Color EC1270 Gris Oscuro Brillo 0,61 x 45,7m</v>
      </c>
      <c r="C3655">
        <v>8</v>
      </c>
      <c r="D3655" t="s">
        <v>86</v>
      </c>
      <c r="E3655" t="str">
        <f>VLOOKUP(Tabla1[[#This Row],[Cód. Atributo]],[1]!Tabla5[#Data],6,FALSE)</f>
        <v>Select</v>
      </c>
      <c r="F3655">
        <v>1</v>
      </c>
      <c r="G3655">
        <v>1</v>
      </c>
      <c r="H3655" t="s">
        <v>263</v>
      </c>
      <c r="I3655" t="str">
        <f>VLOOKUP(Tabla1[[#This Row],[Code]],'[1]Articulos Precio'!$A:$E,5,FALSE)</f>
        <v>A0002671</v>
      </c>
    </row>
    <row r="3656" spans="1:9" x14ac:dyDescent="0.25">
      <c r="A3656" t="s">
        <v>1324</v>
      </c>
      <c r="B3656" t="str">
        <f>VLOOKUP(Tabla1[[#This Row],[Code]],[1]!Tabla4[#Data],2,FALSE)</f>
        <v>M2 Nekoosa EZ Color EC1270 Gris Oscuro Brillo 0,61 x 45,7m</v>
      </c>
      <c r="C3656">
        <v>52</v>
      </c>
      <c r="D3656" t="s">
        <v>1325</v>
      </c>
      <c r="E3656" t="str">
        <f>VLOOKUP(Tabla1[[#This Row],[Cód. Atributo]],[1]!Tabla5[#Data],6,FALSE)</f>
        <v>Select</v>
      </c>
      <c r="F3656">
        <v>2</v>
      </c>
      <c r="G3656">
        <v>6</v>
      </c>
      <c r="H3656" t="s">
        <v>1326</v>
      </c>
      <c r="I3656" t="str">
        <f>VLOOKUP(Tabla1[[#This Row],[Code]],'[1]Articulos Precio'!$A:$E,5,FALSE)</f>
        <v>A0002671</v>
      </c>
    </row>
    <row r="3657" spans="1:9" x14ac:dyDescent="0.25">
      <c r="A3657" t="s">
        <v>1324</v>
      </c>
      <c r="B3657" t="str">
        <f>VLOOKUP(Tabla1[[#This Row],[Code]],[1]!Tabla4[#Data],2,FALSE)</f>
        <v>M2 Nekoosa EZ Color EC1270 Gris Oscuro Brillo 0,61 x 45,7m</v>
      </c>
      <c r="C3657">
        <v>23</v>
      </c>
      <c r="D3657" t="s">
        <v>90</v>
      </c>
      <c r="E3657" t="str">
        <f>VLOOKUP(Tabla1[[#This Row],[Cód. Atributo]],[1]!Tabla5[#Data],6,FALSE)</f>
        <v>Select</v>
      </c>
      <c r="F3657">
        <v>3</v>
      </c>
      <c r="G3657">
        <v>2</v>
      </c>
      <c r="H3657" t="s">
        <v>136</v>
      </c>
      <c r="I3657" t="str">
        <f>VLOOKUP(Tabla1[[#This Row],[Code]],'[1]Articulos Precio'!$A:$E,5,FALSE)</f>
        <v>A0002671</v>
      </c>
    </row>
    <row r="3658" spans="1:9" x14ac:dyDescent="0.25">
      <c r="A3658" t="s">
        <v>1324</v>
      </c>
      <c r="B3658" t="str">
        <f>VLOOKUP(Tabla1[[#This Row],[Code]],[1]!Tabla4[#Data],2,FALSE)</f>
        <v>M2 Nekoosa EZ Color EC1270 Gris Oscuro Brillo 0,61 x 45,7m</v>
      </c>
      <c r="C3658">
        <v>28</v>
      </c>
      <c r="D3658" t="s">
        <v>92</v>
      </c>
      <c r="E3658" t="str">
        <f>VLOOKUP(Tabla1[[#This Row],[Cód. Atributo]],[1]!Tabla5[#Data],6,FALSE)</f>
        <v>Select</v>
      </c>
      <c r="F3658">
        <v>4</v>
      </c>
      <c r="G3658">
        <v>1</v>
      </c>
      <c r="H3658" t="s">
        <v>93</v>
      </c>
      <c r="I3658" t="str">
        <f>VLOOKUP(Tabla1[[#This Row],[Code]],'[1]Articulos Precio'!$A:$E,5,FALSE)</f>
        <v>A0002671</v>
      </c>
    </row>
    <row r="3659" spans="1:9" x14ac:dyDescent="0.25">
      <c r="A3659" t="s">
        <v>1324</v>
      </c>
      <c r="B3659" t="str">
        <f>VLOOKUP(Tabla1[[#This Row],[Code]],[1]!Tabla4[#Data],2,FALSE)</f>
        <v>M2 Nekoosa EZ Color EC1270 Gris Oscuro Brillo 0,61 x 45,7m</v>
      </c>
      <c r="C3659">
        <v>25</v>
      </c>
      <c r="D3659" t="s">
        <v>94</v>
      </c>
      <c r="E3659" t="str">
        <f>VLOOKUP(Tabla1[[#This Row],[Cód. Atributo]],[1]!Tabla5[#Data],6,FALSE)</f>
        <v>Select</v>
      </c>
      <c r="F3659">
        <v>5</v>
      </c>
      <c r="G3659">
        <v>7</v>
      </c>
      <c r="H3659" t="s">
        <v>1321</v>
      </c>
      <c r="I3659" t="str">
        <f>VLOOKUP(Tabla1[[#This Row],[Code]],'[1]Articulos Precio'!$A:$E,5,FALSE)</f>
        <v>A0002671</v>
      </c>
    </row>
    <row r="3660" spans="1:9" x14ac:dyDescent="0.25">
      <c r="A3660" t="s">
        <v>1324</v>
      </c>
      <c r="B3660" t="str">
        <f>VLOOKUP(Tabla1[[#This Row],[Code]],[1]!Tabla4[#Data],2,FALSE)</f>
        <v>M2 Nekoosa EZ Color EC1270 Gris Oscuro Brillo 0,61 x 45,7m</v>
      </c>
      <c r="C3660">
        <v>24</v>
      </c>
      <c r="D3660" t="s">
        <v>96</v>
      </c>
      <c r="E3660" t="str">
        <f>VLOOKUP(Tabla1[[#This Row],[Cód. Atributo]],[1]!Tabla5[#Data],6,FALSE)</f>
        <v>Select</v>
      </c>
      <c r="F3660">
        <v>6</v>
      </c>
      <c r="G3660">
        <v>2</v>
      </c>
      <c r="H3660" t="s">
        <v>266</v>
      </c>
      <c r="I3660" t="str">
        <f>VLOOKUP(Tabla1[[#This Row],[Code]],'[1]Articulos Precio'!$A:$E,5,FALSE)</f>
        <v>A0002671</v>
      </c>
    </row>
    <row r="3661" spans="1:9" x14ac:dyDescent="0.25">
      <c r="A3661" t="s">
        <v>1324</v>
      </c>
      <c r="B3661" t="str">
        <f>VLOOKUP(Tabla1[[#This Row],[Code]],[1]!Tabla4[#Data],2,FALSE)</f>
        <v>M2 Nekoosa EZ Color EC1270 Gris Oscuro Brillo 0,61 x 45,7m</v>
      </c>
      <c r="C3661">
        <v>31</v>
      </c>
      <c r="D3661" t="s">
        <v>114</v>
      </c>
      <c r="E3661" t="str">
        <f>VLOOKUP(Tabla1[[#This Row],[Cód. Atributo]],[1]!Tabla5[#Data],6,FALSE)</f>
        <v>Select</v>
      </c>
      <c r="F3661">
        <v>7</v>
      </c>
      <c r="G3661">
        <v>14</v>
      </c>
      <c r="H3661" t="s">
        <v>1322</v>
      </c>
      <c r="I3661" t="str">
        <f>VLOOKUP(Tabla1[[#This Row],[Code]],'[1]Articulos Precio'!$A:$E,5,FALSE)</f>
        <v>A0002671</v>
      </c>
    </row>
    <row r="3662" spans="1:9" x14ac:dyDescent="0.25">
      <c r="A3662" t="s">
        <v>1324</v>
      </c>
      <c r="B3662" t="str">
        <f>VLOOKUP(Tabla1[[#This Row],[Code]],[1]!Tabla4[#Data],2,FALSE)</f>
        <v>M2 Nekoosa EZ Color EC1270 Gris Oscuro Brillo 0,61 x 45,7m</v>
      </c>
      <c r="E3662" t="e">
        <f>VLOOKUP(Tabla1[[#This Row],[Cód. Atributo]],[1]!Tabla5[#Data],6,FALSE)</f>
        <v>#N/A</v>
      </c>
      <c r="F3662">
        <v>8</v>
      </c>
      <c r="I3662" t="str">
        <f>VLOOKUP(Tabla1[[#This Row],[Code]],'[1]Articulos Precio'!$A:$E,5,FALSE)</f>
        <v>A0002671</v>
      </c>
    </row>
    <row r="3663" spans="1:9" x14ac:dyDescent="0.25">
      <c r="A3663" t="s">
        <v>1327</v>
      </c>
      <c r="B3663" t="str">
        <f>VLOOKUP(Tabla1[[#This Row],[Code]],[1]!Tabla4[#Data],2,FALSE)</f>
        <v>M2 Nekoosa EZ Color EC1270 Gris Oscuro Brillo 1,22 x 45,7m</v>
      </c>
      <c r="C3663">
        <v>8</v>
      </c>
      <c r="D3663" t="s">
        <v>86</v>
      </c>
      <c r="E3663" t="str">
        <f>VLOOKUP(Tabla1[[#This Row],[Cód. Atributo]],[1]!Tabla5[#Data],6,FALSE)</f>
        <v>Select</v>
      </c>
      <c r="F3663">
        <v>1</v>
      </c>
      <c r="G3663">
        <v>2</v>
      </c>
      <c r="H3663" t="s">
        <v>268</v>
      </c>
      <c r="I3663" t="str">
        <f>VLOOKUP(Tabla1[[#This Row],[Code]],'[1]Articulos Precio'!$A:$E,5,FALSE)</f>
        <v>A0002671</v>
      </c>
    </row>
    <row r="3664" spans="1:9" x14ac:dyDescent="0.25">
      <c r="A3664" t="s">
        <v>1327</v>
      </c>
      <c r="B3664" t="str">
        <f>VLOOKUP(Tabla1[[#This Row],[Code]],[1]!Tabla4[#Data],2,FALSE)</f>
        <v>M2 Nekoosa EZ Color EC1270 Gris Oscuro Brillo 1,22 x 45,7m</v>
      </c>
      <c r="C3664">
        <v>52</v>
      </c>
      <c r="D3664" t="s">
        <v>1325</v>
      </c>
      <c r="E3664" t="str">
        <f>VLOOKUP(Tabla1[[#This Row],[Cód. Atributo]],[1]!Tabla5[#Data],6,FALSE)</f>
        <v>Select</v>
      </c>
      <c r="F3664">
        <v>2</v>
      </c>
      <c r="G3664">
        <v>2</v>
      </c>
      <c r="H3664" t="s">
        <v>1328</v>
      </c>
      <c r="I3664" t="str">
        <f>VLOOKUP(Tabla1[[#This Row],[Code]],'[1]Articulos Precio'!$A:$E,5,FALSE)</f>
        <v>A0002671</v>
      </c>
    </row>
    <row r="3665" spans="1:9" x14ac:dyDescent="0.25">
      <c r="A3665" t="s">
        <v>1327</v>
      </c>
      <c r="B3665" t="str">
        <f>VLOOKUP(Tabla1[[#This Row],[Code]],[1]!Tabla4[#Data],2,FALSE)</f>
        <v>M2 Nekoosa EZ Color EC1270 Gris Oscuro Brillo 1,22 x 45,7m</v>
      </c>
      <c r="C3665">
        <v>23</v>
      </c>
      <c r="D3665" t="s">
        <v>90</v>
      </c>
      <c r="E3665" t="str">
        <f>VLOOKUP(Tabla1[[#This Row],[Cód. Atributo]],[1]!Tabla5[#Data],6,FALSE)</f>
        <v>Select</v>
      </c>
      <c r="F3665">
        <v>3</v>
      </c>
      <c r="G3665">
        <v>2</v>
      </c>
      <c r="H3665" t="s">
        <v>136</v>
      </c>
      <c r="I3665" t="str">
        <f>VLOOKUP(Tabla1[[#This Row],[Code]],'[1]Articulos Precio'!$A:$E,5,FALSE)</f>
        <v>A0002671</v>
      </c>
    </row>
    <row r="3666" spans="1:9" x14ac:dyDescent="0.25">
      <c r="A3666" t="s">
        <v>1327</v>
      </c>
      <c r="B3666" t="str">
        <f>VLOOKUP(Tabla1[[#This Row],[Code]],[1]!Tabla4[#Data],2,FALSE)</f>
        <v>M2 Nekoosa EZ Color EC1270 Gris Oscuro Brillo 1,22 x 45,7m</v>
      </c>
      <c r="C3666">
        <v>28</v>
      </c>
      <c r="D3666" t="s">
        <v>92</v>
      </c>
      <c r="E3666" t="str">
        <f>VLOOKUP(Tabla1[[#This Row],[Cód. Atributo]],[1]!Tabla5[#Data],6,FALSE)</f>
        <v>Select</v>
      </c>
      <c r="F3666">
        <v>4</v>
      </c>
      <c r="G3666">
        <v>1</v>
      </c>
      <c r="H3666" t="s">
        <v>93</v>
      </c>
      <c r="I3666" t="str">
        <f>VLOOKUP(Tabla1[[#This Row],[Code]],'[1]Articulos Precio'!$A:$E,5,FALSE)</f>
        <v>A0002671</v>
      </c>
    </row>
    <row r="3667" spans="1:9" x14ac:dyDescent="0.25">
      <c r="A3667" t="s">
        <v>1327</v>
      </c>
      <c r="B3667" t="str">
        <f>VLOOKUP(Tabla1[[#This Row],[Code]],[1]!Tabla4[#Data],2,FALSE)</f>
        <v>M2 Nekoosa EZ Color EC1270 Gris Oscuro Brillo 1,22 x 45,7m</v>
      </c>
      <c r="C3667">
        <v>25</v>
      </c>
      <c r="D3667" t="s">
        <v>94</v>
      </c>
      <c r="E3667" t="str">
        <f>VLOOKUP(Tabla1[[#This Row],[Cód. Atributo]],[1]!Tabla5[#Data],6,FALSE)</f>
        <v>Select</v>
      </c>
      <c r="F3667">
        <v>5</v>
      </c>
      <c r="G3667">
        <v>7</v>
      </c>
      <c r="H3667" t="s">
        <v>1321</v>
      </c>
      <c r="I3667" t="str">
        <f>VLOOKUP(Tabla1[[#This Row],[Code]],'[1]Articulos Precio'!$A:$E,5,FALSE)</f>
        <v>A0002671</v>
      </c>
    </row>
    <row r="3668" spans="1:9" x14ac:dyDescent="0.25">
      <c r="A3668" t="s">
        <v>1327</v>
      </c>
      <c r="B3668" t="str">
        <f>VLOOKUP(Tabla1[[#This Row],[Code]],[1]!Tabla4[#Data],2,FALSE)</f>
        <v>M2 Nekoosa EZ Color EC1270 Gris Oscuro Brillo 1,22 x 45,7m</v>
      </c>
      <c r="C3668">
        <v>24</v>
      </c>
      <c r="D3668" t="s">
        <v>96</v>
      </c>
      <c r="E3668" t="str">
        <f>VLOOKUP(Tabla1[[#This Row],[Cód. Atributo]],[1]!Tabla5[#Data],6,FALSE)</f>
        <v>Select</v>
      </c>
      <c r="F3668">
        <v>6</v>
      </c>
      <c r="G3668">
        <v>2</v>
      </c>
      <c r="H3668" t="s">
        <v>266</v>
      </c>
      <c r="I3668" t="str">
        <f>VLOOKUP(Tabla1[[#This Row],[Code]],'[1]Articulos Precio'!$A:$E,5,FALSE)</f>
        <v>A0002671</v>
      </c>
    </row>
    <row r="3669" spans="1:9" x14ac:dyDescent="0.25">
      <c r="A3669" t="s">
        <v>1327</v>
      </c>
      <c r="B3669" t="str">
        <f>VLOOKUP(Tabla1[[#This Row],[Code]],[1]!Tabla4[#Data],2,FALSE)</f>
        <v>M2 Nekoosa EZ Color EC1270 Gris Oscuro Brillo 1,22 x 45,7m</v>
      </c>
      <c r="C3669">
        <v>31</v>
      </c>
      <c r="D3669" t="s">
        <v>114</v>
      </c>
      <c r="E3669" t="str">
        <f>VLOOKUP(Tabla1[[#This Row],[Cód. Atributo]],[1]!Tabla5[#Data],6,FALSE)</f>
        <v>Select</v>
      </c>
      <c r="F3669">
        <v>7</v>
      </c>
      <c r="G3669">
        <v>14</v>
      </c>
      <c r="H3669" t="s">
        <v>1322</v>
      </c>
      <c r="I3669" t="str">
        <f>VLOOKUP(Tabla1[[#This Row],[Code]],'[1]Articulos Precio'!$A:$E,5,FALSE)</f>
        <v>A0002671</v>
      </c>
    </row>
    <row r="3670" spans="1:9" x14ac:dyDescent="0.25">
      <c r="A3670" t="s">
        <v>1329</v>
      </c>
      <c r="B3670" t="str">
        <f>VLOOKUP(Tabla1[[#This Row],[Code]],[1]!Tabla4[#Data],2,FALSE)</f>
        <v>M2 Nekoosa EZ Color EC1295 Verde Medio Mate 1,22 x 45,7m</v>
      </c>
      <c r="C3670">
        <v>8</v>
      </c>
      <c r="D3670" t="s">
        <v>86</v>
      </c>
      <c r="E3670" t="str">
        <f>VLOOKUP(Tabla1[[#This Row],[Cód. Atributo]],[1]!Tabla5[#Data],6,FALSE)</f>
        <v>Select</v>
      </c>
      <c r="F3670">
        <v>1</v>
      </c>
      <c r="G3670">
        <v>2</v>
      </c>
      <c r="H3670" t="s">
        <v>268</v>
      </c>
      <c r="I3670" t="str">
        <f>VLOOKUP(Tabla1[[#This Row],[Code]],'[1]Articulos Precio'!$A:$E,5,FALSE)</f>
        <v>A0002670</v>
      </c>
    </row>
    <row r="3671" spans="1:9" x14ac:dyDescent="0.25">
      <c r="A3671" t="s">
        <v>1329</v>
      </c>
      <c r="B3671" t="str">
        <f>VLOOKUP(Tabla1[[#This Row],[Code]],[1]!Tabla4[#Data],2,FALSE)</f>
        <v>M2 Nekoosa EZ Color EC1295 Verde Medio Mate 1,22 x 45,7m</v>
      </c>
      <c r="C3671">
        <v>51</v>
      </c>
      <c r="D3671" t="s">
        <v>1319</v>
      </c>
      <c r="E3671" t="str">
        <f>VLOOKUP(Tabla1[[#This Row],[Cód. Atributo]],[1]!Tabla5[#Data],6,FALSE)</f>
        <v>Select</v>
      </c>
      <c r="F3671">
        <v>2</v>
      </c>
      <c r="G3671">
        <v>4</v>
      </c>
      <c r="H3671" t="s">
        <v>1330</v>
      </c>
      <c r="I3671" t="str">
        <f>VLOOKUP(Tabla1[[#This Row],[Code]],'[1]Articulos Precio'!$A:$E,5,FALSE)</f>
        <v>A0002670</v>
      </c>
    </row>
    <row r="3672" spans="1:9" x14ac:dyDescent="0.25">
      <c r="A3672" t="s">
        <v>1329</v>
      </c>
      <c r="B3672" t="str">
        <f>VLOOKUP(Tabla1[[#This Row],[Code]],[1]!Tabla4[#Data],2,FALSE)</f>
        <v>M2 Nekoosa EZ Color EC1295 Verde Medio Mate 1,22 x 45,7m</v>
      </c>
      <c r="C3672">
        <v>23</v>
      </c>
      <c r="D3672" t="s">
        <v>90</v>
      </c>
      <c r="E3672" t="str">
        <f>VLOOKUP(Tabla1[[#This Row],[Cód. Atributo]],[1]!Tabla5[#Data],6,FALSE)</f>
        <v>Select</v>
      </c>
      <c r="F3672">
        <v>3</v>
      </c>
      <c r="G3672">
        <v>2</v>
      </c>
      <c r="H3672" t="s">
        <v>136</v>
      </c>
      <c r="I3672" t="str">
        <f>VLOOKUP(Tabla1[[#This Row],[Code]],'[1]Articulos Precio'!$A:$E,5,FALSE)</f>
        <v>A0002670</v>
      </c>
    </row>
    <row r="3673" spans="1:9" x14ac:dyDescent="0.25">
      <c r="A3673" t="s">
        <v>1329</v>
      </c>
      <c r="B3673" t="str">
        <f>VLOOKUP(Tabla1[[#This Row],[Code]],[1]!Tabla4[#Data],2,FALSE)</f>
        <v>M2 Nekoosa EZ Color EC1295 Verde Medio Mate 1,22 x 45,7m</v>
      </c>
      <c r="C3673">
        <v>28</v>
      </c>
      <c r="D3673" t="s">
        <v>92</v>
      </c>
      <c r="E3673" t="str">
        <f>VLOOKUP(Tabla1[[#This Row],[Cód. Atributo]],[1]!Tabla5[#Data],6,FALSE)</f>
        <v>Select</v>
      </c>
      <c r="F3673">
        <v>4</v>
      </c>
      <c r="G3673">
        <v>2</v>
      </c>
      <c r="H3673" t="s">
        <v>102</v>
      </c>
      <c r="I3673" t="str">
        <f>VLOOKUP(Tabla1[[#This Row],[Code]],'[1]Articulos Precio'!$A:$E,5,FALSE)</f>
        <v>A0002670</v>
      </c>
    </row>
    <row r="3674" spans="1:9" x14ac:dyDescent="0.25">
      <c r="A3674" t="s">
        <v>1329</v>
      </c>
      <c r="B3674" t="str">
        <f>VLOOKUP(Tabla1[[#This Row],[Code]],[1]!Tabla4[#Data],2,FALSE)</f>
        <v>M2 Nekoosa EZ Color EC1295 Verde Medio Mate 1,22 x 45,7m</v>
      </c>
      <c r="C3674">
        <v>25</v>
      </c>
      <c r="D3674" t="s">
        <v>94</v>
      </c>
      <c r="E3674" t="str">
        <f>VLOOKUP(Tabla1[[#This Row],[Cód. Atributo]],[1]!Tabla5[#Data],6,FALSE)</f>
        <v>Select</v>
      </c>
      <c r="F3674">
        <v>5</v>
      </c>
      <c r="G3674">
        <v>7</v>
      </c>
      <c r="H3674" t="s">
        <v>1321</v>
      </c>
      <c r="I3674" t="str">
        <f>VLOOKUP(Tabla1[[#This Row],[Code]],'[1]Articulos Precio'!$A:$E,5,FALSE)</f>
        <v>A0002670</v>
      </c>
    </row>
    <row r="3675" spans="1:9" x14ac:dyDescent="0.25">
      <c r="A3675" t="s">
        <v>1329</v>
      </c>
      <c r="B3675" t="str">
        <f>VLOOKUP(Tabla1[[#This Row],[Code]],[1]!Tabla4[#Data],2,FALSE)</f>
        <v>M2 Nekoosa EZ Color EC1295 Verde Medio Mate 1,22 x 45,7m</v>
      </c>
      <c r="C3675">
        <v>24</v>
      </c>
      <c r="D3675" t="s">
        <v>96</v>
      </c>
      <c r="E3675" t="str">
        <f>VLOOKUP(Tabla1[[#This Row],[Cód. Atributo]],[1]!Tabla5[#Data],6,FALSE)</f>
        <v>Select</v>
      </c>
      <c r="F3675">
        <v>6</v>
      </c>
      <c r="G3675">
        <v>2</v>
      </c>
      <c r="H3675" t="s">
        <v>266</v>
      </c>
      <c r="I3675" t="str">
        <f>VLOOKUP(Tabla1[[#This Row],[Code]],'[1]Articulos Precio'!$A:$E,5,FALSE)</f>
        <v>A0002670</v>
      </c>
    </row>
    <row r="3676" spans="1:9" x14ac:dyDescent="0.25">
      <c r="A3676" t="s">
        <v>1329</v>
      </c>
      <c r="B3676" t="str">
        <f>VLOOKUP(Tabla1[[#This Row],[Code]],[1]!Tabla4[#Data],2,FALSE)</f>
        <v>M2 Nekoosa EZ Color EC1295 Verde Medio Mate 1,22 x 45,7m</v>
      </c>
      <c r="C3676">
        <v>31</v>
      </c>
      <c r="D3676" t="s">
        <v>114</v>
      </c>
      <c r="E3676" t="str">
        <f>VLOOKUP(Tabla1[[#This Row],[Cód. Atributo]],[1]!Tabla5[#Data],6,FALSE)</f>
        <v>Select</v>
      </c>
      <c r="F3676">
        <v>7</v>
      </c>
      <c r="G3676">
        <v>14</v>
      </c>
      <c r="H3676" t="s">
        <v>1322</v>
      </c>
      <c r="I3676" t="str">
        <f>VLOOKUP(Tabla1[[#This Row],[Code]],'[1]Articulos Precio'!$A:$E,5,FALSE)</f>
        <v>A0002670</v>
      </c>
    </row>
    <row r="3677" spans="1:9" x14ac:dyDescent="0.25">
      <c r="A3677" t="s">
        <v>1331</v>
      </c>
      <c r="B3677" t="str">
        <f>VLOOKUP(Tabla1[[#This Row],[Code]],[1]!Tabla4[#Data],2,FALSE)</f>
        <v>M2 Nekoosa EZ Color EC1955 Blanco Mate 0,61 x 45,7m</v>
      </c>
      <c r="C3677">
        <v>8</v>
      </c>
      <c r="D3677" t="s">
        <v>86</v>
      </c>
      <c r="E3677" t="str">
        <f>VLOOKUP(Tabla1[[#This Row],[Cód. Atributo]],[1]!Tabla5[#Data],6,FALSE)</f>
        <v>Select</v>
      </c>
      <c r="F3677">
        <v>1</v>
      </c>
      <c r="G3677">
        <v>1</v>
      </c>
      <c r="H3677" t="s">
        <v>263</v>
      </c>
      <c r="I3677" t="str">
        <f>VLOOKUP(Tabla1[[#This Row],[Code]],'[1]Articulos Precio'!$A:$E,5,FALSE)</f>
        <v>A0002670</v>
      </c>
    </row>
    <row r="3678" spans="1:9" x14ac:dyDescent="0.25">
      <c r="A3678" t="s">
        <v>1331</v>
      </c>
      <c r="B3678" t="str">
        <f>VLOOKUP(Tabla1[[#This Row],[Code]],[1]!Tabla4[#Data],2,FALSE)</f>
        <v>M2 Nekoosa EZ Color EC1955 Blanco Mate 0,61 x 45,7m</v>
      </c>
      <c r="C3678">
        <v>51</v>
      </c>
      <c r="D3678" t="s">
        <v>1319</v>
      </c>
      <c r="E3678" t="str">
        <f>VLOOKUP(Tabla1[[#This Row],[Cód. Atributo]],[1]!Tabla5[#Data],6,FALSE)</f>
        <v>Select</v>
      </c>
      <c r="F3678">
        <v>2</v>
      </c>
      <c r="G3678">
        <v>5</v>
      </c>
      <c r="H3678" t="s">
        <v>1332</v>
      </c>
      <c r="I3678" t="str">
        <f>VLOOKUP(Tabla1[[#This Row],[Code]],'[1]Articulos Precio'!$A:$E,5,FALSE)</f>
        <v>A0002670</v>
      </c>
    </row>
    <row r="3679" spans="1:9" x14ac:dyDescent="0.25">
      <c r="A3679" t="s">
        <v>1331</v>
      </c>
      <c r="B3679" t="str">
        <f>VLOOKUP(Tabla1[[#This Row],[Code]],[1]!Tabla4[#Data],2,FALSE)</f>
        <v>M2 Nekoosa EZ Color EC1955 Blanco Mate 0,61 x 45,7m</v>
      </c>
      <c r="C3679">
        <v>23</v>
      </c>
      <c r="D3679" t="s">
        <v>90</v>
      </c>
      <c r="E3679" t="str">
        <f>VLOOKUP(Tabla1[[#This Row],[Cód. Atributo]],[1]!Tabla5[#Data],6,FALSE)</f>
        <v>Select</v>
      </c>
      <c r="F3679">
        <v>3</v>
      </c>
      <c r="G3679">
        <v>2</v>
      </c>
      <c r="H3679" t="s">
        <v>136</v>
      </c>
      <c r="I3679" t="str">
        <f>VLOOKUP(Tabla1[[#This Row],[Code]],'[1]Articulos Precio'!$A:$E,5,FALSE)</f>
        <v>A0002670</v>
      </c>
    </row>
    <row r="3680" spans="1:9" x14ac:dyDescent="0.25">
      <c r="A3680" t="s">
        <v>1331</v>
      </c>
      <c r="B3680" t="str">
        <f>VLOOKUP(Tabla1[[#This Row],[Code]],[1]!Tabla4[#Data],2,FALSE)</f>
        <v>M2 Nekoosa EZ Color EC1955 Blanco Mate 0,61 x 45,7m</v>
      </c>
      <c r="C3680">
        <v>28</v>
      </c>
      <c r="D3680" t="s">
        <v>92</v>
      </c>
      <c r="E3680" t="str">
        <f>VLOOKUP(Tabla1[[#This Row],[Cód. Atributo]],[1]!Tabla5[#Data],6,FALSE)</f>
        <v>Select</v>
      </c>
      <c r="F3680">
        <v>4</v>
      </c>
      <c r="G3680">
        <v>2</v>
      </c>
      <c r="H3680" t="s">
        <v>102</v>
      </c>
      <c r="I3680" t="str">
        <f>VLOOKUP(Tabla1[[#This Row],[Code]],'[1]Articulos Precio'!$A:$E,5,FALSE)</f>
        <v>A0002670</v>
      </c>
    </row>
    <row r="3681" spans="1:9" x14ac:dyDescent="0.25">
      <c r="A3681" t="s">
        <v>1331</v>
      </c>
      <c r="B3681" t="str">
        <f>VLOOKUP(Tabla1[[#This Row],[Code]],[1]!Tabla4[#Data],2,FALSE)</f>
        <v>M2 Nekoosa EZ Color EC1955 Blanco Mate 0,61 x 45,7m</v>
      </c>
      <c r="C3681">
        <v>25</v>
      </c>
      <c r="D3681" t="s">
        <v>94</v>
      </c>
      <c r="E3681" t="str">
        <f>VLOOKUP(Tabla1[[#This Row],[Cód. Atributo]],[1]!Tabla5[#Data],6,FALSE)</f>
        <v>Select</v>
      </c>
      <c r="F3681">
        <v>5</v>
      </c>
      <c r="G3681">
        <v>7</v>
      </c>
      <c r="H3681" t="s">
        <v>1321</v>
      </c>
      <c r="I3681" t="str">
        <f>VLOOKUP(Tabla1[[#This Row],[Code]],'[1]Articulos Precio'!$A:$E,5,FALSE)</f>
        <v>A0002670</v>
      </c>
    </row>
    <row r="3682" spans="1:9" x14ac:dyDescent="0.25">
      <c r="A3682" t="s">
        <v>1331</v>
      </c>
      <c r="B3682" t="str">
        <f>VLOOKUP(Tabla1[[#This Row],[Code]],[1]!Tabla4[#Data],2,FALSE)</f>
        <v>M2 Nekoosa EZ Color EC1955 Blanco Mate 0,61 x 45,7m</v>
      </c>
      <c r="C3682">
        <v>24</v>
      </c>
      <c r="D3682" t="s">
        <v>96</v>
      </c>
      <c r="E3682" t="str">
        <f>VLOOKUP(Tabla1[[#This Row],[Cód. Atributo]],[1]!Tabla5[#Data],6,FALSE)</f>
        <v>Select</v>
      </c>
      <c r="F3682">
        <v>6</v>
      </c>
      <c r="G3682">
        <v>2</v>
      </c>
      <c r="H3682" t="s">
        <v>266</v>
      </c>
      <c r="I3682" t="str">
        <f>VLOOKUP(Tabla1[[#This Row],[Code]],'[1]Articulos Precio'!$A:$E,5,FALSE)</f>
        <v>A0002670</v>
      </c>
    </row>
    <row r="3683" spans="1:9" x14ac:dyDescent="0.25">
      <c r="A3683" t="s">
        <v>1331</v>
      </c>
      <c r="B3683" t="str">
        <f>VLOOKUP(Tabla1[[#This Row],[Code]],[1]!Tabla4[#Data],2,FALSE)</f>
        <v>M2 Nekoosa EZ Color EC1955 Blanco Mate 0,61 x 45,7m</v>
      </c>
      <c r="C3683">
        <v>31</v>
      </c>
      <c r="D3683" t="s">
        <v>114</v>
      </c>
      <c r="E3683" t="str">
        <f>VLOOKUP(Tabla1[[#This Row],[Cód. Atributo]],[1]!Tabla5[#Data],6,FALSE)</f>
        <v>Select</v>
      </c>
      <c r="F3683">
        <v>7</v>
      </c>
      <c r="G3683">
        <v>14</v>
      </c>
      <c r="H3683" t="s">
        <v>1322</v>
      </c>
      <c r="I3683" t="str">
        <f>VLOOKUP(Tabla1[[#This Row],[Code]],'[1]Articulos Precio'!$A:$E,5,FALSE)</f>
        <v>A0002670</v>
      </c>
    </row>
    <row r="3684" spans="1:9" x14ac:dyDescent="0.25">
      <c r="A3684" t="s">
        <v>1333</v>
      </c>
      <c r="B3684" t="str">
        <f>VLOOKUP(Tabla1[[#This Row],[Code]],[1]!Tabla4[#Data],2,FALSE)</f>
        <v>M2 Nekoosa EZ Color EC1955 Blanco Mate 1,22 x 45,7m</v>
      </c>
      <c r="C3684">
        <v>8</v>
      </c>
      <c r="D3684" t="s">
        <v>86</v>
      </c>
      <c r="E3684" t="str">
        <f>VLOOKUP(Tabla1[[#This Row],[Cód. Atributo]],[1]!Tabla5[#Data],6,FALSE)</f>
        <v>Select</v>
      </c>
      <c r="F3684">
        <v>1</v>
      </c>
      <c r="G3684">
        <v>2</v>
      </c>
      <c r="H3684" t="s">
        <v>268</v>
      </c>
      <c r="I3684" t="str">
        <f>VLOOKUP(Tabla1[[#This Row],[Code]],'[1]Articulos Precio'!$A:$E,5,FALSE)</f>
        <v>A0002670</v>
      </c>
    </row>
    <row r="3685" spans="1:9" x14ac:dyDescent="0.25">
      <c r="A3685" t="s">
        <v>1333</v>
      </c>
      <c r="B3685" t="str">
        <f>VLOOKUP(Tabla1[[#This Row],[Code]],[1]!Tabla4[#Data],2,FALSE)</f>
        <v>M2 Nekoosa EZ Color EC1955 Blanco Mate 1,22 x 45,7m</v>
      </c>
      <c r="C3685">
        <v>51</v>
      </c>
      <c r="D3685" t="s">
        <v>1319</v>
      </c>
      <c r="E3685" t="str">
        <f>VLOOKUP(Tabla1[[#This Row],[Cód. Atributo]],[1]!Tabla5[#Data],6,FALSE)</f>
        <v>Select</v>
      </c>
      <c r="F3685">
        <v>2</v>
      </c>
      <c r="G3685">
        <v>5</v>
      </c>
      <c r="H3685" t="s">
        <v>1332</v>
      </c>
      <c r="I3685" t="str">
        <f>VLOOKUP(Tabla1[[#This Row],[Code]],'[1]Articulos Precio'!$A:$E,5,FALSE)</f>
        <v>A0002670</v>
      </c>
    </row>
    <row r="3686" spans="1:9" x14ac:dyDescent="0.25">
      <c r="A3686" t="s">
        <v>1333</v>
      </c>
      <c r="B3686" t="str">
        <f>VLOOKUP(Tabla1[[#This Row],[Code]],[1]!Tabla4[#Data],2,FALSE)</f>
        <v>M2 Nekoosa EZ Color EC1955 Blanco Mate 1,22 x 45,7m</v>
      </c>
      <c r="C3686">
        <v>23</v>
      </c>
      <c r="D3686" t="s">
        <v>90</v>
      </c>
      <c r="E3686" t="str">
        <f>VLOOKUP(Tabla1[[#This Row],[Cód. Atributo]],[1]!Tabla5[#Data],6,FALSE)</f>
        <v>Select</v>
      </c>
      <c r="F3686">
        <v>3</v>
      </c>
      <c r="G3686">
        <v>2</v>
      </c>
      <c r="H3686" t="s">
        <v>136</v>
      </c>
      <c r="I3686" t="str">
        <f>VLOOKUP(Tabla1[[#This Row],[Code]],'[1]Articulos Precio'!$A:$E,5,FALSE)</f>
        <v>A0002670</v>
      </c>
    </row>
    <row r="3687" spans="1:9" x14ac:dyDescent="0.25">
      <c r="A3687" t="s">
        <v>1333</v>
      </c>
      <c r="B3687" t="str">
        <f>VLOOKUP(Tabla1[[#This Row],[Code]],[1]!Tabla4[#Data],2,FALSE)</f>
        <v>M2 Nekoosa EZ Color EC1955 Blanco Mate 1,22 x 45,7m</v>
      </c>
      <c r="C3687">
        <v>28</v>
      </c>
      <c r="D3687" t="s">
        <v>92</v>
      </c>
      <c r="E3687" t="str">
        <f>VLOOKUP(Tabla1[[#This Row],[Cód. Atributo]],[1]!Tabla5[#Data],6,FALSE)</f>
        <v>Select</v>
      </c>
      <c r="F3687">
        <v>4</v>
      </c>
      <c r="G3687">
        <v>2</v>
      </c>
      <c r="H3687" t="s">
        <v>102</v>
      </c>
      <c r="I3687" t="str">
        <f>VLOOKUP(Tabla1[[#This Row],[Code]],'[1]Articulos Precio'!$A:$E,5,FALSE)</f>
        <v>A0002670</v>
      </c>
    </row>
    <row r="3688" spans="1:9" x14ac:dyDescent="0.25">
      <c r="A3688" t="s">
        <v>1333</v>
      </c>
      <c r="B3688" t="str">
        <f>VLOOKUP(Tabla1[[#This Row],[Code]],[1]!Tabla4[#Data],2,FALSE)</f>
        <v>M2 Nekoosa EZ Color EC1955 Blanco Mate 1,22 x 45,7m</v>
      </c>
      <c r="C3688">
        <v>25</v>
      </c>
      <c r="D3688" t="s">
        <v>94</v>
      </c>
      <c r="E3688" t="str">
        <f>VLOOKUP(Tabla1[[#This Row],[Cód. Atributo]],[1]!Tabla5[#Data],6,FALSE)</f>
        <v>Select</v>
      </c>
      <c r="F3688">
        <v>5</v>
      </c>
      <c r="G3688">
        <v>7</v>
      </c>
      <c r="H3688" t="s">
        <v>1321</v>
      </c>
      <c r="I3688" t="str">
        <f>VLOOKUP(Tabla1[[#This Row],[Code]],'[1]Articulos Precio'!$A:$E,5,FALSE)</f>
        <v>A0002670</v>
      </c>
    </row>
    <row r="3689" spans="1:9" x14ac:dyDescent="0.25">
      <c r="A3689" t="s">
        <v>1333</v>
      </c>
      <c r="B3689" t="str">
        <f>VLOOKUP(Tabla1[[#This Row],[Code]],[1]!Tabla4[#Data],2,FALSE)</f>
        <v>M2 Nekoosa EZ Color EC1955 Blanco Mate 1,22 x 45,7m</v>
      </c>
      <c r="C3689">
        <v>24</v>
      </c>
      <c r="D3689" t="s">
        <v>96</v>
      </c>
      <c r="E3689" t="str">
        <f>VLOOKUP(Tabla1[[#This Row],[Cód. Atributo]],[1]!Tabla5[#Data],6,FALSE)</f>
        <v>Select</v>
      </c>
      <c r="F3689">
        <v>6</v>
      </c>
      <c r="G3689">
        <v>2</v>
      </c>
      <c r="H3689" t="s">
        <v>266</v>
      </c>
      <c r="I3689" t="str">
        <f>VLOOKUP(Tabla1[[#This Row],[Code]],'[1]Articulos Precio'!$A:$E,5,FALSE)</f>
        <v>A0002670</v>
      </c>
    </row>
    <row r="3690" spans="1:9" x14ac:dyDescent="0.25">
      <c r="A3690" t="s">
        <v>1333</v>
      </c>
      <c r="B3690" t="str">
        <f>VLOOKUP(Tabla1[[#This Row],[Code]],[1]!Tabla4[#Data],2,FALSE)</f>
        <v>M2 Nekoosa EZ Color EC1955 Blanco Mate 1,22 x 45,7m</v>
      </c>
      <c r="C3690">
        <v>31</v>
      </c>
      <c r="D3690" t="s">
        <v>114</v>
      </c>
      <c r="E3690" t="str">
        <f>VLOOKUP(Tabla1[[#This Row],[Cód. Atributo]],[1]!Tabla5[#Data],6,FALSE)</f>
        <v>Select</v>
      </c>
      <c r="F3690">
        <v>7</v>
      </c>
      <c r="G3690">
        <v>14</v>
      </c>
      <c r="H3690" t="s">
        <v>1322</v>
      </c>
      <c r="I3690" t="str">
        <f>VLOOKUP(Tabla1[[#This Row],[Code]],'[1]Articulos Precio'!$A:$E,5,FALSE)</f>
        <v>A0002670</v>
      </c>
    </row>
    <row r="3691" spans="1:9" x14ac:dyDescent="0.25">
      <c r="A3691" t="s">
        <v>1334</v>
      </c>
      <c r="B3691" t="str">
        <f>VLOOKUP(Tabla1[[#This Row],[Code]],[1]!Tabla4[#Data],2,FALSE)</f>
        <v>M2 Nekoosa EZ Color EC1982 Plata Mate 0,61 x 45,7m</v>
      </c>
      <c r="C3691">
        <v>8</v>
      </c>
      <c r="D3691" t="s">
        <v>86</v>
      </c>
      <c r="E3691" t="str">
        <f>VLOOKUP(Tabla1[[#This Row],[Cód. Atributo]],[1]!Tabla5[#Data],6,FALSE)</f>
        <v>Select</v>
      </c>
      <c r="F3691">
        <v>1</v>
      </c>
      <c r="G3691">
        <v>1</v>
      </c>
      <c r="H3691" t="s">
        <v>263</v>
      </c>
      <c r="I3691" t="str">
        <f>VLOOKUP(Tabla1[[#This Row],[Code]],'[1]Articulos Precio'!$A:$E,5,FALSE)</f>
        <v>A0002670</v>
      </c>
    </row>
    <row r="3692" spans="1:9" x14ac:dyDescent="0.25">
      <c r="A3692" t="s">
        <v>1334</v>
      </c>
      <c r="B3692" t="str">
        <f>VLOOKUP(Tabla1[[#This Row],[Code]],[1]!Tabla4[#Data],2,FALSE)</f>
        <v>M2 Nekoosa EZ Color EC1982 Plata Mate 0,61 x 45,7m</v>
      </c>
      <c r="C3692">
        <v>51</v>
      </c>
      <c r="D3692" t="s">
        <v>1319</v>
      </c>
      <c r="E3692" t="str">
        <f>VLOOKUP(Tabla1[[#This Row],[Cód. Atributo]],[1]!Tabla5[#Data],6,FALSE)</f>
        <v>Select</v>
      </c>
      <c r="F3692">
        <v>2</v>
      </c>
      <c r="G3692">
        <v>1</v>
      </c>
      <c r="H3692" t="s">
        <v>1335</v>
      </c>
      <c r="I3692" t="str">
        <f>VLOOKUP(Tabla1[[#This Row],[Code]],'[1]Articulos Precio'!$A:$E,5,FALSE)</f>
        <v>A0002670</v>
      </c>
    </row>
    <row r="3693" spans="1:9" x14ac:dyDescent="0.25">
      <c r="A3693" t="s">
        <v>1334</v>
      </c>
      <c r="B3693" t="str">
        <f>VLOOKUP(Tabla1[[#This Row],[Code]],[1]!Tabla4[#Data],2,FALSE)</f>
        <v>M2 Nekoosa EZ Color EC1982 Plata Mate 0,61 x 45,7m</v>
      </c>
      <c r="C3693">
        <v>23</v>
      </c>
      <c r="D3693" t="s">
        <v>90</v>
      </c>
      <c r="E3693" t="str">
        <f>VLOOKUP(Tabla1[[#This Row],[Cód. Atributo]],[1]!Tabla5[#Data],6,FALSE)</f>
        <v>Select</v>
      </c>
      <c r="F3693">
        <v>3</v>
      </c>
      <c r="G3693">
        <v>2</v>
      </c>
      <c r="H3693" t="s">
        <v>136</v>
      </c>
      <c r="I3693" t="str">
        <f>VLOOKUP(Tabla1[[#This Row],[Code]],'[1]Articulos Precio'!$A:$E,5,FALSE)</f>
        <v>A0002670</v>
      </c>
    </row>
    <row r="3694" spans="1:9" x14ac:dyDescent="0.25">
      <c r="A3694" t="s">
        <v>1334</v>
      </c>
      <c r="B3694" t="str">
        <f>VLOOKUP(Tabla1[[#This Row],[Code]],[1]!Tabla4[#Data],2,FALSE)</f>
        <v>M2 Nekoosa EZ Color EC1982 Plata Mate 0,61 x 45,7m</v>
      </c>
      <c r="C3694">
        <v>28</v>
      </c>
      <c r="D3694" t="s">
        <v>92</v>
      </c>
      <c r="E3694" t="str">
        <f>VLOOKUP(Tabla1[[#This Row],[Cód. Atributo]],[1]!Tabla5[#Data],6,FALSE)</f>
        <v>Select</v>
      </c>
      <c r="F3694">
        <v>4</v>
      </c>
      <c r="G3694">
        <v>2</v>
      </c>
      <c r="H3694" t="s">
        <v>102</v>
      </c>
      <c r="I3694" t="str">
        <f>VLOOKUP(Tabla1[[#This Row],[Code]],'[1]Articulos Precio'!$A:$E,5,FALSE)</f>
        <v>A0002670</v>
      </c>
    </row>
    <row r="3695" spans="1:9" x14ac:dyDescent="0.25">
      <c r="A3695" t="s">
        <v>1334</v>
      </c>
      <c r="B3695" t="str">
        <f>VLOOKUP(Tabla1[[#This Row],[Code]],[1]!Tabla4[#Data],2,FALSE)</f>
        <v>M2 Nekoosa EZ Color EC1982 Plata Mate 0,61 x 45,7m</v>
      </c>
      <c r="C3695">
        <v>25</v>
      </c>
      <c r="D3695" t="s">
        <v>94</v>
      </c>
      <c r="E3695" t="str">
        <f>VLOOKUP(Tabla1[[#This Row],[Cód. Atributo]],[1]!Tabla5[#Data],6,FALSE)</f>
        <v>Select</v>
      </c>
      <c r="F3695">
        <v>5</v>
      </c>
      <c r="G3695">
        <v>7</v>
      </c>
      <c r="H3695" t="s">
        <v>1321</v>
      </c>
      <c r="I3695" t="str">
        <f>VLOOKUP(Tabla1[[#This Row],[Code]],'[1]Articulos Precio'!$A:$E,5,FALSE)</f>
        <v>A0002670</v>
      </c>
    </row>
    <row r="3696" spans="1:9" x14ac:dyDescent="0.25">
      <c r="A3696" t="s">
        <v>1334</v>
      </c>
      <c r="B3696" t="str">
        <f>VLOOKUP(Tabla1[[#This Row],[Code]],[1]!Tabla4[#Data],2,FALSE)</f>
        <v>M2 Nekoosa EZ Color EC1982 Plata Mate 0,61 x 45,7m</v>
      </c>
      <c r="C3696">
        <v>24</v>
      </c>
      <c r="D3696" t="s">
        <v>96</v>
      </c>
      <c r="E3696" t="str">
        <f>VLOOKUP(Tabla1[[#This Row],[Cód. Atributo]],[1]!Tabla5[#Data],6,FALSE)</f>
        <v>Select</v>
      </c>
      <c r="F3696">
        <v>6</v>
      </c>
      <c r="G3696">
        <v>2</v>
      </c>
      <c r="H3696" t="s">
        <v>266</v>
      </c>
      <c r="I3696" t="str">
        <f>VLOOKUP(Tabla1[[#This Row],[Code]],'[1]Articulos Precio'!$A:$E,5,FALSE)</f>
        <v>A0002670</v>
      </c>
    </row>
    <row r="3697" spans="1:9" x14ac:dyDescent="0.25">
      <c r="A3697" t="s">
        <v>1334</v>
      </c>
      <c r="B3697" t="str">
        <f>VLOOKUP(Tabla1[[#This Row],[Code]],[1]!Tabla4[#Data],2,FALSE)</f>
        <v>M2 Nekoosa EZ Color EC1982 Plata Mate 0,61 x 45,7m</v>
      </c>
      <c r="C3697">
        <v>31</v>
      </c>
      <c r="D3697" t="s">
        <v>114</v>
      </c>
      <c r="E3697" t="str">
        <f>VLOOKUP(Tabla1[[#This Row],[Cód. Atributo]],[1]!Tabla5[#Data],6,FALSE)</f>
        <v>Select</v>
      </c>
      <c r="F3697">
        <v>7</v>
      </c>
      <c r="G3697">
        <v>14</v>
      </c>
      <c r="H3697" t="s">
        <v>1322</v>
      </c>
      <c r="I3697" t="str">
        <f>VLOOKUP(Tabla1[[#This Row],[Code]],'[1]Articulos Precio'!$A:$E,5,FALSE)</f>
        <v>A0002670</v>
      </c>
    </row>
    <row r="3698" spans="1:9" x14ac:dyDescent="0.25">
      <c r="A3698" t="s">
        <v>1336</v>
      </c>
      <c r="B3698" t="str">
        <f>VLOOKUP(Tabla1[[#This Row],[Code]],[1]!Tabla4[#Data],2,FALSE)</f>
        <v>M2 Nekoosa EZ Color EC1982 Plata Mate 1,22 x 45,7m</v>
      </c>
      <c r="C3698">
        <v>8</v>
      </c>
      <c r="D3698" t="s">
        <v>86</v>
      </c>
      <c r="E3698" t="str">
        <f>VLOOKUP(Tabla1[[#This Row],[Cód. Atributo]],[1]!Tabla5[#Data],6,FALSE)</f>
        <v>Select</v>
      </c>
      <c r="F3698">
        <v>1</v>
      </c>
      <c r="G3698">
        <v>2</v>
      </c>
      <c r="H3698" t="s">
        <v>268</v>
      </c>
      <c r="I3698" t="str">
        <f>VLOOKUP(Tabla1[[#This Row],[Code]],'[1]Articulos Precio'!$A:$E,5,FALSE)</f>
        <v>A0002670</v>
      </c>
    </row>
    <row r="3699" spans="1:9" x14ac:dyDescent="0.25">
      <c r="A3699" t="s">
        <v>1336</v>
      </c>
      <c r="B3699" t="str">
        <f>VLOOKUP(Tabla1[[#This Row],[Code]],[1]!Tabla4[#Data],2,FALSE)</f>
        <v>M2 Nekoosa EZ Color EC1982 Plata Mate 1,22 x 45,7m</v>
      </c>
      <c r="C3699">
        <v>51</v>
      </c>
      <c r="D3699" t="s">
        <v>1319</v>
      </c>
      <c r="E3699" t="str">
        <f>VLOOKUP(Tabla1[[#This Row],[Cód. Atributo]],[1]!Tabla5[#Data],6,FALSE)</f>
        <v>Select</v>
      </c>
      <c r="F3699">
        <v>2</v>
      </c>
      <c r="G3699">
        <v>1</v>
      </c>
      <c r="H3699" t="s">
        <v>1335</v>
      </c>
      <c r="I3699" t="str">
        <f>VLOOKUP(Tabla1[[#This Row],[Code]],'[1]Articulos Precio'!$A:$E,5,FALSE)</f>
        <v>A0002670</v>
      </c>
    </row>
    <row r="3700" spans="1:9" x14ac:dyDescent="0.25">
      <c r="A3700" t="s">
        <v>1336</v>
      </c>
      <c r="B3700" t="str">
        <f>VLOOKUP(Tabla1[[#This Row],[Code]],[1]!Tabla4[#Data],2,FALSE)</f>
        <v>M2 Nekoosa EZ Color EC1982 Plata Mate 1,22 x 45,7m</v>
      </c>
      <c r="C3700">
        <v>23</v>
      </c>
      <c r="D3700" t="s">
        <v>90</v>
      </c>
      <c r="E3700" t="str">
        <f>VLOOKUP(Tabla1[[#This Row],[Cód. Atributo]],[1]!Tabla5[#Data],6,FALSE)</f>
        <v>Select</v>
      </c>
      <c r="F3700">
        <v>3</v>
      </c>
      <c r="G3700">
        <v>2</v>
      </c>
      <c r="H3700" t="s">
        <v>136</v>
      </c>
      <c r="I3700" t="str">
        <f>VLOOKUP(Tabla1[[#This Row],[Code]],'[1]Articulos Precio'!$A:$E,5,FALSE)</f>
        <v>A0002670</v>
      </c>
    </row>
    <row r="3701" spans="1:9" x14ac:dyDescent="0.25">
      <c r="A3701" t="s">
        <v>1336</v>
      </c>
      <c r="B3701" t="str">
        <f>VLOOKUP(Tabla1[[#This Row],[Code]],[1]!Tabla4[#Data],2,FALSE)</f>
        <v>M2 Nekoosa EZ Color EC1982 Plata Mate 1,22 x 45,7m</v>
      </c>
      <c r="C3701">
        <v>28</v>
      </c>
      <c r="D3701" t="s">
        <v>92</v>
      </c>
      <c r="E3701" t="str">
        <f>VLOOKUP(Tabla1[[#This Row],[Cód. Atributo]],[1]!Tabla5[#Data],6,FALSE)</f>
        <v>Select</v>
      </c>
      <c r="F3701">
        <v>4</v>
      </c>
      <c r="G3701">
        <v>2</v>
      </c>
      <c r="H3701" t="s">
        <v>102</v>
      </c>
      <c r="I3701" t="str">
        <f>VLOOKUP(Tabla1[[#This Row],[Code]],'[1]Articulos Precio'!$A:$E,5,FALSE)</f>
        <v>A0002670</v>
      </c>
    </row>
    <row r="3702" spans="1:9" x14ac:dyDescent="0.25">
      <c r="A3702" t="s">
        <v>1336</v>
      </c>
      <c r="B3702" t="str">
        <f>VLOOKUP(Tabla1[[#This Row],[Code]],[1]!Tabla4[#Data],2,FALSE)</f>
        <v>M2 Nekoosa EZ Color EC1982 Plata Mate 1,22 x 45,7m</v>
      </c>
      <c r="C3702">
        <v>25</v>
      </c>
      <c r="D3702" t="s">
        <v>94</v>
      </c>
      <c r="E3702" t="str">
        <f>VLOOKUP(Tabla1[[#This Row],[Cód. Atributo]],[1]!Tabla5[#Data],6,FALSE)</f>
        <v>Select</v>
      </c>
      <c r="F3702">
        <v>5</v>
      </c>
      <c r="G3702">
        <v>7</v>
      </c>
      <c r="H3702" t="s">
        <v>1321</v>
      </c>
      <c r="I3702" t="str">
        <f>VLOOKUP(Tabla1[[#This Row],[Code]],'[1]Articulos Precio'!$A:$E,5,FALSE)</f>
        <v>A0002670</v>
      </c>
    </row>
    <row r="3703" spans="1:9" x14ac:dyDescent="0.25">
      <c r="A3703" t="s">
        <v>1336</v>
      </c>
      <c r="B3703" t="str">
        <f>VLOOKUP(Tabla1[[#This Row],[Code]],[1]!Tabla4[#Data],2,FALSE)</f>
        <v>M2 Nekoosa EZ Color EC1982 Plata Mate 1,22 x 45,7m</v>
      </c>
      <c r="C3703">
        <v>24</v>
      </c>
      <c r="D3703" t="s">
        <v>96</v>
      </c>
      <c r="E3703" t="str">
        <f>VLOOKUP(Tabla1[[#This Row],[Cód. Atributo]],[1]!Tabla5[#Data],6,FALSE)</f>
        <v>Select</v>
      </c>
      <c r="F3703">
        <v>6</v>
      </c>
      <c r="G3703">
        <v>2</v>
      </c>
      <c r="H3703" t="s">
        <v>266</v>
      </c>
      <c r="I3703" t="str">
        <f>VLOOKUP(Tabla1[[#This Row],[Code]],'[1]Articulos Precio'!$A:$E,5,FALSE)</f>
        <v>A0002670</v>
      </c>
    </row>
    <row r="3704" spans="1:9" x14ac:dyDescent="0.25">
      <c r="A3704" t="s">
        <v>1336</v>
      </c>
      <c r="B3704" t="str">
        <f>VLOOKUP(Tabla1[[#This Row],[Code]],[1]!Tabla4[#Data],2,FALSE)</f>
        <v>M2 Nekoosa EZ Color EC1982 Plata Mate 1,22 x 45,7m</v>
      </c>
      <c r="C3704">
        <v>31</v>
      </c>
      <c r="D3704" t="s">
        <v>114</v>
      </c>
      <c r="E3704" t="str">
        <f>VLOOKUP(Tabla1[[#This Row],[Cód. Atributo]],[1]!Tabla5[#Data],6,FALSE)</f>
        <v>Select</v>
      </c>
      <c r="F3704">
        <v>7</v>
      </c>
      <c r="G3704">
        <v>14</v>
      </c>
      <c r="H3704" t="s">
        <v>1322</v>
      </c>
      <c r="I3704" t="str">
        <f>VLOOKUP(Tabla1[[#This Row],[Code]],'[1]Articulos Precio'!$A:$E,5,FALSE)</f>
        <v>A0002670</v>
      </c>
    </row>
    <row r="3705" spans="1:9" x14ac:dyDescent="0.25">
      <c r="A3705" t="s">
        <v>1337</v>
      </c>
      <c r="B3705" t="str">
        <f>VLOOKUP(Tabla1[[#This Row],[Code]],[1]!Tabla4[#Data],2,FALSE)</f>
        <v>M2 Nekoosa EZ Color EC1986 Amarillo Girasol Mate 0,61 x 45,7m</v>
      </c>
      <c r="C3705">
        <v>8</v>
      </c>
      <c r="D3705" t="s">
        <v>86</v>
      </c>
      <c r="E3705" t="str">
        <f>VLOOKUP(Tabla1[[#This Row],[Cód. Atributo]],[1]!Tabla5[#Data],6,FALSE)</f>
        <v>Select</v>
      </c>
      <c r="F3705">
        <v>1</v>
      </c>
      <c r="G3705">
        <v>1</v>
      </c>
      <c r="H3705" t="s">
        <v>263</v>
      </c>
      <c r="I3705" t="str">
        <f>VLOOKUP(Tabla1[[#This Row],[Code]],'[1]Articulos Precio'!$A:$E,5,FALSE)</f>
        <v>A0002670</v>
      </c>
    </row>
    <row r="3706" spans="1:9" x14ac:dyDescent="0.25">
      <c r="A3706" t="s">
        <v>1337</v>
      </c>
      <c r="B3706" t="str">
        <f>VLOOKUP(Tabla1[[#This Row],[Code]],[1]!Tabla4[#Data],2,FALSE)</f>
        <v>M2 Nekoosa EZ Color EC1986 Amarillo Girasol Mate 0,61 x 45,7m</v>
      </c>
      <c r="C3706">
        <v>51</v>
      </c>
      <c r="D3706" t="s">
        <v>1319</v>
      </c>
      <c r="E3706" t="str">
        <f>VLOOKUP(Tabla1[[#This Row],[Cód. Atributo]],[1]!Tabla5[#Data],6,FALSE)</f>
        <v>Select</v>
      </c>
      <c r="F3706">
        <v>2</v>
      </c>
      <c r="G3706">
        <v>2</v>
      </c>
      <c r="H3706" t="s">
        <v>1338</v>
      </c>
      <c r="I3706" t="str">
        <f>VLOOKUP(Tabla1[[#This Row],[Code]],'[1]Articulos Precio'!$A:$E,5,FALSE)</f>
        <v>A0002670</v>
      </c>
    </row>
    <row r="3707" spans="1:9" x14ac:dyDescent="0.25">
      <c r="A3707" t="s">
        <v>1337</v>
      </c>
      <c r="B3707" t="str">
        <f>VLOOKUP(Tabla1[[#This Row],[Code]],[1]!Tabla4[#Data],2,FALSE)</f>
        <v>M2 Nekoosa EZ Color EC1986 Amarillo Girasol Mate 0,61 x 45,7m</v>
      </c>
      <c r="C3707">
        <v>23</v>
      </c>
      <c r="D3707" t="s">
        <v>90</v>
      </c>
      <c r="E3707" t="str">
        <f>VLOOKUP(Tabla1[[#This Row],[Cód. Atributo]],[1]!Tabla5[#Data],6,FALSE)</f>
        <v>Select</v>
      </c>
      <c r="F3707">
        <v>3</v>
      </c>
      <c r="G3707">
        <v>2</v>
      </c>
      <c r="H3707" t="s">
        <v>136</v>
      </c>
      <c r="I3707" t="str">
        <f>VLOOKUP(Tabla1[[#This Row],[Code]],'[1]Articulos Precio'!$A:$E,5,FALSE)</f>
        <v>A0002670</v>
      </c>
    </row>
    <row r="3708" spans="1:9" x14ac:dyDescent="0.25">
      <c r="A3708" t="s">
        <v>1337</v>
      </c>
      <c r="B3708" t="str">
        <f>VLOOKUP(Tabla1[[#This Row],[Code]],[1]!Tabla4[#Data],2,FALSE)</f>
        <v>M2 Nekoosa EZ Color EC1986 Amarillo Girasol Mate 0,61 x 45,7m</v>
      </c>
      <c r="C3708">
        <v>28</v>
      </c>
      <c r="D3708" t="s">
        <v>92</v>
      </c>
      <c r="E3708" t="str">
        <f>VLOOKUP(Tabla1[[#This Row],[Cód. Atributo]],[1]!Tabla5[#Data],6,FALSE)</f>
        <v>Select</v>
      </c>
      <c r="F3708">
        <v>4</v>
      </c>
      <c r="G3708">
        <v>2</v>
      </c>
      <c r="H3708" t="s">
        <v>102</v>
      </c>
      <c r="I3708" t="str">
        <f>VLOOKUP(Tabla1[[#This Row],[Code]],'[1]Articulos Precio'!$A:$E,5,FALSE)</f>
        <v>A0002670</v>
      </c>
    </row>
    <row r="3709" spans="1:9" x14ac:dyDescent="0.25">
      <c r="A3709" t="s">
        <v>1337</v>
      </c>
      <c r="B3709" t="str">
        <f>VLOOKUP(Tabla1[[#This Row],[Code]],[1]!Tabla4[#Data],2,FALSE)</f>
        <v>M2 Nekoosa EZ Color EC1986 Amarillo Girasol Mate 0,61 x 45,7m</v>
      </c>
      <c r="C3709">
        <v>25</v>
      </c>
      <c r="D3709" t="s">
        <v>94</v>
      </c>
      <c r="E3709" t="str">
        <f>VLOOKUP(Tabla1[[#This Row],[Cód. Atributo]],[1]!Tabla5[#Data],6,FALSE)</f>
        <v>Select</v>
      </c>
      <c r="F3709">
        <v>5</v>
      </c>
      <c r="G3709">
        <v>7</v>
      </c>
      <c r="H3709" t="s">
        <v>1321</v>
      </c>
      <c r="I3709" t="str">
        <f>VLOOKUP(Tabla1[[#This Row],[Code]],'[1]Articulos Precio'!$A:$E,5,FALSE)</f>
        <v>A0002670</v>
      </c>
    </row>
    <row r="3710" spans="1:9" x14ac:dyDescent="0.25">
      <c r="A3710" t="s">
        <v>1337</v>
      </c>
      <c r="B3710" t="str">
        <f>VLOOKUP(Tabla1[[#This Row],[Code]],[1]!Tabla4[#Data],2,FALSE)</f>
        <v>M2 Nekoosa EZ Color EC1986 Amarillo Girasol Mate 0,61 x 45,7m</v>
      </c>
      <c r="C3710">
        <v>24</v>
      </c>
      <c r="D3710" t="s">
        <v>96</v>
      </c>
      <c r="E3710" t="str">
        <f>VLOOKUP(Tabla1[[#This Row],[Cód. Atributo]],[1]!Tabla5[#Data],6,FALSE)</f>
        <v>Select</v>
      </c>
      <c r="F3710">
        <v>6</v>
      </c>
      <c r="G3710">
        <v>2</v>
      </c>
      <c r="H3710" t="s">
        <v>266</v>
      </c>
      <c r="I3710" t="str">
        <f>VLOOKUP(Tabla1[[#This Row],[Code]],'[1]Articulos Precio'!$A:$E,5,FALSE)</f>
        <v>A0002670</v>
      </c>
    </row>
    <row r="3711" spans="1:9" x14ac:dyDescent="0.25">
      <c r="A3711" t="s">
        <v>1337</v>
      </c>
      <c r="B3711" t="str">
        <f>VLOOKUP(Tabla1[[#This Row],[Code]],[1]!Tabla4[#Data],2,FALSE)</f>
        <v>M2 Nekoosa EZ Color EC1986 Amarillo Girasol Mate 0,61 x 45,7m</v>
      </c>
      <c r="C3711">
        <v>31</v>
      </c>
      <c r="D3711" t="s">
        <v>114</v>
      </c>
      <c r="E3711" t="str">
        <f>VLOOKUP(Tabla1[[#This Row],[Cód. Atributo]],[1]!Tabla5[#Data],6,FALSE)</f>
        <v>Select</v>
      </c>
      <c r="F3711">
        <v>7</v>
      </c>
      <c r="G3711">
        <v>14</v>
      </c>
      <c r="H3711" t="s">
        <v>1322</v>
      </c>
      <c r="I3711" t="str">
        <f>VLOOKUP(Tabla1[[#This Row],[Code]],'[1]Articulos Precio'!$A:$E,5,FALSE)</f>
        <v>A0002670</v>
      </c>
    </row>
    <row r="3712" spans="1:9" x14ac:dyDescent="0.25">
      <c r="A3712" t="s">
        <v>1339</v>
      </c>
      <c r="B3712" t="str">
        <f>VLOOKUP(Tabla1[[#This Row],[Code]],[1]!Tabla4[#Data],2,FALSE)</f>
        <v>M2 Nekoosa EZ Color EC1986 Amarillo Girasol Mate 1,22 x 45,7m</v>
      </c>
      <c r="C3712">
        <v>8</v>
      </c>
      <c r="D3712" t="s">
        <v>86</v>
      </c>
      <c r="E3712" t="str">
        <f>VLOOKUP(Tabla1[[#This Row],[Cód. Atributo]],[1]!Tabla5[#Data],6,FALSE)</f>
        <v>Select</v>
      </c>
      <c r="F3712">
        <v>1</v>
      </c>
      <c r="G3712">
        <v>2</v>
      </c>
      <c r="H3712" t="s">
        <v>268</v>
      </c>
      <c r="I3712" t="str">
        <f>VLOOKUP(Tabla1[[#This Row],[Code]],'[1]Articulos Precio'!$A:$E,5,FALSE)</f>
        <v>A0002670</v>
      </c>
    </row>
    <row r="3713" spans="1:9" x14ac:dyDescent="0.25">
      <c r="A3713" t="s">
        <v>1339</v>
      </c>
      <c r="B3713" t="str">
        <f>VLOOKUP(Tabla1[[#This Row],[Code]],[1]!Tabla4[#Data],2,FALSE)</f>
        <v>M2 Nekoosa EZ Color EC1986 Amarillo Girasol Mate 1,22 x 45,7m</v>
      </c>
      <c r="C3713">
        <v>51</v>
      </c>
      <c r="D3713" t="s">
        <v>1319</v>
      </c>
      <c r="E3713" t="str">
        <f>VLOOKUP(Tabla1[[#This Row],[Cód. Atributo]],[1]!Tabla5[#Data],6,FALSE)</f>
        <v>Select</v>
      </c>
      <c r="F3713">
        <v>2</v>
      </c>
      <c r="G3713">
        <v>2</v>
      </c>
      <c r="H3713" t="s">
        <v>1338</v>
      </c>
      <c r="I3713" t="str">
        <f>VLOOKUP(Tabla1[[#This Row],[Code]],'[1]Articulos Precio'!$A:$E,5,FALSE)</f>
        <v>A0002670</v>
      </c>
    </row>
    <row r="3714" spans="1:9" x14ac:dyDescent="0.25">
      <c r="A3714" t="s">
        <v>1339</v>
      </c>
      <c r="B3714" t="str">
        <f>VLOOKUP(Tabla1[[#This Row],[Code]],[1]!Tabla4[#Data],2,FALSE)</f>
        <v>M2 Nekoosa EZ Color EC1986 Amarillo Girasol Mate 1,22 x 45,7m</v>
      </c>
      <c r="C3714">
        <v>23</v>
      </c>
      <c r="D3714" t="s">
        <v>90</v>
      </c>
      <c r="E3714" t="str">
        <f>VLOOKUP(Tabla1[[#This Row],[Cód. Atributo]],[1]!Tabla5[#Data],6,FALSE)</f>
        <v>Select</v>
      </c>
      <c r="F3714">
        <v>3</v>
      </c>
      <c r="G3714">
        <v>2</v>
      </c>
      <c r="H3714" t="s">
        <v>136</v>
      </c>
      <c r="I3714" t="str">
        <f>VLOOKUP(Tabla1[[#This Row],[Code]],'[1]Articulos Precio'!$A:$E,5,FALSE)</f>
        <v>A0002670</v>
      </c>
    </row>
    <row r="3715" spans="1:9" x14ac:dyDescent="0.25">
      <c r="A3715" t="s">
        <v>1339</v>
      </c>
      <c r="B3715" t="str">
        <f>VLOOKUP(Tabla1[[#This Row],[Code]],[1]!Tabla4[#Data],2,FALSE)</f>
        <v>M2 Nekoosa EZ Color EC1986 Amarillo Girasol Mate 1,22 x 45,7m</v>
      </c>
      <c r="C3715">
        <v>28</v>
      </c>
      <c r="D3715" t="s">
        <v>92</v>
      </c>
      <c r="E3715" t="str">
        <f>VLOOKUP(Tabla1[[#This Row],[Cód. Atributo]],[1]!Tabla5[#Data],6,FALSE)</f>
        <v>Select</v>
      </c>
      <c r="F3715">
        <v>4</v>
      </c>
      <c r="G3715">
        <v>2</v>
      </c>
      <c r="H3715" t="s">
        <v>102</v>
      </c>
      <c r="I3715" t="str">
        <f>VLOOKUP(Tabla1[[#This Row],[Code]],'[1]Articulos Precio'!$A:$E,5,FALSE)</f>
        <v>A0002670</v>
      </c>
    </row>
    <row r="3716" spans="1:9" x14ac:dyDescent="0.25">
      <c r="A3716" t="s">
        <v>1339</v>
      </c>
      <c r="B3716" t="str">
        <f>VLOOKUP(Tabla1[[#This Row],[Code]],[1]!Tabla4[#Data],2,FALSE)</f>
        <v>M2 Nekoosa EZ Color EC1986 Amarillo Girasol Mate 1,22 x 45,7m</v>
      </c>
      <c r="C3716">
        <v>25</v>
      </c>
      <c r="D3716" t="s">
        <v>94</v>
      </c>
      <c r="E3716" t="str">
        <f>VLOOKUP(Tabla1[[#This Row],[Cód. Atributo]],[1]!Tabla5[#Data],6,FALSE)</f>
        <v>Select</v>
      </c>
      <c r="F3716">
        <v>5</v>
      </c>
      <c r="G3716">
        <v>7</v>
      </c>
      <c r="H3716" t="s">
        <v>1321</v>
      </c>
      <c r="I3716" t="str">
        <f>VLOOKUP(Tabla1[[#This Row],[Code]],'[1]Articulos Precio'!$A:$E,5,FALSE)</f>
        <v>A0002670</v>
      </c>
    </row>
    <row r="3717" spans="1:9" x14ac:dyDescent="0.25">
      <c r="A3717" t="s">
        <v>1339</v>
      </c>
      <c r="B3717" t="str">
        <f>VLOOKUP(Tabla1[[#This Row],[Code]],[1]!Tabla4[#Data],2,FALSE)</f>
        <v>M2 Nekoosa EZ Color EC1986 Amarillo Girasol Mate 1,22 x 45,7m</v>
      </c>
      <c r="C3717">
        <v>24</v>
      </c>
      <c r="D3717" t="s">
        <v>96</v>
      </c>
      <c r="E3717" t="str">
        <f>VLOOKUP(Tabla1[[#This Row],[Cód. Atributo]],[1]!Tabla5[#Data],6,FALSE)</f>
        <v>Select</v>
      </c>
      <c r="F3717">
        <v>6</v>
      </c>
      <c r="G3717">
        <v>2</v>
      </c>
      <c r="H3717" t="s">
        <v>266</v>
      </c>
      <c r="I3717" t="str">
        <f>VLOOKUP(Tabla1[[#This Row],[Code]],'[1]Articulos Precio'!$A:$E,5,FALSE)</f>
        <v>A0002670</v>
      </c>
    </row>
    <row r="3718" spans="1:9" x14ac:dyDescent="0.25">
      <c r="A3718" t="s">
        <v>1339</v>
      </c>
      <c r="B3718" t="str">
        <f>VLOOKUP(Tabla1[[#This Row],[Code]],[1]!Tabla4[#Data],2,FALSE)</f>
        <v>M2 Nekoosa EZ Color EC1986 Amarillo Girasol Mate 1,22 x 45,7m</v>
      </c>
      <c r="C3718">
        <v>31</v>
      </c>
      <c r="D3718" t="s">
        <v>114</v>
      </c>
      <c r="E3718" t="str">
        <f>VLOOKUP(Tabla1[[#This Row],[Cód. Atributo]],[1]!Tabla5[#Data],6,FALSE)</f>
        <v>Select</v>
      </c>
      <c r="F3718">
        <v>7</v>
      </c>
      <c r="G3718">
        <v>14</v>
      </c>
      <c r="H3718" t="s">
        <v>1322</v>
      </c>
      <c r="I3718" t="str">
        <f>VLOOKUP(Tabla1[[#This Row],[Code]],'[1]Articulos Precio'!$A:$E,5,FALSE)</f>
        <v>A0002670</v>
      </c>
    </row>
    <row r="3719" spans="1:9" x14ac:dyDescent="0.25">
      <c r="A3719" t="s">
        <v>1340</v>
      </c>
      <c r="B3719" t="str">
        <f>VLOOKUP(Tabla1[[#This Row],[Code]],[1]!Tabla4[#Data],2,FALSE)</f>
        <v>M2 Nekoosa EZ Color EC2235 Verde Medio Brillo 0,61 x 45,7m</v>
      </c>
      <c r="C3719">
        <v>8</v>
      </c>
      <c r="D3719" t="s">
        <v>86</v>
      </c>
      <c r="E3719" t="str">
        <f>VLOOKUP(Tabla1[[#This Row],[Cód. Atributo]],[1]!Tabla5[#Data],6,FALSE)</f>
        <v>Select</v>
      </c>
      <c r="F3719">
        <v>1</v>
      </c>
      <c r="G3719">
        <v>1</v>
      </c>
      <c r="H3719" t="s">
        <v>263</v>
      </c>
      <c r="I3719" t="str">
        <f>VLOOKUP(Tabla1[[#This Row],[Code]],'[1]Articulos Precio'!$A:$E,5,FALSE)</f>
        <v>A0002671</v>
      </c>
    </row>
    <row r="3720" spans="1:9" x14ac:dyDescent="0.25">
      <c r="A3720" t="s">
        <v>1340</v>
      </c>
      <c r="B3720" t="str">
        <f>VLOOKUP(Tabla1[[#This Row],[Code]],[1]!Tabla4[#Data],2,FALSE)</f>
        <v>M2 Nekoosa EZ Color EC2235 Verde Medio Brillo 0,61 x 45,7m</v>
      </c>
      <c r="C3720">
        <v>52</v>
      </c>
      <c r="D3720" t="s">
        <v>1325</v>
      </c>
      <c r="E3720" t="str">
        <f>VLOOKUP(Tabla1[[#This Row],[Cód. Atributo]],[1]!Tabla5[#Data],6,FALSE)</f>
        <v>Select</v>
      </c>
      <c r="F3720">
        <v>2</v>
      </c>
      <c r="G3720">
        <v>3</v>
      </c>
      <c r="H3720" t="s">
        <v>1341</v>
      </c>
      <c r="I3720" t="str">
        <f>VLOOKUP(Tabla1[[#This Row],[Code]],'[1]Articulos Precio'!$A:$E,5,FALSE)</f>
        <v>A0002671</v>
      </c>
    </row>
    <row r="3721" spans="1:9" x14ac:dyDescent="0.25">
      <c r="A3721" t="s">
        <v>1340</v>
      </c>
      <c r="B3721" t="str">
        <f>VLOOKUP(Tabla1[[#This Row],[Code]],[1]!Tabla4[#Data],2,FALSE)</f>
        <v>M2 Nekoosa EZ Color EC2235 Verde Medio Brillo 0,61 x 45,7m</v>
      </c>
      <c r="C3721">
        <v>23</v>
      </c>
      <c r="D3721" t="s">
        <v>90</v>
      </c>
      <c r="E3721" t="str">
        <f>VLOOKUP(Tabla1[[#This Row],[Cód. Atributo]],[1]!Tabla5[#Data],6,FALSE)</f>
        <v>Select</v>
      </c>
      <c r="F3721">
        <v>3</v>
      </c>
      <c r="G3721">
        <v>2</v>
      </c>
      <c r="H3721" t="s">
        <v>136</v>
      </c>
      <c r="I3721" t="str">
        <f>VLOOKUP(Tabla1[[#This Row],[Code]],'[1]Articulos Precio'!$A:$E,5,FALSE)</f>
        <v>A0002671</v>
      </c>
    </row>
    <row r="3722" spans="1:9" x14ac:dyDescent="0.25">
      <c r="A3722" t="s">
        <v>1340</v>
      </c>
      <c r="B3722" t="str">
        <f>VLOOKUP(Tabla1[[#This Row],[Code]],[1]!Tabla4[#Data],2,FALSE)</f>
        <v>M2 Nekoosa EZ Color EC2235 Verde Medio Brillo 0,61 x 45,7m</v>
      </c>
      <c r="C3722">
        <v>28</v>
      </c>
      <c r="D3722" t="s">
        <v>92</v>
      </c>
      <c r="E3722" t="str">
        <f>VLOOKUP(Tabla1[[#This Row],[Cód. Atributo]],[1]!Tabla5[#Data],6,FALSE)</f>
        <v>Select</v>
      </c>
      <c r="F3722">
        <v>4</v>
      </c>
      <c r="G3722">
        <v>1</v>
      </c>
      <c r="H3722" t="s">
        <v>93</v>
      </c>
      <c r="I3722" t="str">
        <f>VLOOKUP(Tabla1[[#This Row],[Code]],'[1]Articulos Precio'!$A:$E,5,FALSE)</f>
        <v>A0002671</v>
      </c>
    </row>
    <row r="3723" spans="1:9" x14ac:dyDescent="0.25">
      <c r="A3723" t="s">
        <v>1340</v>
      </c>
      <c r="B3723" t="str">
        <f>VLOOKUP(Tabla1[[#This Row],[Code]],[1]!Tabla4[#Data],2,FALSE)</f>
        <v>M2 Nekoosa EZ Color EC2235 Verde Medio Brillo 0,61 x 45,7m</v>
      </c>
      <c r="C3723">
        <v>25</v>
      </c>
      <c r="D3723" t="s">
        <v>94</v>
      </c>
      <c r="E3723" t="str">
        <f>VLOOKUP(Tabla1[[#This Row],[Cód. Atributo]],[1]!Tabla5[#Data],6,FALSE)</f>
        <v>Select</v>
      </c>
      <c r="F3723">
        <v>5</v>
      </c>
      <c r="G3723">
        <v>7</v>
      </c>
      <c r="H3723" t="s">
        <v>1321</v>
      </c>
      <c r="I3723" t="str">
        <f>VLOOKUP(Tabla1[[#This Row],[Code]],'[1]Articulos Precio'!$A:$E,5,FALSE)</f>
        <v>A0002671</v>
      </c>
    </row>
    <row r="3724" spans="1:9" x14ac:dyDescent="0.25">
      <c r="A3724" t="s">
        <v>1340</v>
      </c>
      <c r="B3724" t="str">
        <f>VLOOKUP(Tabla1[[#This Row],[Code]],[1]!Tabla4[#Data],2,FALSE)</f>
        <v>M2 Nekoosa EZ Color EC2235 Verde Medio Brillo 0,61 x 45,7m</v>
      </c>
      <c r="C3724">
        <v>24</v>
      </c>
      <c r="D3724" t="s">
        <v>96</v>
      </c>
      <c r="E3724" t="str">
        <f>VLOOKUP(Tabla1[[#This Row],[Cód. Atributo]],[1]!Tabla5[#Data],6,FALSE)</f>
        <v>Select</v>
      </c>
      <c r="F3724">
        <v>6</v>
      </c>
      <c r="G3724">
        <v>2</v>
      </c>
      <c r="H3724" t="s">
        <v>266</v>
      </c>
      <c r="I3724" t="str">
        <f>VLOOKUP(Tabla1[[#This Row],[Code]],'[1]Articulos Precio'!$A:$E,5,FALSE)</f>
        <v>A0002671</v>
      </c>
    </row>
    <row r="3725" spans="1:9" x14ac:dyDescent="0.25">
      <c r="A3725" t="s">
        <v>1340</v>
      </c>
      <c r="B3725" t="str">
        <f>VLOOKUP(Tabla1[[#This Row],[Code]],[1]!Tabla4[#Data],2,FALSE)</f>
        <v>M2 Nekoosa EZ Color EC2235 Verde Medio Brillo 0,61 x 45,7m</v>
      </c>
      <c r="C3725">
        <v>31</v>
      </c>
      <c r="D3725" t="s">
        <v>114</v>
      </c>
      <c r="E3725" t="str">
        <f>VLOOKUP(Tabla1[[#This Row],[Cód. Atributo]],[1]!Tabla5[#Data],6,FALSE)</f>
        <v>Select</v>
      </c>
      <c r="F3725">
        <v>7</v>
      </c>
      <c r="G3725">
        <v>14</v>
      </c>
      <c r="H3725" t="s">
        <v>1322</v>
      </c>
      <c r="I3725" t="str">
        <f>VLOOKUP(Tabla1[[#This Row],[Code]],'[1]Articulos Precio'!$A:$E,5,FALSE)</f>
        <v>A0002671</v>
      </c>
    </row>
    <row r="3726" spans="1:9" x14ac:dyDescent="0.25">
      <c r="A3726" t="s">
        <v>1342</v>
      </c>
      <c r="B3726" t="str">
        <f>VLOOKUP(Tabla1[[#This Row],[Code]],[1]!Tabla4[#Data],2,FALSE)</f>
        <v>M2 Nekoosa EZ Color EC2472 Rojo Cardenal Brillo 0,61 x 45,7m</v>
      </c>
      <c r="C3726">
        <v>8</v>
      </c>
      <c r="D3726" t="s">
        <v>86</v>
      </c>
      <c r="E3726" t="str">
        <f>VLOOKUP(Tabla1[[#This Row],[Cód. Atributo]],[1]!Tabla5[#Data],6,FALSE)</f>
        <v>Select</v>
      </c>
      <c r="F3726">
        <v>1</v>
      </c>
      <c r="G3726">
        <v>1</v>
      </c>
      <c r="H3726" t="s">
        <v>263</v>
      </c>
      <c r="I3726" t="str">
        <f>VLOOKUP(Tabla1[[#This Row],[Code]],'[1]Articulos Precio'!$A:$E,5,FALSE)</f>
        <v>A0002671</v>
      </c>
    </row>
    <row r="3727" spans="1:9" x14ac:dyDescent="0.25">
      <c r="A3727" t="s">
        <v>1342</v>
      </c>
      <c r="B3727" t="str">
        <f>VLOOKUP(Tabla1[[#This Row],[Code]],[1]!Tabla4[#Data],2,FALSE)</f>
        <v>M2 Nekoosa EZ Color EC2472 Rojo Cardenal Brillo 0,61 x 45,7m</v>
      </c>
      <c r="C3727">
        <v>52</v>
      </c>
      <c r="D3727" t="s">
        <v>1325</v>
      </c>
      <c r="E3727" t="str">
        <f>VLOOKUP(Tabla1[[#This Row],[Cód. Atributo]],[1]!Tabla5[#Data],6,FALSE)</f>
        <v>Select</v>
      </c>
      <c r="F3727">
        <v>2</v>
      </c>
      <c r="G3727">
        <v>4</v>
      </c>
      <c r="H3727" t="s">
        <v>1343</v>
      </c>
      <c r="I3727" t="str">
        <f>VLOOKUP(Tabla1[[#This Row],[Code]],'[1]Articulos Precio'!$A:$E,5,FALSE)</f>
        <v>A0002671</v>
      </c>
    </row>
    <row r="3728" spans="1:9" x14ac:dyDescent="0.25">
      <c r="A3728" t="s">
        <v>1342</v>
      </c>
      <c r="B3728" t="str">
        <f>VLOOKUP(Tabla1[[#This Row],[Code]],[1]!Tabla4[#Data],2,FALSE)</f>
        <v>M2 Nekoosa EZ Color EC2472 Rojo Cardenal Brillo 0,61 x 45,7m</v>
      </c>
      <c r="C3728">
        <v>23</v>
      </c>
      <c r="D3728" t="s">
        <v>90</v>
      </c>
      <c r="E3728" t="str">
        <f>VLOOKUP(Tabla1[[#This Row],[Cód. Atributo]],[1]!Tabla5[#Data],6,FALSE)</f>
        <v>Select</v>
      </c>
      <c r="F3728">
        <v>3</v>
      </c>
      <c r="G3728">
        <v>2</v>
      </c>
      <c r="H3728" t="s">
        <v>136</v>
      </c>
      <c r="I3728" t="str">
        <f>VLOOKUP(Tabla1[[#This Row],[Code]],'[1]Articulos Precio'!$A:$E,5,FALSE)</f>
        <v>A0002671</v>
      </c>
    </row>
    <row r="3729" spans="1:9" x14ac:dyDescent="0.25">
      <c r="A3729" t="s">
        <v>1342</v>
      </c>
      <c r="B3729" t="str">
        <f>VLOOKUP(Tabla1[[#This Row],[Code]],[1]!Tabla4[#Data],2,FALSE)</f>
        <v>M2 Nekoosa EZ Color EC2472 Rojo Cardenal Brillo 0,61 x 45,7m</v>
      </c>
      <c r="C3729">
        <v>28</v>
      </c>
      <c r="D3729" t="s">
        <v>92</v>
      </c>
      <c r="E3729" t="str">
        <f>VLOOKUP(Tabla1[[#This Row],[Cód. Atributo]],[1]!Tabla5[#Data],6,FALSE)</f>
        <v>Select</v>
      </c>
      <c r="F3729">
        <v>4</v>
      </c>
      <c r="G3729">
        <v>1</v>
      </c>
      <c r="H3729" t="s">
        <v>93</v>
      </c>
      <c r="I3729" t="str">
        <f>VLOOKUP(Tabla1[[#This Row],[Code]],'[1]Articulos Precio'!$A:$E,5,FALSE)</f>
        <v>A0002671</v>
      </c>
    </row>
    <row r="3730" spans="1:9" x14ac:dyDescent="0.25">
      <c r="A3730" t="s">
        <v>1342</v>
      </c>
      <c r="B3730" t="str">
        <f>VLOOKUP(Tabla1[[#This Row],[Code]],[1]!Tabla4[#Data],2,FALSE)</f>
        <v>M2 Nekoosa EZ Color EC2472 Rojo Cardenal Brillo 0,61 x 45,7m</v>
      </c>
      <c r="C3730">
        <v>25</v>
      </c>
      <c r="D3730" t="s">
        <v>94</v>
      </c>
      <c r="E3730" t="str">
        <f>VLOOKUP(Tabla1[[#This Row],[Cód. Atributo]],[1]!Tabla5[#Data],6,FALSE)</f>
        <v>Select</v>
      </c>
      <c r="F3730">
        <v>5</v>
      </c>
      <c r="G3730">
        <v>7</v>
      </c>
      <c r="H3730" t="s">
        <v>1321</v>
      </c>
      <c r="I3730" t="str">
        <f>VLOOKUP(Tabla1[[#This Row],[Code]],'[1]Articulos Precio'!$A:$E,5,FALSE)</f>
        <v>A0002671</v>
      </c>
    </row>
    <row r="3731" spans="1:9" x14ac:dyDescent="0.25">
      <c r="A3731" t="s">
        <v>1342</v>
      </c>
      <c r="B3731" t="str">
        <f>VLOOKUP(Tabla1[[#This Row],[Code]],[1]!Tabla4[#Data],2,FALSE)</f>
        <v>M2 Nekoosa EZ Color EC2472 Rojo Cardenal Brillo 0,61 x 45,7m</v>
      </c>
      <c r="C3731">
        <v>24</v>
      </c>
      <c r="D3731" t="s">
        <v>96</v>
      </c>
      <c r="E3731" t="str">
        <f>VLOOKUP(Tabla1[[#This Row],[Cód. Atributo]],[1]!Tabla5[#Data],6,FALSE)</f>
        <v>Select</v>
      </c>
      <c r="F3731">
        <v>6</v>
      </c>
      <c r="G3731">
        <v>2</v>
      </c>
      <c r="H3731" t="s">
        <v>266</v>
      </c>
      <c r="I3731" t="str">
        <f>VLOOKUP(Tabla1[[#This Row],[Code]],'[1]Articulos Precio'!$A:$E,5,FALSE)</f>
        <v>A0002671</v>
      </c>
    </row>
    <row r="3732" spans="1:9" x14ac:dyDescent="0.25">
      <c r="A3732" t="s">
        <v>1342</v>
      </c>
      <c r="B3732" t="str">
        <f>VLOOKUP(Tabla1[[#This Row],[Code]],[1]!Tabla4[#Data],2,FALSE)</f>
        <v>M2 Nekoosa EZ Color EC2472 Rojo Cardenal Brillo 0,61 x 45,7m</v>
      </c>
      <c r="C3732">
        <v>31</v>
      </c>
      <c r="D3732" t="s">
        <v>114</v>
      </c>
      <c r="E3732" t="str">
        <f>VLOOKUP(Tabla1[[#This Row],[Cód. Atributo]],[1]!Tabla5[#Data],6,FALSE)</f>
        <v>Select</v>
      </c>
      <c r="F3732">
        <v>7</v>
      </c>
      <c r="G3732">
        <v>14</v>
      </c>
      <c r="H3732" t="s">
        <v>1322</v>
      </c>
      <c r="I3732" t="str">
        <f>VLOOKUP(Tabla1[[#This Row],[Code]],'[1]Articulos Precio'!$A:$E,5,FALSE)</f>
        <v>A0002671</v>
      </c>
    </row>
    <row r="3733" spans="1:9" x14ac:dyDescent="0.25">
      <c r="A3733" t="s">
        <v>1344</v>
      </c>
      <c r="B3733" t="str">
        <f>VLOOKUP(Tabla1[[#This Row],[Code]],[1]!Tabla4[#Data],2,FALSE)</f>
        <v>M2 Nekoosa EZ Color EC2472 Rojo Cardenal Brillo 1,22 x 45,7m</v>
      </c>
      <c r="C3733">
        <v>8</v>
      </c>
      <c r="D3733" t="s">
        <v>86</v>
      </c>
      <c r="E3733" t="str">
        <f>VLOOKUP(Tabla1[[#This Row],[Cód. Atributo]],[1]!Tabla5[#Data],6,FALSE)</f>
        <v>Select</v>
      </c>
      <c r="F3733">
        <v>1</v>
      </c>
      <c r="G3733">
        <v>2</v>
      </c>
      <c r="H3733" t="s">
        <v>268</v>
      </c>
      <c r="I3733" t="str">
        <f>VLOOKUP(Tabla1[[#This Row],[Code]],'[1]Articulos Precio'!$A:$E,5,FALSE)</f>
        <v>A0002671</v>
      </c>
    </row>
    <row r="3734" spans="1:9" x14ac:dyDescent="0.25">
      <c r="A3734" t="s">
        <v>1344</v>
      </c>
      <c r="B3734" t="str">
        <f>VLOOKUP(Tabla1[[#This Row],[Code]],[1]!Tabla4[#Data],2,FALSE)</f>
        <v>M2 Nekoosa EZ Color EC2472 Rojo Cardenal Brillo 1,22 x 45,7m</v>
      </c>
      <c r="C3734">
        <v>52</v>
      </c>
      <c r="D3734" t="s">
        <v>1325</v>
      </c>
      <c r="E3734" t="str">
        <f>VLOOKUP(Tabla1[[#This Row],[Cód. Atributo]],[1]!Tabla5[#Data],6,FALSE)</f>
        <v>Select</v>
      </c>
      <c r="F3734">
        <v>2</v>
      </c>
      <c r="G3734">
        <v>4</v>
      </c>
      <c r="H3734" t="s">
        <v>1343</v>
      </c>
      <c r="I3734" t="str">
        <f>VLOOKUP(Tabla1[[#This Row],[Code]],'[1]Articulos Precio'!$A:$E,5,FALSE)</f>
        <v>A0002671</v>
      </c>
    </row>
    <row r="3735" spans="1:9" x14ac:dyDescent="0.25">
      <c r="A3735" t="s">
        <v>1344</v>
      </c>
      <c r="B3735" t="str">
        <f>VLOOKUP(Tabla1[[#This Row],[Code]],[1]!Tabla4[#Data],2,FALSE)</f>
        <v>M2 Nekoosa EZ Color EC2472 Rojo Cardenal Brillo 1,22 x 45,7m</v>
      </c>
      <c r="C3735">
        <v>23</v>
      </c>
      <c r="D3735" t="s">
        <v>90</v>
      </c>
      <c r="E3735" t="str">
        <f>VLOOKUP(Tabla1[[#This Row],[Cód. Atributo]],[1]!Tabla5[#Data],6,FALSE)</f>
        <v>Select</v>
      </c>
      <c r="F3735">
        <v>3</v>
      </c>
      <c r="G3735">
        <v>2</v>
      </c>
      <c r="H3735" t="s">
        <v>136</v>
      </c>
      <c r="I3735" t="str">
        <f>VLOOKUP(Tabla1[[#This Row],[Code]],'[1]Articulos Precio'!$A:$E,5,FALSE)</f>
        <v>A0002671</v>
      </c>
    </row>
    <row r="3736" spans="1:9" x14ac:dyDescent="0.25">
      <c r="A3736" t="s">
        <v>1344</v>
      </c>
      <c r="B3736" t="str">
        <f>VLOOKUP(Tabla1[[#This Row],[Code]],[1]!Tabla4[#Data],2,FALSE)</f>
        <v>M2 Nekoosa EZ Color EC2472 Rojo Cardenal Brillo 1,22 x 45,7m</v>
      </c>
      <c r="C3736">
        <v>28</v>
      </c>
      <c r="D3736" t="s">
        <v>92</v>
      </c>
      <c r="E3736" t="str">
        <f>VLOOKUP(Tabla1[[#This Row],[Cód. Atributo]],[1]!Tabla5[#Data],6,FALSE)</f>
        <v>Select</v>
      </c>
      <c r="F3736">
        <v>4</v>
      </c>
      <c r="G3736">
        <v>1</v>
      </c>
      <c r="H3736" t="s">
        <v>93</v>
      </c>
      <c r="I3736" t="str">
        <f>VLOOKUP(Tabla1[[#This Row],[Code]],'[1]Articulos Precio'!$A:$E,5,FALSE)</f>
        <v>A0002671</v>
      </c>
    </row>
    <row r="3737" spans="1:9" x14ac:dyDescent="0.25">
      <c r="A3737" t="s">
        <v>1344</v>
      </c>
      <c r="B3737" t="str">
        <f>VLOOKUP(Tabla1[[#This Row],[Code]],[1]!Tabla4[#Data],2,FALSE)</f>
        <v>M2 Nekoosa EZ Color EC2472 Rojo Cardenal Brillo 1,22 x 45,7m</v>
      </c>
      <c r="C3737">
        <v>25</v>
      </c>
      <c r="D3737" t="s">
        <v>94</v>
      </c>
      <c r="E3737" t="str">
        <f>VLOOKUP(Tabla1[[#This Row],[Cód. Atributo]],[1]!Tabla5[#Data],6,FALSE)</f>
        <v>Select</v>
      </c>
      <c r="F3737">
        <v>5</v>
      </c>
      <c r="G3737">
        <v>7</v>
      </c>
      <c r="H3737" t="s">
        <v>1321</v>
      </c>
      <c r="I3737" t="str">
        <f>VLOOKUP(Tabla1[[#This Row],[Code]],'[1]Articulos Precio'!$A:$E,5,FALSE)</f>
        <v>A0002671</v>
      </c>
    </row>
    <row r="3738" spans="1:9" x14ac:dyDescent="0.25">
      <c r="A3738" t="s">
        <v>1344</v>
      </c>
      <c r="B3738" t="str">
        <f>VLOOKUP(Tabla1[[#This Row],[Code]],[1]!Tabla4[#Data],2,FALSE)</f>
        <v>M2 Nekoosa EZ Color EC2472 Rojo Cardenal Brillo 1,22 x 45,7m</v>
      </c>
      <c r="C3738">
        <v>24</v>
      </c>
      <c r="D3738" t="s">
        <v>96</v>
      </c>
      <c r="E3738" t="str">
        <f>VLOOKUP(Tabla1[[#This Row],[Cód. Atributo]],[1]!Tabla5[#Data],6,FALSE)</f>
        <v>Select</v>
      </c>
      <c r="F3738">
        <v>6</v>
      </c>
      <c r="G3738">
        <v>2</v>
      </c>
      <c r="H3738" t="s">
        <v>266</v>
      </c>
      <c r="I3738" t="str">
        <f>VLOOKUP(Tabla1[[#This Row],[Code]],'[1]Articulos Precio'!$A:$E,5,FALSE)</f>
        <v>A0002671</v>
      </c>
    </row>
    <row r="3739" spans="1:9" x14ac:dyDescent="0.25">
      <c r="A3739" t="s">
        <v>1344</v>
      </c>
      <c r="B3739" t="str">
        <f>VLOOKUP(Tabla1[[#This Row],[Code]],[1]!Tabla4[#Data],2,FALSE)</f>
        <v>M2 Nekoosa EZ Color EC2472 Rojo Cardenal Brillo 1,22 x 45,7m</v>
      </c>
      <c r="C3739">
        <v>31</v>
      </c>
      <c r="D3739" t="s">
        <v>114</v>
      </c>
      <c r="E3739" t="str">
        <f>VLOOKUP(Tabla1[[#This Row],[Cód. Atributo]],[1]!Tabla5[#Data],6,FALSE)</f>
        <v>Select</v>
      </c>
      <c r="F3739">
        <v>7</v>
      </c>
      <c r="G3739">
        <v>14</v>
      </c>
      <c r="H3739" t="s">
        <v>1322</v>
      </c>
      <c r="I3739" t="str">
        <f>VLOOKUP(Tabla1[[#This Row],[Code]],'[1]Articulos Precio'!$A:$E,5,FALSE)</f>
        <v>A0002671</v>
      </c>
    </row>
    <row r="3740" spans="1:9" x14ac:dyDescent="0.25">
      <c r="A3740" t="s">
        <v>1345</v>
      </c>
      <c r="B3740" t="str">
        <f>VLOOKUP(Tabla1[[#This Row],[Code]],[1]!Tabla4[#Data],2,FALSE)</f>
        <v>M2 Nekoosa EZ Color EC3048 Amarillo Brillo 0,61 x 45,7m</v>
      </c>
      <c r="C3740">
        <v>8</v>
      </c>
      <c r="D3740" t="s">
        <v>86</v>
      </c>
      <c r="E3740" t="str">
        <f>VLOOKUP(Tabla1[[#This Row],[Cód. Atributo]],[1]!Tabla5[#Data],6,FALSE)</f>
        <v>Select</v>
      </c>
      <c r="F3740">
        <v>1</v>
      </c>
      <c r="G3740">
        <v>1</v>
      </c>
      <c r="H3740" t="s">
        <v>263</v>
      </c>
      <c r="I3740" t="str">
        <f>VLOOKUP(Tabla1[[#This Row],[Code]],'[1]Articulos Precio'!$A:$E,5,FALSE)</f>
        <v>A0002671</v>
      </c>
    </row>
    <row r="3741" spans="1:9" x14ac:dyDescent="0.25">
      <c r="A3741" t="s">
        <v>1345</v>
      </c>
      <c r="B3741" t="str">
        <f>VLOOKUP(Tabla1[[#This Row],[Code]],[1]!Tabla4[#Data],2,FALSE)</f>
        <v>M2 Nekoosa EZ Color EC3048 Amarillo Brillo 0,61 x 45,7m</v>
      </c>
      <c r="C3741">
        <v>52</v>
      </c>
      <c r="D3741" t="s">
        <v>1325</v>
      </c>
      <c r="E3741" t="str">
        <f>VLOOKUP(Tabla1[[#This Row],[Cód. Atributo]],[1]!Tabla5[#Data],6,FALSE)</f>
        <v>Select</v>
      </c>
      <c r="F3741">
        <v>2</v>
      </c>
      <c r="G3741">
        <v>10</v>
      </c>
      <c r="H3741" t="s">
        <v>1346</v>
      </c>
      <c r="I3741" t="str">
        <f>VLOOKUP(Tabla1[[#This Row],[Code]],'[1]Articulos Precio'!$A:$E,5,FALSE)</f>
        <v>A0002671</v>
      </c>
    </row>
    <row r="3742" spans="1:9" x14ac:dyDescent="0.25">
      <c r="A3742" t="s">
        <v>1345</v>
      </c>
      <c r="B3742" t="str">
        <f>VLOOKUP(Tabla1[[#This Row],[Code]],[1]!Tabla4[#Data],2,FALSE)</f>
        <v>M2 Nekoosa EZ Color EC3048 Amarillo Brillo 0,61 x 45,7m</v>
      </c>
      <c r="C3742">
        <v>23</v>
      </c>
      <c r="D3742" t="s">
        <v>90</v>
      </c>
      <c r="E3742" t="str">
        <f>VLOOKUP(Tabla1[[#This Row],[Cód. Atributo]],[1]!Tabla5[#Data],6,FALSE)</f>
        <v>Select</v>
      </c>
      <c r="F3742">
        <v>3</v>
      </c>
      <c r="G3742">
        <v>2</v>
      </c>
      <c r="H3742" t="s">
        <v>136</v>
      </c>
      <c r="I3742" t="str">
        <f>VLOOKUP(Tabla1[[#This Row],[Code]],'[1]Articulos Precio'!$A:$E,5,FALSE)</f>
        <v>A0002671</v>
      </c>
    </row>
    <row r="3743" spans="1:9" x14ac:dyDescent="0.25">
      <c r="A3743" t="s">
        <v>1345</v>
      </c>
      <c r="B3743" t="str">
        <f>VLOOKUP(Tabla1[[#This Row],[Code]],[1]!Tabla4[#Data],2,FALSE)</f>
        <v>M2 Nekoosa EZ Color EC3048 Amarillo Brillo 0,61 x 45,7m</v>
      </c>
      <c r="C3743">
        <v>28</v>
      </c>
      <c r="D3743" t="s">
        <v>92</v>
      </c>
      <c r="E3743" t="str">
        <f>VLOOKUP(Tabla1[[#This Row],[Cód. Atributo]],[1]!Tabla5[#Data],6,FALSE)</f>
        <v>Select</v>
      </c>
      <c r="F3743">
        <v>4</v>
      </c>
      <c r="G3743">
        <v>1</v>
      </c>
      <c r="H3743" t="s">
        <v>93</v>
      </c>
      <c r="I3743" t="str">
        <f>VLOOKUP(Tabla1[[#This Row],[Code]],'[1]Articulos Precio'!$A:$E,5,FALSE)</f>
        <v>A0002671</v>
      </c>
    </row>
    <row r="3744" spans="1:9" x14ac:dyDescent="0.25">
      <c r="A3744" t="s">
        <v>1345</v>
      </c>
      <c r="B3744" t="str">
        <f>VLOOKUP(Tabla1[[#This Row],[Code]],[1]!Tabla4[#Data],2,FALSE)</f>
        <v>M2 Nekoosa EZ Color EC3048 Amarillo Brillo 0,61 x 45,7m</v>
      </c>
      <c r="C3744">
        <v>25</v>
      </c>
      <c r="D3744" t="s">
        <v>94</v>
      </c>
      <c r="E3744" t="str">
        <f>VLOOKUP(Tabla1[[#This Row],[Cód. Atributo]],[1]!Tabla5[#Data],6,FALSE)</f>
        <v>Select</v>
      </c>
      <c r="F3744">
        <v>5</v>
      </c>
      <c r="G3744">
        <v>7</v>
      </c>
      <c r="H3744" t="s">
        <v>1321</v>
      </c>
      <c r="I3744" t="str">
        <f>VLOOKUP(Tabla1[[#This Row],[Code]],'[1]Articulos Precio'!$A:$E,5,FALSE)</f>
        <v>A0002671</v>
      </c>
    </row>
    <row r="3745" spans="1:9" x14ac:dyDescent="0.25">
      <c r="A3745" t="s">
        <v>1345</v>
      </c>
      <c r="B3745" t="str">
        <f>VLOOKUP(Tabla1[[#This Row],[Code]],[1]!Tabla4[#Data],2,FALSE)</f>
        <v>M2 Nekoosa EZ Color EC3048 Amarillo Brillo 0,61 x 45,7m</v>
      </c>
      <c r="C3745">
        <v>24</v>
      </c>
      <c r="D3745" t="s">
        <v>96</v>
      </c>
      <c r="E3745" t="str">
        <f>VLOOKUP(Tabla1[[#This Row],[Cód. Atributo]],[1]!Tabla5[#Data],6,FALSE)</f>
        <v>Select</v>
      </c>
      <c r="F3745">
        <v>6</v>
      </c>
      <c r="G3745">
        <v>2</v>
      </c>
      <c r="H3745" t="s">
        <v>266</v>
      </c>
      <c r="I3745" t="str">
        <f>VLOOKUP(Tabla1[[#This Row],[Code]],'[1]Articulos Precio'!$A:$E,5,FALSE)</f>
        <v>A0002671</v>
      </c>
    </row>
    <row r="3746" spans="1:9" x14ac:dyDescent="0.25">
      <c r="A3746" t="s">
        <v>1345</v>
      </c>
      <c r="B3746" t="str">
        <f>VLOOKUP(Tabla1[[#This Row],[Code]],[1]!Tabla4[#Data],2,FALSE)</f>
        <v>M2 Nekoosa EZ Color EC3048 Amarillo Brillo 0,61 x 45,7m</v>
      </c>
      <c r="C3746">
        <v>31</v>
      </c>
      <c r="D3746" t="s">
        <v>114</v>
      </c>
      <c r="E3746" t="str">
        <f>VLOOKUP(Tabla1[[#This Row],[Cód. Atributo]],[1]!Tabla5[#Data],6,FALSE)</f>
        <v>Select</v>
      </c>
      <c r="F3746">
        <v>7</v>
      </c>
      <c r="G3746">
        <v>14</v>
      </c>
      <c r="H3746" t="s">
        <v>1322</v>
      </c>
      <c r="I3746" t="str">
        <f>VLOOKUP(Tabla1[[#This Row],[Code]],'[1]Articulos Precio'!$A:$E,5,FALSE)</f>
        <v>A0002671</v>
      </c>
    </row>
    <row r="3747" spans="1:9" x14ac:dyDescent="0.25">
      <c r="A3747" t="s">
        <v>1347</v>
      </c>
      <c r="B3747" t="str">
        <f>VLOOKUP(Tabla1[[#This Row],[Code]],[1]!Tabla4[#Data],2,FALSE)</f>
        <v>M2 Nekoosa EZ Color EC3048 Amarillo Brillo 1,22 x 45,7m</v>
      </c>
      <c r="C3747">
        <v>8</v>
      </c>
      <c r="D3747" t="s">
        <v>86</v>
      </c>
      <c r="E3747" t="str">
        <f>VLOOKUP(Tabla1[[#This Row],[Cód. Atributo]],[1]!Tabla5[#Data],6,FALSE)</f>
        <v>Select</v>
      </c>
      <c r="F3747">
        <v>1</v>
      </c>
      <c r="G3747">
        <v>2</v>
      </c>
      <c r="H3747" t="s">
        <v>268</v>
      </c>
      <c r="I3747" t="str">
        <f>VLOOKUP(Tabla1[[#This Row],[Code]],'[1]Articulos Precio'!$A:$E,5,FALSE)</f>
        <v>A0002671</v>
      </c>
    </row>
    <row r="3748" spans="1:9" x14ac:dyDescent="0.25">
      <c r="A3748" t="s">
        <v>1347</v>
      </c>
      <c r="B3748" t="str">
        <f>VLOOKUP(Tabla1[[#This Row],[Code]],[1]!Tabla4[#Data],2,FALSE)</f>
        <v>M2 Nekoosa EZ Color EC3048 Amarillo Brillo 1,22 x 45,7m</v>
      </c>
      <c r="C3748">
        <v>52</v>
      </c>
      <c r="D3748" t="s">
        <v>1325</v>
      </c>
      <c r="E3748" t="str">
        <f>VLOOKUP(Tabla1[[#This Row],[Cód. Atributo]],[1]!Tabla5[#Data],6,FALSE)</f>
        <v>Select</v>
      </c>
      <c r="F3748">
        <v>2</v>
      </c>
      <c r="G3748">
        <v>10</v>
      </c>
      <c r="H3748" t="s">
        <v>1346</v>
      </c>
      <c r="I3748" t="str">
        <f>VLOOKUP(Tabla1[[#This Row],[Code]],'[1]Articulos Precio'!$A:$E,5,FALSE)</f>
        <v>A0002671</v>
      </c>
    </row>
    <row r="3749" spans="1:9" x14ac:dyDescent="0.25">
      <c r="A3749" t="s">
        <v>1347</v>
      </c>
      <c r="B3749" t="str">
        <f>VLOOKUP(Tabla1[[#This Row],[Code]],[1]!Tabla4[#Data],2,FALSE)</f>
        <v>M2 Nekoosa EZ Color EC3048 Amarillo Brillo 1,22 x 45,7m</v>
      </c>
      <c r="C3749">
        <v>23</v>
      </c>
      <c r="D3749" t="s">
        <v>90</v>
      </c>
      <c r="E3749" t="str">
        <f>VLOOKUP(Tabla1[[#This Row],[Cód. Atributo]],[1]!Tabla5[#Data],6,FALSE)</f>
        <v>Select</v>
      </c>
      <c r="F3749">
        <v>3</v>
      </c>
      <c r="G3749">
        <v>2</v>
      </c>
      <c r="H3749" t="s">
        <v>136</v>
      </c>
      <c r="I3749" t="str">
        <f>VLOOKUP(Tabla1[[#This Row],[Code]],'[1]Articulos Precio'!$A:$E,5,FALSE)</f>
        <v>A0002671</v>
      </c>
    </row>
    <row r="3750" spans="1:9" x14ac:dyDescent="0.25">
      <c r="A3750" t="s">
        <v>1347</v>
      </c>
      <c r="B3750" t="str">
        <f>VLOOKUP(Tabla1[[#This Row],[Code]],[1]!Tabla4[#Data],2,FALSE)</f>
        <v>M2 Nekoosa EZ Color EC3048 Amarillo Brillo 1,22 x 45,7m</v>
      </c>
      <c r="C3750">
        <v>28</v>
      </c>
      <c r="D3750" t="s">
        <v>92</v>
      </c>
      <c r="E3750" t="str">
        <f>VLOOKUP(Tabla1[[#This Row],[Cód. Atributo]],[1]!Tabla5[#Data],6,FALSE)</f>
        <v>Select</v>
      </c>
      <c r="F3750">
        <v>4</v>
      </c>
      <c r="G3750">
        <v>1</v>
      </c>
      <c r="H3750" t="s">
        <v>93</v>
      </c>
      <c r="I3750" t="str">
        <f>VLOOKUP(Tabla1[[#This Row],[Code]],'[1]Articulos Precio'!$A:$E,5,FALSE)</f>
        <v>A0002671</v>
      </c>
    </row>
    <row r="3751" spans="1:9" x14ac:dyDescent="0.25">
      <c r="A3751" t="s">
        <v>1347</v>
      </c>
      <c r="B3751" t="str">
        <f>VLOOKUP(Tabla1[[#This Row],[Code]],[1]!Tabla4[#Data],2,FALSE)</f>
        <v>M2 Nekoosa EZ Color EC3048 Amarillo Brillo 1,22 x 45,7m</v>
      </c>
      <c r="C3751">
        <v>25</v>
      </c>
      <c r="D3751" t="s">
        <v>94</v>
      </c>
      <c r="E3751" t="str">
        <f>VLOOKUP(Tabla1[[#This Row],[Cód. Atributo]],[1]!Tabla5[#Data],6,FALSE)</f>
        <v>Select</v>
      </c>
      <c r="F3751">
        <v>5</v>
      </c>
      <c r="G3751">
        <v>7</v>
      </c>
      <c r="H3751" t="s">
        <v>1321</v>
      </c>
      <c r="I3751" t="str">
        <f>VLOOKUP(Tabla1[[#This Row],[Code]],'[1]Articulos Precio'!$A:$E,5,FALSE)</f>
        <v>A0002671</v>
      </c>
    </row>
    <row r="3752" spans="1:9" x14ac:dyDescent="0.25">
      <c r="A3752" t="s">
        <v>1347</v>
      </c>
      <c r="B3752" t="str">
        <f>VLOOKUP(Tabla1[[#This Row],[Code]],[1]!Tabla4[#Data],2,FALSE)</f>
        <v>M2 Nekoosa EZ Color EC3048 Amarillo Brillo 1,22 x 45,7m</v>
      </c>
      <c r="C3752">
        <v>24</v>
      </c>
      <c r="D3752" t="s">
        <v>96</v>
      </c>
      <c r="E3752" t="str">
        <f>VLOOKUP(Tabla1[[#This Row],[Cód. Atributo]],[1]!Tabla5[#Data],6,FALSE)</f>
        <v>Select</v>
      </c>
      <c r="F3752">
        <v>6</v>
      </c>
      <c r="G3752">
        <v>2</v>
      </c>
      <c r="H3752" t="s">
        <v>266</v>
      </c>
      <c r="I3752" t="str">
        <f>VLOOKUP(Tabla1[[#This Row],[Code]],'[1]Articulos Precio'!$A:$E,5,FALSE)</f>
        <v>A0002671</v>
      </c>
    </row>
    <row r="3753" spans="1:9" x14ac:dyDescent="0.25">
      <c r="A3753" t="s">
        <v>1347</v>
      </c>
      <c r="B3753" t="str">
        <f>VLOOKUP(Tabla1[[#This Row],[Code]],[1]!Tabla4[#Data],2,FALSE)</f>
        <v>M2 Nekoosa EZ Color EC3048 Amarillo Brillo 1,22 x 45,7m</v>
      </c>
      <c r="C3753">
        <v>31</v>
      </c>
      <c r="D3753" t="s">
        <v>114</v>
      </c>
      <c r="E3753" t="str">
        <f>VLOOKUP(Tabla1[[#This Row],[Cód. Atributo]],[1]!Tabla5[#Data],6,FALSE)</f>
        <v>Select</v>
      </c>
      <c r="F3753">
        <v>7</v>
      </c>
      <c r="G3753">
        <v>14</v>
      </c>
      <c r="H3753" t="s">
        <v>1322</v>
      </c>
      <c r="I3753" t="str">
        <f>VLOOKUP(Tabla1[[#This Row],[Code]],'[1]Articulos Precio'!$A:$E,5,FALSE)</f>
        <v>A0002671</v>
      </c>
    </row>
    <row r="3754" spans="1:9" x14ac:dyDescent="0.25">
      <c r="A3754" t="s">
        <v>1348</v>
      </c>
      <c r="B3754" t="str">
        <f>VLOOKUP(Tabla1[[#This Row],[Code]],[1]!Tabla4[#Data],2,FALSE)</f>
        <v>M2 Nekoosa EZ Color EC3281 Blanco Brillo 0,61 x 45,7m</v>
      </c>
      <c r="C3754">
        <v>8</v>
      </c>
      <c r="D3754" t="s">
        <v>86</v>
      </c>
      <c r="E3754" t="str">
        <f>VLOOKUP(Tabla1[[#This Row],[Cód. Atributo]],[1]!Tabla5[#Data],6,FALSE)</f>
        <v>Select</v>
      </c>
      <c r="F3754">
        <v>1</v>
      </c>
      <c r="G3754">
        <v>1</v>
      </c>
      <c r="H3754" t="s">
        <v>263</v>
      </c>
      <c r="I3754" t="str">
        <f>VLOOKUP(Tabla1[[#This Row],[Code]],'[1]Articulos Precio'!$A:$E,5,FALSE)</f>
        <v>A0002671</v>
      </c>
    </row>
    <row r="3755" spans="1:9" x14ac:dyDescent="0.25">
      <c r="A3755" t="s">
        <v>1348</v>
      </c>
      <c r="B3755" t="str">
        <f>VLOOKUP(Tabla1[[#This Row],[Code]],[1]!Tabla4[#Data],2,FALSE)</f>
        <v>M2 Nekoosa EZ Color EC3281 Blanco Brillo 0,61 x 45,7m</v>
      </c>
      <c r="C3755">
        <v>52</v>
      </c>
      <c r="D3755" t="s">
        <v>1325</v>
      </c>
      <c r="E3755" t="str">
        <f>VLOOKUP(Tabla1[[#This Row],[Cód. Atributo]],[1]!Tabla5[#Data],6,FALSE)</f>
        <v>Select</v>
      </c>
      <c r="F3755">
        <v>2</v>
      </c>
      <c r="G3755">
        <v>6</v>
      </c>
      <c r="H3755" t="s">
        <v>1326</v>
      </c>
      <c r="I3755" t="str">
        <f>VLOOKUP(Tabla1[[#This Row],[Code]],'[1]Articulos Precio'!$A:$E,5,FALSE)</f>
        <v>A0002671</v>
      </c>
    </row>
    <row r="3756" spans="1:9" x14ac:dyDescent="0.25">
      <c r="A3756" t="s">
        <v>1348</v>
      </c>
      <c r="B3756" t="str">
        <f>VLOOKUP(Tabla1[[#This Row],[Code]],[1]!Tabla4[#Data],2,FALSE)</f>
        <v>M2 Nekoosa EZ Color EC3281 Blanco Brillo 0,61 x 45,7m</v>
      </c>
      <c r="C3756">
        <v>23</v>
      </c>
      <c r="D3756" t="s">
        <v>90</v>
      </c>
      <c r="E3756" t="str">
        <f>VLOOKUP(Tabla1[[#This Row],[Cód. Atributo]],[1]!Tabla5[#Data],6,FALSE)</f>
        <v>Select</v>
      </c>
      <c r="F3756">
        <v>3</v>
      </c>
      <c r="G3756">
        <v>2</v>
      </c>
      <c r="H3756" t="s">
        <v>136</v>
      </c>
      <c r="I3756" t="str">
        <f>VLOOKUP(Tabla1[[#This Row],[Code]],'[1]Articulos Precio'!$A:$E,5,FALSE)</f>
        <v>A0002671</v>
      </c>
    </row>
    <row r="3757" spans="1:9" x14ac:dyDescent="0.25">
      <c r="A3757" t="s">
        <v>1348</v>
      </c>
      <c r="B3757" t="str">
        <f>VLOOKUP(Tabla1[[#This Row],[Code]],[1]!Tabla4[#Data],2,FALSE)</f>
        <v>M2 Nekoosa EZ Color EC3281 Blanco Brillo 0,61 x 45,7m</v>
      </c>
      <c r="C3757">
        <v>28</v>
      </c>
      <c r="D3757" t="s">
        <v>92</v>
      </c>
      <c r="E3757" t="str">
        <f>VLOOKUP(Tabla1[[#This Row],[Cód. Atributo]],[1]!Tabla5[#Data],6,FALSE)</f>
        <v>Select</v>
      </c>
      <c r="F3757">
        <v>4</v>
      </c>
      <c r="G3757">
        <v>1</v>
      </c>
      <c r="H3757" t="s">
        <v>93</v>
      </c>
      <c r="I3757" t="str">
        <f>VLOOKUP(Tabla1[[#This Row],[Code]],'[1]Articulos Precio'!$A:$E,5,FALSE)</f>
        <v>A0002671</v>
      </c>
    </row>
    <row r="3758" spans="1:9" x14ac:dyDescent="0.25">
      <c r="A3758" t="s">
        <v>1348</v>
      </c>
      <c r="B3758" t="str">
        <f>VLOOKUP(Tabla1[[#This Row],[Code]],[1]!Tabla4[#Data],2,FALSE)</f>
        <v>M2 Nekoosa EZ Color EC3281 Blanco Brillo 0,61 x 45,7m</v>
      </c>
      <c r="C3758">
        <v>25</v>
      </c>
      <c r="D3758" t="s">
        <v>94</v>
      </c>
      <c r="E3758" t="str">
        <f>VLOOKUP(Tabla1[[#This Row],[Cód. Atributo]],[1]!Tabla5[#Data],6,FALSE)</f>
        <v>Select</v>
      </c>
      <c r="F3758">
        <v>5</v>
      </c>
      <c r="G3758">
        <v>7</v>
      </c>
      <c r="H3758" t="s">
        <v>1321</v>
      </c>
      <c r="I3758" t="str">
        <f>VLOOKUP(Tabla1[[#This Row],[Code]],'[1]Articulos Precio'!$A:$E,5,FALSE)</f>
        <v>A0002671</v>
      </c>
    </row>
    <row r="3759" spans="1:9" x14ac:dyDescent="0.25">
      <c r="A3759" t="s">
        <v>1348</v>
      </c>
      <c r="B3759" t="str">
        <f>VLOOKUP(Tabla1[[#This Row],[Code]],[1]!Tabla4[#Data],2,FALSE)</f>
        <v>M2 Nekoosa EZ Color EC3281 Blanco Brillo 0,61 x 45,7m</v>
      </c>
      <c r="C3759">
        <v>24</v>
      </c>
      <c r="D3759" t="s">
        <v>96</v>
      </c>
      <c r="E3759" t="str">
        <f>VLOOKUP(Tabla1[[#This Row],[Cód. Atributo]],[1]!Tabla5[#Data],6,FALSE)</f>
        <v>Select</v>
      </c>
      <c r="F3759">
        <v>6</v>
      </c>
      <c r="G3759">
        <v>2</v>
      </c>
      <c r="H3759" t="s">
        <v>266</v>
      </c>
      <c r="I3759" t="str">
        <f>VLOOKUP(Tabla1[[#This Row],[Code]],'[1]Articulos Precio'!$A:$E,5,FALSE)</f>
        <v>A0002671</v>
      </c>
    </row>
    <row r="3760" spans="1:9" x14ac:dyDescent="0.25">
      <c r="A3760" t="s">
        <v>1348</v>
      </c>
      <c r="B3760" t="str">
        <f>VLOOKUP(Tabla1[[#This Row],[Code]],[1]!Tabla4[#Data],2,FALSE)</f>
        <v>M2 Nekoosa EZ Color EC3281 Blanco Brillo 0,61 x 45,7m</v>
      </c>
      <c r="C3760">
        <v>31</v>
      </c>
      <c r="D3760" t="s">
        <v>114</v>
      </c>
      <c r="E3760" t="str">
        <f>VLOOKUP(Tabla1[[#This Row],[Cód. Atributo]],[1]!Tabla5[#Data],6,FALSE)</f>
        <v>Select</v>
      </c>
      <c r="F3760">
        <v>7</v>
      </c>
      <c r="G3760">
        <v>14</v>
      </c>
      <c r="H3760" t="s">
        <v>1322</v>
      </c>
      <c r="I3760" t="str">
        <f>VLOOKUP(Tabla1[[#This Row],[Code]],'[1]Articulos Precio'!$A:$E,5,FALSE)</f>
        <v>A0002671</v>
      </c>
    </row>
    <row r="3761" spans="1:9" x14ac:dyDescent="0.25">
      <c r="A3761" t="s">
        <v>1349</v>
      </c>
      <c r="B3761" t="str">
        <f>VLOOKUP(Tabla1[[#This Row],[Code]],[1]!Tabla4[#Data],2,FALSE)</f>
        <v>M2 Nekoosa EZ Color EC3281 Blanco Brillo 1,22 x 45,7m</v>
      </c>
      <c r="C3761">
        <v>8</v>
      </c>
      <c r="D3761" t="s">
        <v>86</v>
      </c>
      <c r="E3761" t="str">
        <f>VLOOKUP(Tabla1[[#This Row],[Cód. Atributo]],[1]!Tabla5[#Data],6,FALSE)</f>
        <v>Select</v>
      </c>
      <c r="F3761">
        <v>1</v>
      </c>
      <c r="G3761">
        <v>2</v>
      </c>
      <c r="H3761" t="s">
        <v>268</v>
      </c>
      <c r="I3761" t="str">
        <f>VLOOKUP(Tabla1[[#This Row],[Code]],'[1]Articulos Precio'!$A:$E,5,FALSE)</f>
        <v>A0002671</v>
      </c>
    </row>
    <row r="3762" spans="1:9" x14ac:dyDescent="0.25">
      <c r="A3762" t="s">
        <v>1349</v>
      </c>
      <c r="B3762" t="str">
        <f>VLOOKUP(Tabla1[[#This Row],[Code]],[1]!Tabla4[#Data],2,FALSE)</f>
        <v>M2 Nekoosa EZ Color EC3281 Blanco Brillo 1,22 x 45,7m</v>
      </c>
      <c r="C3762">
        <v>52</v>
      </c>
      <c r="D3762" t="s">
        <v>1325</v>
      </c>
      <c r="E3762" t="str">
        <f>VLOOKUP(Tabla1[[#This Row],[Cód. Atributo]],[1]!Tabla5[#Data],6,FALSE)</f>
        <v>Select</v>
      </c>
      <c r="F3762">
        <v>2</v>
      </c>
      <c r="G3762">
        <v>5</v>
      </c>
      <c r="H3762" t="s">
        <v>1350</v>
      </c>
      <c r="I3762" t="str">
        <f>VLOOKUP(Tabla1[[#This Row],[Code]],'[1]Articulos Precio'!$A:$E,5,FALSE)</f>
        <v>A0002671</v>
      </c>
    </row>
    <row r="3763" spans="1:9" x14ac:dyDescent="0.25">
      <c r="A3763" t="s">
        <v>1349</v>
      </c>
      <c r="B3763" t="str">
        <f>VLOOKUP(Tabla1[[#This Row],[Code]],[1]!Tabla4[#Data],2,FALSE)</f>
        <v>M2 Nekoosa EZ Color EC3281 Blanco Brillo 1,22 x 45,7m</v>
      </c>
      <c r="C3763">
        <v>23</v>
      </c>
      <c r="D3763" t="s">
        <v>90</v>
      </c>
      <c r="E3763" t="str">
        <f>VLOOKUP(Tabla1[[#This Row],[Cód. Atributo]],[1]!Tabla5[#Data],6,FALSE)</f>
        <v>Select</v>
      </c>
      <c r="F3763">
        <v>3</v>
      </c>
      <c r="G3763">
        <v>2</v>
      </c>
      <c r="H3763" t="s">
        <v>136</v>
      </c>
      <c r="I3763" t="str">
        <f>VLOOKUP(Tabla1[[#This Row],[Code]],'[1]Articulos Precio'!$A:$E,5,FALSE)</f>
        <v>A0002671</v>
      </c>
    </row>
    <row r="3764" spans="1:9" x14ac:dyDescent="0.25">
      <c r="A3764" t="s">
        <v>1349</v>
      </c>
      <c r="B3764" t="str">
        <f>VLOOKUP(Tabla1[[#This Row],[Code]],[1]!Tabla4[#Data],2,FALSE)</f>
        <v>M2 Nekoosa EZ Color EC3281 Blanco Brillo 1,22 x 45,7m</v>
      </c>
      <c r="C3764">
        <v>28</v>
      </c>
      <c r="D3764" t="s">
        <v>92</v>
      </c>
      <c r="E3764" t="str">
        <f>VLOOKUP(Tabla1[[#This Row],[Cód. Atributo]],[1]!Tabla5[#Data],6,FALSE)</f>
        <v>Select</v>
      </c>
      <c r="F3764">
        <v>4</v>
      </c>
      <c r="G3764">
        <v>1</v>
      </c>
      <c r="H3764" t="s">
        <v>93</v>
      </c>
      <c r="I3764" t="str">
        <f>VLOOKUP(Tabla1[[#This Row],[Code]],'[1]Articulos Precio'!$A:$E,5,FALSE)</f>
        <v>A0002671</v>
      </c>
    </row>
    <row r="3765" spans="1:9" x14ac:dyDescent="0.25">
      <c r="A3765" t="s">
        <v>1349</v>
      </c>
      <c r="B3765" t="str">
        <f>VLOOKUP(Tabla1[[#This Row],[Code]],[1]!Tabla4[#Data],2,FALSE)</f>
        <v>M2 Nekoosa EZ Color EC3281 Blanco Brillo 1,22 x 45,7m</v>
      </c>
      <c r="C3765">
        <v>25</v>
      </c>
      <c r="D3765" t="s">
        <v>94</v>
      </c>
      <c r="E3765" t="str">
        <f>VLOOKUP(Tabla1[[#This Row],[Cód. Atributo]],[1]!Tabla5[#Data],6,FALSE)</f>
        <v>Select</v>
      </c>
      <c r="F3765">
        <v>5</v>
      </c>
      <c r="G3765">
        <v>7</v>
      </c>
      <c r="H3765" t="s">
        <v>1321</v>
      </c>
      <c r="I3765" t="str">
        <f>VLOOKUP(Tabla1[[#This Row],[Code]],'[1]Articulos Precio'!$A:$E,5,FALSE)</f>
        <v>A0002671</v>
      </c>
    </row>
    <row r="3766" spans="1:9" x14ac:dyDescent="0.25">
      <c r="A3766" t="s">
        <v>1349</v>
      </c>
      <c r="B3766" t="str">
        <f>VLOOKUP(Tabla1[[#This Row],[Code]],[1]!Tabla4[#Data],2,FALSE)</f>
        <v>M2 Nekoosa EZ Color EC3281 Blanco Brillo 1,22 x 45,7m</v>
      </c>
      <c r="C3766">
        <v>24</v>
      </c>
      <c r="D3766" t="s">
        <v>96</v>
      </c>
      <c r="E3766" t="str">
        <f>VLOOKUP(Tabla1[[#This Row],[Cód. Atributo]],[1]!Tabla5[#Data],6,FALSE)</f>
        <v>Select</v>
      </c>
      <c r="F3766">
        <v>6</v>
      </c>
      <c r="G3766">
        <v>2</v>
      </c>
      <c r="H3766" t="s">
        <v>266</v>
      </c>
      <c r="I3766" t="str">
        <f>VLOOKUP(Tabla1[[#This Row],[Code]],'[1]Articulos Precio'!$A:$E,5,FALSE)</f>
        <v>A0002671</v>
      </c>
    </row>
    <row r="3767" spans="1:9" x14ac:dyDescent="0.25">
      <c r="A3767" t="s">
        <v>1349</v>
      </c>
      <c r="B3767" t="str">
        <f>VLOOKUP(Tabla1[[#This Row],[Code]],[1]!Tabla4[#Data],2,FALSE)</f>
        <v>M2 Nekoosa EZ Color EC3281 Blanco Brillo 1,22 x 45,7m</v>
      </c>
      <c r="C3767">
        <v>31</v>
      </c>
      <c r="D3767" t="s">
        <v>114</v>
      </c>
      <c r="E3767" t="str">
        <f>VLOOKUP(Tabla1[[#This Row],[Cód. Atributo]],[1]!Tabla5[#Data],6,FALSE)</f>
        <v>Select</v>
      </c>
      <c r="F3767">
        <v>7</v>
      </c>
      <c r="G3767">
        <v>14</v>
      </c>
      <c r="H3767" t="s">
        <v>1322</v>
      </c>
      <c r="I3767" t="str">
        <f>VLOOKUP(Tabla1[[#This Row],[Code]],'[1]Articulos Precio'!$A:$E,5,FALSE)</f>
        <v>A0002671</v>
      </c>
    </row>
    <row r="3768" spans="1:9" x14ac:dyDescent="0.25">
      <c r="A3768" t="s">
        <v>1351</v>
      </c>
      <c r="B3768" t="str">
        <f>VLOOKUP(Tabla1[[#This Row],[Code]],[1]!Tabla4[#Data],2,FALSE)</f>
        <v>M2 Nekoosa EZ Color EC3477 Oro Mate 0,61 x 45,7m</v>
      </c>
      <c r="C3768">
        <v>8</v>
      </c>
      <c r="D3768" t="s">
        <v>86</v>
      </c>
      <c r="E3768" t="str">
        <f>VLOOKUP(Tabla1[[#This Row],[Cód. Atributo]],[1]!Tabla5[#Data],6,FALSE)</f>
        <v>Select</v>
      </c>
      <c r="F3768">
        <v>1</v>
      </c>
      <c r="G3768">
        <v>1</v>
      </c>
      <c r="H3768" t="s">
        <v>263</v>
      </c>
      <c r="I3768" t="str">
        <f>VLOOKUP(Tabla1[[#This Row],[Code]],'[1]Articulos Precio'!$A:$E,5,FALSE)</f>
        <v>A0002670</v>
      </c>
    </row>
    <row r="3769" spans="1:9" x14ac:dyDescent="0.25">
      <c r="A3769" t="s">
        <v>1351</v>
      </c>
      <c r="B3769" t="str">
        <f>VLOOKUP(Tabla1[[#This Row],[Code]],[1]!Tabla4[#Data],2,FALSE)</f>
        <v>M2 Nekoosa EZ Color EC3477 Oro Mate 0,61 x 45,7m</v>
      </c>
      <c r="C3769">
        <v>51</v>
      </c>
      <c r="D3769" t="s">
        <v>1319</v>
      </c>
      <c r="E3769" t="str">
        <f>VLOOKUP(Tabla1[[#This Row],[Cód. Atributo]],[1]!Tabla5[#Data],6,FALSE)</f>
        <v>Select</v>
      </c>
      <c r="F3769">
        <v>2</v>
      </c>
      <c r="G3769">
        <v>6</v>
      </c>
      <c r="H3769" t="s">
        <v>1352</v>
      </c>
      <c r="I3769" t="str">
        <f>VLOOKUP(Tabla1[[#This Row],[Code]],'[1]Articulos Precio'!$A:$E,5,FALSE)</f>
        <v>A0002670</v>
      </c>
    </row>
    <row r="3770" spans="1:9" x14ac:dyDescent="0.25">
      <c r="A3770" t="s">
        <v>1351</v>
      </c>
      <c r="B3770" t="str">
        <f>VLOOKUP(Tabla1[[#This Row],[Code]],[1]!Tabla4[#Data],2,FALSE)</f>
        <v>M2 Nekoosa EZ Color EC3477 Oro Mate 0,61 x 45,7m</v>
      </c>
      <c r="C3770">
        <v>23</v>
      </c>
      <c r="D3770" t="s">
        <v>90</v>
      </c>
      <c r="E3770" t="str">
        <f>VLOOKUP(Tabla1[[#This Row],[Cód. Atributo]],[1]!Tabla5[#Data],6,FALSE)</f>
        <v>Select</v>
      </c>
      <c r="F3770">
        <v>3</v>
      </c>
      <c r="G3770">
        <v>2</v>
      </c>
      <c r="H3770" t="s">
        <v>136</v>
      </c>
      <c r="I3770" t="str">
        <f>VLOOKUP(Tabla1[[#This Row],[Code]],'[1]Articulos Precio'!$A:$E,5,FALSE)</f>
        <v>A0002670</v>
      </c>
    </row>
    <row r="3771" spans="1:9" x14ac:dyDescent="0.25">
      <c r="A3771" t="s">
        <v>1351</v>
      </c>
      <c r="B3771" t="str">
        <f>VLOOKUP(Tabla1[[#This Row],[Code]],[1]!Tabla4[#Data],2,FALSE)</f>
        <v>M2 Nekoosa EZ Color EC3477 Oro Mate 0,61 x 45,7m</v>
      </c>
      <c r="C3771">
        <v>28</v>
      </c>
      <c r="D3771" t="s">
        <v>92</v>
      </c>
      <c r="E3771" t="str">
        <f>VLOOKUP(Tabla1[[#This Row],[Cód. Atributo]],[1]!Tabla5[#Data],6,FALSE)</f>
        <v>Select</v>
      </c>
      <c r="F3771">
        <v>4</v>
      </c>
      <c r="G3771">
        <v>2</v>
      </c>
      <c r="H3771" t="s">
        <v>102</v>
      </c>
      <c r="I3771" t="str">
        <f>VLOOKUP(Tabla1[[#This Row],[Code]],'[1]Articulos Precio'!$A:$E,5,FALSE)</f>
        <v>A0002670</v>
      </c>
    </row>
    <row r="3772" spans="1:9" x14ac:dyDescent="0.25">
      <c r="A3772" t="s">
        <v>1351</v>
      </c>
      <c r="B3772" t="str">
        <f>VLOOKUP(Tabla1[[#This Row],[Code]],[1]!Tabla4[#Data],2,FALSE)</f>
        <v>M2 Nekoosa EZ Color EC3477 Oro Mate 0,61 x 45,7m</v>
      </c>
      <c r="C3772">
        <v>25</v>
      </c>
      <c r="D3772" t="s">
        <v>94</v>
      </c>
      <c r="E3772" t="str">
        <f>VLOOKUP(Tabla1[[#This Row],[Cód. Atributo]],[1]!Tabla5[#Data],6,FALSE)</f>
        <v>Select</v>
      </c>
      <c r="F3772">
        <v>5</v>
      </c>
      <c r="G3772">
        <v>7</v>
      </c>
      <c r="H3772" t="s">
        <v>1321</v>
      </c>
      <c r="I3772" t="str">
        <f>VLOOKUP(Tabla1[[#This Row],[Code]],'[1]Articulos Precio'!$A:$E,5,FALSE)</f>
        <v>A0002670</v>
      </c>
    </row>
    <row r="3773" spans="1:9" x14ac:dyDescent="0.25">
      <c r="A3773" t="s">
        <v>1351</v>
      </c>
      <c r="B3773" t="str">
        <f>VLOOKUP(Tabla1[[#This Row],[Code]],[1]!Tabla4[#Data],2,FALSE)</f>
        <v>M2 Nekoosa EZ Color EC3477 Oro Mate 0,61 x 45,7m</v>
      </c>
      <c r="C3773">
        <v>24</v>
      </c>
      <c r="D3773" t="s">
        <v>96</v>
      </c>
      <c r="E3773" t="str">
        <f>VLOOKUP(Tabla1[[#This Row],[Cód. Atributo]],[1]!Tabla5[#Data],6,FALSE)</f>
        <v>Select</v>
      </c>
      <c r="F3773">
        <v>6</v>
      </c>
      <c r="G3773">
        <v>2</v>
      </c>
      <c r="H3773" t="s">
        <v>266</v>
      </c>
      <c r="I3773" t="str">
        <f>VLOOKUP(Tabla1[[#This Row],[Code]],'[1]Articulos Precio'!$A:$E,5,FALSE)</f>
        <v>A0002670</v>
      </c>
    </row>
    <row r="3774" spans="1:9" x14ac:dyDescent="0.25">
      <c r="A3774" t="s">
        <v>1351</v>
      </c>
      <c r="B3774" t="str">
        <f>VLOOKUP(Tabla1[[#This Row],[Code]],[1]!Tabla4[#Data],2,FALSE)</f>
        <v>M2 Nekoosa EZ Color EC3477 Oro Mate 0,61 x 45,7m</v>
      </c>
      <c r="C3774">
        <v>31</v>
      </c>
      <c r="D3774" t="s">
        <v>114</v>
      </c>
      <c r="E3774" t="str">
        <f>VLOOKUP(Tabla1[[#This Row],[Cód. Atributo]],[1]!Tabla5[#Data],6,FALSE)</f>
        <v>Select</v>
      </c>
      <c r="F3774">
        <v>7</v>
      </c>
      <c r="G3774">
        <v>14</v>
      </c>
      <c r="H3774" t="s">
        <v>1322</v>
      </c>
      <c r="I3774" t="str">
        <f>VLOOKUP(Tabla1[[#This Row],[Code]],'[1]Articulos Precio'!$A:$E,5,FALSE)</f>
        <v>A0002670</v>
      </c>
    </row>
    <row r="3775" spans="1:9" x14ac:dyDescent="0.25">
      <c r="A3775" t="s">
        <v>1353</v>
      </c>
      <c r="B3775" t="str">
        <f>VLOOKUP(Tabla1[[#This Row],[Code]],[1]!Tabla4[#Data],2,FALSE)</f>
        <v>M2 Nekoosa EZ Color EC3477 Oro Mate 1,22 x 45,7m</v>
      </c>
      <c r="C3775">
        <v>8</v>
      </c>
      <c r="D3775" t="s">
        <v>86</v>
      </c>
      <c r="E3775" t="str">
        <f>VLOOKUP(Tabla1[[#This Row],[Cód. Atributo]],[1]!Tabla5[#Data],6,FALSE)</f>
        <v>Select</v>
      </c>
      <c r="F3775">
        <v>1</v>
      </c>
      <c r="G3775">
        <v>2</v>
      </c>
      <c r="H3775" t="s">
        <v>268</v>
      </c>
      <c r="I3775" t="str">
        <f>VLOOKUP(Tabla1[[#This Row],[Code]],'[1]Articulos Precio'!$A:$E,5,FALSE)</f>
        <v>A0002670</v>
      </c>
    </row>
    <row r="3776" spans="1:9" x14ac:dyDescent="0.25">
      <c r="A3776" t="s">
        <v>1353</v>
      </c>
      <c r="B3776" t="str">
        <f>VLOOKUP(Tabla1[[#This Row],[Code]],[1]!Tabla4[#Data],2,FALSE)</f>
        <v>M2 Nekoosa EZ Color EC3477 Oro Mate 1,22 x 45,7m</v>
      </c>
      <c r="C3776">
        <v>51</v>
      </c>
      <c r="D3776" t="s">
        <v>1319</v>
      </c>
      <c r="E3776" t="str">
        <f>VLOOKUP(Tabla1[[#This Row],[Cód. Atributo]],[1]!Tabla5[#Data],6,FALSE)</f>
        <v>Select</v>
      </c>
      <c r="F3776">
        <v>2</v>
      </c>
      <c r="G3776">
        <v>6</v>
      </c>
      <c r="H3776" t="s">
        <v>1352</v>
      </c>
      <c r="I3776" t="str">
        <f>VLOOKUP(Tabla1[[#This Row],[Code]],'[1]Articulos Precio'!$A:$E,5,FALSE)</f>
        <v>A0002670</v>
      </c>
    </row>
    <row r="3777" spans="1:9" x14ac:dyDescent="0.25">
      <c r="A3777" t="s">
        <v>1353</v>
      </c>
      <c r="B3777" t="str">
        <f>VLOOKUP(Tabla1[[#This Row],[Code]],[1]!Tabla4[#Data],2,FALSE)</f>
        <v>M2 Nekoosa EZ Color EC3477 Oro Mate 1,22 x 45,7m</v>
      </c>
      <c r="C3777">
        <v>23</v>
      </c>
      <c r="D3777" t="s">
        <v>90</v>
      </c>
      <c r="E3777" t="str">
        <f>VLOOKUP(Tabla1[[#This Row],[Cód. Atributo]],[1]!Tabla5[#Data],6,FALSE)</f>
        <v>Select</v>
      </c>
      <c r="F3777">
        <v>3</v>
      </c>
      <c r="G3777">
        <v>2</v>
      </c>
      <c r="H3777" t="s">
        <v>136</v>
      </c>
      <c r="I3777" t="str">
        <f>VLOOKUP(Tabla1[[#This Row],[Code]],'[1]Articulos Precio'!$A:$E,5,FALSE)</f>
        <v>A0002670</v>
      </c>
    </row>
    <row r="3778" spans="1:9" x14ac:dyDescent="0.25">
      <c r="A3778" t="s">
        <v>1353</v>
      </c>
      <c r="B3778" t="str">
        <f>VLOOKUP(Tabla1[[#This Row],[Code]],[1]!Tabla4[#Data],2,FALSE)</f>
        <v>M2 Nekoosa EZ Color EC3477 Oro Mate 1,22 x 45,7m</v>
      </c>
      <c r="C3778">
        <v>28</v>
      </c>
      <c r="D3778" t="s">
        <v>92</v>
      </c>
      <c r="E3778" t="str">
        <f>VLOOKUP(Tabla1[[#This Row],[Cód. Atributo]],[1]!Tabla5[#Data],6,FALSE)</f>
        <v>Select</v>
      </c>
      <c r="F3778">
        <v>4</v>
      </c>
      <c r="G3778">
        <v>2</v>
      </c>
      <c r="H3778" t="s">
        <v>102</v>
      </c>
      <c r="I3778" t="str">
        <f>VLOOKUP(Tabla1[[#This Row],[Code]],'[1]Articulos Precio'!$A:$E,5,FALSE)</f>
        <v>A0002670</v>
      </c>
    </row>
    <row r="3779" spans="1:9" x14ac:dyDescent="0.25">
      <c r="A3779" t="s">
        <v>1353</v>
      </c>
      <c r="B3779" t="str">
        <f>VLOOKUP(Tabla1[[#This Row],[Code]],[1]!Tabla4[#Data],2,FALSE)</f>
        <v>M2 Nekoosa EZ Color EC3477 Oro Mate 1,22 x 45,7m</v>
      </c>
      <c r="C3779">
        <v>25</v>
      </c>
      <c r="D3779" t="s">
        <v>94</v>
      </c>
      <c r="E3779" t="str">
        <f>VLOOKUP(Tabla1[[#This Row],[Cód. Atributo]],[1]!Tabla5[#Data],6,FALSE)</f>
        <v>Select</v>
      </c>
      <c r="F3779">
        <v>5</v>
      </c>
      <c r="G3779">
        <v>7</v>
      </c>
      <c r="H3779" t="s">
        <v>1321</v>
      </c>
      <c r="I3779" t="str">
        <f>VLOOKUP(Tabla1[[#This Row],[Code]],'[1]Articulos Precio'!$A:$E,5,FALSE)</f>
        <v>A0002670</v>
      </c>
    </row>
    <row r="3780" spans="1:9" x14ac:dyDescent="0.25">
      <c r="A3780" t="s">
        <v>1353</v>
      </c>
      <c r="B3780" t="str">
        <f>VLOOKUP(Tabla1[[#This Row],[Code]],[1]!Tabla4[#Data],2,FALSE)</f>
        <v>M2 Nekoosa EZ Color EC3477 Oro Mate 1,22 x 45,7m</v>
      </c>
      <c r="C3780">
        <v>24</v>
      </c>
      <c r="D3780" t="s">
        <v>96</v>
      </c>
      <c r="E3780" t="str">
        <f>VLOOKUP(Tabla1[[#This Row],[Cód. Atributo]],[1]!Tabla5[#Data],6,FALSE)</f>
        <v>Select</v>
      </c>
      <c r="F3780">
        <v>6</v>
      </c>
      <c r="G3780">
        <v>2</v>
      </c>
      <c r="H3780" t="s">
        <v>266</v>
      </c>
      <c r="I3780" t="str">
        <f>VLOOKUP(Tabla1[[#This Row],[Code]],'[1]Articulos Precio'!$A:$E,5,FALSE)</f>
        <v>A0002670</v>
      </c>
    </row>
    <row r="3781" spans="1:9" x14ac:dyDescent="0.25">
      <c r="A3781" t="s">
        <v>1353</v>
      </c>
      <c r="B3781" t="str">
        <f>VLOOKUP(Tabla1[[#This Row],[Code]],[1]!Tabla4[#Data],2,FALSE)</f>
        <v>M2 Nekoosa EZ Color EC3477 Oro Mate 1,22 x 45,7m</v>
      </c>
      <c r="C3781">
        <v>31</v>
      </c>
      <c r="D3781" t="s">
        <v>114</v>
      </c>
      <c r="E3781" t="str">
        <f>VLOOKUP(Tabla1[[#This Row],[Cód. Atributo]],[1]!Tabla5[#Data],6,FALSE)</f>
        <v>Select</v>
      </c>
      <c r="F3781">
        <v>7</v>
      </c>
      <c r="G3781">
        <v>14</v>
      </c>
      <c r="H3781" t="s">
        <v>1322</v>
      </c>
      <c r="I3781" t="str">
        <f>VLOOKUP(Tabla1[[#This Row],[Code]],'[1]Articulos Precio'!$A:$E,5,FALSE)</f>
        <v>A0002670</v>
      </c>
    </row>
    <row r="3782" spans="1:9" x14ac:dyDescent="0.25">
      <c r="A3782" t="s">
        <v>1354</v>
      </c>
      <c r="B3782" t="str">
        <f>VLOOKUP(Tabla1[[#This Row],[Code]],[1]!Tabla4[#Data],2,FALSE)</f>
        <v>M2 Nekoosa EZ Color EC3745 Negro Brillo 0,61 x 45,7m</v>
      </c>
      <c r="C3782">
        <v>8</v>
      </c>
      <c r="D3782" t="s">
        <v>86</v>
      </c>
      <c r="E3782" t="str">
        <f>VLOOKUP(Tabla1[[#This Row],[Cód. Atributo]],[1]!Tabla5[#Data],6,FALSE)</f>
        <v>Select</v>
      </c>
      <c r="F3782">
        <v>1</v>
      </c>
      <c r="G3782">
        <v>1</v>
      </c>
      <c r="H3782" t="s">
        <v>263</v>
      </c>
      <c r="I3782" t="str">
        <f>VLOOKUP(Tabla1[[#This Row],[Code]],'[1]Articulos Precio'!$A:$E,5,FALSE)</f>
        <v>A0002671</v>
      </c>
    </row>
    <row r="3783" spans="1:9" x14ac:dyDescent="0.25">
      <c r="A3783" t="s">
        <v>1354</v>
      </c>
      <c r="B3783" t="str">
        <f>VLOOKUP(Tabla1[[#This Row],[Code]],[1]!Tabla4[#Data],2,FALSE)</f>
        <v>M2 Nekoosa EZ Color EC3745 Negro Brillo 0,61 x 45,7m</v>
      </c>
      <c r="C3783">
        <v>52</v>
      </c>
      <c r="D3783" t="s">
        <v>1325</v>
      </c>
      <c r="E3783" t="str">
        <f>VLOOKUP(Tabla1[[#This Row],[Cód. Atributo]],[1]!Tabla5[#Data],6,FALSE)</f>
        <v>Select</v>
      </c>
      <c r="F3783">
        <v>2</v>
      </c>
      <c r="G3783">
        <v>6</v>
      </c>
      <c r="H3783" t="s">
        <v>1326</v>
      </c>
      <c r="I3783" t="str">
        <f>VLOOKUP(Tabla1[[#This Row],[Code]],'[1]Articulos Precio'!$A:$E,5,FALSE)</f>
        <v>A0002671</v>
      </c>
    </row>
    <row r="3784" spans="1:9" x14ac:dyDescent="0.25">
      <c r="A3784" t="s">
        <v>1354</v>
      </c>
      <c r="B3784" t="str">
        <f>VLOOKUP(Tabla1[[#This Row],[Code]],[1]!Tabla4[#Data],2,FALSE)</f>
        <v>M2 Nekoosa EZ Color EC3745 Negro Brillo 0,61 x 45,7m</v>
      </c>
      <c r="C3784">
        <v>23</v>
      </c>
      <c r="D3784" t="s">
        <v>90</v>
      </c>
      <c r="E3784" t="str">
        <f>VLOOKUP(Tabla1[[#This Row],[Cód. Atributo]],[1]!Tabla5[#Data],6,FALSE)</f>
        <v>Select</v>
      </c>
      <c r="F3784">
        <v>3</v>
      </c>
      <c r="G3784">
        <v>2</v>
      </c>
      <c r="H3784" t="s">
        <v>136</v>
      </c>
      <c r="I3784" t="str">
        <f>VLOOKUP(Tabla1[[#This Row],[Code]],'[1]Articulos Precio'!$A:$E,5,FALSE)</f>
        <v>A0002671</v>
      </c>
    </row>
    <row r="3785" spans="1:9" x14ac:dyDescent="0.25">
      <c r="A3785" t="s">
        <v>1354</v>
      </c>
      <c r="B3785" t="str">
        <f>VLOOKUP(Tabla1[[#This Row],[Code]],[1]!Tabla4[#Data],2,FALSE)</f>
        <v>M2 Nekoosa EZ Color EC3745 Negro Brillo 0,61 x 45,7m</v>
      </c>
      <c r="C3785">
        <v>28</v>
      </c>
      <c r="D3785" t="s">
        <v>92</v>
      </c>
      <c r="E3785" t="str">
        <f>VLOOKUP(Tabla1[[#This Row],[Cód. Atributo]],[1]!Tabla5[#Data],6,FALSE)</f>
        <v>Select</v>
      </c>
      <c r="F3785">
        <v>4</v>
      </c>
      <c r="G3785">
        <v>1</v>
      </c>
      <c r="H3785" t="s">
        <v>93</v>
      </c>
      <c r="I3785" t="str">
        <f>VLOOKUP(Tabla1[[#This Row],[Code]],'[1]Articulos Precio'!$A:$E,5,FALSE)</f>
        <v>A0002671</v>
      </c>
    </row>
    <row r="3786" spans="1:9" x14ac:dyDescent="0.25">
      <c r="A3786" t="s">
        <v>1354</v>
      </c>
      <c r="B3786" t="str">
        <f>VLOOKUP(Tabla1[[#This Row],[Code]],[1]!Tabla4[#Data],2,FALSE)</f>
        <v>M2 Nekoosa EZ Color EC3745 Negro Brillo 0,61 x 45,7m</v>
      </c>
      <c r="C3786">
        <v>25</v>
      </c>
      <c r="D3786" t="s">
        <v>94</v>
      </c>
      <c r="E3786" t="str">
        <f>VLOOKUP(Tabla1[[#This Row],[Cód. Atributo]],[1]!Tabla5[#Data],6,FALSE)</f>
        <v>Select</v>
      </c>
      <c r="F3786">
        <v>5</v>
      </c>
      <c r="G3786">
        <v>7</v>
      </c>
      <c r="H3786" t="s">
        <v>1321</v>
      </c>
      <c r="I3786" t="str">
        <f>VLOOKUP(Tabla1[[#This Row],[Code]],'[1]Articulos Precio'!$A:$E,5,FALSE)</f>
        <v>A0002671</v>
      </c>
    </row>
    <row r="3787" spans="1:9" x14ac:dyDescent="0.25">
      <c r="A3787" t="s">
        <v>1354</v>
      </c>
      <c r="B3787" t="str">
        <f>VLOOKUP(Tabla1[[#This Row],[Code]],[1]!Tabla4[#Data],2,FALSE)</f>
        <v>M2 Nekoosa EZ Color EC3745 Negro Brillo 0,61 x 45,7m</v>
      </c>
      <c r="C3787">
        <v>24</v>
      </c>
      <c r="D3787" t="s">
        <v>96</v>
      </c>
      <c r="E3787" t="str">
        <f>VLOOKUP(Tabla1[[#This Row],[Cód. Atributo]],[1]!Tabla5[#Data],6,FALSE)</f>
        <v>Select</v>
      </c>
      <c r="F3787">
        <v>6</v>
      </c>
      <c r="G3787">
        <v>2</v>
      </c>
      <c r="H3787" t="s">
        <v>266</v>
      </c>
      <c r="I3787" t="str">
        <f>VLOOKUP(Tabla1[[#This Row],[Code]],'[1]Articulos Precio'!$A:$E,5,FALSE)</f>
        <v>A0002671</v>
      </c>
    </row>
    <row r="3788" spans="1:9" x14ac:dyDescent="0.25">
      <c r="A3788" t="s">
        <v>1354</v>
      </c>
      <c r="B3788" t="str">
        <f>VLOOKUP(Tabla1[[#This Row],[Code]],[1]!Tabla4[#Data],2,FALSE)</f>
        <v>M2 Nekoosa EZ Color EC3745 Negro Brillo 0,61 x 45,7m</v>
      </c>
      <c r="C3788">
        <v>31</v>
      </c>
      <c r="D3788" t="s">
        <v>114</v>
      </c>
      <c r="E3788" t="str">
        <f>VLOOKUP(Tabla1[[#This Row],[Cód. Atributo]],[1]!Tabla5[#Data],6,FALSE)</f>
        <v>Select</v>
      </c>
      <c r="F3788">
        <v>7</v>
      </c>
      <c r="G3788">
        <v>14</v>
      </c>
      <c r="H3788" t="s">
        <v>1322</v>
      </c>
      <c r="I3788" t="str">
        <f>VLOOKUP(Tabla1[[#This Row],[Code]],'[1]Articulos Precio'!$A:$E,5,FALSE)</f>
        <v>A0002671</v>
      </c>
    </row>
    <row r="3789" spans="1:9" x14ac:dyDescent="0.25">
      <c r="A3789" t="s">
        <v>1355</v>
      </c>
      <c r="B3789" t="str">
        <f>VLOOKUP(Tabla1[[#This Row],[Code]],[1]!Tabla4[#Data],2,FALSE)</f>
        <v>M2 Nekoosa EZ Color EC3745 Negro Brillo 1,22 x 45,7m</v>
      </c>
      <c r="C3789">
        <v>8</v>
      </c>
      <c r="D3789" t="s">
        <v>86</v>
      </c>
      <c r="E3789" t="str">
        <f>VLOOKUP(Tabla1[[#This Row],[Cód. Atributo]],[1]!Tabla5[#Data],6,FALSE)</f>
        <v>Select</v>
      </c>
      <c r="F3789">
        <v>1</v>
      </c>
      <c r="G3789">
        <v>2</v>
      </c>
      <c r="H3789" t="s">
        <v>268</v>
      </c>
      <c r="I3789" t="str">
        <f>VLOOKUP(Tabla1[[#This Row],[Code]],'[1]Articulos Precio'!$A:$E,5,FALSE)</f>
        <v>A0002671</v>
      </c>
    </row>
    <row r="3790" spans="1:9" x14ac:dyDescent="0.25">
      <c r="A3790" t="s">
        <v>1355</v>
      </c>
      <c r="B3790" t="str">
        <f>VLOOKUP(Tabla1[[#This Row],[Code]],[1]!Tabla4[#Data],2,FALSE)</f>
        <v>M2 Nekoosa EZ Color EC3745 Negro Brillo 1,22 x 45,7m</v>
      </c>
      <c r="C3790">
        <v>52</v>
      </c>
      <c r="D3790" t="s">
        <v>1325</v>
      </c>
      <c r="E3790" t="str">
        <f>VLOOKUP(Tabla1[[#This Row],[Cód. Atributo]],[1]!Tabla5[#Data],6,FALSE)</f>
        <v>Select</v>
      </c>
      <c r="F3790">
        <v>2</v>
      </c>
      <c r="G3790">
        <v>6</v>
      </c>
      <c r="H3790" t="s">
        <v>1326</v>
      </c>
      <c r="I3790" t="str">
        <f>VLOOKUP(Tabla1[[#This Row],[Code]],'[1]Articulos Precio'!$A:$E,5,FALSE)</f>
        <v>A0002671</v>
      </c>
    </row>
    <row r="3791" spans="1:9" x14ac:dyDescent="0.25">
      <c r="A3791" t="s">
        <v>1355</v>
      </c>
      <c r="B3791" t="str">
        <f>VLOOKUP(Tabla1[[#This Row],[Code]],[1]!Tabla4[#Data],2,FALSE)</f>
        <v>M2 Nekoosa EZ Color EC3745 Negro Brillo 1,22 x 45,7m</v>
      </c>
      <c r="C3791">
        <v>23</v>
      </c>
      <c r="D3791" t="s">
        <v>90</v>
      </c>
      <c r="E3791" t="str">
        <f>VLOOKUP(Tabla1[[#This Row],[Cód. Atributo]],[1]!Tabla5[#Data],6,FALSE)</f>
        <v>Select</v>
      </c>
      <c r="F3791">
        <v>3</v>
      </c>
      <c r="G3791">
        <v>2</v>
      </c>
      <c r="H3791" t="s">
        <v>136</v>
      </c>
      <c r="I3791" t="str">
        <f>VLOOKUP(Tabla1[[#This Row],[Code]],'[1]Articulos Precio'!$A:$E,5,FALSE)</f>
        <v>A0002671</v>
      </c>
    </row>
    <row r="3792" spans="1:9" x14ac:dyDescent="0.25">
      <c r="A3792" t="s">
        <v>1355</v>
      </c>
      <c r="B3792" t="str">
        <f>VLOOKUP(Tabla1[[#This Row],[Code]],[1]!Tabla4[#Data],2,FALSE)</f>
        <v>M2 Nekoosa EZ Color EC3745 Negro Brillo 1,22 x 45,7m</v>
      </c>
      <c r="C3792">
        <v>28</v>
      </c>
      <c r="D3792" t="s">
        <v>92</v>
      </c>
      <c r="E3792" t="str">
        <f>VLOOKUP(Tabla1[[#This Row],[Cód. Atributo]],[1]!Tabla5[#Data],6,FALSE)</f>
        <v>Select</v>
      </c>
      <c r="F3792">
        <v>4</v>
      </c>
      <c r="G3792">
        <v>1</v>
      </c>
      <c r="H3792" t="s">
        <v>93</v>
      </c>
      <c r="I3792" t="str">
        <f>VLOOKUP(Tabla1[[#This Row],[Code]],'[1]Articulos Precio'!$A:$E,5,FALSE)</f>
        <v>A0002671</v>
      </c>
    </row>
    <row r="3793" spans="1:9" x14ac:dyDescent="0.25">
      <c r="A3793" t="s">
        <v>1355</v>
      </c>
      <c r="B3793" t="str">
        <f>VLOOKUP(Tabla1[[#This Row],[Code]],[1]!Tabla4[#Data],2,FALSE)</f>
        <v>M2 Nekoosa EZ Color EC3745 Negro Brillo 1,22 x 45,7m</v>
      </c>
      <c r="C3793">
        <v>25</v>
      </c>
      <c r="D3793" t="s">
        <v>94</v>
      </c>
      <c r="E3793" t="str">
        <f>VLOOKUP(Tabla1[[#This Row],[Cód. Atributo]],[1]!Tabla5[#Data],6,FALSE)</f>
        <v>Select</v>
      </c>
      <c r="F3793">
        <v>5</v>
      </c>
      <c r="G3793">
        <v>7</v>
      </c>
      <c r="H3793" t="s">
        <v>1321</v>
      </c>
      <c r="I3793" t="str">
        <f>VLOOKUP(Tabla1[[#This Row],[Code]],'[1]Articulos Precio'!$A:$E,5,FALSE)</f>
        <v>A0002671</v>
      </c>
    </row>
    <row r="3794" spans="1:9" x14ac:dyDescent="0.25">
      <c r="A3794" t="s">
        <v>1355</v>
      </c>
      <c r="B3794" t="str">
        <f>VLOOKUP(Tabla1[[#This Row],[Code]],[1]!Tabla4[#Data],2,FALSE)</f>
        <v>M2 Nekoosa EZ Color EC3745 Negro Brillo 1,22 x 45,7m</v>
      </c>
      <c r="C3794">
        <v>24</v>
      </c>
      <c r="D3794" t="s">
        <v>96</v>
      </c>
      <c r="E3794" t="str">
        <f>VLOOKUP(Tabla1[[#This Row],[Cód. Atributo]],[1]!Tabla5[#Data],6,FALSE)</f>
        <v>Select</v>
      </c>
      <c r="F3794">
        <v>6</v>
      </c>
      <c r="G3794">
        <v>2</v>
      </c>
      <c r="H3794" t="s">
        <v>266</v>
      </c>
      <c r="I3794" t="str">
        <f>VLOOKUP(Tabla1[[#This Row],[Code]],'[1]Articulos Precio'!$A:$E,5,FALSE)</f>
        <v>A0002671</v>
      </c>
    </row>
    <row r="3795" spans="1:9" x14ac:dyDescent="0.25">
      <c r="A3795" t="s">
        <v>1355</v>
      </c>
      <c r="B3795" t="str">
        <f>VLOOKUP(Tabla1[[#This Row],[Code]],[1]!Tabla4[#Data],2,FALSE)</f>
        <v>M2 Nekoosa EZ Color EC3745 Negro Brillo 1,22 x 45,7m</v>
      </c>
      <c r="C3795">
        <v>31</v>
      </c>
      <c r="D3795" t="s">
        <v>114</v>
      </c>
      <c r="E3795" t="str">
        <f>VLOOKUP(Tabla1[[#This Row],[Cód. Atributo]],[1]!Tabla5[#Data],6,FALSE)</f>
        <v>Select</v>
      </c>
      <c r="F3795">
        <v>7</v>
      </c>
      <c r="G3795">
        <v>14</v>
      </c>
      <c r="H3795" t="s">
        <v>1322</v>
      </c>
      <c r="I3795" t="str">
        <f>VLOOKUP(Tabla1[[#This Row],[Code]],'[1]Articulos Precio'!$A:$E,5,FALSE)</f>
        <v>A0002671</v>
      </c>
    </row>
    <row r="3796" spans="1:9" x14ac:dyDescent="0.25">
      <c r="A3796" t="s">
        <v>1356</v>
      </c>
      <c r="B3796" t="str">
        <f>VLOOKUP(Tabla1[[#This Row],[Code]],[1]!Tabla4[#Data],2,FALSE)</f>
        <v>M2 Nekoosa EZ Color EC4267 Amarillo Girasol Brillo 0,61 x 45,7m</v>
      </c>
      <c r="C3796">
        <v>8</v>
      </c>
      <c r="D3796" t="s">
        <v>86</v>
      </c>
      <c r="E3796" t="str">
        <f>VLOOKUP(Tabla1[[#This Row],[Cód. Atributo]],[1]!Tabla5[#Data],6,FALSE)</f>
        <v>Select</v>
      </c>
      <c r="F3796">
        <v>1</v>
      </c>
      <c r="G3796">
        <v>1</v>
      </c>
      <c r="H3796" t="s">
        <v>263</v>
      </c>
      <c r="I3796" t="str">
        <f>VLOOKUP(Tabla1[[#This Row],[Code]],'[1]Articulos Precio'!$A:$E,5,FALSE)</f>
        <v>A0002671</v>
      </c>
    </row>
    <row r="3797" spans="1:9" x14ac:dyDescent="0.25">
      <c r="A3797" t="s">
        <v>1356</v>
      </c>
      <c r="B3797" t="str">
        <f>VLOOKUP(Tabla1[[#This Row],[Code]],[1]!Tabla4[#Data],2,FALSE)</f>
        <v>M2 Nekoosa EZ Color EC4267 Amarillo Girasol Brillo 0,61 x 45,7m</v>
      </c>
      <c r="C3797">
        <v>52</v>
      </c>
      <c r="D3797" t="s">
        <v>1325</v>
      </c>
      <c r="E3797" t="str">
        <f>VLOOKUP(Tabla1[[#This Row],[Cód. Atributo]],[1]!Tabla5[#Data],6,FALSE)</f>
        <v>Select</v>
      </c>
      <c r="F3797">
        <v>2</v>
      </c>
      <c r="G3797">
        <v>1</v>
      </c>
      <c r="H3797" t="s">
        <v>1357</v>
      </c>
      <c r="I3797" t="str">
        <f>VLOOKUP(Tabla1[[#This Row],[Code]],'[1]Articulos Precio'!$A:$E,5,FALSE)</f>
        <v>A0002671</v>
      </c>
    </row>
    <row r="3798" spans="1:9" x14ac:dyDescent="0.25">
      <c r="A3798" t="s">
        <v>1356</v>
      </c>
      <c r="B3798" t="str">
        <f>VLOOKUP(Tabla1[[#This Row],[Code]],[1]!Tabla4[#Data],2,FALSE)</f>
        <v>M2 Nekoosa EZ Color EC4267 Amarillo Girasol Brillo 0,61 x 45,7m</v>
      </c>
      <c r="C3798">
        <v>23</v>
      </c>
      <c r="D3798" t="s">
        <v>90</v>
      </c>
      <c r="E3798" t="str">
        <f>VLOOKUP(Tabla1[[#This Row],[Cód. Atributo]],[1]!Tabla5[#Data],6,FALSE)</f>
        <v>Select</v>
      </c>
      <c r="F3798">
        <v>3</v>
      </c>
      <c r="G3798">
        <v>2</v>
      </c>
      <c r="H3798" t="s">
        <v>136</v>
      </c>
      <c r="I3798" t="str">
        <f>VLOOKUP(Tabla1[[#This Row],[Code]],'[1]Articulos Precio'!$A:$E,5,FALSE)</f>
        <v>A0002671</v>
      </c>
    </row>
    <row r="3799" spans="1:9" x14ac:dyDescent="0.25">
      <c r="A3799" t="s">
        <v>1356</v>
      </c>
      <c r="B3799" t="str">
        <f>VLOOKUP(Tabla1[[#This Row],[Code]],[1]!Tabla4[#Data],2,FALSE)</f>
        <v>M2 Nekoosa EZ Color EC4267 Amarillo Girasol Brillo 0,61 x 45,7m</v>
      </c>
      <c r="C3799">
        <v>28</v>
      </c>
      <c r="D3799" t="s">
        <v>92</v>
      </c>
      <c r="E3799" t="str">
        <f>VLOOKUP(Tabla1[[#This Row],[Cód. Atributo]],[1]!Tabla5[#Data],6,FALSE)</f>
        <v>Select</v>
      </c>
      <c r="F3799">
        <v>4</v>
      </c>
      <c r="G3799">
        <v>1</v>
      </c>
      <c r="H3799" t="s">
        <v>93</v>
      </c>
      <c r="I3799" t="str">
        <f>VLOOKUP(Tabla1[[#This Row],[Code]],'[1]Articulos Precio'!$A:$E,5,FALSE)</f>
        <v>A0002671</v>
      </c>
    </row>
    <row r="3800" spans="1:9" x14ac:dyDescent="0.25">
      <c r="A3800" t="s">
        <v>1356</v>
      </c>
      <c r="B3800" t="str">
        <f>VLOOKUP(Tabla1[[#This Row],[Code]],[1]!Tabla4[#Data],2,FALSE)</f>
        <v>M2 Nekoosa EZ Color EC4267 Amarillo Girasol Brillo 0,61 x 45,7m</v>
      </c>
      <c r="C3800">
        <v>25</v>
      </c>
      <c r="D3800" t="s">
        <v>94</v>
      </c>
      <c r="E3800" t="str">
        <f>VLOOKUP(Tabla1[[#This Row],[Cód. Atributo]],[1]!Tabla5[#Data],6,FALSE)</f>
        <v>Select</v>
      </c>
      <c r="F3800">
        <v>5</v>
      </c>
      <c r="G3800">
        <v>7</v>
      </c>
      <c r="H3800" t="s">
        <v>1321</v>
      </c>
      <c r="I3800" t="str">
        <f>VLOOKUP(Tabla1[[#This Row],[Code]],'[1]Articulos Precio'!$A:$E,5,FALSE)</f>
        <v>A0002671</v>
      </c>
    </row>
    <row r="3801" spans="1:9" x14ac:dyDescent="0.25">
      <c r="A3801" t="s">
        <v>1356</v>
      </c>
      <c r="B3801" t="str">
        <f>VLOOKUP(Tabla1[[#This Row],[Code]],[1]!Tabla4[#Data],2,FALSE)</f>
        <v>M2 Nekoosa EZ Color EC4267 Amarillo Girasol Brillo 0,61 x 45,7m</v>
      </c>
      <c r="C3801">
        <v>24</v>
      </c>
      <c r="D3801" t="s">
        <v>96</v>
      </c>
      <c r="E3801" t="str">
        <f>VLOOKUP(Tabla1[[#This Row],[Cód. Atributo]],[1]!Tabla5[#Data],6,FALSE)</f>
        <v>Select</v>
      </c>
      <c r="F3801">
        <v>6</v>
      </c>
      <c r="G3801">
        <v>2</v>
      </c>
      <c r="H3801" t="s">
        <v>266</v>
      </c>
      <c r="I3801" t="str">
        <f>VLOOKUP(Tabla1[[#This Row],[Code]],'[1]Articulos Precio'!$A:$E,5,FALSE)</f>
        <v>A0002671</v>
      </c>
    </row>
    <row r="3802" spans="1:9" x14ac:dyDescent="0.25">
      <c r="A3802" t="s">
        <v>1356</v>
      </c>
      <c r="B3802" t="str">
        <f>VLOOKUP(Tabla1[[#This Row],[Code]],[1]!Tabla4[#Data],2,FALSE)</f>
        <v>M2 Nekoosa EZ Color EC4267 Amarillo Girasol Brillo 0,61 x 45,7m</v>
      </c>
      <c r="C3802">
        <v>31</v>
      </c>
      <c r="D3802" t="s">
        <v>114</v>
      </c>
      <c r="E3802" t="str">
        <f>VLOOKUP(Tabla1[[#This Row],[Cód. Atributo]],[1]!Tabla5[#Data],6,FALSE)</f>
        <v>Select</v>
      </c>
      <c r="F3802">
        <v>7</v>
      </c>
      <c r="G3802">
        <v>14</v>
      </c>
      <c r="H3802" t="s">
        <v>1322</v>
      </c>
      <c r="I3802" t="str">
        <f>VLOOKUP(Tabla1[[#This Row],[Code]],'[1]Articulos Precio'!$A:$E,5,FALSE)</f>
        <v>A0002671</v>
      </c>
    </row>
    <row r="3803" spans="1:9" x14ac:dyDescent="0.25">
      <c r="A3803" t="s">
        <v>1356</v>
      </c>
      <c r="B3803" t="str">
        <f>VLOOKUP(Tabla1[[#This Row],[Code]],[1]!Tabla4[#Data],2,FALSE)</f>
        <v>M2 Nekoosa EZ Color EC4267 Amarillo Girasol Brillo 0,61 x 45,7m</v>
      </c>
      <c r="E3803" t="e">
        <f>VLOOKUP(Tabla1[[#This Row],[Cód. Atributo]],[1]!Tabla5[#Data],6,FALSE)</f>
        <v>#N/A</v>
      </c>
      <c r="F3803">
        <v>8</v>
      </c>
      <c r="I3803" t="str">
        <f>VLOOKUP(Tabla1[[#This Row],[Code]],'[1]Articulos Precio'!$A:$E,5,FALSE)</f>
        <v>A0002671</v>
      </c>
    </row>
    <row r="3804" spans="1:9" x14ac:dyDescent="0.25">
      <c r="A3804" t="s">
        <v>1358</v>
      </c>
      <c r="B3804" t="str">
        <f>VLOOKUP(Tabla1[[#This Row],[Code]],[1]!Tabla4[#Data],2,FALSE)</f>
        <v>M2 Nekoosa EZ Color EC4267 Amarillo Girasol Brillo 1,22 x 45,7m</v>
      </c>
      <c r="C3804">
        <v>8</v>
      </c>
      <c r="D3804" t="s">
        <v>86</v>
      </c>
      <c r="E3804" t="str">
        <f>VLOOKUP(Tabla1[[#This Row],[Cód. Atributo]],[1]!Tabla5[#Data],6,FALSE)</f>
        <v>Select</v>
      </c>
      <c r="F3804">
        <v>1</v>
      </c>
      <c r="G3804">
        <v>2</v>
      </c>
      <c r="H3804" t="s">
        <v>268</v>
      </c>
      <c r="I3804" t="str">
        <f>VLOOKUP(Tabla1[[#This Row],[Code]],'[1]Articulos Precio'!$A:$E,5,FALSE)</f>
        <v>A0002671</v>
      </c>
    </row>
    <row r="3805" spans="1:9" x14ac:dyDescent="0.25">
      <c r="A3805" t="s">
        <v>1358</v>
      </c>
      <c r="B3805" t="str">
        <f>VLOOKUP(Tabla1[[#This Row],[Code]],[1]!Tabla4[#Data],2,FALSE)</f>
        <v>M2 Nekoosa EZ Color EC4267 Amarillo Girasol Brillo 1,22 x 45,7m</v>
      </c>
      <c r="C3805">
        <v>52</v>
      </c>
      <c r="D3805" t="s">
        <v>1325</v>
      </c>
      <c r="E3805" t="str">
        <f>VLOOKUP(Tabla1[[#This Row],[Cód. Atributo]],[1]!Tabla5[#Data],6,FALSE)</f>
        <v>Select</v>
      </c>
      <c r="F3805">
        <v>2</v>
      </c>
      <c r="G3805">
        <v>1</v>
      </c>
      <c r="H3805" t="s">
        <v>1357</v>
      </c>
      <c r="I3805" t="str">
        <f>VLOOKUP(Tabla1[[#This Row],[Code]],'[1]Articulos Precio'!$A:$E,5,FALSE)</f>
        <v>A0002671</v>
      </c>
    </row>
    <row r="3806" spans="1:9" x14ac:dyDescent="0.25">
      <c r="A3806" t="s">
        <v>1358</v>
      </c>
      <c r="B3806" t="str">
        <f>VLOOKUP(Tabla1[[#This Row],[Code]],[1]!Tabla4[#Data],2,FALSE)</f>
        <v>M2 Nekoosa EZ Color EC4267 Amarillo Girasol Brillo 1,22 x 45,7m</v>
      </c>
      <c r="C3806">
        <v>23</v>
      </c>
      <c r="D3806" t="s">
        <v>90</v>
      </c>
      <c r="E3806" t="str">
        <f>VLOOKUP(Tabla1[[#This Row],[Cód. Atributo]],[1]!Tabla5[#Data],6,FALSE)</f>
        <v>Select</v>
      </c>
      <c r="F3806">
        <v>3</v>
      </c>
      <c r="G3806">
        <v>2</v>
      </c>
      <c r="H3806" t="s">
        <v>136</v>
      </c>
      <c r="I3806" t="str">
        <f>VLOOKUP(Tabla1[[#This Row],[Code]],'[1]Articulos Precio'!$A:$E,5,FALSE)</f>
        <v>A0002671</v>
      </c>
    </row>
    <row r="3807" spans="1:9" x14ac:dyDescent="0.25">
      <c r="A3807" t="s">
        <v>1358</v>
      </c>
      <c r="B3807" t="str">
        <f>VLOOKUP(Tabla1[[#This Row],[Code]],[1]!Tabla4[#Data],2,FALSE)</f>
        <v>M2 Nekoosa EZ Color EC4267 Amarillo Girasol Brillo 1,22 x 45,7m</v>
      </c>
      <c r="C3807">
        <v>28</v>
      </c>
      <c r="D3807" t="s">
        <v>92</v>
      </c>
      <c r="E3807" t="str">
        <f>VLOOKUP(Tabla1[[#This Row],[Cód. Atributo]],[1]!Tabla5[#Data],6,FALSE)</f>
        <v>Select</v>
      </c>
      <c r="F3807">
        <v>4</v>
      </c>
      <c r="G3807">
        <v>1</v>
      </c>
      <c r="H3807" t="s">
        <v>93</v>
      </c>
      <c r="I3807" t="str">
        <f>VLOOKUP(Tabla1[[#This Row],[Code]],'[1]Articulos Precio'!$A:$E,5,FALSE)</f>
        <v>A0002671</v>
      </c>
    </row>
    <row r="3808" spans="1:9" x14ac:dyDescent="0.25">
      <c r="A3808" t="s">
        <v>1358</v>
      </c>
      <c r="B3808" t="str">
        <f>VLOOKUP(Tabla1[[#This Row],[Code]],[1]!Tabla4[#Data],2,FALSE)</f>
        <v>M2 Nekoosa EZ Color EC4267 Amarillo Girasol Brillo 1,22 x 45,7m</v>
      </c>
      <c r="C3808">
        <v>25</v>
      </c>
      <c r="D3808" t="s">
        <v>94</v>
      </c>
      <c r="E3808" t="str">
        <f>VLOOKUP(Tabla1[[#This Row],[Cód. Atributo]],[1]!Tabla5[#Data],6,FALSE)</f>
        <v>Select</v>
      </c>
      <c r="F3808">
        <v>5</v>
      </c>
      <c r="G3808">
        <v>7</v>
      </c>
      <c r="H3808" t="s">
        <v>1321</v>
      </c>
      <c r="I3808" t="str">
        <f>VLOOKUP(Tabla1[[#This Row],[Code]],'[1]Articulos Precio'!$A:$E,5,FALSE)</f>
        <v>A0002671</v>
      </c>
    </row>
    <row r="3809" spans="1:9" x14ac:dyDescent="0.25">
      <c r="A3809" t="s">
        <v>1358</v>
      </c>
      <c r="B3809" t="str">
        <f>VLOOKUP(Tabla1[[#This Row],[Code]],[1]!Tabla4[#Data],2,FALSE)</f>
        <v>M2 Nekoosa EZ Color EC4267 Amarillo Girasol Brillo 1,22 x 45,7m</v>
      </c>
      <c r="C3809">
        <v>24</v>
      </c>
      <c r="D3809" t="s">
        <v>96</v>
      </c>
      <c r="E3809" t="str">
        <f>VLOOKUP(Tabla1[[#This Row],[Cód. Atributo]],[1]!Tabla5[#Data],6,FALSE)</f>
        <v>Select</v>
      </c>
      <c r="F3809">
        <v>6</v>
      </c>
      <c r="G3809">
        <v>2</v>
      </c>
      <c r="H3809" t="s">
        <v>266</v>
      </c>
      <c r="I3809" t="str">
        <f>VLOOKUP(Tabla1[[#This Row],[Code]],'[1]Articulos Precio'!$A:$E,5,FALSE)</f>
        <v>A0002671</v>
      </c>
    </row>
    <row r="3810" spans="1:9" x14ac:dyDescent="0.25">
      <c r="A3810" t="s">
        <v>1358</v>
      </c>
      <c r="B3810" t="str">
        <f>VLOOKUP(Tabla1[[#This Row],[Code]],[1]!Tabla4[#Data],2,FALSE)</f>
        <v>M2 Nekoosa EZ Color EC4267 Amarillo Girasol Brillo 1,22 x 45,7m</v>
      </c>
      <c r="C3810">
        <v>31</v>
      </c>
      <c r="D3810" t="s">
        <v>114</v>
      </c>
      <c r="E3810" t="str">
        <f>VLOOKUP(Tabla1[[#This Row],[Cód. Atributo]],[1]!Tabla5[#Data],6,FALSE)</f>
        <v>Select</v>
      </c>
      <c r="F3810">
        <v>7</v>
      </c>
      <c r="G3810">
        <v>14</v>
      </c>
      <c r="H3810" t="s">
        <v>1322</v>
      </c>
      <c r="I3810" t="str">
        <f>VLOOKUP(Tabla1[[#This Row],[Code]],'[1]Articulos Precio'!$A:$E,5,FALSE)</f>
        <v>A0002671</v>
      </c>
    </row>
    <row r="3811" spans="1:9" x14ac:dyDescent="0.25">
      <c r="A3811" t="s">
        <v>1359</v>
      </c>
      <c r="B3811" t="str">
        <f>VLOOKUP(Tabla1[[#This Row],[Code]],[1]!Tabla4[#Data],2,FALSE)</f>
        <v>M2 Nekoosa EZ Color EC5555 Naranja Brillo 0,61 x 45,7m</v>
      </c>
      <c r="C3811">
        <v>8</v>
      </c>
      <c r="D3811" t="s">
        <v>86</v>
      </c>
      <c r="E3811" t="str">
        <f>VLOOKUP(Tabla1[[#This Row],[Cód. Atributo]],[1]!Tabla5[#Data],6,FALSE)</f>
        <v>Select</v>
      </c>
      <c r="F3811">
        <v>1</v>
      </c>
      <c r="G3811">
        <v>1</v>
      </c>
      <c r="H3811" t="s">
        <v>263</v>
      </c>
      <c r="I3811" t="str">
        <f>VLOOKUP(Tabla1[[#This Row],[Code]],'[1]Articulos Precio'!$A:$E,5,FALSE)</f>
        <v>A0002671</v>
      </c>
    </row>
    <row r="3812" spans="1:9" x14ac:dyDescent="0.25">
      <c r="A3812" t="s">
        <v>1359</v>
      </c>
      <c r="B3812" t="str">
        <f>VLOOKUP(Tabla1[[#This Row],[Code]],[1]!Tabla4[#Data],2,FALSE)</f>
        <v>M2 Nekoosa EZ Color EC5555 Naranja Brillo 0,61 x 45,7m</v>
      </c>
      <c r="C3812">
        <v>52</v>
      </c>
      <c r="D3812" t="s">
        <v>1325</v>
      </c>
      <c r="E3812" t="str">
        <f>VLOOKUP(Tabla1[[#This Row],[Cód. Atributo]],[1]!Tabla5[#Data],6,FALSE)</f>
        <v>Select</v>
      </c>
      <c r="F3812">
        <v>2</v>
      </c>
      <c r="G3812">
        <v>7</v>
      </c>
      <c r="H3812" t="s">
        <v>1360</v>
      </c>
      <c r="I3812" t="str">
        <f>VLOOKUP(Tabla1[[#This Row],[Code]],'[1]Articulos Precio'!$A:$E,5,FALSE)</f>
        <v>A0002671</v>
      </c>
    </row>
    <row r="3813" spans="1:9" x14ac:dyDescent="0.25">
      <c r="A3813" t="s">
        <v>1359</v>
      </c>
      <c r="B3813" t="str">
        <f>VLOOKUP(Tabla1[[#This Row],[Code]],[1]!Tabla4[#Data],2,FALSE)</f>
        <v>M2 Nekoosa EZ Color EC5555 Naranja Brillo 0,61 x 45,7m</v>
      </c>
      <c r="C3813">
        <v>23</v>
      </c>
      <c r="D3813" t="s">
        <v>90</v>
      </c>
      <c r="E3813" t="str">
        <f>VLOOKUP(Tabla1[[#This Row],[Cód. Atributo]],[1]!Tabla5[#Data],6,FALSE)</f>
        <v>Select</v>
      </c>
      <c r="F3813">
        <v>3</v>
      </c>
      <c r="G3813">
        <v>2</v>
      </c>
      <c r="H3813" t="s">
        <v>136</v>
      </c>
      <c r="I3813" t="str">
        <f>VLOOKUP(Tabla1[[#This Row],[Code]],'[1]Articulos Precio'!$A:$E,5,FALSE)</f>
        <v>A0002671</v>
      </c>
    </row>
    <row r="3814" spans="1:9" x14ac:dyDescent="0.25">
      <c r="A3814" t="s">
        <v>1359</v>
      </c>
      <c r="B3814" t="str">
        <f>VLOOKUP(Tabla1[[#This Row],[Code]],[1]!Tabla4[#Data],2,FALSE)</f>
        <v>M2 Nekoosa EZ Color EC5555 Naranja Brillo 0,61 x 45,7m</v>
      </c>
      <c r="C3814">
        <v>28</v>
      </c>
      <c r="D3814" t="s">
        <v>92</v>
      </c>
      <c r="E3814" t="str">
        <f>VLOOKUP(Tabla1[[#This Row],[Cód. Atributo]],[1]!Tabla5[#Data],6,FALSE)</f>
        <v>Select</v>
      </c>
      <c r="F3814">
        <v>4</v>
      </c>
      <c r="G3814">
        <v>1</v>
      </c>
      <c r="H3814" t="s">
        <v>93</v>
      </c>
      <c r="I3814" t="str">
        <f>VLOOKUP(Tabla1[[#This Row],[Code]],'[1]Articulos Precio'!$A:$E,5,FALSE)</f>
        <v>A0002671</v>
      </c>
    </row>
    <row r="3815" spans="1:9" x14ac:dyDescent="0.25">
      <c r="A3815" t="s">
        <v>1359</v>
      </c>
      <c r="B3815" t="str">
        <f>VLOOKUP(Tabla1[[#This Row],[Code]],[1]!Tabla4[#Data],2,FALSE)</f>
        <v>M2 Nekoosa EZ Color EC5555 Naranja Brillo 0,61 x 45,7m</v>
      </c>
      <c r="C3815">
        <v>25</v>
      </c>
      <c r="D3815" t="s">
        <v>94</v>
      </c>
      <c r="E3815" t="str">
        <f>VLOOKUP(Tabla1[[#This Row],[Cód. Atributo]],[1]!Tabla5[#Data],6,FALSE)</f>
        <v>Select</v>
      </c>
      <c r="F3815">
        <v>5</v>
      </c>
      <c r="G3815">
        <v>7</v>
      </c>
      <c r="H3815" t="s">
        <v>1321</v>
      </c>
      <c r="I3815" t="str">
        <f>VLOOKUP(Tabla1[[#This Row],[Code]],'[1]Articulos Precio'!$A:$E,5,FALSE)</f>
        <v>A0002671</v>
      </c>
    </row>
    <row r="3816" spans="1:9" x14ac:dyDescent="0.25">
      <c r="A3816" t="s">
        <v>1359</v>
      </c>
      <c r="B3816" t="str">
        <f>VLOOKUP(Tabla1[[#This Row],[Code]],[1]!Tabla4[#Data],2,FALSE)</f>
        <v>M2 Nekoosa EZ Color EC5555 Naranja Brillo 0,61 x 45,7m</v>
      </c>
      <c r="C3816">
        <v>24</v>
      </c>
      <c r="D3816" t="s">
        <v>96</v>
      </c>
      <c r="E3816" t="str">
        <f>VLOOKUP(Tabla1[[#This Row],[Cód. Atributo]],[1]!Tabla5[#Data],6,FALSE)</f>
        <v>Select</v>
      </c>
      <c r="F3816">
        <v>6</v>
      </c>
      <c r="G3816">
        <v>2</v>
      </c>
      <c r="H3816" t="s">
        <v>266</v>
      </c>
      <c r="I3816" t="str">
        <f>VLOOKUP(Tabla1[[#This Row],[Code]],'[1]Articulos Precio'!$A:$E,5,FALSE)</f>
        <v>A0002671</v>
      </c>
    </row>
    <row r="3817" spans="1:9" x14ac:dyDescent="0.25">
      <c r="A3817" t="s">
        <v>1359</v>
      </c>
      <c r="B3817" t="str">
        <f>VLOOKUP(Tabla1[[#This Row],[Code]],[1]!Tabla4[#Data],2,FALSE)</f>
        <v>M2 Nekoosa EZ Color EC5555 Naranja Brillo 0,61 x 45,7m</v>
      </c>
      <c r="C3817">
        <v>31</v>
      </c>
      <c r="D3817" t="s">
        <v>114</v>
      </c>
      <c r="E3817" t="str">
        <f>VLOOKUP(Tabla1[[#This Row],[Cód. Atributo]],[1]!Tabla5[#Data],6,FALSE)</f>
        <v>Select</v>
      </c>
      <c r="F3817">
        <v>7</v>
      </c>
      <c r="G3817">
        <v>14</v>
      </c>
      <c r="H3817" t="s">
        <v>1322</v>
      </c>
      <c r="I3817" t="str">
        <f>VLOOKUP(Tabla1[[#This Row],[Code]],'[1]Articulos Precio'!$A:$E,5,FALSE)</f>
        <v>A0002671</v>
      </c>
    </row>
    <row r="3818" spans="1:9" x14ac:dyDescent="0.25">
      <c r="A3818" t="s">
        <v>1361</v>
      </c>
      <c r="B3818" t="str">
        <f>VLOOKUP(Tabla1[[#This Row],[Code]],[1]!Tabla4[#Data],2,FALSE)</f>
        <v>M2 Nekoosa EZ Color EC5555 Naranja Brillo 1,22 x 45,7m</v>
      </c>
      <c r="C3818">
        <v>8</v>
      </c>
      <c r="D3818" t="s">
        <v>86</v>
      </c>
      <c r="E3818" t="str">
        <f>VLOOKUP(Tabla1[[#This Row],[Cód. Atributo]],[1]!Tabla5[#Data],6,FALSE)</f>
        <v>Select</v>
      </c>
      <c r="F3818">
        <v>1</v>
      </c>
      <c r="G3818">
        <v>2</v>
      </c>
      <c r="H3818" t="s">
        <v>268</v>
      </c>
      <c r="I3818" t="str">
        <f>VLOOKUP(Tabla1[[#This Row],[Code]],'[1]Articulos Precio'!$A:$E,5,FALSE)</f>
        <v>A0002671</v>
      </c>
    </row>
    <row r="3819" spans="1:9" x14ac:dyDescent="0.25">
      <c r="A3819" t="s">
        <v>1361</v>
      </c>
      <c r="B3819" t="str">
        <f>VLOOKUP(Tabla1[[#This Row],[Code]],[1]!Tabla4[#Data],2,FALSE)</f>
        <v>M2 Nekoosa EZ Color EC5555 Naranja Brillo 1,22 x 45,7m</v>
      </c>
      <c r="C3819">
        <v>52</v>
      </c>
      <c r="D3819" t="s">
        <v>1325</v>
      </c>
      <c r="E3819" t="str">
        <f>VLOOKUP(Tabla1[[#This Row],[Cód. Atributo]],[1]!Tabla5[#Data],6,FALSE)</f>
        <v>Select</v>
      </c>
      <c r="F3819">
        <v>2</v>
      </c>
      <c r="G3819">
        <v>7</v>
      </c>
      <c r="H3819" t="s">
        <v>1360</v>
      </c>
      <c r="I3819" t="str">
        <f>VLOOKUP(Tabla1[[#This Row],[Code]],'[1]Articulos Precio'!$A:$E,5,FALSE)</f>
        <v>A0002671</v>
      </c>
    </row>
    <row r="3820" spans="1:9" x14ac:dyDescent="0.25">
      <c r="A3820" t="s">
        <v>1361</v>
      </c>
      <c r="B3820" t="str">
        <f>VLOOKUP(Tabla1[[#This Row],[Code]],[1]!Tabla4[#Data],2,FALSE)</f>
        <v>M2 Nekoosa EZ Color EC5555 Naranja Brillo 1,22 x 45,7m</v>
      </c>
      <c r="C3820">
        <v>23</v>
      </c>
      <c r="D3820" t="s">
        <v>90</v>
      </c>
      <c r="E3820" t="str">
        <f>VLOOKUP(Tabla1[[#This Row],[Cód. Atributo]],[1]!Tabla5[#Data],6,FALSE)</f>
        <v>Select</v>
      </c>
      <c r="F3820">
        <v>3</v>
      </c>
      <c r="G3820">
        <v>2</v>
      </c>
      <c r="H3820" t="s">
        <v>136</v>
      </c>
      <c r="I3820" t="str">
        <f>VLOOKUP(Tabla1[[#This Row],[Code]],'[1]Articulos Precio'!$A:$E,5,FALSE)</f>
        <v>A0002671</v>
      </c>
    </row>
    <row r="3821" spans="1:9" x14ac:dyDescent="0.25">
      <c r="A3821" t="s">
        <v>1361</v>
      </c>
      <c r="B3821" t="str">
        <f>VLOOKUP(Tabla1[[#This Row],[Code]],[1]!Tabla4[#Data],2,FALSE)</f>
        <v>M2 Nekoosa EZ Color EC5555 Naranja Brillo 1,22 x 45,7m</v>
      </c>
      <c r="C3821">
        <v>28</v>
      </c>
      <c r="D3821" t="s">
        <v>92</v>
      </c>
      <c r="E3821" t="str">
        <f>VLOOKUP(Tabla1[[#This Row],[Cód. Atributo]],[1]!Tabla5[#Data],6,FALSE)</f>
        <v>Select</v>
      </c>
      <c r="F3821">
        <v>4</v>
      </c>
      <c r="G3821">
        <v>1</v>
      </c>
      <c r="H3821" t="s">
        <v>93</v>
      </c>
      <c r="I3821" t="str">
        <f>VLOOKUP(Tabla1[[#This Row],[Code]],'[1]Articulos Precio'!$A:$E,5,FALSE)</f>
        <v>A0002671</v>
      </c>
    </row>
    <row r="3822" spans="1:9" x14ac:dyDescent="0.25">
      <c r="A3822" t="s">
        <v>1361</v>
      </c>
      <c r="B3822" t="str">
        <f>VLOOKUP(Tabla1[[#This Row],[Code]],[1]!Tabla4[#Data],2,FALSE)</f>
        <v>M2 Nekoosa EZ Color EC5555 Naranja Brillo 1,22 x 45,7m</v>
      </c>
      <c r="C3822">
        <v>25</v>
      </c>
      <c r="D3822" t="s">
        <v>94</v>
      </c>
      <c r="E3822" t="str">
        <f>VLOOKUP(Tabla1[[#This Row],[Cód. Atributo]],[1]!Tabla5[#Data],6,FALSE)</f>
        <v>Select</v>
      </c>
      <c r="F3822">
        <v>5</v>
      </c>
      <c r="G3822">
        <v>7</v>
      </c>
      <c r="H3822" t="s">
        <v>1321</v>
      </c>
      <c r="I3822" t="str">
        <f>VLOOKUP(Tabla1[[#This Row],[Code]],'[1]Articulos Precio'!$A:$E,5,FALSE)</f>
        <v>A0002671</v>
      </c>
    </row>
    <row r="3823" spans="1:9" x14ac:dyDescent="0.25">
      <c r="A3823" t="s">
        <v>1361</v>
      </c>
      <c r="B3823" t="str">
        <f>VLOOKUP(Tabla1[[#This Row],[Code]],[1]!Tabla4[#Data],2,FALSE)</f>
        <v>M2 Nekoosa EZ Color EC5555 Naranja Brillo 1,22 x 45,7m</v>
      </c>
      <c r="C3823">
        <v>24</v>
      </c>
      <c r="D3823" t="s">
        <v>96</v>
      </c>
      <c r="E3823" t="str">
        <f>VLOOKUP(Tabla1[[#This Row],[Cód. Atributo]],[1]!Tabla5[#Data],6,FALSE)</f>
        <v>Select</v>
      </c>
      <c r="F3823">
        <v>6</v>
      </c>
      <c r="G3823">
        <v>2</v>
      </c>
      <c r="H3823" t="s">
        <v>266</v>
      </c>
      <c r="I3823" t="str">
        <f>VLOOKUP(Tabla1[[#This Row],[Code]],'[1]Articulos Precio'!$A:$E,5,FALSE)</f>
        <v>A0002671</v>
      </c>
    </row>
    <row r="3824" spans="1:9" x14ac:dyDescent="0.25">
      <c r="A3824" t="s">
        <v>1361</v>
      </c>
      <c r="B3824" t="str">
        <f>VLOOKUP(Tabla1[[#This Row],[Code]],[1]!Tabla4[#Data],2,FALSE)</f>
        <v>M2 Nekoosa EZ Color EC5555 Naranja Brillo 1,22 x 45,7m</v>
      </c>
      <c r="C3824">
        <v>31</v>
      </c>
      <c r="D3824" t="s">
        <v>114</v>
      </c>
      <c r="E3824" t="str">
        <f>VLOOKUP(Tabla1[[#This Row],[Cód. Atributo]],[1]!Tabla5[#Data],6,FALSE)</f>
        <v>Select</v>
      </c>
      <c r="F3824">
        <v>7</v>
      </c>
      <c r="G3824">
        <v>14</v>
      </c>
      <c r="H3824" t="s">
        <v>1322</v>
      </c>
      <c r="I3824" t="str">
        <f>VLOOKUP(Tabla1[[#This Row],[Code]],'[1]Articulos Precio'!$A:$E,5,FALSE)</f>
        <v>A0002671</v>
      </c>
    </row>
    <row r="3825" spans="1:9" x14ac:dyDescent="0.25">
      <c r="A3825" t="s">
        <v>1362</v>
      </c>
      <c r="B3825" t="str">
        <f>VLOOKUP(Tabla1[[#This Row],[Code]],[1]!Tabla4[#Data],2,FALSE)</f>
        <v>M2 Nekoosa EZ Color EC7112 Azul Brillo 0,61 x 45,7m</v>
      </c>
      <c r="C3825">
        <v>8</v>
      </c>
      <c r="D3825" t="s">
        <v>86</v>
      </c>
      <c r="E3825" t="str">
        <f>VLOOKUP(Tabla1[[#This Row],[Cód. Atributo]],[1]!Tabla5[#Data],6,FALSE)</f>
        <v>Select</v>
      </c>
      <c r="F3825">
        <v>1</v>
      </c>
      <c r="G3825">
        <v>1</v>
      </c>
      <c r="H3825" t="s">
        <v>263</v>
      </c>
      <c r="I3825" t="str">
        <f>VLOOKUP(Tabla1[[#This Row],[Code]],'[1]Articulos Precio'!$A:$E,5,FALSE)</f>
        <v>A0002671</v>
      </c>
    </row>
    <row r="3826" spans="1:9" x14ac:dyDescent="0.25">
      <c r="A3826" t="s">
        <v>1362</v>
      </c>
      <c r="B3826" t="str">
        <f>VLOOKUP(Tabla1[[#This Row],[Code]],[1]!Tabla4[#Data],2,FALSE)</f>
        <v>M2 Nekoosa EZ Color EC7112 Azul Brillo 0,61 x 45,7m</v>
      </c>
      <c r="C3826">
        <v>52</v>
      </c>
      <c r="D3826" t="s">
        <v>1325</v>
      </c>
      <c r="E3826" t="str">
        <f>VLOOKUP(Tabla1[[#This Row],[Cód. Atributo]],[1]!Tabla5[#Data],6,FALSE)</f>
        <v>Select</v>
      </c>
      <c r="F3826">
        <v>2</v>
      </c>
      <c r="G3826">
        <v>8</v>
      </c>
      <c r="H3826" t="s">
        <v>1363</v>
      </c>
      <c r="I3826" t="str">
        <f>VLOOKUP(Tabla1[[#This Row],[Code]],'[1]Articulos Precio'!$A:$E,5,FALSE)</f>
        <v>A0002671</v>
      </c>
    </row>
    <row r="3827" spans="1:9" x14ac:dyDescent="0.25">
      <c r="A3827" t="s">
        <v>1362</v>
      </c>
      <c r="B3827" t="str">
        <f>VLOOKUP(Tabla1[[#This Row],[Code]],[1]!Tabla4[#Data],2,FALSE)</f>
        <v>M2 Nekoosa EZ Color EC7112 Azul Brillo 0,61 x 45,7m</v>
      </c>
      <c r="C3827">
        <v>23</v>
      </c>
      <c r="D3827" t="s">
        <v>90</v>
      </c>
      <c r="E3827" t="str">
        <f>VLOOKUP(Tabla1[[#This Row],[Cód. Atributo]],[1]!Tabla5[#Data],6,FALSE)</f>
        <v>Select</v>
      </c>
      <c r="F3827">
        <v>3</v>
      </c>
      <c r="G3827">
        <v>2</v>
      </c>
      <c r="H3827" t="s">
        <v>136</v>
      </c>
      <c r="I3827" t="str">
        <f>VLOOKUP(Tabla1[[#This Row],[Code]],'[1]Articulos Precio'!$A:$E,5,FALSE)</f>
        <v>A0002671</v>
      </c>
    </row>
    <row r="3828" spans="1:9" x14ac:dyDescent="0.25">
      <c r="A3828" t="s">
        <v>1362</v>
      </c>
      <c r="B3828" t="str">
        <f>VLOOKUP(Tabla1[[#This Row],[Code]],[1]!Tabla4[#Data],2,FALSE)</f>
        <v>M2 Nekoosa EZ Color EC7112 Azul Brillo 0,61 x 45,7m</v>
      </c>
      <c r="C3828">
        <v>28</v>
      </c>
      <c r="D3828" t="s">
        <v>92</v>
      </c>
      <c r="E3828" t="str">
        <f>VLOOKUP(Tabla1[[#This Row],[Cód. Atributo]],[1]!Tabla5[#Data],6,FALSE)</f>
        <v>Select</v>
      </c>
      <c r="F3828">
        <v>4</v>
      </c>
      <c r="G3828">
        <v>1</v>
      </c>
      <c r="H3828" t="s">
        <v>93</v>
      </c>
      <c r="I3828" t="str">
        <f>VLOOKUP(Tabla1[[#This Row],[Code]],'[1]Articulos Precio'!$A:$E,5,FALSE)</f>
        <v>A0002671</v>
      </c>
    </row>
    <row r="3829" spans="1:9" x14ac:dyDescent="0.25">
      <c r="A3829" t="s">
        <v>1362</v>
      </c>
      <c r="B3829" t="str">
        <f>VLOOKUP(Tabla1[[#This Row],[Code]],[1]!Tabla4[#Data],2,FALSE)</f>
        <v>M2 Nekoosa EZ Color EC7112 Azul Brillo 0,61 x 45,7m</v>
      </c>
      <c r="C3829">
        <v>25</v>
      </c>
      <c r="D3829" t="s">
        <v>94</v>
      </c>
      <c r="E3829" t="str">
        <f>VLOOKUP(Tabla1[[#This Row],[Cód. Atributo]],[1]!Tabla5[#Data],6,FALSE)</f>
        <v>Select</v>
      </c>
      <c r="F3829">
        <v>5</v>
      </c>
      <c r="G3829">
        <v>7</v>
      </c>
      <c r="H3829" t="s">
        <v>1321</v>
      </c>
      <c r="I3829" t="str">
        <f>VLOOKUP(Tabla1[[#This Row],[Code]],'[1]Articulos Precio'!$A:$E,5,FALSE)</f>
        <v>A0002671</v>
      </c>
    </row>
    <row r="3830" spans="1:9" x14ac:dyDescent="0.25">
      <c r="A3830" t="s">
        <v>1362</v>
      </c>
      <c r="B3830" t="str">
        <f>VLOOKUP(Tabla1[[#This Row],[Code]],[1]!Tabla4[#Data],2,FALSE)</f>
        <v>M2 Nekoosa EZ Color EC7112 Azul Brillo 0,61 x 45,7m</v>
      </c>
      <c r="C3830">
        <v>24</v>
      </c>
      <c r="D3830" t="s">
        <v>96</v>
      </c>
      <c r="E3830" t="str">
        <f>VLOOKUP(Tabla1[[#This Row],[Cód. Atributo]],[1]!Tabla5[#Data],6,FALSE)</f>
        <v>Select</v>
      </c>
      <c r="F3830">
        <v>6</v>
      </c>
      <c r="G3830">
        <v>2</v>
      </c>
      <c r="H3830" t="s">
        <v>266</v>
      </c>
      <c r="I3830" t="str">
        <f>VLOOKUP(Tabla1[[#This Row],[Code]],'[1]Articulos Precio'!$A:$E,5,FALSE)</f>
        <v>A0002671</v>
      </c>
    </row>
    <row r="3831" spans="1:9" x14ac:dyDescent="0.25">
      <c r="A3831" t="s">
        <v>1362</v>
      </c>
      <c r="B3831" t="str">
        <f>VLOOKUP(Tabla1[[#This Row],[Code]],[1]!Tabla4[#Data],2,FALSE)</f>
        <v>M2 Nekoosa EZ Color EC7112 Azul Brillo 0,61 x 45,7m</v>
      </c>
      <c r="C3831">
        <v>31</v>
      </c>
      <c r="D3831" t="s">
        <v>114</v>
      </c>
      <c r="E3831" t="str">
        <f>VLOOKUP(Tabla1[[#This Row],[Cód. Atributo]],[1]!Tabla5[#Data],6,FALSE)</f>
        <v>Select</v>
      </c>
      <c r="F3831">
        <v>7</v>
      </c>
      <c r="G3831">
        <v>14</v>
      </c>
      <c r="H3831" t="s">
        <v>1322</v>
      </c>
      <c r="I3831" t="str">
        <f>VLOOKUP(Tabla1[[#This Row],[Code]],'[1]Articulos Precio'!$A:$E,5,FALSE)</f>
        <v>A0002671</v>
      </c>
    </row>
    <row r="3832" spans="1:9" x14ac:dyDescent="0.25">
      <c r="A3832" t="s">
        <v>1364</v>
      </c>
      <c r="B3832" t="str">
        <f>VLOOKUP(Tabla1[[#This Row],[Code]],[1]!Tabla4[#Data],2,FALSE)</f>
        <v>M2 Nekoosa EZ Color EC7112 Azul Brillo 1,22 x 45,7m</v>
      </c>
      <c r="C3832">
        <v>8</v>
      </c>
      <c r="D3832" t="s">
        <v>86</v>
      </c>
      <c r="E3832" t="str">
        <f>VLOOKUP(Tabla1[[#This Row],[Cód. Atributo]],[1]!Tabla5[#Data],6,FALSE)</f>
        <v>Select</v>
      </c>
      <c r="F3832">
        <v>1</v>
      </c>
      <c r="G3832">
        <v>2</v>
      </c>
      <c r="H3832" t="s">
        <v>268</v>
      </c>
      <c r="I3832" t="str">
        <f>VLOOKUP(Tabla1[[#This Row],[Code]],'[1]Articulos Precio'!$A:$E,5,FALSE)</f>
        <v>A0002671</v>
      </c>
    </row>
    <row r="3833" spans="1:9" x14ac:dyDescent="0.25">
      <c r="A3833" t="s">
        <v>1364</v>
      </c>
      <c r="B3833" t="str">
        <f>VLOOKUP(Tabla1[[#This Row],[Code]],[1]!Tabla4[#Data],2,FALSE)</f>
        <v>M2 Nekoosa EZ Color EC7112 Azul Brillo 1,22 x 45,7m</v>
      </c>
      <c r="C3833">
        <v>52</v>
      </c>
      <c r="D3833" t="s">
        <v>1325</v>
      </c>
      <c r="E3833" t="str">
        <f>VLOOKUP(Tabla1[[#This Row],[Cód. Atributo]],[1]!Tabla5[#Data],6,FALSE)</f>
        <v>Select</v>
      </c>
      <c r="F3833">
        <v>2</v>
      </c>
      <c r="G3833">
        <v>3</v>
      </c>
      <c r="H3833" t="s">
        <v>1341</v>
      </c>
      <c r="I3833" t="str">
        <f>VLOOKUP(Tabla1[[#This Row],[Code]],'[1]Articulos Precio'!$A:$E,5,FALSE)</f>
        <v>A0002671</v>
      </c>
    </row>
    <row r="3834" spans="1:9" x14ac:dyDescent="0.25">
      <c r="A3834" t="s">
        <v>1364</v>
      </c>
      <c r="B3834" t="str">
        <f>VLOOKUP(Tabla1[[#This Row],[Code]],[1]!Tabla4[#Data],2,FALSE)</f>
        <v>M2 Nekoosa EZ Color EC7112 Azul Brillo 1,22 x 45,7m</v>
      </c>
      <c r="C3834">
        <v>23</v>
      </c>
      <c r="D3834" t="s">
        <v>90</v>
      </c>
      <c r="E3834" t="str">
        <f>VLOOKUP(Tabla1[[#This Row],[Cód. Atributo]],[1]!Tabla5[#Data],6,FALSE)</f>
        <v>Select</v>
      </c>
      <c r="F3834">
        <v>3</v>
      </c>
      <c r="G3834">
        <v>2</v>
      </c>
      <c r="H3834" t="s">
        <v>136</v>
      </c>
      <c r="I3834" t="str">
        <f>VLOOKUP(Tabla1[[#This Row],[Code]],'[1]Articulos Precio'!$A:$E,5,FALSE)</f>
        <v>A0002671</v>
      </c>
    </row>
    <row r="3835" spans="1:9" x14ac:dyDescent="0.25">
      <c r="A3835" t="s">
        <v>1364</v>
      </c>
      <c r="B3835" t="str">
        <f>VLOOKUP(Tabla1[[#This Row],[Code]],[1]!Tabla4[#Data],2,FALSE)</f>
        <v>M2 Nekoosa EZ Color EC7112 Azul Brillo 1,22 x 45,7m</v>
      </c>
      <c r="C3835">
        <v>28</v>
      </c>
      <c r="D3835" t="s">
        <v>92</v>
      </c>
      <c r="E3835" t="str">
        <f>VLOOKUP(Tabla1[[#This Row],[Cód. Atributo]],[1]!Tabla5[#Data],6,FALSE)</f>
        <v>Select</v>
      </c>
      <c r="F3835">
        <v>4</v>
      </c>
      <c r="G3835">
        <v>1</v>
      </c>
      <c r="H3835" t="s">
        <v>93</v>
      </c>
      <c r="I3835" t="str">
        <f>VLOOKUP(Tabla1[[#This Row],[Code]],'[1]Articulos Precio'!$A:$E,5,FALSE)</f>
        <v>A0002671</v>
      </c>
    </row>
    <row r="3836" spans="1:9" x14ac:dyDescent="0.25">
      <c r="A3836" t="s">
        <v>1364</v>
      </c>
      <c r="B3836" t="str">
        <f>VLOOKUP(Tabla1[[#This Row],[Code]],[1]!Tabla4[#Data],2,FALSE)</f>
        <v>M2 Nekoosa EZ Color EC7112 Azul Brillo 1,22 x 45,7m</v>
      </c>
      <c r="C3836">
        <v>25</v>
      </c>
      <c r="D3836" t="s">
        <v>94</v>
      </c>
      <c r="E3836" t="str">
        <f>VLOOKUP(Tabla1[[#This Row],[Cód. Atributo]],[1]!Tabla5[#Data],6,FALSE)</f>
        <v>Select</v>
      </c>
      <c r="F3836">
        <v>5</v>
      </c>
      <c r="G3836">
        <v>7</v>
      </c>
      <c r="H3836" t="s">
        <v>1321</v>
      </c>
      <c r="I3836" t="str">
        <f>VLOOKUP(Tabla1[[#This Row],[Code]],'[1]Articulos Precio'!$A:$E,5,FALSE)</f>
        <v>A0002671</v>
      </c>
    </row>
    <row r="3837" spans="1:9" x14ac:dyDescent="0.25">
      <c r="A3837" t="s">
        <v>1364</v>
      </c>
      <c r="B3837" t="str">
        <f>VLOOKUP(Tabla1[[#This Row],[Code]],[1]!Tabla4[#Data],2,FALSE)</f>
        <v>M2 Nekoosa EZ Color EC7112 Azul Brillo 1,22 x 45,7m</v>
      </c>
      <c r="C3837">
        <v>24</v>
      </c>
      <c r="D3837" t="s">
        <v>96</v>
      </c>
      <c r="E3837" t="str">
        <f>VLOOKUP(Tabla1[[#This Row],[Cód. Atributo]],[1]!Tabla5[#Data],6,FALSE)</f>
        <v>Select</v>
      </c>
      <c r="F3837">
        <v>6</v>
      </c>
      <c r="G3837">
        <v>2</v>
      </c>
      <c r="H3837" t="s">
        <v>266</v>
      </c>
      <c r="I3837" t="str">
        <f>VLOOKUP(Tabla1[[#This Row],[Code]],'[1]Articulos Precio'!$A:$E,5,FALSE)</f>
        <v>A0002671</v>
      </c>
    </row>
    <row r="3838" spans="1:9" x14ac:dyDescent="0.25">
      <c r="A3838" t="s">
        <v>1364</v>
      </c>
      <c r="B3838" t="str">
        <f>VLOOKUP(Tabla1[[#This Row],[Code]],[1]!Tabla4[#Data],2,FALSE)</f>
        <v>M2 Nekoosa EZ Color EC7112 Azul Brillo 1,22 x 45,7m</v>
      </c>
      <c r="C3838">
        <v>31</v>
      </c>
      <c r="D3838" t="s">
        <v>114</v>
      </c>
      <c r="E3838" t="str">
        <f>VLOOKUP(Tabla1[[#This Row],[Cód. Atributo]],[1]!Tabla5[#Data],6,FALSE)</f>
        <v>Select</v>
      </c>
      <c r="F3838">
        <v>7</v>
      </c>
      <c r="G3838">
        <v>14</v>
      </c>
      <c r="H3838" t="s">
        <v>1322</v>
      </c>
      <c r="I3838" t="str">
        <f>VLOOKUP(Tabla1[[#This Row],[Code]],'[1]Articulos Precio'!$A:$E,5,FALSE)</f>
        <v>A0002671</v>
      </c>
    </row>
    <row r="3839" spans="1:9" x14ac:dyDescent="0.25">
      <c r="A3839" t="s">
        <v>1365</v>
      </c>
      <c r="B3839" t="str">
        <f>VLOOKUP(Tabla1[[#This Row],[Code]],[1]!Tabla4[#Data],2,FALSE)</f>
        <v>M2 Nekoosa EZ Color EC7288 Azul Medio Mate 0,61 x 45,7m</v>
      </c>
      <c r="C3839">
        <v>8</v>
      </c>
      <c r="D3839" t="s">
        <v>86</v>
      </c>
      <c r="E3839" t="str">
        <f>VLOOKUP(Tabla1[[#This Row],[Cód. Atributo]],[1]!Tabla5[#Data],6,FALSE)</f>
        <v>Select</v>
      </c>
      <c r="F3839">
        <v>1</v>
      </c>
      <c r="G3839">
        <v>1</v>
      </c>
      <c r="H3839" t="s">
        <v>263</v>
      </c>
      <c r="I3839" t="str">
        <f>VLOOKUP(Tabla1[[#This Row],[Code]],'[1]Articulos Precio'!$A:$E,5,FALSE)</f>
        <v>A0002670</v>
      </c>
    </row>
    <row r="3840" spans="1:9" x14ac:dyDescent="0.25">
      <c r="A3840" t="s">
        <v>1365</v>
      </c>
      <c r="B3840" t="str">
        <f>VLOOKUP(Tabla1[[#This Row],[Code]],[1]!Tabla4[#Data],2,FALSE)</f>
        <v>M2 Nekoosa EZ Color EC7288 Azul Medio Mate 0,61 x 45,7m</v>
      </c>
      <c r="C3840">
        <v>51</v>
      </c>
      <c r="D3840" t="s">
        <v>1319</v>
      </c>
      <c r="E3840" t="str">
        <f>VLOOKUP(Tabla1[[#This Row],[Cód. Atributo]],[1]!Tabla5[#Data],6,FALSE)</f>
        <v>Select</v>
      </c>
      <c r="F3840">
        <v>2</v>
      </c>
      <c r="G3840">
        <v>7</v>
      </c>
      <c r="H3840" t="s">
        <v>1366</v>
      </c>
      <c r="I3840" t="str">
        <f>VLOOKUP(Tabla1[[#This Row],[Code]],'[1]Articulos Precio'!$A:$E,5,FALSE)</f>
        <v>A0002670</v>
      </c>
    </row>
    <row r="3841" spans="1:9" x14ac:dyDescent="0.25">
      <c r="A3841" t="s">
        <v>1365</v>
      </c>
      <c r="B3841" t="str">
        <f>VLOOKUP(Tabla1[[#This Row],[Code]],[1]!Tabla4[#Data],2,FALSE)</f>
        <v>M2 Nekoosa EZ Color EC7288 Azul Medio Mate 0,61 x 45,7m</v>
      </c>
      <c r="C3841">
        <v>23</v>
      </c>
      <c r="D3841" t="s">
        <v>90</v>
      </c>
      <c r="E3841" t="str">
        <f>VLOOKUP(Tabla1[[#This Row],[Cód. Atributo]],[1]!Tabla5[#Data],6,FALSE)</f>
        <v>Select</v>
      </c>
      <c r="F3841">
        <v>3</v>
      </c>
      <c r="G3841">
        <v>2</v>
      </c>
      <c r="H3841" t="s">
        <v>136</v>
      </c>
      <c r="I3841" t="str">
        <f>VLOOKUP(Tabla1[[#This Row],[Code]],'[1]Articulos Precio'!$A:$E,5,FALSE)</f>
        <v>A0002670</v>
      </c>
    </row>
    <row r="3842" spans="1:9" x14ac:dyDescent="0.25">
      <c r="A3842" t="s">
        <v>1365</v>
      </c>
      <c r="B3842" t="str">
        <f>VLOOKUP(Tabla1[[#This Row],[Code]],[1]!Tabla4[#Data],2,FALSE)</f>
        <v>M2 Nekoosa EZ Color EC7288 Azul Medio Mate 0,61 x 45,7m</v>
      </c>
      <c r="C3842">
        <v>28</v>
      </c>
      <c r="D3842" t="s">
        <v>92</v>
      </c>
      <c r="E3842" t="str">
        <f>VLOOKUP(Tabla1[[#This Row],[Cód. Atributo]],[1]!Tabla5[#Data],6,FALSE)</f>
        <v>Select</v>
      </c>
      <c r="F3842">
        <v>4</v>
      </c>
      <c r="G3842">
        <v>2</v>
      </c>
      <c r="H3842" t="s">
        <v>102</v>
      </c>
      <c r="I3842" t="str">
        <f>VLOOKUP(Tabla1[[#This Row],[Code]],'[1]Articulos Precio'!$A:$E,5,FALSE)</f>
        <v>A0002670</v>
      </c>
    </row>
    <row r="3843" spans="1:9" x14ac:dyDescent="0.25">
      <c r="A3843" t="s">
        <v>1365</v>
      </c>
      <c r="B3843" t="str">
        <f>VLOOKUP(Tabla1[[#This Row],[Code]],[1]!Tabla4[#Data],2,FALSE)</f>
        <v>M2 Nekoosa EZ Color EC7288 Azul Medio Mate 0,61 x 45,7m</v>
      </c>
      <c r="C3843">
        <v>25</v>
      </c>
      <c r="D3843" t="s">
        <v>94</v>
      </c>
      <c r="E3843" t="str">
        <f>VLOOKUP(Tabla1[[#This Row],[Cód. Atributo]],[1]!Tabla5[#Data],6,FALSE)</f>
        <v>Select</v>
      </c>
      <c r="F3843">
        <v>5</v>
      </c>
      <c r="G3843">
        <v>7</v>
      </c>
      <c r="H3843" t="s">
        <v>1321</v>
      </c>
      <c r="I3843" t="str">
        <f>VLOOKUP(Tabla1[[#This Row],[Code]],'[1]Articulos Precio'!$A:$E,5,FALSE)</f>
        <v>A0002670</v>
      </c>
    </row>
    <row r="3844" spans="1:9" x14ac:dyDescent="0.25">
      <c r="A3844" t="s">
        <v>1365</v>
      </c>
      <c r="B3844" t="str">
        <f>VLOOKUP(Tabla1[[#This Row],[Code]],[1]!Tabla4[#Data],2,FALSE)</f>
        <v>M2 Nekoosa EZ Color EC7288 Azul Medio Mate 0,61 x 45,7m</v>
      </c>
      <c r="C3844">
        <v>24</v>
      </c>
      <c r="D3844" t="s">
        <v>96</v>
      </c>
      <c r="E3844" t="str">
        <f>VLOOKUP(Tabla1[[#This Row],[Cód. Atributo]],[1]!Tabla5[#Data],6,FALSE)</f>
        <v>Select</v>
      </c>
      <c r="F3844">
        <v>6</v>
      </c>
      <c r="G3844">
        <v>2</v>
      </c>
      <c r="H3844" t="s">
        <v>266</v>
      </c>
      <c r="I3844" t="str">
        <f>VLOOKUP(Tabla1[[#This Row],[Code]],'[1]Articulos Precio'!$A:$E,5,FALSE)</f>
        <v>A0002670</v>
      </c>
    </row>
    <row r="3845" spans="1:9" x14ac:dyDescent="0.25">
      <c r="A3845" t="s">
        <v>1365</v>
      </c>
      <c r="B3845" t="str">
        <f>VLOOKUP(Tabla1[[#This Row],[Code]],[1]!Tabla4[#Data],2,FALSE)</f>
        <v>M2 Nekoosa EZ Color EC7288 Azul Medio Mate 0,61 x 45,7m</v>
      </c>
      <c r="C3845">
        <v>31</v>
      </c>
      <c r="D3845" t="s">
        <v>114</v>
      </c>
      <c r="E3845" t="str">
        <f>VLOOKUP(Tabla1[[#This Row],[Cód. Atributo]],[1]!Tabla5[#Data],6,FALSE)</f>
        <v>Select</v>
      </c>
      <c r="F3845">
        <v>7</v>
      </c>
      <c r="G3845">
        <v>14</v>
      </c>
      <c r="H3845" t="s">
        <v>1322</v>
      </c>
      <c r="I3845" t="str">
        <f>VLOOKUP(Tabla1[[#This Row],[Code]],'[1]Articulos Precio'!$A:$E,5,FALSE)</f>
        <v>A0002670</v>
      </c>
    </row>
    <row r="3846" spans="1:9" x14ac:dyDescent="0.25">
      <c r="A3846" t="s">
        <v>1367</v>
      </c>
      <c r="B3846" t="str">
        <f>VLOOKUP(Tabla1[[#This Row],[Code]],[1]!Tabla4[#Data],2,FALSE)</f>
        <v>M2 Nekoosa EZ Color EC7288 Azul Medio Mate 1,22 x 45,7m</v>
      </c>
      <c r="C3846">
        <v>8</v>
      </c>
      <c r="D3846" t="s">
        <v>86</v>
      </c>
      <c r="E3846" t="str">
        <f>VLOOKUP(Tabla1[[#This Row],[Cód. Atributo]],[1]!Tabla5[#Data],6,FALSE)</f>
        <v>Select</v>
      </c>
      <c r="F3846">
        <v>1</v>
      </c>
      <c r="G3846">
        <v>2</v>
      </c>
      <c r="H3846" t="s">
        <v>268</v>
      </c>
      <c r="I3846" t="str">
        <f>VLOOKUP(Tabla1[[#This Row],[Code]],'[1]Articulos Precio'!$A:$E,5,FALSE)</f>
        <v>A0002670</v>
      </c>
    </row>
    <row r="3847" spans="1:9" x14ac:dyDescent="0.25">
      <c r="A3847" t="s">
        <v>1367</v>
      </c>
      <c r="B3847" t="str">
        <f>VLOOKUP(Tabla1[[#This Row],[Code]],[1]!Tabla4[#Data],2,FALSE)</f>
        <v>M2 Nekoosa EZ Color EC7288 Azul Medio Mate 1,22 x 45,7m</v>
      </c>
      <c r="C3847">
        <v>51</v>
      </c>
      <c r="D3847" t="s">
        <v>1319</v>
      </c>
      <c r="E3847" t="str">
        <f>VLOOKUP(Tabla1[[#This Row],[Cód. Atributo]],[1]!Tabla5[#Data],6,FALSE)</f>
        <v>Select</v>
      </c>
      <c r="F3847">
        <v>2</v>
      </c>
      <c r="G3847">
        <v>7</v>
      </c>
      <c r="H3847" t="s">
        <v>1366</v>
      </c>
      <c r="I3847" t="str">
        <f>VLOOKUP(Tabla1[[#This Row],[Code]],'[1]Articulos Precio'!$A:$E,5,FALSE)</f>
        <v>A0002670</v>
      </c>
    </row>
    <row r="3848" spans="1:9" x14ac:dyDescent="0.25">
      <c r="A3848" t="s">
        <v>1367</v>
      </c>
      <c r="B3848" t="str">
        <f>VLOOKUP(Tabla1[[#This Row],[Code]],[1]!Tabla4[#Data],2,FALSE)</f>
        <v>M2 Nekoosa EZ Color EC7288 Azul Medio Mate 1,22 x 45,7m</v>
      </c>
      <c r="C3848">
        <v>23</v>
      </c>
      <c r="D3848" t="s">
        <v>90</v>
      </c>
      <c r="E3848" t="str">
        <f>VLOOKUP(Tabla1[[#This Row],[Cód. Atributo]],[1]!Tabla5[#Data],6,FALSE)</f>
        <v>Select</v>
      </c>
      <c r="F3848">
        <v>3</v>
      </c>
      <c r="G3848">
        <v>2</v>
      </c>
      <c r="H3848" t="s">
        <v>136</v>
      </c>
      <c r="I3848" t="str">
        <f>VLOOKUP(Tabla1[[#This Row],[Code]],'[1]Articulos Precio'!$A:$E,5,FALSE)</f>
        <v>A0002670</v>
      </c>
    </row>
    <row r="3849" spans="1:9" x14ac:dyDescent="0.25">
      <c r="A3849" t="s">
        <v>1367</v>
      </c>
      <c r="B3849" t="str">
        <f>VLOOKUP(Tabla1[[#This Row],[Code]],[1]!Tabla4[#Data],2,FALSE)</f>
        <v>M2 Nekoosa EZ Color EC7288 Azul Medio Mate 1,22 x 45,7m</v>
      </c>
      <c r="C3849">
        <v>28</v>
      </c>
      <c r="D3849" t="s">
        <v>92</v>
      </c>
      <c r="E3849" t="str">
        <f>VLOOKUP(Tabla1[[#This Row],[Cód. Atributo]],[1]!Tabla5[#Data],6,FALSE)</f>
        <v>Select</v>
      </c>
      <c r="F3849">
        <v>4</v>
      </c>
      <c r="G3849">
        <v>2</v>
      </c>
      <c r="H3849" t="s">
        <v>102</v>
      </c>
      <c r="I3849" t="str">
        <f>VLOOKUP(Tabla1[[#This Row],[Code]],'[1]Articulos Precio'!$A:$E,5,FALSE)</f>
        <v>A0002670</v>
      </c>
    </row>
    <row r="3850" spans="1:9" x14ac:dyDescent="0.25">
      <c r="A3850" t="s">
        <v>1367</v>
      </c>
      <c r="B3850" t="str">
        <f>VLOOKUP(Tabla1[[#This Row],[Code]],[1]!Tabla4[#Data],2,FALSE)</f>
        <v>M2 Nekoosa EZ Color EC7288 Azul Medio Mate 1,22 x 45,7m</v>
      </c>
      <c r="C3850">
        <v>25</v>
      </c>
      <c r="D3850" t="s">
        <v>94</v>
      </c>
      <c r="E3850" t="str">
        <f>VLOOKUP(Tabla1[[#This Row],[Cód. Atributo]],[1]!Tabla5[#Data],6,FALSE)</f>
        <v>Select</v>
      </c>
      <c r="F3850">
        <v>5</v>
      </c>
      <c r="G3850">
        <v>7</v>
      </c>
      <c r="H3850" t="s">
        <v>1321</v>
      </c>
      <c r="I3850" t="str">
        <f>VLOOKUP(Tabla1[[#This Row],[Code]],'[1]Articulos Precio'!$A:$E,5,FALSE)</f>
        <v>A0002670</v>
      </c>
    </row>
    <row r="3851" spans="1:9" x14ac:dyDescent="0.25">
      <c r="A3851" t="s">
        <v>1367</v>
      </c>
      <c r="B3851" t="str">
        <f>VLOOKUP(Tabla1[[#This Row],[Code]],[1]!Tabla4[#Data],2,FALSE)</f>
        <v>M2 Nekoosa EZ Color EC7288 Azul Medio Mate 1,22 x 45,7m</v>
      </c>
      <c r="C3851">
        <v>24</v>
      </c>
      <c r="D3851" t="s">
        <v>96</v>
      </c>
      <c r="E3851" t="str">
        <f>VLOOKUP(Tabla1[[#This Row],[Cód. Atributo]],[1]!Tabla5[#Data],6,FALSE)</f>
        <v>Select</v>
      </c>
      <c r="F3851">
        <v>6</v>
      </c>
      <c r="G3851">
        <v>2</v>
      </c>
      <c r="H3851" t="s">
        <v>266</v>
      </c>
      <c r="I3851" t="str">
        <f>VLOOKUP(Tabla1[[#This Row],[Code]],'[1]Articulos Precio'!$A:$E,5,FALSE)</f>
        <v>A0002670</v>
      </c>
    </row>
    <row r="3852" spans="1:9" x14ac:dyDescent="0.25">
      <c r="A3852" t="s">
        <v>1367</v>
      </c>
      <c r="B3852" t="str">
        <f>VLOOKUP(Tabla1[[#This Row],[Code]],[1]!Tabla4[#Data],2,FALSE)</f>
        <v>M2 Nekoosa EZ Color EC7288 Azul Medio Mate 1,22 x 45,7m</v>
      </c>
      <c r="C3852">
        <v>31</v>
      </c>
      <c r="D3852" t="s">
        <v>114</v>
      </c>
      <c r="E3852" t="str">
        <f>VLOOKUP(Tabla1[[#This Row],[Cód. Atributo]],[1]!Tabla5[#Data],6,FALSE)</f>
        <v>Select</v>
      </c>
      <c r="F3852">
        <v>7</v>
      </c>
      <c r="G3852">
        <v>14</v>
      </c>
      <c r="H3852" t="s">
        <v>1322</v>
      </c>
      <c r="I3852" t="str">
        <f>VLOOKUP(Tabla1[[#This Row],[Code]],'[1]Articulos Precio'!$A:$E,5,FALSE)</f>
        <v>A0002670</v>
      </c>
    </row>
    <row r="3853" spans="1:9" x14ac:dyDescent="0.25">
      <c r="A3853" t="s">
        <v>1368</v>
      </c>
      <c r="B3853" t="str">
        <f>VLOOKUP(Tabla1[[#This Row],[Code]],[1]!Tabla4[#Data],2,FALSE)</f>
        <v>M2 Nekoosa EZ Color EC7422 Naranja Mate 0,61 x 45,7m</v>
      </c>
      <c r="C3853">
        <v>8</v>
      </c>
      <c r="D3853" t="s">
        <v>86</v>
      </c>
      <c r="E3853" t="str">
        <f>VLOOKUP(Tabla1[[#This Row],[Cód. Atributo]],[1]!Tabla5[#Data],6,FALSE)</f>
        <v>Select</v>
      </c>
      <c r="F3853">
        <v>1</v>
      </c>
      <c r="G3853">
        <v>1</v>
      </c>
      <c r="H3853" t="s">
        <v>263</v>
      </c>
      <c r="I3853" t="str">
        <f>VLOOKUP(Tabla1[[#This Row],[Code]],'[1]Articulos Precio'!$A:$E,5,FALSE)</f>
        <v>A0002670</v>
      </c>
    </row>
    <row r="3854" spans="1:9" x14ac:dyDescent="0.25">
      <c r="A3854" t="s">
        <v>1368</v>
      </c>
      <c r="B3854" t="str">
        <f>VLOOKUP(Tabla1[[#This Row],[Code]],[1]!Tabla4[#Data],2,FALSE)</f>
        <v>M2 Nekoosa EZ Color EC7422 Naranja Mate 0,61 x 45,7m</v>
      </c>
      <c r="C3854">
        <v>51</v>
      </c>
      <c r="D3854" t="s">
        <v>1319</v>
      </c>
      <c r="E3854" t="str">
        <f>VLOOKUP(Tabla1[[#This Row],[Cód. Atributo]],[1]!Tabla5[#Data],6,FALSE)</f>
        <v>Select</v>
      </c>
      <c r="F3854">
        <v>2</v>
      </c>
      <c r="G3854">
        <v>8</v>
      </c>
      <c r="H3854" t="s">
        <v>1369</v>
      </c>
      <c r="I3854" t="str">
        <f>VLOOKUP(Tabla1[[#This Row],[Code]],'[1]Articulos Precio'!$A:$E,5,FALSE)</f>
        <v>A0002670</v>
      </c>
    </row>
    <row r="3855" spans="1:9" x14ac:dyDescent="0.25">
      <c r="A3855" t="s">
        <v>1368</v>
      </c>
      <c r="B3855" t="str">
        <f>VLOOKUP(Tabla1[[#This Row],[Code]],[1]!Tabla4[#Data],2,FALSE)</f>
        <v>M2 Nekoosa EZ Color EC7422 Naranja Mate 0,61 x 45,7m</v>
      </c>
      <c r="C3855">
        <v>23</v>
      </c>
      <c r="D3855" t="s">
        <v>90</v>
      </c>
      <c r="E3855" t="str">
        <f>VLOOKUP(Tabla1[[#This Row],[Cód. Atributo]],[1]!Tabla5[#Data],6,FALSE)</f>
        <v>Select</v>
      </c>
      <c r="F3855">
        <v>3</v>
      </c>
      <c r="G3855">
        <v>2</v>
      </c>
      <c r="H3855" t="s">
        <v>136</v>
      </c>
      <c r="I3855" t="str">
        <f>VLOOKUP(Tabla1[[#This Row],[Code]],'[1]Articulos Precio'!$A:$E,5,FALSE)</f>
        <v>A0002670</v>
      </c>
    </row>
    <row r="3856" spans="1:9" x14ac:dyDescent="0.25">
      <c r="A3856" t="s">
        <v>1368</v>
      </c>
      <c r="B3856" t="str">
        <f>VLOOKUP(Tabla1[[#This Row],[Code]],[1]!Tabla4[#Data],2,FALSE)</f>
        <v>M2 Nekoosa EZ Color EC7422 Naranja Mate 0,61 x 45,7m</v>
      </c>
      <c r="C3856">
        <v>28</v>
      </c>
      <c r="D3856" t="s">
        <v>92</v>
      </c>
      <c r="E3856" t="str">
        <f>VLOOKUP(Tabla1[[#This Row],[Cód. Atributo]],[1]!Tabla5[#Data],6,FALSE)</f>
        <v>Select</v>
      </c>
      <c r="F3856">
        <v>4</v>
      </c>
      <c r="G3856">
        <v>2</v>
      </c>
      <c r="H3856" t="s">
        <v>102</v>
      </c>
      <c r="I3856" t="str">
        <f>VLOOKUP(Tabla1[[#This Row],[Code]],'[1]Articulos Precio'!$A:$E,5,FALSE)</f>
        <v>A0002670</v>
      </c>
    </row>
    <row r="3857" spans="1:9" x14ac:dyDescent="0.25">
      <c r="A3857" t="s">
        <v>1368</v>
      </c>
      <c r="B3857" t="str">
        <f>VLOOKUP(Tabla1[[#This Row],[Code]],[1]!Tabla4[#Data],2,FALSE)</f>
        <v>M2 Nekoosa EZ Color EC7422 Naranja Mate 0,61 x 45,7m</v>
      </c>
      <c r="C3857">
        <v>25</v>
      </c>
      <c r="D3857" t="s">
        <v>94</v>
      </c>
      <c r="E3857" t="str">
        <f>VLOOKUP(Tabla1[[#This Row],[Cód. Atributo]],[1]!Tabla5[#Data],6,FALSE)</f>
        <v>Select</v>
      </c>
      <c r="F3857">
        <v>5</v>
      </c>
      <c r="G3857">
        <v>7</v>
      </c>
      <c r="H3857" t="s">
        <v>1321</v>
      </c>
      <c r="I3857" t="str">
        <f>VLOOKUP(Tabla1[[#This Row],[Code]],'[1]Articulos Precio'!$A:$E,5,FALSE)</f>
        <v>A0002670</v>
      </c>
    </row>
    <row r="3858" spans="1:9" x14ac:dyDescent="0.25">
      <c r="A3858" t="s">
        <v>1368</v>
      </c>
      <c r="B3858" t="str">
        <f>VLOOKUP(Tabla1[[#This Row],[Code]],[1]!Tabla4[#Data],2,FALSE)</f>
        <v>M2 Nekoosa EZ Color EC7422 Naranja Mate 0,61 x 45,7m</v>
      </c>
      <c r="C3858">
        <v>24</v>
      </c>
      <c r="D3858" t="s">
        <v>96</v>
      </c>
      <c r="E3858" t="str">
        <f>VLOOKUP(Tabla1[[#This Row],[Cód. Atributo]],[1]!Tabla5[#Data],6,FALSE)</f>
        <v>Select</v>
      </c>
      <c r="F3858">
        <v>6</v>
      </c>
      <c r="G3858">
        <v>2</v>
      </c>
      <c r="H3858" t="s">
        <v>266</v>
      </c>
      <c r="I3858" t="str">
        <f>VLOOKUP(Tabla1[[#This Row],[Code]],'[1]Articulos Precio'!$A:$E,5,FALSE)</f>
        <v>A0002670</v>
      </c>
    </row>
    <row r="3859" spans="1:9" x14ac:dyDescent="0.25">
      <c r="A3859" t="s">
        <v>1368</v>
      </c>
      <c r="B3859" t="str">
        <f>VLOOKUP(Tabla1[[#This Row],[Code]],[1]!Tabla4[#Data],2,FALSE)</f>
        <v>M2 Nekoosa EZ Color EC7422 Naranja Mate 0,61 x 45,7m</v>
      </c>
      <c r="C3859">
        <v>31</v>
      </c>
      <c r="D3859" t="s">
        <v>114</v>
      </c>
      <c r="E3859" t="str">
        <f>VLOOKUP(Tabla1[[#This Row],[Cód. Atributo]],[1]!Tabla5[#Data],6,FALSE)</f>
        <v>Select</v>
      </c>
      <c r="F3859">
        <v>7</v>
      </c>
      <c r="G3859">
        <v>14</v>
      </c>
      <c r="H3859" t="s">
        <v>1322</v>
      </c>
      <c r="I3859" t="str">
        <f>VLOOKUP(Tabla1[[#This Row],[Code]],'[1]Articulos Precio'!$A:$E,5,FALSE)</f>
        <v>A0002670</v>
      </c>
    </row>
    <row r="3860" spans="1:9" x14ac:dyDescent="0.25">
      <c r="A3860" t="s">
        <v>1370</v>
      </c>
      <c r="B3860" t="str">
        <f>VLOOKUP(Tabla1[[#This Row],[Code]],[1]!Tabla4[#Data],2,FALSE)</f>
        <v>M2 Nekoosa EZ Color EC7422 Naranja Mate 1,22 x 45,7m</v>
      </c>
      <c r="C3860">
        <v>8</v>
      </c>
      <c r="D3860" t="s">
        <v>86</v>
      </c>
      <c r="E3860" t="str">
        <f>VLOOKUP(Tabla1[[#This Row],[Cód. Atributo]],[1]!Tabla5[#Data],6,FALSE)</f>
        <v>Select</v>
      </c>
      <c r="F3860">
        <v>1</v>
      </c>
      <c r="G3860">
        <v>2</v>
      </c>
      <c r="H3860" t="s">
        <v>268</v>
      </c>
      <c r="I3860" t="str">
        <f>VLOOKUP(Tabla1[[#This Row],[Code]],'[1]Articulos Precio'!$A:$E,5,FALSE)</f>
        <v>A0002670</v>
      </c>
    </row>
    <row r="3861" spans="1:9" x14ac:dyDescent="0.25">
      <c r="A3861" t="s">
        <v>1370</v>
      </c>
      <c r="B3861" t="str">
        <f>VLOOKUP(Tabla1[[#This Row],[Code]],[1]!Tabla4[#Data],2,FALSE)</f>
        <v>M2 Nekoosa EZ Color EC7422 Naranja Mate 1,22 x 45,7m</v>
      </c>
      <c r="C3861">
        <v>51</v>
      </c>
      <c r="D3861" t="s">
        <v>1319</v>
      </c>
      <c r="E3861" t="str">
        <f>VLOOKUP(Tabla1[[#This Row],[Cód. Atributo]],[1]!Tabla5[#Data],6,FALSE)</f>
        <v>Select</v>
      </c>
      <c r="F3861">
        <v>2</v>
      </c>
      <c r="G3861">
        <v>8</v>
      </c>
      <c r="H3861" t="s">
        <v>1369</v>
      </c>
      <c r="I3861" t="str">
        <f>VLOOKUP(Tabla1[[#This Row],[Code]],'[1]Articulos Precio'!$A:$E,5,FALSE)</f>
        <v>A0002670</v>
      </c>
    </row>
    <row r="3862" spans="1:9" x14ac:dyDescent="0.25">
      <c r="A3862" t="s">
        <v>1370</v>
      </c>
      <c r="B3862" t="str">
        <f>VLOOKUP(Tabla1[[#This Row],[Code]],[1]!Tabla4[#Data],2,FALSE)</f>
        <v>M2 Nekoosa EZ Color EC7422 Naranja Mate 1,22 x 45,7m</v>
      </c>
      <c r="C3862">
        <v>23</v>
      </c>
      <c r="D3862" t="s">
        <v>90</v>
      </c>
      <c r="E3862" t="str">
        <f>VLOOKUP(Tabla1[[#This Row],[Cód. Atributo]],[1]!Tabla5[#Data],6,FALSE)</f>
        <v>Select</v>
      </c>
      <c r="F3862">
        <v>3</v>
      </c>
      <c r="G3862">
        <v>2</v>
      </c>
      <c r="H3862" t="s">
        <v>136</v>
      </c>
      <c r="I3862" t="str">
        <f>VLOOKUP(Tabla1[[#This Row],[Code]],'[1]Articulos Precio'!$A:$E,5,FALSE)</f>
        <v>A0002670</v>
      </c>
    </row>
    <row r="3863" spans="1:9" x14ac:dyDescent="0.25">
      <c r="A3863" t="s">
        <v>1370</v>
      </c>
      <c r="B3863" t="str">
        <f>VLOOKUP(Tabla1[[#This Row],[Code]],[1]!Tabla4[#Data],2,FALSE)</f>
        <v>M2 Nekoosa EZ Color EC7422 Naranja Mate 1,22 x 45,7m</v>
      </c>
      <c r="C3863">
        <v>28</v>
      </c>
      <c r="D3863" t="s">
        <v>92</v>
      </c>
      <c r="E3863" t="str">
        <f>VLOOKUP(Tabla1[[#This Row],[Cód. Atributo]],[1]!Tabla5[#Data],6,FALSE)</f>
        <v>Select</v>
      </c>
      <c r="F3863">
        <v>4</v>
      </c>
      <c r="G3863">
        <v>2</v>
      </c>
      <c r="H3863" t="s">
        <v>102</v>
      </c>
      <c r="I3863" t="str">
        <f>VLOOKUP(Tabla1[[#This Row],[Code]],'[1]Articulos Precio'!$A:$E,5,FALSE)</f>
        <v>A0002670</v>
      </c>
    </row>
    <row r="3864" spans="1:9" x14ac:dyDescent="0.25">
      <c r="A3864" t="s">
        <v>1370</v>
      </c>
      <c r="B3864" t="str">
        <f>VLOOKUP(Tabla1[[#This Row],[Code]],[1]!Tabla4[#Data],2,FALSE)</f>
        <v>M2 Nekoosa EZ Color EC7422 Naranja Mate 1,22 x 45,7m</v>
      </c>
      <c r="C3864">
        <v>25</v>
      </c>
      <c r="D3864" t="s">
        <v>94</v>
      </c>
      <c r="E3864" t="str">
        <f>VLOOKUP(Tabla1[[#This Row],[Cód. Atributo]],[1]!Tabla5[#Data],6,FALSE)</f>
        <v>Select</v>
      </c>
      <c r="F3864">
        <v>5</v>
      </c>
      <c r="G3864">
        <v>7</v>
      </c>
      <c r="H3864" t="s">
        <v>1321</v>
      </c>
      <c r="I3864" t="str">
        <f>VLOOKUP(Tabla1[[#This Row],[Code]],'[1]Articulos Precio'!$A:$E,5,FALSE)</f>
        <v>A0002670</v>
      </c>
    </row>
    <row r="3865" spans="1:9" x14ac:dyDescent="0.25">
      <c r="A3865" t="s">
        <v>1370</v>
      </c>
      <c r="B3865" t="str">
        <f>VLOOKUP(Tabla1[[#This Row],[Code]],[1]!Tabla4[#Data],2,FALSE)</f>
        <v>M2 Nekoosa EZ Color EC7422 Naranja Mate 1,22 x 45,7m</v>
      </c>
      <c r="C3865">
        <v>24</v>
      </c>
      <c r="D3865" t="s">
        <v>96</v>
      </c>
      <c r="E3865" t="str">
        <f>VLOOKUP(Tabla1[[#This Row],[Cód. Atributo]],[1]!Tabla5[#Data],6,FALSE)</f>
        <v>Select</v>
      </c>
      <c r="F3865">
        <v>6</v>
      </c>
      <c r="G3865">
        <v>2</v>
      </c>
      <c r="H3865" t="s">
        <v>266</v>
      </c>
      <c r="I3865" t="str">
        <f>VLOOKUP(Tabla1[[#This Row],[Code]],'[1]Articulos Precio'!$A:$E,5,FALSE)</f>
        <v>A0002670</v>
      </c>
    </row>
    <row r="3866" spans="1:9" x14ac:dyDescent="0.25">
      <c r="A3866" t="s">
        <v>1370</v>
      </c>
      <c r="B3866" t="str">
        <f>VLOOKUP(Tabla1[[#This Row],[Code]],[1]!Tabla4[#Data],2,FALSE)</f>
        <v>M2 Nekoosa EZ Color EC7422 Naranja Mate 1,22 x 45,7m</v>
      </c>
      <c r="C3866">
        <v>31</v>
      </c>
      <c r="D3866" t="s">
        <v>114</v>
      </c>
      <c r="E3866" t="str">
        <f>VLOOKUP(Tabla1[[#This Row],[Cód. Atributo]],[1]!Tabla5[#Data],6,FALSE)</f>
        <v>Select</v>
      </c>
      <c r="F3866">
        <v>7</v>
      </c>
      <c r="G3866">
        <v>14</v>
      </c>
      <c r="H3866" t="s">
        <v>1322</v>
      </c>
      <c r="I3866" t="str">
        <f>VLOOKUP(Tabla1[[#This Row],[Code]],'[1]Articulos Precio'!$A:$E,5,FALSE)</f>
        <v>A0002670</v>
      </c>
    </row>
    <row r="3867" spans="1:9" x14ac:dyDescent="0.25">
      <c r="A3867" t="s">
        <v>1371</v>
      </c>
      <c r="B3867" t="str">
        <f>VLOOKUP(Tabla1[[#This Row],[Code]],[1]!Tabla4[#Data],2,FALSE)</f>
        <v>M2 Nekoosa EZ Color EC9284 Negro Mate 0,61 x 45,7m</v>
      </c>
      <c r="C3867">
        <v>8</v>
      </c>
      <c r="D3867" t="s">
        <v>86</v>
      </c>
      <c r="E3867" t="str">
        <f>VLOOKUP(Tabla1[[#This Row],[Cód. Atributo]],[1]!Tabla5[#Data],6,FALSE)</f>
        <v>Select</v>
      </c>
      <c r="F3867">
        <v>1</v>
      </c>
      <c r="G3867">
        <v>1</v>
      </c>
      <c r="H3867" t="s">
        <v>263</v>
      </c>
      <c r="I3867" t="str">
        <f>VLOOKUP(Tabla1[[#This Row],[Code]],'[1]Articulos Precio'!$A:$E,5,FALSE)</f>
        <v>A0002670</v>
      </c>
    </row>
    <row r="3868" spans="1:9" x14ac:dyDescent="0.25">
      <c r="A3868" t="s">
        <v>1371</v>
      </c>
      <c r="B3868" t="str">
        <f>VLOOKUP(Tabla1[[#This Row],[Code]],[1]!Tabla4[#Data],2,FALSE)</f>
        <v>M2 Nekoosa EZ Color EC9284 Negro Mate 0,61 x 45,7m</v>
      </c>
      <c r="C3868">
        <v>51</v>
      </c>
      <c r="D3868" t="s">
        <v>1319</v>
      </c>
      <c r="E3868" t="str">
        <f>VLOOKUP(Tabla1[[#This Row],[Cód. Atributo]],[1]!Tabla5[#Data],6,FALSE)</f>
        <v>Select</v>
      </c>
      <c r="F3868">
        <v>2</v>
      </c>
      <c r="G3868">
        <v>9</v>
      </c>
      <c r="H3868" t="s">
        <v>1372</v>
      </c>
      <c r="I3868" t="str">
        <f>VLOOKUP(Tabla1[[#This Row],[Code]],'[1]Articulos Precio'!$A:$E,5,FALSE)</f>
        <v>A0002670</v>
      </c>
    </row>
    <row r="3869" spans="1:9" x14ac:dyDescent="0.25">
      <c r="A3869" t="s">
        <v>1371</v>
      </c>
      <c r="B3869" t="str">
        <f>VLOOKUP(Tabla1[[#This Row],[Code]],[1]!Tabla4[#Data],2,FALSE)</f>
        <v>M2 Nekoosa EZ Color EC9284 Negro Mate 0,61 x 45,7m</v>
      </c>
      <c r="C3869">
        <v>23</v>
      </c>
      <c r="D3869" t="s">
        <v>90</v>
      </c>
      <c r="E3869" t="str">
        <f>VLOOKUP(Tabla1[[#This Row],[Cód. Atributo]],[1]!Tabla5[#Data],6,FALSE)</f>
        <v>Select</v>
      </c>
      <c r="F3869">
        <v>3</v>
      </c>
      <c r="G3869">
        <v>2</v>
      </c>
      <c r="H3869" t="s">
        <v>136</v>
      </c>
      <c r="I3869" t="str">
        <f>VLOOKUP(Tabla1[[#This Row],[Code]],'[1]Articulos Precio'!$A:$E,5,FALSE)</f>
        <v>A0002670</v>
      </c>
    </row>
    <row r="3870" spans="1:9" x14ac:dyDescent="0.25">
      <c r="A3870" t="s">
        <v>1371</v>
      </c>
      <c r="B3870" t="str">
        <f>VLOOKUP(Tabla1[[#This Row],[Code]],[1]!Tabla4[#Data],2,FALSE)</f>
        <v>M2 Nekoosa EZ Color EC9284 Negro Mate 0,61 x 45,7m</v>
      </c>
      <c r="C3870">
        <v>28</v>
      </c>
      <c r="D3870" t="s">
        <v>92</v>
      </c>
      <c r="E3870" t="str">
        <f>VLOOKUP(Tabla1[[#This Row],[Cód. Atributo]],[1]!Tabla5[#Data],6,FALSE)</f>
        <v>Select</v>
      </c>
      <c r="F3870">
        <v>4</v>
      </c>
      <c r="G3870">
        <v>2</v>
      </c>
      <c r="H3870" t="s">
        <v>102</v>
      </c>
      <c r="I3870" t="str">
        <f>VLOOKUP(Tabla1[[#This Row],[Code]],'[1]Articulos Precio'!$A:$E,5,FALSE)</f>
        <v>A0002670</v>
      </c>
    </row>
    <row r="3871" spans="1:9" x14ac:dyDescent="0.25">
      <c r="A3871" t="s">
        <v>1371</v>
      </c>
      <c r="B3871" t="str">
        <f>VLOOKUP(Tabla1[[#This Row],[Code]],[1]!Tabla4[#Data],2,FALSE)</f>
        <v>M2 Nekoosa EZ Color EC9284 Negro Mate 0,61 x 45,7m</v>
      </c>
      <c r="C3871">
        <v>25</v>
      </c>
      <c r="D3871" t="s">
        <v>94</v>
      </c>
      <c r="E3871" t="str">
        <f>VLOOKUP(Tabla1[[#This Row],[Cód. Atributo]],[1]!Tabla5[#Data],6,FALSE)</f>
        <v>Select</v>
      </c>
      <c r="F3871">
        <v>5</v>
      </c>
      <c r="G3871">
        <v>7</v>
      </c>
      <c r="H3871" t="s">
        <v>1321</v>
      </c>
      <c r="I3871" t="str">
        <f>VLOOKUP(Tabla1[[#This Row],[Code]],'[1]Articulos Precio'!$A:$E,5,FALSE)</f>
        <v>A0002670</v>
      </c>
    </row>
    <row r="3872" spans="1:9" x14ac:dyDescent="0.25">
      <c r="A3872" t="s">
        <v>1371</v>
      </c>
      <c r="B3872" t="str">
        <f>VLOOKUP(Tabla1[[#This Row],[Code]],[1]!Tabla4[#Data],2,FALSE)</f>
        <v>M2 Nekoosa EZ Color EC9284 Negro Mate 0,61 x 45,7m</v>
      </c>
      <c r="C3872">
        <v>24</v>
      </c>
      <c r="D3872" t="s">
        <v>96</v>
      </c>
      <c r="E3872" t="str">
        <f>VLOOKUP(Tabla1[[#This Row],[Cód. Atributo]],[1]!Tabla5[#Data],6,FALSE)</f>
        <v>Select</v>
      </c>
      <c r="F3872">
        <v>6</v>
      </c>
      <c r="G3872">
        <v>2</v>
      </c>
      <c r="H3872" t="s">
        <v>266</v>
      </c>
      <c r="I3872" t="str">
        <f>VLOOKUP(Tabla1[[#This Row],[Code]],'[1]Articulos Precio'!$A:$E,5,FALSE)</f>
        <v>A0002670</v>
      </c>
    </row>
    <row r="3873" spans="1:9" x14ac:dyDescent="0.25">
      <c r="A3873" t="s">
        <v>1371</v>
      </c>
      <c r="B3873" t="str">
        <f>VLOOKUP(Tabla1[[#This Row],[Code]],[1]!Tabla4[#Data],2,FALSE)</f>
        <v>M2 Nekoosa EZ Color EC9284 Negro Mate 0,61 x 45,7m</v>
      </c>
      <c r="C3873">
        <v>31</v>
      </c>
      <c r="D3873" t="s">
        <v>114</v>
      </c>
      <c r="E3873" t="str">
        <f>VLOOKUP(Tabla1[[#This Row],[Cód. Atributo]],[1]!Tabla5[#Data],6,FALSE)</f>
        <v>Select</v>
      </c>
      <c r="F3873">
        <v>7</v>
      </c>
      <c r="G3873">
        <v>14</v>
      </c>
      <c r="H3873" t="s">
        <v>1322</v>
      </c>
      <c r="I3873" t="str">
        <f>VLOOKUP(Tabla1[[#This Row],[Code]],'[1]Articulos Precio'!$A:$E,5,FALSE)</f>
        <v>A0002670</v>
      </c>
    </row>
    <row r="3874" spans="1:9" x14ac:dyDescent="0.25">
      <c r="A3874" t="s">
        <v>1373</v>
      </c>
      <c r="B3874" t="str">
        <f>VLOOKUP(Tabla1[[#This Row],[Code]],[1]!Tabla4[#Data],2,FALSE)</f>
        <v>M2 Nekoosa EZ Color EC9284 Negro Mate 1,22 x 45,7m</v>
      </c>
      <c r="C3874">
        <v>8</v>
      </c>
      <c r="D3874" t="s">
        <v>86</v>
      </c>
      <c r="E3874" t="str">
        <f>VLOOKUP(Tabla1[[#This Row],[Cód. Atributo]],[1]!Tabla5[#Data],6,FALSE)</f>
        <v>Select</v>
      </c>
      <c r="F3874">
        <v>1</v>
      </c>
      <c r="G3874">
        <v>2</v>
      </c>
      <c r="H3874" t="s">
        <v>268</v>
      </c>
      <c r="I3874" t="str">
        <f>VLOOKUP(Tabla1[[#This Row],[Code]],'[1]Articulos Precio'!$A:$E,5,FALSE)</f>
        <v>A0002670</v>
      </c>
    </row>
    <row r="3875" spans="1:9" x14ac:dyDescent="0.25">
      <c r="A3875" t="s">
        <v>1373</v>
      </c>
      <c r="B3875" t="str">
        <f>VLOOKUP(Tabla1[[#This Row],[Code]],[1]!Tabla4[#Data],2,FALSE)</f>
        <v>M2 Nekoosa EZ Color EC9284 Negro Mate 1,22 x 45,7m</v>
      </c>
      <c r="C3875">
        <v>51</v>
      </c>
      <c r="D3875" t="s">
        <v>1319</v>
      </c>
      <c r="E3875" t="str">
        <f>VLOOKUP(Tabla1[[#This Row],[Cód. Atributo]],[1]!Tabla5[#Data],6,FALSE)</f>
        <v>Select</v>
      </c>
      <c r="F3875">
        <v>2</v>
      </c>
      <c r="G3875">
        <v>9</v>
      </c>
      <c r="H3875" t="s">
        <v>1372</v>
      </c>
      <c r="I3875" t="str">
        <f>VLOOKUP(Tabla1[[#This Row],[Code]],'[1]Articulos Precio'!$A:$E,5,FALSE)</f>
        <v>A0002670</v>
      </c>
    </row>
    <row r="3876" spans="1:9" x14ac:dyDescent="0.25">
      <c r="A3876" t="s">
        <v>1373</v>
      </c>
      <c r="B3876" t="str">
        <f>VLOOKUP(Tabla1[[#This Row],[Code]],[1]!Tabla4[#Data],2,FALSE)</f>
        <v>M2 Nekoosa EZ Color EC9284 Negro Mate 1,22 x 45,7m</v>
      </c>
      <c r="C3876">
        <v>23</v>
      </c>
      <c r="D3876" t="s">
        <v>90</v>
      </c>
      <c r="E3876" t="str">
        <f>VLOOKUP(Tabla1[[#This Row],[Cód. Atributo]],[1]!Tabla5[#Data],6,FALSE)</f>
        <v>Select</v>
      </c>
      <c r="F3876">
        <v>3</v>
      </c>
      <c r="G3876">
        <v>2</v>
      </c>
      <c r="H3876" t="s">
        <v>136</v>
      </c>
      <c r="I3876" t="str">
        <f>VLOOKUP(Tabla1[[#This Row],[Code]],'[1]Articulos Precio'!$A:$E,5,FALSE)</f>
        <v>A0002670</v>
      </c>
    </row>
    <row r="3877" spans="1:9" x14ac:dyDescent="0.25">
      <c r="A3877" t="s">
        <v>1373</v>
      </c>
      <c r="B3877" t="str">
        <f>VLOOKUP(Tabla1[[#This Row],[Code]],[1]!Tabla4[#Data],2,FALSE)</f>
        <v>M2 Nekoosa EZ Color EC9284 Negro Mate 1,22 x 45,7m</v>
      </c>
      <c r="C3877">
        <v>28</v>
      </c>
      <c r="D3877" t="s">
        <v>92</v>
      </c>
      <c r="E3877" t="str">
        <f>VLOOKUP(Tabla1[[#This Row],[Cód. Atributo]],[1]!Tabla5[#Data],6,FALSE)</f>
        <v>Select</v>
      </c>
      <c r="F3877">
        <v>4</v>
      </c>
      <c r="G3877">
        <v>2</v>
      </c>
      <c r="H3877" t="s">
        <v>102</v>
      </c>
      <c r="I3877" t="str">
        <f>VLOOKUP(Tabla1[[#This Row],[Code]],'[1]Articulos Precio'!$A:$E,5,FALSE)</f>
        <v>A0002670</v>
      </c>
    </row>
    <row r="3878" spans="1:9" x14ac:dyDescent="0.25">
      <c r="A3878" t="s">
        <v>1373</v>
      </c>
      <c r="B3878" t="str">
        <f>VLOOKUP(Tabla1[[#This Row],[Code]],[1]!Tabla4[#Data],2,FALSE)</f>
        <v>M2 Nekoosa EZ Color EC9284 Negro Mate 1,22 x 45,7m</v>
      </c>
      <c r="C3878">
        <v>25</v>
      </c>
      <c r="D3878" t="s">
        <v>94</v>
      </c>
      <c r="E3878" t="str">
        <f>VLOOKUP(Tabla1[[#This Row],[Cód. Atributo]],[1]!Tabla5[#Data],6,FALSE)</f>
        <v>Select</v>
      </c>
      <c r="F3878">
        <v>5</v>
      </c>
      <c r="G3878">
        <v>7</v>
      </c>
      <c r="H3878" t="s">
        <v>1321</v>
      </c>
      <c r="I3878" t="str">
        <f>VLOOKUP(Tabla1[[#This Row],[Code]],'[1]Articulos Precio'!$A:$E,5,FALSE)</f>
        <v>A0002670</v>
      </c>
    </row>
    <row r="3879" spans="1:9" x14ac:dyDescent="0.25">
      <c r="A3879" t="s">
        <v>1373</v>
      </c>
      <c r="B3879" t="str">
        <f>VLOOKUP(Tabla1[[#This Row],[Code]],[1]!Tabla4[#Data],2,FALSE)</f>
        <v>M2 Nekoosa EZ Color EC9284 Negro Mate 1,22 x 45,7m</v>
      </c>
      <c r="C3879">
        <v>24</v>
      </c>
      <c r="D3879" t="s">
        <v>96</v>
      </c>
      <c r="E3879" t="str">
        <f>VLOOKUP(Tabla1[[#This Row],[Cód. Atributo]],[1]!Tabla5[#Data],6,FALSE)</f>
        <v>Select</v>
      </c>
      <c r="F3879">
        <v>6</v>
      </c>
      <c r="G3879">
        <v>2</v>
      </c>
      <c r="H3879" t="s">
        <v>266</v>
      </c>
      <c r="I3879" t="str">
        <f>VLOOKUP(Tabla1[[#This Row],[Code]],'[1]Articulos Precio'!$A:$E,5,FALSE)</f>
        <v>A0002670</v>
      </c>
    </row>
    <row r="3880" spans="1:9" x14ac:dyDescent="0.25">
      <c r="A3880" t="s">
        <v>1373</v>
      </c>
      <c r="B3880" t="str">
        <f>VLOOKUP(Tabla1[[#This Row],[Code]],[1]!Tabla4[#Data],2,FALSE)</f>
        <v>M2 Nekoosa EZ Color EC9284 Negro Mate 1,22 x 45,7m</v>
      </c>
      <c r="C3880">
        <v>31</v>
      </c>
      <c r="D3880" t="s">
        <v>114</v>
      </c>
      <c r="E3880" t="str">
        <f>VLOOKUP(Tabla1[[#This Row],[Cód. Atributo]],[1]!Tabla5[#Data],6,FALSE)</f>
        <v>Select</v>
      </c>
      <c r="F3880">
        <v>7</v>
      </c>
      <c r="G3880">
        <v>14</v>
      </c>
      <c r="H3880" t="s">
        <v>1322</v>
      </c>
      <c r="I3880" t="str">
        <f>VLOOKUP(Tabla1[[#This Row],[Code]],'[1]Articulos Precio'!$A:$E,5,FALSE)</f>
        <v>A0002670</v>
      </c>
    </row>
    <row r="3881" spans="1:9" x14ac:dyDescent="0.25">
      <c r="A3881" t="s">
        <v>1374</v>
      </c>
      <c r="B3881" t="str">
        <f>VLOOKUP(Tabla1[[#This Row],[Code]],[1]!Tabla4[#Data],2,FALSE)</f>
        <v>M2 Nekoosa EZ Color EC9882 Rojo Cardenal Mate 0,61 x 45,7m</v>
      </c>
      <c r="C3881">
        <v>8</v>
      </c>
      <c r="D3881" t="s">
        <v>86</v>
      </c>
      <c r="E3881" t="str">
        <f>VLOOKUP(Tabla1[[#This Row],[Cód. Atributo]],[1]!Tabla5[#Data],6,FALSE)</f>
        <v>Select</v>
      </c>
      <c r="F3881">
        <v>1</v>
      </c>
      <c r="G3881">
        <v>1</v>
      </c>
      <c r="H3881" t="s">
        <v>263</v>
      </c>
      <c r="I3881" t="str">
        <f>VLOOKUP(Tabla1[[#This Row],[Code]],'[1]Articulos Precio'!$A:$E,5,FALSE)</f>
        <v>A0002670</v>
      </c>
    </row>
    <row r="3882" spans="1:9" x14ac:dyDescent="0.25">
      <c r="A3882" t="s">
        <v>1374</v>
      </c>
      <c r="B3882" t="str">
        <f>VLOOKUP(Tabla1[[#This Row],[Code]],[1]!Tabla4[#Data],2,FALSE)</f>
        <v>M2 Nekoosa EZ Color EC9882 Rojo Cardenal Mate 0,61 x 45,7m</v>
      </c>
      <c r="C3882">
        <v>51</v>
      </c>
      <c r="D3882" t="s">
        <v>1319</v>
      </c>
      <c r="E3882" t="str">
        <f>VLOOKUP(Tabla1[[#This Row],[Cód. Atributo]],[1]!Tabla5[#Data],6,FALSE)</f>
        <v>Select</v>
      </c>
      <c r="F3882">
        <v>2</v>
      </c>
      <c r="G3882">
        <v>10</v>
      </c>
      <c r="H3882" t="s">
        <v>1375</v>
      </c>
      <c r="I3882" t="str">
        <f>VLOOKUP(Tabla1[[#This Row],[Code]],'[1]Articulos Precio'!$A:$E,5,FALSE)</f>
        <v>A0002670</v>
      </c>
    </row>
    <row r="3883" spans="1:9" x14ac:dyDescent="0.25">
      <c r="A3883" t="s">
        <v>1374</v>
      </c>
      <c r="B3883" t="str">
        <f>VLOOKUP(Tabla1[[#This Row],[Code]],[1]!Tabla4[#Data],2,FALSE)</f>
        <v>M2 Nekoosa EZ Color EC9882 Rojo Cardenal Mate 0,61 x 45,7m</v>
      </c>
      <c r="C3883">
        <v>23</v>
      </c>
      <c r="D3883" t="s">
        <v>90</v>
      </c>
      <c r="E3883" t="str">
        <f>VLOOKUP(Tabla1[[#This Row],[Cód. Atributo]],[1]!Tabla5[#Data],6,FALSE)</f>
        <v>Select</v>
      </c>
      <c r="F3883">
        <v>3</v>
      </c>
      <c r="G3883">
        <v>2</v>
      </c>
      <c r="H3883" t="s">
        <v>136</v>
      </c>
      <c r="I3883" t="str">
        <f>VLOOKUP(Tabla1[[#This Row],[Code]],'[1]Articulos Precio'!$A:$E,5,FALSE)</f>
        <v>A0002670</v>
      </c>
    </row>
    <row r="3884" spans="1:9" x14ac:dyDescent="0.25">
      <c r="A3884" t="s">
        <v>1374</v>
      </c>
      <c r="B3884" t="str">
        <f>VLOOKUP(Tabla1[[#This Row],[Code]],[1]!Tabla4[#Data],2,FALSE)</f>
        <v>M2 Nekoosa EZ Color EC9882 Rojo Cardenal Mate 0,61 x 45,7m</v>
      </c>
      <c r="C3884">
        <v>28</v>
      </c>
      <c r="D3884" t="s">
        <v>92</v>
      </c>
      <c r="E3884" t="str">
        <f>VLOOKUP(Tabla1[[#This Row],[Cód. Atributo]],[1]!Tabla5[#Data],6,FALSE)</f>
        <v>Select</v>
      </c>
      <c r="F3884">
        <v>4</v>
      </c>
      <c r="G3884">
        <v>2</v>
      </c>
      <c r="H3884" t="s">
        <v>102</v>
      </c>
      <c r="I3884" t="str">
        <f>VLOOKUP(Tabla1[[#This Row],[Code]],'[1]Articulos Precio'!$A:$E,5,FALSE)</f>
        <v>A0002670</v>
      </c>
    </row>
    <row r="3885" spans="1:9" x14ac:dyDescent="0.25">
      <c r="A3885" t="s">
        <v>1374</v>
      </c>
      <c r="B3885" t="str">
        <f>VLOOKUP(Tabla1[[#This Row],[Code]],[1]!Tabla4[#Data],2,FALSE)</f>
        <v>M2 Nekoosa EZ Color EC9882 Rojo Cardenal Mate 0,61 x 45,7m</v>
      </c>
      <c r="C3885">
        <v>25</v>
      </c>
      <c r="D3885" t="s">
        <v>94</v>
      </c>
      <c r="E3885" t="str">
        <f>VLOOKUP(Tabla1[[#This Row],[Cód. Atributo]],[1]!Tabla5[#Data],6,FALSE)</f>
        <v>Select</v>
      </c>
      <c r="F3885">
        <v>5</v>
      </c>
      <c r="G3885">
        <v>7</v>
      </c>
      <c r="H3885" t="s">
        <v>1321</v>
      </c>
      <c r="I3885" t="str">
        <f>VLOOKUP(Tabla1[[#This Row],[Code]],'[1]Articulos Precio'!$A:$E,5,FALSE)</f>
        <v>A0002670</v>
      </c>
    </row>
    <row r="3886" spans="1:9" x14ac:dyDescent="0.25">
      <c r="A3886" t="s">
        <v>1374</v>
      </c>
      <c r="B3886" t="str">
        <f>VLOOKUP(Tabla1[[#This Row],[Code]],[1]!Tabla4[#Data],2,FALSE)</f>
        <v>M2 Nekoosa EZ Color EC9882 Rojo Cardenal Mate 0,61 x 45,7m</v>
      </c>
      <c r="C3886">
        <v>24</v>
      </c>
      <c r="D3886" t="s">
        <v>96</v>
      </c>
      <c r="E3886" t="str">
        <f>VLOOKUP(Tabla1[[#This Row],[Cód. Atributo]],[1]!Tabla5[#Data],6,FALSE)</f>
        <v>Select</v>
      </c>
      <c r="F3886">
        <v>6</v>
      </c>
      <c r="G3886">
        <v>2</v>
      </c>
      <c r="H3886" t="s">
        <v>266</v>
      </c>
      <c r="I3886" t="str">
        <f>VLOOKUP(Tabla1[[#This Row],[Code]],'[1]Articulos Precio'!$A:$E,5,FALSE)</f>
        <v>A0002670</v>
      </c>
    </row>
    <row r="3887" spans="1:9" x14ac:dyDescent="0.25">
      <c r="A3887" t="s">
        <v>1374</v>
      </c>
      <c r="B3887" t="str">
        <f>VLOOKUP(Tabla1[[#This Row],[Code]],[1]!Tabla4[#Data],2,FALSE)</f>
        <v>M2 Nekoosa EZ Color EC9882 Rojo Cardenal Mate 0,61 x 45,7m</v>
      </c>
      <c r="C3887">
        <v>31</v>
      </c>
      <c r="D3887" t="s">
        <v>114</v>
      </c>
      <c r="E3887" t="str">
        <f>VLOOKUP(Tabla1[[#This Row],[Cód. Atributo]],[1]!Tabla5[#Data],6,FALSE)</f>
        <v>Select</v>
      </c>
      <c r="F3887">
        <v>7</v>
      </c>
      <c r="G3887">
        <v>14</v>
      </c>
      <c r="H3887" t="s">
        <v>1322</v>
      </c>
      <c r="I3887" t="str">
        <f>VLOOKUP(Tabla1[[#This Row],[Code]],'[1]Articulos Precio'!$A:$E,5,FALSE)</f>
        <v>A0002670</v>
      </c>
    </row>
    <row r="3888" spans="1:9" x14ac:dyDescent="0.25">
      <c r="A3888" t="s">
        <v>1376</v>
      </c>
      <c r="B3888" t="str">
        <f>VLOOKUP(Tabla1[[#This Row],[Code]],[1]!Tabla4[#Data],2,FALSE)</f>
        <v>M2 Nekoosa EZ Color EC9882 Rojo Cardenal Mate 1,22 x 45,7m</v>
      </c>
      <c r="C3888">
        <v>8</v>
      </c>
      <c r="D3888" t="s">
        <v>86</v>
      </c>
      <c r="E3888" t="str">
        <f>VLOOKUP(Tabla1[[#This Row],[Cód. Atributo]],[1]!Tabla5[#Data],6,FALSE)</f>
        <v>Select</v>
      </c>
      <c r="F3888">
        <v>1</v>
      </c>
      <c r="G3888">
        <v>2</v>
      </c>
      <c r="H3888" t="s">
        <v>268</v>
      </c>
      <c r="I3888" t="str">
        <f>VLOOKUP(Tabla1[[#This Row],[Code]],'[1]Articulos Precio'!$A:$E,5,FALSE)</f>
        <v>A0002670</v>
      </c>
    </row>
    <row r="3889" spans="1:9" x14ac:dyDescent="0.25">
      <c r="A3889" t="s">
        <v>1376</v>
      </c>
      <c r="B3889" t="str">
        <f>VLOOKUP(Tabla1[[#This Row],[Code]],[1]!Tabla4[#Data],2,FALSE)</f>
        <v>M2 Nekoosa EZ Color EC9882 Rojo Cardenal Mate 1,22 x 45,7m</v>
      </c>
      <c r="C3889">
        <v>51</v>
      </c>
      <c r="D3889" t="s">
        <v>1319</v>
      </c>
      <c r="E3889" t="str">
        <f>VLOOKUP(Tabla1[[#This Row],[Cód. Atributo]],[1]!Tabla5[#Data],6,FALSE)</f>
        <v>Select</v>
      </c>
      <c r="F3889">
        <v>2</v>
      </c>
      <c r="G3889">
        <v>10</v>
      </c>
      <c r="H3889" t="s">
        <v>1375</v>
      </c>
      <c r="I3889" t="str">
        <f>VLOOKUP(Tabla1[[#This Row],[Code]],'[1]Articulos Precio'!$A:$E,5,FALSE)</f>
        <v>A0002670</v>
      </c>
    </row>
    <row r="3890" spans="1:9" x14ac:dyDescent="0.25">
      <c r="A3890" t="s">
        <v>1376</v>
      </c>
      <c r="B3890" t="str">
        <f>VLOOKUP(Tabla1[[#This Row],[Code]],[1]!Tabla4[#Data],2,FALSE)</f>
        <v>M2 Nekoosa EZ Color EC9882 Rojo Cardenal Mate 1,22 x 45,7m</v>
      </c>
      <c r="C3890">
        <v>23</v>
      </c>
      <c r="D3890" t="s">
        <v>90</v>
      </c>
      <c r="E3890" t="str">
        <f>VLOOKUP(Tabla1[[#This Row],[Cód. Atributo]],[1]!Tabla5[#Data],6,FALSE)</f>
        <v>Select</v>
      </c>
      <c r="F3890">
        <v>3</v>
      </c>
      <c r="G3890">
        <v>2</v>
      </c>
      <c r="H3890" t="s">
        <v>136</v>
      </c>
      <c r="I3890" t="str">
        <f>VLOOKUP(Tabla1[[#This Row],[Code]],'[1]Articulos Precio'!$A:$E,5,FALSE)</f>
        <v>A0002670</v>
      </c>
    </row>
    <row r="3891" spans="1:9" x14ac:dyDescent="0.25">
      <c r="A3891" t="s">
        <v>1376</v>
      </c>
      <c r="B3891" t="str">
        <f>VLOOKUP(Tabla1[[#This Row],[Code]],[1]!Tabla4[#Data],2,FALSE)</f>
        <v>M2 Nekoosa EZ Color EC9882 Rojo Cardenal Mate 1,22 x 45,7m</v>
      </c>
      <c r="C3891">
        <v>28</v>
      </c>
      <c r="D3891" t="s">
        <v>92</v>
      </c>
      <c r="E3891" t="str">
        <f>VLOOKUP(Tabla1[[#This Row],[Cód. Atributo]],[1]!Tabla5[#Data],6,FALSE)</f>
        <v>Select</v>
      </c>
      <c r="F3891">
        <v>4</v>
      </c>
      <c r="G3891">
        <v>2</v>
      </c>
      <c r="H3891" t="s">
        <v>102</v>
      </c>
      <c r="I3891" t="str">
        <f>VLOOKUP(Tabla1[[#This Row],[Code]],'[1]Articulos Precio'!$A:$E,5,FALSE)</f>
        <v>A0002670</v>
      </c>
    </row>
    <row r="3892" spans="1:9" x14ac:dyDescent="0.25">
      <c r="A3892" t="s">
        <v>1376</v>
      </c>
      <c r="B3892" t="str">
        <f>VLOOKUP(Tabla1[[#This Row],[Code]],[1]!Tabla4[#Data],2,FALSE)</f>
        <v>M2 Nekoosa EZ Color EC9882 Rojo Cardenal Mate 1,22 x 45,7m</v>
      </c>
      <c r="C3892">
        <v>25</v>
      </c>
      <c r="D3892" t="s">
        <v>94</v>
      </c>
      <c r="E3892" t="str">
        <f>VLOOKUP(Tabla1[[#This Row],[Cód. Atributo]],[1]!Tabla5[#Data],6,FALSE)</f>
        <v>Select</v>
      </c>
      <c r="F3892">
        <v>5</v>
      </c>
      <c r="G3892">
        <v>7</v>
      </c>
      <c r="H3892" t="s">
        <v>1321</v>
      </c>
      <c r="I3892" t="str">
        <f>VLOOKUP(Tabla1[[#This Row],[Code]],'[1]Articulos Precio'!$A:$E,5,FALSE)</f>
        <v>A0002670</v>
      </c>
    </row>
    <row r="3893" spans="1:9" x14ac:dyDescent="0.25">
      <c r="A3893" t="s">
        <v>1376</v>
      </c>
      <c r="B3893" t="str">
        <f>VLOOKUP(Tabla1[[#This Row],[Code]],[1]!Tabla4[#Data],2,FALSE)</f>
        <v>M2 Nekoosa EZ Color EC9882 Rojo Cardenal Mate 1,22 x 45,7m</v>
      </c>
      <c r="C3893">
        <v>24</v>
      </c>
      <c r="D3893" t="s">
        <v>96</v>
      </c>
      <c r="E3893" t="str">
        <f>VLOOKUP(Tabla1[[#This Row],[Cód. Atributo]],[1]!Tabla5[#Data],6,FALSE)</f>
        <v>Select</v>
      </c>
      <c r="F3893">
        <v>6</v>
      </c>
      <c r="G3893">
        <v>2</v>
      </c>
      <c r="H3893" t="s">
        <v>266</v>
      </c>
      <c r="I3893" t="str">
        <f>VLOOKUP(Tabla1[[#This Row],[Code]],'[1]Articulos Precio'!$A:$E,5,FALSE)</f>
        <v>A0002670</v>
      </c>
    </row>
    <row r="3894" spans="1:9" x14ac:dyDescent="0.25">
      <c r="A3894" t="s">
        <v>1376</v>
      </c>
      <c r="B3894" t="str">
        <f>VLOOKUP(Tabla1[[#This Row],[Code]],[1]!Tabla4[#Data],2,FALSE)</f>
        <v>M2 Nekoosa EZ Color EC9882 Rojo Cardenal Mate 1,22 x 45,7m</v>
      </c>
      <c r="C3894">
        <v>31</v>
      </c>
      <c r="D3894" t="s">
        <v>114</v>
      </c>
      <c r="E3894" t="str">
        <f>VLOOKUP(Tabla1[[#This Row],[Cód. Atributo]],[1]!Tabla5[#Data],6,FALSE)</f>
        <v>Select</v>
      </c>
      <c r="F3894">
        <v>7</v>
      </c>
      <c r="G3894">
        <v>14</v>
      </c>
      <c r="H3894" t="s">
        <v>1322</v>
      </c>
      <c r="I3894" t="str">
        <f>VLOOKUP(Tabla1[[#This Row],[Code]],'[1]Articulos Precio'!$A:$E,5,FALSE)</f>
        <v>A0002670</v>
      </c>
    </row>
    <row r="3895" spans="1:9" x14ac:dyDescent="0.25">
      <c r="A3895" t="s">
        <v>1377</v>
      </c>
      <c r="B3895" t="str">
        <f>VLOOKUP(Tabla1[[#This Row],[Code]],[1]!Tabla4[#Data],2,FALSE)</f>
        <v>M2 Nekoosa EZ Color EC9944 Gris Medio Brillo 0,61 x 45,7m</v>
      </c>
      <c r="C3895">
        <v>8</v>
      </c>
      <c r="D3895" t="s">
        <v>86</v>
      </c>
      <c r="E3895" t="str">
        <f>VLOOKUP(Tabla1[[#This Row],[Cód. Atributo]],[1]!Tabla5[#Data],6,FALSE)</f>
        <v>Select</v>
      </c>
      <c r="F3895">
        <v>1</v>
      </c>
      <c r="G3895">
        <v>1</v>
      </c>
      <c r="H3895" t="s">
        <v>263</v>
      </c>
      <c r="I3895" t="str">
        <f>VLOOKUP(Tabla1[[#This Row],[Code]],'[1]Articulos Precio'!$A:$E,5,FALSE)</f>
        <v>A0002671</v>
      </c>
    </row>
    <row r="3896" spans="1:9" x14ac:dyDescent="0.25">
      <c r="A3896" t="s">
        <v>1377</v>
      </c>
      <c r="B3896" t="str">
        <f>VLOOKUP(Tabla1[[#This Row],[Code]],[1]!Tabla4[#Data],2,FALSE)</f>
        <v>M2 Nekoosa EZ Color EC9944 Gris Medio Brillo 0,61 x 45,7m</v>
      </c>
      <c r="C3896">
        <v>52</v>
      </c>
      <c r="D3896" t="s">
        <v>1325</v>
      </c>
      <c r="E3896" t="str">
        <f>VLOOKUP(Tabla1[[#This Row],[Cód. Atributo]],[1]!Tabla5[#Data],6,FALSE)</f>
        <v>Select</v>
      </c>
      <c r="F3896">
        <v>2</v>
      </c>
      <c r="G3896">
        <v>9</v>
      </c>
      <c r="H3896" t="s">
        <v>1378</v>
      </c>
      <c r="I3896" t="str">
        <f>VLOOKUP(Tabla1[[#This Row],[Code]],'[1]Articulos Precio'!$A:$E,5,FALSE)</f>
        <v>A0002671</v>
      </c>
    </row>
    <row r="3897" spans="1:9" x14ac:dyDescent="0.25">
      <c r="A3897" t="s">
        <v>1377</v>
      </c>
      <c r="B3897" t="str">
        <f>VLOOKUP(Tabla1[[#This Row],[Code]],[1]!Tabla4[#Data],2,FALSE)</f>
        <v>M2 Nekoosa EZ Color EC9944 Gris Medio Brillo 0,61 x 45,7m</v>
      </c>
      <c r="C3897">
        <v>23</v>
      </c>
      <c r="D3897" t="s">
        <v>90</v>
      </c>
      <c r="E3897" t="str">
        <f>VLOOKUP(Tabla1[[#This Row],[Cód. Atributo]],[1]!Tabla5[#Data],6,FALSE)</f>
        <v>Select</v>
      </c>
      <c r="F3897">
        <v>3</v>
      </c>
      <c r="G3897">
        <v>2</v>
      </c>
      <c r="H3897" t="s">
        <v>136</v>
      </c>
      <c r="I3897" t="str">
        <f>VLOOKUP(Tabla1[[#This Row],[Code]],'[1]Articulos Precio'!$A:$E,5,FALSE)</f>
        <v>A0002671</v>
      </c>
    </row>
    <row r="3898" spans="1:9" x14ac:dyDescent="0.25">
      <c r="A3898" t="s">
        <v>1377</v>
      </c>
      <c r="B3898" t="str">
        <f>VLOOKUP(Tabla1[[#This Row],[Code]],[1]!Tabla4[#Data],2,FALSE)</f>
        <v>M2 Nekoosa EZ Color EC9944 Gris Medio Brillo 0,61 x 45,7m</v>
      </c>
      <c r="C3898">
        <v>28</v>
      </c>
      <c r="D3898" t="s">
        <v>92</v>
      </c>
      <c r="E3898" t="str">
        <f>VLOOKUP(Tabla1[[#This Row],[Cód. Atributo]],[1]!Tabla5[#Data],6,FALSE)</f>
        <v>Select</v>
      </c>
      <c r="F3898">
        <v>4</v>
      </c>
      <c r="G3898">
        <v>1</v>
      </c>
      <c r="H3898" t="s">
        <v>93</v>
      </c>
      <c r="I3898" t="str">
        <f>VLOOKUP(Tabla1[[#This Row],[Code]],'[1]Articulos Precio'!$A:$E,5,FALSE)</f>
        <v>A0002671</v>
      </c>
    </row>
    <row r="3899" spans="1:9" x14ac:dyDescent="0.25">
      <c r="A3899" t="s">
        <v>1377</v>
      </c>
      <c r="B3899" t="str">
        <f>VLOOKUP(Tabla1[[#This Row],[Code]],[1]!Tabla4[#Data],2,FALSE)</f>
        <v>M2 Nekoosa EZ Color EC9944 Gris Medio Brillo 0,61 x 45,7m</v>
      </c>
      <c r="C3899">
        <v>25</v>
      </c>
      <c r="D3899" t="s">
        <v>94</v>
      </c>
      <c r="E3899" t="str">
        <f>VLOOKUP(Tabla1[[#This Row],[Cód. Atributo]],[1]!Tabla5[#Data],6,FALSE)</f>
        <v>Select</v>
      </c>
      <c r="F3899">
        <v>5</v>
      </c>
      <c r="G3899">
        <v>7</v>
      </c>
      <c r="H3899" t="s">
        <v>1321</v>
      </c>
      <c r="I3899" t="str">
        <f>VLOOKUP(Tabla1[[#This Row],[Code]],'[1]Articulos Precio'!$A:$E,5,FALSE)</f>
        <v>A0002671</v>
      </c>
    </row>
    <row r="3900" spans="1:9" x14ac:dyDescent="0.25">
      <c r="A3900" t="s">
        <v>1377</v>
      </c>
      <c r="B3900" t="str">
        <f>VLOOKUP(Tabla1[[#This Row],[Code]],[1]!Tabla4[#Data],2,FALSE)</f>
        <v>M2 Nekoosa EZ Color EC9944 Gris Medio Brillo 0,61 x 45,7m</v>
      </c>
      <c r="C3900">
        <v>24</v>
      </c>
      <c r="D3900" t="s">
        <v>96</v>
      </c>
      <c r="E3900" t="str">
        <f>VLOOKUP(Tabla1[[#This Row],[Cód. Atributo]],[1]!Tabla5[#Data],6,FALSE)</f>
        <v>Select</v>
      </c>
      <c r="F3900">
        <v>6</v>
      </c>
      <c r="G3900">
        <v>2</v>
      </c>
      <c r="H3900" t="s">
        <v>266</v>
      </c>
      <c r="I3900" t="str">
        <f>VLOOKUP(Tabla1[[#This Row],[Code]],'[1]Articulos Precio'!$A:$E,5,FALSE)</f>
        <v>A0002671</v>
      </c>
    </row>
    <row r="3901" spans="1:9" x14ac:dyDescent="0.25">
      <c r="A3901" t="s">
        <v>1377</v>
      </c>
      <c r="B3901" t="str">
        <f>VLOOKUP(Tabla1[[#This Row],[Code]],[1]!Tabla4[#Data],2,FALSE)</f>
        <v>M2 Nekoosa EZ Color EC9944 Gris Medio Brillo 0,61 x 45,7m</v>
      </c>
      <c r="C3901">
        <v>31</v>
      </c>
      <c r="D3901" t="s">
        <v>114</v>
      </c>
      <c r="E3901" t="str">
        <f>VLOOKUP(Tabla1[[#This Row],[Cód. Atributo]],[1]!Tabla5[#Data],6,FALSE)</f>
        <v>Select</v>
      </c>
      <c r="F3901">
        <v>7</v>
      </c>
      <c r="G3901">
        <v>14</v>
      </c>
      <c r="H3901" t="s">
        <v>1322</v>
      </c>
      <c r="I3901" t="str">
        <f>VLOOKUP(Tabla1[[#This Row],[Code]],'[1]Articulos Precio'!$A:$E,5,FALSE)</f>
        <v>A0002671</v>
      </c>
    </row>
    <row r="3902" spans="1:9" x14ac:dyDescent="0.25">
      <c r="A3902" t="s">
        <v>1379</v>
      </c>
      <c r="B3902" t="str">
        <f>VLOOKUP(Tabla1[[#This Row],[Code]],[1]!Tabla4[#Data],2,FALSE)</f>
        <v>M2 Nekoosa EZ Color EC9944 Gris Medio Brillo 1,22 x 45,7m</v>
      </c>
      <c r="C3902">
        <v>8</v>
      </c>
      <c r="D3902" t="s">
        <v>86</v>
      </c>
      <c r="E3902" t="str">
        <f>VLOOKUP(Tabla1[[#This Row],[Cód. Atributo]],[1]!Tabla5[#Data],6,FALSE)</f>
        <v>Select</v>
      </c>
      <c r="F3902">
        <v>1</v>
      </c>
      <c r="G3902">
        <v>2</v>
      </c>
      <c r="H3902" t="s">
        <v>268</v>
      </c>
      <c r="I3902" t="str">
        <f>VLOOKUP(Tabla1[[#This Row],[Code]],'[1]Articulos Precio'!$A:$E,5,FALSE)</f>
        <v>A0002671</v>
      </c>
    </row>
    <row r="3903" spans="1:9" x14ac:dyDescent="0.25">
      <c r="A3903" t="s">
        <v>1379</v>
      </c>
      <c r="B3903" t="str">
        <f>VLOOKUP(Tabla1[[#This Row],[Code]],[1]!Tabla4[#Data],2,FALSE)</f>
        <v>M2 Nekoosa EZ Color EC9944 Gris Medio Brillo 1,22 x 45,7m</v>
      </c>
      <c r="C3903">
        <v>52</v>
      </c>
      <c r="D3903" t="s">
        <v>1325</v>
      </c>
      <c r="E3903" t="str">
        <f>VLOOKUP(Tabla1[[#This Row],[Cód. Atributo]],[1]!Tabla5[#Data],6,FALSE)</f>
        <v>Select</v>
      </c>
      <c r="F3903">
        <v>2</v>
      </c>
      <c r="G3903">
        <v>9</v>
      </c>
      <c r="H3903" t="s">
        <v>1378</v>
      </c>
      <c r="I3903" t="str">
        <f>VLOOKUP(Tabla1[[#This Row],[Code]],'[1]Articulos Precio'!$A:$E,5,FALSE)</f>
        <v>A0002671</v>
      </c>
    </row>
    <row r="3904" spans="1:9" x14ac:dyDescent="0.25">
      <c r="A3904" t="s">
        <v>1379</v>
      </c>
      <c r="B3904" t="str">
        <f>VLOOKUP(Tabla1[[#This Row],[Code]],[1]!Tabla4[#Data],2,FALSE)</f>
        <v>M2 Nekoosa EZ Color EC9944 Gris Medio Brillo 1,22 x 45,7m</v>
      </c>
      <c r="C3904">
        <v>23</v>
      </c>
      <c r="D3904" t="s">
        <v>90</v>
      </c>
      <c r="E3904" t="str">
        <f>VLOOKUP(Tabla1[[#This Row],[Cód. Atributo]],[1]!Tabla5[#Data],6,FALSE)</f>
        <v>Select</v>
      </c>
      <c r="F3904">
        <v>3</v>
      </c>
      <c r="G3904">
        <v>2</v>
      </c>
      <c r="H3904" t="s">
        <v>136</v>
      </c>
      <c r="I3904" t="str">
        <f>VLOOKUP(Tabla1[[#This Row],[Code]],'[1]Articulos Precio'!$A:$E,5,FALSE)</f>
        <v>A0002671</v>
      </c>
    </row>
    <row r="3905" spans="1:9" x14ac:dyDescent="0.25">
      <c r="A3905" t="s">
        <v>1379</v>
      </c>
      <c r="B3905" t="str">
        <f>VLOOKUP(Tabla1[[#This Row],[Code]],[1]!Tabla4[#Data],2,FALSE)</f>
        <v>M2 Nekoosa EZ Color EC9944 Gris Medio Brillo 1,22 x 45,7m</v>
      </c>
      <c r="C3905">
        <v>28</v>
      </c>
      <c r="D3905" t="s">
        <v>92</v>
      </c>
      <c r="E3905" t="str">
        <f>VLOOKUP(Tabla1[[#This Row],[Cód. Atributo]],[1]!Tabla5[#Data],6,FALSE)</f>
        <v>Select</v>
      </c>
      <c r="F3905">
        <v>4</v>
      </c>
      <c r="G3905">
        <v>1</v>
      </c>
      <c r="H3905" t="s">
        <v>93</v>
      </c>
      <c r="I3905" t="str">
        <f>VLOOKUP(Tabla1[[#This Row],[Code]],'[1]Articulos Precio'!$A:$E,5,FALSE)</f>
        <v>A0002671</v>
      </c>
    </row>
    <row r="3906" spans="1:9" x14ac:dyDescent="0.25">
      <c r="A3906" t="s">
        <v>1379</v>
      </c>
      <c r="B3906" t="str">
        <f>VLOOKUP(Tabla1[[#This Row],[Code]],[1]!Tabla4[#Data],2,FALSE)</f>
        <v>M2 Nekoosa EZ Color EC9944 Gris Medio Brillo 1,22 x 45,7m</v>
      </c>
      <c r="C3906">
        <v>25</v>
      </c>
      <c r="D3906" t="s">
        <v>94</v>
      </c>
      <c r="E3906" t="str">
        <f>VLOOKUP(Tabla1[[#This Row],[Cód. Atributo]],[1]!Tabla5[#Data],6,FALSE)</f>
        <v>Select</v>
      </c>
      <c r="F3906">
        <v>5</v>
      </c>
      <c r="G3906">
        <v>7</v>
      </c>
      <c r="H3906" t="s">
        <v>1321</v>
      </c>
      <c r="I3906" t="str">
        <f>VLOOKUP(Tabla1[[#This Row],[Code]],'[1]Articulos Precio'!$A:$E,5,FALSE)</f>
        <v>A0002671</v>
      </c>
    </row>
    <row r="3907" spans="1:9" x14ac:dyDescent="0.25">
      <c r="A3907" t="s">
        <v>1379</v>
      </c>
      <c r="B3907" t="str">
        <f>VLOOKUP(Tabla1[[#This Row],[Code]],[1]!Tabla4[#Data],2,FALSE)</f>
        <v>M2 Nekoosa EZ Color EC9944 Gris Medio Brillo 1,22 x 45,7m</v>
      </c>
      <c r="C3907">
        <v>24</v>
      </c>
      <c r="D3907" t="s">
        <v>96</v>
      </c>
      <c r="E3907" t="str">
        <f>VLOOKUP(Tabla1[[#This Row],[Cód. Atributo]],[1]!Tabla5[#Data],6,FALSE)</f>
        <v>Select</v>
      </c>
      <c r="F3907">
        <v>6</v>
      </c>
      <c r="G3907">
        <v>2</v>
      </c>
      <c r="H3907" t="s">
        <v>266</v>
      </c>
      <c r="I3907" t="str">
        <f>VLOOKUP(Tabla1[[#This Row],[Code]],'[1]Articulos Precio'!$A:$E,5,FALSE)</f>
        <v>A0002671</v>
      </c>
    </row>
    <row r="3908" spans="1:9" x14ac:dyDescent="0.25">
      <c r="A3908" t="s">
        <v>1379</v>
      </c>
      <c r="B3908" t="str">
        <f>VLOOKUP(Tabla1[[#This Row],[Code]],[1]!Tabla4[#Data],2,FALSE)</f>
        <v>M2 Nekoosa EZ Color EC9944 Gris Medio Brillo 1,22 x 45,7m</v>
      </c>
      <c r="C3908">
        <v>31</v>
      </c>
      <c r="D3908" t="s">
        <v>114</v>
      </c>
      <c r="E3908" t="str">
        <f>VLOOKUP(Tabla1[[#This Row],[Cód. Atributo]],[1]!Tabla5[#Data],6,FALSE)</f>
        <v>Select</v>
      </c>
      <c r="F3908">
        <v>7</v>
      </c>
      <c r="G3908">
        <v>14</v>
      </c>
      <c r="H3908" t="s">
        <v>1322</v>
      </c>
      <c r="I3908" t="str">
        <f>VLOOKUP(Tabla1[[#This Row],[Code]],'[1]Articulos Precio'!$A:$E,5,FALSE)</f>
        <v>A0002671</v>
      </c>
    </row>
    <row r="3909" spans="1:9" x14ac:dyDescent="0.25">
      <c r="A3909" t="s">
        <v>1380</v>
      </c>
      <c r="B3909" t="str">
        <f>VLOOKUP(Tabla1[[#This Row],[Code]],[1]!Tabla4[#Data],2,FALSE)</f>
        <v>M2 Vinilo Pizarra Blanco Borrable 1,35x50m</v>
      </c>
      <c r="C3909">
        <v>24</v>
      </c>
      <c r="D3909" t="s">
        <v>96</v>
      </c>
      <c r="E3909" t="str">
        <f>VLOOKUP(Tabla1[[#This Row],[Cód. Atributo]],[1]!Tabla5[#Data],6,FALSE)</f>
        <v>Select</v>
      </c>
      <c r="F3909">
        <v>1</v>
      </c>
      <c r="G3909">
        <v>5</v>
      </c>
      <c r="H3909" t="s">
        <v>1381</v>
      </c>
      <c r="I3909">
        <f>VLOOKUP(Tabla1[[#This Row],[Code]],'[1]Articulos Precio'!$A:$E,5,FALSE)</f>
        <v>0</v>
      </c>
    </row>
    <row r="3910" spans="1:9" x14ac:dyDescent="0.25">
      <c r="A3910" t="s">
        <v>1380</v>
      </c>
      <c r="B3910" t="str">
        <f>VLOOKUP(Tabla1[[#This Row],[Code]],[1]!Tabla4[#Data],2,FALSE)</f>
        <v>M2 Vinilo Pizarra Blanco Borrable 1,35x50m</v>
      </c>
      <c r="C3910">
        <v>23</v>
      </c>
      <c r="D3910" t="s">
        <v>90</v>
      </c>
      <c r="E3910" t="str">
        <f>VLOOKUP(Tabla1[[#This Row],[Cód. Atributo]],[1]!Tabla5[#Data],6,FALSE)</f>
        <v>Select</v>
      </c>
      <c r="F3910">
        <v>2</v>
      </c>
      <c r="G3910">
        <v>2</v>
      </c>
      <c r="H3910" t="s">
        <v>136</v>
      </c>
      <c r="I3910">
        <f>VLOOKUP(Tabla1[[#This Row],[Code]],'[1]Articulos Precio'!$A:$E,5,FALSE)</f>
        <v>0</v>
      </c>
    </row>
    <row r="3911" spans="1:9" x14ac:dyDescent="0.25">
      <c r="A3911" t="s">
        <v>1382</v>
      </c>
      <c r="B3911" t="str">
        <f>VLOOKUP(Tabla1[[#This Row],[Code]],[1]!Tabla4[#Data],2,FALSE)</f>
        <v>M2 Vinilo Pizarra Transparente Borrable 1,35x50m</v>
      </c>
      <c r="C3911">
        <v>24</v>
      </c>
      <c r="D3911" t="s">
        <v>96</v>
      </c>
      <c r="E3911" t="str">
        <f>VLOOKUP(Tabla1[[#This Row],[Cód. Atributo]],[1]!Tabla5[#Data],6,FALSE)</f>
        <v>Select</v>
      </c>
      <c r="F3911">
        <v>1</v>
      </c>
      <c r="G3911">
        <v>5</v>
      </c>
      <c r="H3911" t="s">
        <v>1381</v>
      </c>
      <c r="I3911">
        <f>VLOOKUP(Tabla1[[#This Row],[Code]],'[1]Articulos Precio'!$A:$E,5,FALSE)</f>
        <v>0</v>
      </c>
    </row>
    <row r="3912" spans="1:9" x14ac:dyDescent="0.25">
      <c r="A3912" t="s">
        <v>1382</v>
      </c>
      <c r="B3912" t="str">
        <f>VLOOKUP(Tabla1[[#This Row],[Code]],[1]!Tabla4[#Data],2,FALSE)</f>
        <v>M2 Vinilo Pizarra Transparente Borrable 1,35x50m</v>
      </c>
      <c r="C3912">
        <v>23</v>
      </c>
      <c r="D3912" t="s">
        <v>90</v>
      </c>
      <c r="E3912" t="str">
        <f>VLOOKUP(Tabla1[[#This Row],[Cód. Atributo]],[1]!Tabla5[#Data],6,FALSE)</f>
        <v>Select</v>
      </c>
      <c r="F3912">
        <v>2</v>
      </c>
      <c r="G3912">
        <v>2</v>
      </c>
      <c r="H3912" t="s">
        <v>136</v>
      </c>
      <c r="I3912">
        <f>VLOOKUP(Tabla1[[#This Row],[Code]],'[1]Articulos Precio'!$A:$E,5,FALSE)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Articulos Precio</vt:lpstr>
      <vt:lpstr>Atributos Valores</vt:lpstr>
      <vt:lpstr>Atributos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 J. Cervera</dc:creator>
  <cp:lastModifiedBy>Vicent J. Cervera</cp:lastModifiedBy>
  <dcterms:created xsi:type="dcterms:W3CDTF">2026-01-22T07:30:29Z</dcterms:created>
  <dcterms:modified xsi:type="dcterms:W3CDTF">2026-01-22T07:31:45Z</dcterms:modified>
</cp:coreProperties>
</file>